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2BB9526-4916-4755-8301-E7F939C44315}" xr6:coauthVersionLast="47" xr6:coauthVersionMax="47" xr10:uidLastSave="{00000000-0000-0000-0000-000000000000}"/>
  <bookViews>
    <workbookView xWindow="1080" yWindow="0" windowWidth="22005" windowHeight="21600" tabRatio="851" firstSheet="3" activeTab="9" xr2:uid="{00000000-000D-0000-FFFF-FFFF00000000}"/>
  </bookViews>
  <sheets>
    <sheet name="品牌销售额分析" sheetId="3" r:id="rId1"/>
    <sheet name="商品类别销售额分析" sheetId="5" r:id="rId2"/>
    <sheet name="用户行为类型分析" sheetId="6" r:id="rId3"/>
    <sheet name="每日销售额分析" sheetId="11" r:id="rId4"/>
    <sheet name="每小时行为分析" sheetId="12" r:id="rId5"/>
    <sheet name="商品销售额Top 10" sheetId="13" r:id="rId6"/>
    <sheet name="价格区间销量分析" sheetId="14" r:id="rId7"/>
    <sheet name="商品类别行为分析" sheetId="15" r:id="rId8"/>
    <sheet name="TB" sheetId="2" r:id="rId9"/>
    <sheet name="项目总览" sheetId="1" r:id="rId10"/>
  </sheets>
  <definedNames>
    <definedName name="ExternalData_1" localSheetId="8" hidden="1">TB!$A$1:$L$5001</definedName>
  </definedNames>
  <calcPr calcId="191029"/>
  <pivotCaches>
    <pivotCache cacheId="16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2" i="1" l="1"/>
  <c r="W122" i="1"/>
  <c r="V122" i="1"/>
  <c r="T122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812E5-63FD-4BFB-8C52-ABE85B0CD4EC}" keepAlive="1" name="查询 - TB" description="与工作簿中“TB”查询的连接。" type="5" refreshedVersion="8" background="1" saveData="1">
    <dbPr connection="Provider=Microsoft.Mashup.OleDb.1;Data Source=$Workbook$;Location=TB;Extended Properties=&quot;&quot;" command="SELECT * FROM [TB]"/>
  </connection>
</connections>
</file>

<file path=xl/sharedStrings.xml><?xml version="1.0" encoding="utf-8"?>
<sst xmlns="http://schemas.openxmlformats.org/spreadsheetml/2006/main" count="20091" uniqueCount="436">
  <si>
    <t>用户ID</t>
  </si>
  <si>
    <t>商品ID</t>
  </si>
  <si>
    <t>品牌</t>
  </si>
  <si>
    <t>商品名称</t>
  </si>
  <si>
    <t>商品类别</t>
  </si>
  <si>
    <t>商品类目ID</t>
  </si>
  <si>
    <t>行为类型</t>
  </si>
  <si>
    <t>时间戳</t>
  </si>
  <si>
    <t>售价</t>
  </si>
  <si>
    <t>销量</t>
  </si>
  <si>
    <t>Apple</t>
  </si>
  <si>
    <t>Apple Gram 17</t>
  </si>
  <si>
    <t>笔记本电脑</t>
  </si>
  <si>
    <t>buy</t>
  </si>
  <si>
    <t>Samsung</t>
  </si>
  <si>
    <t>Samsung ZV-E1</t>
  </si>
  <si>
    <t>相机</t>
  </si>
  <si>
    <t>Dell</t>
  </si>
  <si>
    <t>Dell iPad Pro</t>
  </si>
  <si>
    <t>平板电脑</t>
  </si>
  <si>
    <t>Lenovo</t>
  </si>
  <si>
    <t>Lenovo P60 Pro</t>
  </si>
  <si>
    <t>智能手机</t>
  </si>
  <si>
    <t>Lenovo Surface Laptop</t>
  </si>
  <si>
    <t>Apple X90L</t>
  </si>
  <si>
    <t>电视</t>
  </si>
  <si>
    <t>Huawei</t>
  </si>
  <si>
    <t>Huawei iPhone 16</t>
  </si>
  <si>
    <t>Dell MacBook Pro</t>
  </si>
  <si>
    <t>Samsung P60 Pro</t>
  </si>
  <si>
    <t>Samsung AirPods Pro</t>
  </si>
  <si>
    <t>耳机</t>
  </si>
  <si>
    <t>Xiaomi</t>
  </si>
  <si>
    <t>Xiaomi A7 IV</t>
  </si>
  <si>
    <t>LG</t>
  </si>
  <si>
    <t>LG Galaxy Tab S9</t>
  </si>
  <si>
    <t>Sony</t>
  </si>
  <si>
    <t>Sony AirPods Pro</t>
  </si>
  <si>
    <t>Xiaomi Galaxy Watch 6</t>
  </si>
  <si>
    <t>智能手表</t>
  </si>
  <si>
    <t>Lenovo X90L</t>
  </si>
  <si>
    <t>Apple iPhone 16</t>
  </si>
  <si>
    <t>addbuy</t>
  </si>
  <si>
    <t>Samsung Galaxy Buds2</t>
  </si>
  <si>
    <t>HP</t>
  </si>
  <si>
    <t>HP Xiaomi Pad 6</t>
  </si>
  <si>
    <t>Microsoft</t>
  </si>
  <si>
    <t>Microsoft Galaxy Z Flip</t>
  </si>
  <si>
    <t>Huawei Nothing Ear</t>
  </si>
  <si>
    <t>Samsung iPhone 16</t>
  </si>
  <si>
    <t>Dell P60 Pro</t>
  </si>
  <si>
    <t>HP Surface Pro</t>
  </si>
  <si>
    <t>Samsung Nothing Ear</t>
  </si>
  <si>
    <t>Samsung ThinkPad X1</t>
  </si>
  <si>
    <t>Sony ROG Zephyrus</t>
  </si>
  <si>
    <t>Sony Fitbit Sense</t>
  </si>
  <si>
    <t>Huawei P60 Pro</t>
  </si>
  <si>
    <t>LG Surface Laptop</t>
  </si>
  <si>
    <t>Xiaomi AirPods Pro</t>
  </si>
  <si>
    <t>HP iPhone 15</t>
  </si>
  <si>
    <t>HP ROG Zephyrus</t>
  </si>
  <si>
    <t>Dell Galaxy Buds2</t>
  </si>
  <si>
    <t>LG Sony XM5</t>
  </si>
  <si>
    <t>Xiaomi ROG Zephyrus</t>
  </si>
  <si>
    <t>Lenovo Galaxy Buds2</t>
  </si>
  <si>
    <t>Huawei Xiaomi 14</t>
  </si>
  <si>
    <t>HP Galaxy Z Flip</t>
  </si>
  <si>
    <t>Dell Watch GT 4</t>
  </si>
  <si>
    <t>Apple Xiaomi 14</t>
  </si>
  <si>
    <t>LG AirPods Pro</t>
  </si>
  <si>
    <t>HP XPS 15</t>
  </si>
  <si>
    <t>Xiaomi C3</t>
  </si>
  <si>
    <t>Lenovo C3</t>
  </si>
  <si>
    <t>HP Xiaomi Watch 2</t>
  </si>
  <si>
    <t>Dell iPhone 15</t>
  </si>
  <si>
    <t>Dell Gram 17</t>
  </si>
  <si>
    <t>HP Galaxy Buds2</t>
  </si>
  <si>
    <t>Microsoft Surface Pro</t>
  </si>
  <si>
    <t>Lenovo iPhone 15</t>
  </si>
  <si>
    <t>Xiaomi Sony XM5</t>
  </si>
  <si>
    <t>Microsoft iPhone 15</t>
  </si>
  <si>
    <t>Microsoft ROG Zephyrus</t>
  </si>
  <si>
    <t>LG Galaxy Buds2</t>
  </si>
  <si>
    <t>Sony Galaxy Z Flip</t>
  </si>
  <si>
    <t>Microsoft Fitbit Sense</t>
  </si>
  <si>
    <t>Lenovo FreeBuds Pro</t>
  </si>
  <si>
    <t>LG ThinkPad X1</t>
  </si>
  <si>
    <t>Sony Surface Pro</t>
  </si>
  <si>
    <t>Lenovo MatePad Pro</t>
  </si>
  <si>
    <t>Samsung iPhone 15</t>
  </si>
  <si>
    <t>Sony GH6</t>
  </si>
  <si>
    <t>Dell QN90C</t>
  </si>
  <si>
    <t>Huawei MatePad Pro</t>
  </si>
  <si>
    <t>Dell ROG Zephyrus</t>
  </si>
  <si>
    <t>Huawei ROG Zephyrus</t>
  </si>
  <si>
    <t>Huawei Galaxy Z Flip</t>
  </si>
  <si>
    <t>Apple Galaxy S24</t>
  </si>
  <si>
    <t>Lenovo Xiaomi Pad 6</t>
  </si>
  <si>
    <t>Dell Xiaomi 14</t>
  </si>
  <si>
    <t>Samsung Xiaomi Watch 2</t>
  </si>
  <si>
    <t>HP MatePad Pro</t>
  </si>
  <si>
    <t>Xiaomi Xiaomi Watch 2</t>
  </si>
  <si>
    <t>Sony MatePad Pro</t>
  </si>
  <si>
    <t>Lenovo Z50</t>
  </si>
  <si>
    <t>Microsoft ThinkPad X1</t>
  </si>
  <si>
    <t>LG Gram 17</t>
  </si>
  <si>
    <t>Samsung Galaxy Z Flip</t>
  </si>
  <si>
    <t>Xiaomi FreeBuds Pro</t>
  </si>
  <si>
    <t>LG iPad Pro</t>
  </si>
  <si>
    <t>Dell ThinkPad X1</t>
  </si>
  <si>
    <t>Xiaomi A80L</t>
  </si>
  <si>
    <t>Microsoft Z50</t>
  </si>
  <si>
    <t>Sony Galaxy S24</t>
  </si>
  <si>
    <t>Lenovo Sony XM5</t>
  </si>
  <si>
    <t>Sony U8K</t>
  </si>
  <si>
    <t>Xiaomi MatePad Pro</t>
  </si>
  <si>
    <t>Apple Galaxy Buds2</t>
  </si>
  <si>
    <t>Microsoft Galaxy Watch 6</t>
  </si>
  <si>
    <t>Xiaomi Galaxy Tab S9</t>
  </si>
  <si>
    <t>Dell XPS 15</t>
  </si>
  <si>
    <t>Lenovo iPhone 16</t>
  </si>
  <si>
    <t>Microsoft QLED TV</t>
  </si>
  <si>
    <t>Huawei Sony XM5</t>
  </si>
  <si>
    <t>Sony Nothing Ear</t>
  </si>
  <si>
    <t>Samsung MatePad Pro</t>
  </si>
  <si>
    <t>LG Nothing Ear</t>
  </si>
  <si>
    <t>Dell Xiaomi Watch 2</t>
  </si>
  <si>
    <t>Microsoft Surface Laptop</t>
  </si>
  <si>
    <t>Dell Surface Laptop</t>
  </si>
  <si>
    <t>Microsoft Nothing Ear</t>
  </si>
  <si>
    <t>Apple A7 IV</t>
  </si>
  <si>
    <t>Huawei iPhone 15</t>
  </si>
  <si>
    <t>HP Galaxy S24</t>
  </si>
  <si>
    <t>Dell FreeBuds Pro</t>
  </si>
  <si>
    <t>Apple iPhone 15</t>
  </si>
  <si>
    <t>Microsoft iPhone 16</t>
  </si>
  <si>
    <t>Sony Apple Watch S9</t>
  </si>
  <si>
    <t>Dell Sony XM5</t>
  </si>
  <si>
    <t>Xiaomi MacBook Pro</t>
  </si>
  <si>
    <t>LG Apple Watch S9</t>
  </si>
  <si>
    <t>HP iPad Pro</t>
  </si>
  <si>
    <t>Microsoft P60 Pro</t>
  </si>
  <si>
    <t>Microsoft FreeBuds Pro</t>
  </si>
  <si>
    <t>HP Galaxy Tab S9</t>
  </si>
  <si>
    <t>Samsung Galaxy Tab S9</t>
  </si>
  <si>
    <t>Samsung Galaxy S24</t>
  </si>
  <si>
    <t>Sony Xiaomi 14</t>
  </si>
  <si>
    <t>Lenovo Galaxy S24</t>
  </si>
  <si>
    <t>Xiaomi Z50</t>
  </si>
  <si>
    <t>Huawei Galaxy Watch 6</t>
  </si>
  <si>
    <t>Microsoft U8K</t>
  </si>
  <si>
    <t>Sony X90L</t>
  </si>
  <si>
    <t>Lenovo R8</t>
  </si>
  <si>
    <t>Sony Galaxy Buds2</t>
  </si>
  <si>
    <t>Microsoft QN90C</t>
  </si>
  <si>
    <t>Huawei MacBook Pro</t>
  </si>
  <si>
    <t>Dell Xiaomi Pad 6</t>
  </si>
  <si>
    <t>Microsoft XPS 15</t>
  </si>
  <si>
    <t>HP FreeBuds Pro</t>
  </si>
  <si>
    <t>Microsoft A7 IV</t>
  </si>
  <si>
    <t>Huawei Surface Pro</t>
  </si>
  <si>
    <t>HP Nothing Ear</t>
  </si>
  <si>
    <t>Sony QLED TV</t>
  </si>
  <si>
    <t>HP Surface Laptop</t>
  </si>
  <si>
    <t>LG P60 Pro</t>
  </si>
  <si>
    <t>LG Xiaomi Watch 2</t>
  </si>
  <si>
    <t>Huawei Watch GT 4</t>
  </si>
  <si>
    <t>Lenovo Xiaomi Watch 2</t>
  </si>
  <si>
    <t>LG Surface Pro</t>
  </si>
  <si>
    <t>HP Sony XM5</t>
  </si>
  <si>
    <t>Xiaomi Galaxy Buds2</t>
  </si>
  <si>
    <t>Huawei Surface Laptop</t>
  </si>
  <si>
    <t>Sony A80L</t>
  </si>
  <si>
    <t>Sony iPad Pro</t>
  </si>
  <si>
    <t>LG ROG Zephyrus</t>
  </si>
  <si>
    <t>LG iPhone 16</t>
  </si>
  <si>
    <t>Xiaomi Galaxy Z Flip</t>
  </si>
  <si>
    <t>Dell Galaxy Z Flip</t>
  </si>
  <si>
    <t>Samsung ROG Zephyrus</t>
  </si>
  <si>
    <t>Huawei A7 IV</t>
  </si>
  <si>
    <t>Microsoft AirPods Pro</t>
  </si>
  <si>
    <t>Sony C3</t>
  </si>
  <si>
    <t>Huawei Galaxy Buds2</t>
  </si>
  <si>
    <t>Apple Galaxy Z Flip</t>
  </si>
  <si>
    <t>HP ThinkPad X1</t>
  </si>
  <si>
    <t>Sony Surface Laptop</t>
  </si>
  <si>
    <t>Samsung X90L</t>
  </si>
  <si>
    <t>Sony MacBook Pro</t>
  </si>
  <si>
    <t>Huawei QLED TV</t>
  </si>
  <si>
    <t>Apple P60 Pro</t>
  </si>
  <si>
    <t>Samsung XPS 15</t>
  </si>
  <si>
    <t>Dell Fitbit Sense</t>
  </si>
  <si>
    <t>Sony P60 Pro</t>
  </si>
  <si>
    <t>Xiaomi Xiaomi 14</t>
  </si>
  <si>
    <t>Dell A7 IV</t>
  </si>
  <si>
    <t>HP iPhone 16</t>
  </si>
  <si>
    <t>LG A7 IV</t>
  </si>
  <si>
    <t>Apple Galaxy Watch 6</t>
  </si>
  <si>
    <t>Dell Surface Pro</t>
  </si>
  <si>
    <t>LG Fitbit Sense</t>
  </si>
  <si>
    <t>Xiaomi U8K</t>
  </si>
  <si>
    <t>Apple AirPods Pro</t>
  </si>
  <si>
    <t>Samsung Sony XM5</t>
  </si>
  <si>
    <t>LG GH6</t>
  </si>
  <si>
    <t>Lenovo QLED TV</t>
  </si>
  <si>
    <t>Samsung A7 IV</t>
  </si>
  <si>
    <t>Lenovo iPad Pro</t>
  </si>
  <si>
    <t>Samsung A80L</t>
  </si>
  <si>
    <t>Xiaomi XPS 15</t>
  </si>
  <si>
    <t>Microsoft Xiaomi 14</t>
  </si>
  <si>
    <t>Sony FreeBuds Pro</t>
  </si>
  <si>
    <t>Microsoft Sony XM5</t>
  </si>
  <si>
    <t>Xiaomi P60 Pro</t>
  </si>
  <si>
    <t>Sony Watch GT 4</t>
  </si>
  <si>
    <t>Dell iPhone 16</t>
  </si>
  <si>
    <t>Xiaomi Nothing Ear</t>
  </si>
  <si>
    <t>Apple Xiaomi Watch 2</t>
  </si>
  <si>
    <t>Microsoft Xiaomi Pad 6</t>
  </si>
  <si>
    <t>Xiaomi ThinkPad X1</t>
  </si>
  <si>
    <t>Huawei Galaxy S24</t>
  </si>
  <si>
    <t>Microsoft Watch GT 4</t>
  </si>
  <si>
    <t>Apple Z50</t>
  </si>
  <si>
    <t>HP MacBook Pro</t>
  </si>
  <si>
    <t>Samsung Xiaomi 14</t>
  </si>
  <si>
    <t>Xiaomi QN90C</t>
  </si>
  <si>
    <t>Huawei AirPods Pro</t>
  </si>
  <si>
    <t>Dell X-T5</t>
  </si>
  <si>
    <t>Huawei ThinkPad X1</t>
  </si>
  <si>
    <t>Samsung FreeBuds Pro</t>
  </si>
  <si>
    <t>Huawei R8</t>
  </si>
  <si>
    <t>Lenovo Surface Pro</t>
  </si>
  <si>
    <t>Microsoft R8</t>
  </si>
  <si>
    <t>LG Xiaomi 14</t>
  </si>
  <si>
    <t>Sony X-T5</t>
  </si>
  <si>
    <t>Dell Apple Watch S9</t>
  </si>
  <si>
    <t>Samsung Watch GT 4</t>
  </si>
  <si>
    <t>HP Gram 17</t>
  </si>
  <si>
    <t>Apple C3</t>
  </si>
  <si>
    <t>Sony XPS 15</t>
  </si>
  <si>
    <t>HP Fitbit Sense</t>
  </si>
  <si>
    <t>Apple ZV-E1</t>
  </si>
  <si>
    <t>Apple ThinkPad X1</t>
  </si>
  <si>
    <t>HP ZV-E1</t>
  </si>
  <si>
    <t>HP AirPods Pro</t>
  </si>
  <si>
    <t>Apple MatePad Pro</t>
  </si>
  <si>
    <t>Huawei Xiaomi Watch 2</t>
  </si>
  <si>
    <t>Microsoft Xiaomi Watch 2</t>
  </si>
  <si>
    <t>Apple FreeBuds Pro</t>
  </si>
  <si>
    <t>LG Galaxy S24</t>
  </si>
  <si>
    <t>Samsung U8K</t>
  </si>
  <si>
    <t>HP U8K</t>
  </si>
  <si>
    <t>Xiaomi Gram 17</t>
  </si>
  <si>
    <t>Huawei U8K</t>
  </si>
  <si>
    <t>LG A80L</t>
  </si>
  <si>
    <t>HP A80L</t>
  </si>
  <si>
    <t>Dell Nothing Ear</t>
  </si>
  <si>
    <t>Apple Xiaomi Pad 6</t>
  </si>
  <si>
    <t>Dell MatePad Pro</t>
  </si>
  <si>
    <t>Apple Apple Watch S9</t>
  </si>
  <si>
    <t>Lenovo X-T5</t>
  </si>
  <si>
    <t>Microsoft Galaxy S24</t>
  </si>
  <si>
    <t>Lenovo Galaxy Z Flip</t>
  </si>
  <si>
    <t>Apple QN90C</t>
  </si>
  <si>
    <t>Lenovo Watch GT 4</t>
  </si>
  <si>
    <t>Sony Gram 17</t>
  </si>
  <si>
    <t>Sony Sony XM5</t>
  </si>
  <si>
    <t>Microsoft Gram 17</t>
  </si>
  <si>
    <t>Lenovo Galaxy Watch 6</t>
  </si>
  <si>
    <t>HP X-T5</t>
  </si>
  <si>
    <t>Sony Xiaomi Pad 6</t>
  </si>
  <si>
    <t>Huawei GH6</t>
  </si>
  <si>
    <t>Huawei C3</t>
  </si>
  <si>
    <t>HP Z50</t>
  </si>
  <si>
    <t>Xiaomi X-T5</t>
  </si>
  <si>
    <t>Sony ZV-E1</t>
  </si>
  <si>
    <t>Xiaomi iPhone 16</t>
  </si>
  <si>
    <t>Lenovo ZV-E1</t>
  </si>
  <si>
    <t>Lenovo XPS 15</t>
  </si>
  <si>
    <t>Apple Surface Pro</t>
  </si>
  <si>
    <t>Dell Galaxy S24</t>
  </si>
  <si>
    <t>Samsung Surface Laptop</t>
  </si>
  <si>
    <t>Huawei ZV-E1</t>
  </si>
  <si>
    <t>Samsung iPad Pro</t>
  </si>
  <si>
    <t>Apple A80L</t>
  </si>
  <si>
    <t>Sony Xiaomi Watch 2</t>
  </si>
  <si>
    <t>Dell X90L</t>
  </si>
  <si>
    <t>Xiaomi iPhone 15</t>
  </si>
  <si>
    <t>Xiaomi Surface Pro</t>
  </si>
  <si>
    <t>Xiaomi Galaxy S24</t>
  </si>
  <si>
    <t>Microsoft ZV-E1</t>
  </si>
  <si>
    <t>LG QN90C</t>
  </si>
  <si>
    <t>LG FreeBuds Pro</t>
  </si>
  <si>
    <t>Dell U8K</t>
  </si>
  <si>
    <t>Lenovo MacBook Pro</t>
  </si>
  <si>
    <t>Apple Nothing Ear</t>
  </si>
  <si>
    <t>Samsung Fitbit Sense</t>
  </si>
  <si>
    <t>Lenovo QN90C</t>
  </si>
  <si>
    <t>Samsung QLED TV</t>
  </si>
  <si>
    <t>Apple XPS 15</t>
  </si>
  <si>
    <t>Huawei Xiaomi Pad 6</t>
  </si>
  <si>
    <t>Huawei iPad Pro</t>
  </si>
  <si>
    <t>HP P60 Pro</t>
  </si>
  <si>
    <t>Apple iPad Pro</t>
  </si>
  <si>
    <t>Microsoft MatePad Pro</t>
  </si>
  <si>
    <t>Sony Z50</t>
  </si>
  <si>
    <t>Samsung QN90C</t>
  </si>
  <si>
    <t>Huawei FreeBuds Pro</t>
  </si>
  <si>
    <t>LG iPhone 15</t>
  </si>
  <si>
    <t>LG X90L</t>
  </si>
  <si>
    <t>Dell Z50</t>
  </si>
  <si>
    <t>Sony Galaxy Watch 6</t>
  </si>
  <si>
    <t>LG Xiaomi Pad 6</t>
  </si>
  <si>
    <t>Apple Surface Laptop</t>
  </si>
  <si>
    <t>Xiaomi Fitbit Sense</t>
  </si>
  <si>
    <t>Xiaomi R8</t>
  </si>
  <si>
    <t>Microsoft MacBook Pro</t>
  </si>
  <si>
    <t>Microsoft A80L</t>
  </si>
  <si>
    <t>Sony Galaxy Tab S9</t>
  </si>
  <si>
    <t>Sony R8</t>
  </si>
  <si>
    <t>Lenovo AirPods Pro</t>
  </si>
  <si>
    <t>Dell R8</t>
  </si>
  <si>
    <t>Apple Fitbit Sense</t>
  </si>
  <si>
    <t>HP A7 IV</t>
  </si>
  <si>
    <t>LG Galaxy Watch 6</t>
  </si>
  <si>
    <t>Lenovo Gram 17</t>
  </si>
  <si>
    <t>LG C3</t>
  </si>
  <si>
    <t>Xiaomi Xiaomi Pad 6</t>
  </si>
  <si>
    <t>Xiaomi QLED TV</t>
  </si>
  <si>
    <t>Lenovo GH6</t>
  </si>
  <si>
    <t>Apple Watch GT 4</t>
  </si>
  <si>
    <t>Apple Galaxy Tab S9</t>
  </si>
  <si>
    <t>LG U8K</t>
  </si>
  <si>
    <t>Microsoft iPad Pro</t>
  </si>
  <si>
    <t>Lenovo A7 IV</t>
  </si>
  <si>
    <t>Lenovo Xiaomi 14</t>
  </si>
  <si>
    <t>Xiaomi Surface Laptop</t>
  </si>
  <si>
    <t>Xiaomi GH6</t>
  </si>
  <si>
    <t>Sony QN90C</t>
  </si>
  <si>
    <t>HP R8</t>
  </si>
  <si>
    <t>LG XPS 15</t>
  </si>
  <si>
    <t>Lenovo Galaxy Tab S9</t>
  </si>
  <si>
    <t>Microsoft Galaxy Buds2</t>
  </si>
  <si>
    <t>Xiaomi Watch GT 4</t>
  </si>
  <si>
    <t>Samsung Apple Watch S9</t>
  </si>
  <si>
    <t>Huawei QN90C</t>
  </si>
  <si>
    <t>Huawei XPS 15</t>
  </si>
  <si>
    <t>LG Galaxy Z Flip</t>
  </si>
  <si>
    <t>HP Apple Watch S9</t>
  </si>
  <si>
    <t>Apple X-T5</t>
  </si>
  <si>
    <t>Samsung C3</t>
  </si>
  <si>
    <t>Microsoft X90L</t>
  </si>
  <si>
    <t>Apple Sony XM5</t>
  </si>
  <si>
    <t>Apple ROG Zephyrus</t>
  </si>
  <si>
    <t>Lenovo A80L</t>
  </si>
  <si>
    <t>Dell GH6</t>
  </si>
  <si>
    <t>Lenovo Fitbit Sense</t>
  </si>
  <si>
    <t>Samsung R8</t>
  </si>
  <si>
    <t>Samsung X-T5</t>
  </si>
  <si>
    <t>Huawei X-T5</t>
  </si>
  <si>
    <t>Microsoft C3</t>
  </si>
  <si>
    <t>Huawei Galaxy Tab S9</t>
  </si>
  <si>
    <t>Dell QLED TV</t>
  </si>
  <si>
    <t>Dell C3</t>
  </si>
  <si>
    <t>Apple U8K</t>
  </si>
  <si>
    <t>Huawei Fitbit Sense</t>
  </si>
  <si>
    <t>LG Z50</t>
  </si>
  <si>
    <t>Sony iPhone 16</t>
  </si>
  <si>
    <t>Lenovo U8K</t>
  </si>
  <si>
    <t>Xiaomi ZV-E1</t>
  </si>
  <si>
    <t>Dell ZV-E1</t>
  </si>
  <si>
    <t>Dell AirPods Pro</t>
  </si>
  <si>
    <t>Microsoft X-T5</t>
  </si>
  <si>
    <t>HP Xiaomi 14</t>
  </si>
  <si>
    <t>Apple QLED TV</t>
  </si>
  <si>
    <t>LG QLED TV</t>
  </si>
  <si>
    <t>Samsung GH6</t>
  </si>
  <si>
    <t>Apple MacBook Pro</t>
  </si>
  <si>
    <t>Sony ThinkPad X1</t>
  </si>
  <si>
    <t>Microsoft Galaxy Tab S9</t>
  </si>
  <si>
    <t>HP GH6</t>
  </si>
  <si>
    <t>Microsoft GH6</t>
  </si>
  <si>
    <t>Xiaomi iPad Pro</t>
  </si>
  <si>
    <t>Apple R8</t>
  </si>
  <si>
    <t>Lenovo ThinkPad X1</t>
  </si>
  <si>
    <t>Samsung Galaxy Watch 6</t>
  </si>
  <si>
    <t>Samsung Gram 17</t>
  </si>
  <si>
    <t>Sony iPhone 15</t>
  </si>
  <si>
    <t>Apple GH6</t>
  </si>
  <si>
    <t>Samsung Surface Pro</t>
  </si>
  <si>
    <t>LG Watch GT 4</t>
  </si>
  <si>
    <t>Dell Galaxy Watch 6</t>
  </si>
  <si>
    <t>Dell A80L</t>
  </si>
  <si>
    <t>Huawei Z50</t>
  </si>
  <si>
    <t>HP QLED TV</t>
  </si>
  <si>
    <t>Lenovo Apple Watch S9</t>
  </si>
  <si>
    <t>Samsung MacBook Pro</t>
  </si>
  <si>
    <t>Huawei X90L</t>
  </si>
  <si>
    <t>HP C3</t>
  </si>
  <si>
    <t>LG ZV-E1</t>
  </si>
  <si>
    <t>Lenovo Nothing Ear</t>
  </si>
  <si>
    <t>LG MatePad Pro</t>
  </si>
  <si>
    <t>Microsoft Apple Watch S9</t>
  </si>
  <si>
    <t>LG X-T5</t>
  </si>
  <si>
    <t>Dell Galaxy Tab S9</t>
  </si>
  <si>
    <t>Xiaomi X90L</t>
  </si>
  <si>
    <t>Samsung Xiaomi Pad 6</t>
  </si>
  <si>
    <t>Sony A7 IV</t>
  </si>
  <si>
    <t>Huawei Apple Watch S9</t>
  </si>
  <si>
    <t>HP Watch GT 4</t>
  </si>
  <si>
    <t>Huawei Gram 17</t>
  </si>
  <si>
    <t>HP QN90C</t>
  </si>
  <si>
    <t>Xiaomi Apple Watch S9</t>
  </si>
  <si>
    <t>Lenovo ROG Zephyrus</t>
  </si>
  <si>
    <t>LG R8</t>
  </si>
  <si>
    <t>LG MacBook Pro</t>
  </si>
  <si>
    <t>HP Galaxy Watch 6</t>
  </si>
  <si>
    <t>HP X90L</t>
  </si>
  <si>
    <t>Huawei A80L</t>
  </si>
  <si>
    <t>销售额</t>
    <phoneticPr fontId="1" type="noConversion"/>
  </si>
  <si>
    <t>小时</t>
    <phoneticPr fontId="1" type="noConversion"/>
  </si>
  <si>
    <t>行标签</t>
  </si>
  <si>
    <t>总计</t>
  </si>
  <si>
    <t>求和项:销售额</t>
  </si>
  <si>
    <t>计数项:用户ID</t>
  </si>
  <si>
    <t>日期</t>
    <phoneticPr fontId="1" type="noConversion"/>
  </si>
  <si>
    <t>10月</t>
  </si>
  <si>
    <t>11月</t>
  </si>
  <si>
    <t>12月</t>
  </si>
  <si>
    <t>列标签</t>
  </si>
  <si>
    <t>销售区间</t>
    <phoneticPr fontId="1" type="noConversion"/>
  </si>
  <si>
    <t>超高价商品</t>
  </si>
  <si>
    <t>低价商品</t>
  </si>
  <si>
    <t>高价商品</t>
  </si>
  <si>
    <t>中价商品</t>
  </si>
  <si>
    <t>计数项:销量</t>
  </si>
  <si>
    <t>电子商务用户行为分析看板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</si>
</sst>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8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17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  <xf numFmtId="176" fontId="0" fillId="0" borderId="0" xfId="0" applyNumberFormat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</cellXfs>
  <cellStyles count="1">
    <cellStyle name="常规" xfId="0" builtinId="0"/>
  </cellStyles>
  <dxfs count="9">
    <dxf>
      <numFmt numFmtId="176" formatCode="0.00_);[Red]\(0.00\)"/>
    </dxf>
    <dxf>
      <numFmt numFmtId="19" formatCode="yyyy/m/d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8E7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[lianxi.xlsx]品牌销售额分析!数据透视表1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品牌销售额分析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品牌销售额分析!$B$3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品牌销售额分析!$A$4:$A$14</c:f>
              <c:strCache>
                <c:ptCount val="10"/>
                <c:pt idx="0">
                  <c:v>Samsung</c:v>
                </c:pt>
                <c:pt idx="1">
                  <c:v>HP</c:v>
                </c:pt>
                <c:pt idx="2">
                  <c:v>Microsoft</c:v>
                </c:pt>
                <c:pt idx="3">
                  <c:v>Dell</c:v>
                </c:pt>
                <c:pt idx="4">
                  <c:v>Apple</c:v>
                </c:pt>
                <c:pt idx="5">
                  <c:v>Huawei</c:v>
                </c:pt>
                <c:pt idx="6">
                  <c:v>LG</c:v>
                </c:pt>
                <c:pt idx="7">
                  <c:v>Sony</c:v>
                </c:pt>
                <c:pt idx="8">
                  <c:v>Lenovo</c:v>
                </c:pt>
                <c:pt idx="9">
                  <c:v>Xiaomi</c:v>
                </c:pt>
              </c:strCache>
            </c:strRef>
          </c:cat>
          <c:val>
            <c:numRef>
              <c:f>品牌销售额分析!$B$4:$B$14</c:f>
              <c:numCache>
                <c:formatCode>General</c:formatCode>
                <c:ptCount val="10"/>
                <c:pt idx="0">
                  <c:v>5658907</c:v>
                </c:pt>
                <c:pt idx="1">
                  <c:v>5296905</c:v>
                </c:pt>
                <c:pt idx="2">
                  <c:v>5281872</c:v>
                </c:pt>
                <c:pt idx="3">
                  <c:v>5215719</c:v>
                </c:pt>
                <c:pt idx="4">
                  <c:v>5161794</c:v>
                </c:pt>
                <c:pt idx="5">
                  <c:v>5082422</c:v>
                </c:pt>
                <c:pt idx="6">
                  <c:v>5051067</c:v>
                </c:pt>
                <c:pt idx="7">
                  <c:v>4960923</c:v>
                </c:pt>
                <c:pt idx="8">
                  <c:v>4844290</c:v>
                </c:pt>
                <c:pt idx="9">
                  <c:v>4339988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C-4591-B4F4-D99440E72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219392"/>
        <c:axId val="831219872"/>
      </c:barChart>
      <c:catAx>
        <c:axId val="83121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19872"/>
        <c:crosses val="autoZero"/>
        <c:auto val="1"/>
        <c:lblAlgn val="ctr"/>
        <c:lblOffset val="100"/>
        <c:noMultiLvlLbl val="0"/>
      </c:catAx>
      <c:valAx>
        <c:axId val="8312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1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[lianxi.xlsx]商品类别销售额分析!数据透视表2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商品类别销售额占比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商品类别销售额分析!$B$3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661-477E-A9AA-C88DEEEBEA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661-477E-A9AA-C88DEEEBEA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661-477E-A9AA-C88DEEEBEA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661-477E-A9AA-C88DEEEBEA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661-477E-A9AA-C88DEEEBEAB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661-477E-A9AA-C88DEEEBEAB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661-477E-A9AA-C88DEEEBEA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商品类别销售额分析!$A$4:$A$11</c:f>
              <c:strCache>
                <c:ptCount val="7"/>
                <c:pt idx="0">
                  <c:v>笔记本电脑</c:v>
                </c:pt>
                <c:pt idx="1">
                  <c:v>智能手机</c:v>
                </c:pt>
                <c:pt idx="2">
                  <c:v>相机</c:v>
                </c:pt>
                <c:pt idx="3">
                  <c:v>电视</c:v>
                </c:pt>
                <c:pt idx="4">
                  <c:v>平板电脑</c:v>
                </c:pt>
                <c:pt idx="5">
                  <c:v>智能手表</c:v>
                </c:pt>
                <c:pt idx="6">
                  <c:v>耳机</c:v>
                </c:pt>
              </c:strCache>
            </c:strRef>
          </c:cat>
          <c:val>
            <c:numRef>
              <c:f>商品类别销售额分析!$B$4:$B$11</c:f>
              <c:numCache>
                <c:formatCode>General</c:formatCode>
                <c:ptCount val="7"/>
                <c:pt idx="0">
                  <c:v>16565439</c:v>
                </c:pt>
                <c:pt idx="1">
                  <c:v>12881007</c:v>
                </c:pt>
                <c:pt idx="2">
                  <c:v>7397845</c:v>
                </c:pt>
                <c:pt idx="3">
                  <c:v>5199263</c:v>
                </c:pt>
                <c:pt idx="4">
                  <c:v>4439887</c:v>
                </c:pt>
                <c:pt idx="5">
                  <c:v>2616971</c:v>
                </c:pt>
                <c:pt idx="6">
                  <c:v>1793475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A-437B-ADC0-DC3B9DC824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[lianxi.xlsx]用户行为类型分析!数据透视表3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用户行为类型占比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用户行为类型分析!$B$3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E7-4565-91F4-6CEE2AE8D1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E7-4565-91F4-6CEE2AE8D1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用户行为类型分析!$A$4:$A$6</c:f>
              <c:strCache>
                <c:ptCount val="2"/>
                <c:pt idx="0">
                  <c:v>addbuy</c:v>
                </c:pt>
                <c:pt idx="1">
                  <c:v>buy</c:v>
                </c:pt>
              </c:strCache>
            </c:strRef>
          </c:cat>
          <c:val>
            <c:numRef>
              <c:f>用户行为类型分析!$B$4:$B$6</c:f>
              <c:numCache>
                <c:formatCode>General</c:formatCode>
                <c:ptCount val="2"/>
                <c:pt idx="0">
                  <c:v>791</c:v>
                </c:pt>
                <c:pt idx="1">
                  <c:v>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4-4BAD-985C-7027E74D18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[lianxi.xlsx]每日销售额分析!数据透视表9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每日销售额趋势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每日销售额分析!$B$3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每日销售额分析!$A$4:$A$7</c:f>
              <c:strCache>
                <c:ptCount val="3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</c:strCache>
            </c:strRef>
          </c:cat>
          <c:val>
            <c:numRef>
              <c:f>每日销售额分析!$B$4:$B$7</c:f>
              <c:numCache>
                <c:formatCode>General</c:formatCode>
                <c:ptCount val="3"/>
                <c:pt idx="0">
                  <c:v>13746329</c:v>
                </c:pt>
                <c:pt idx="1">
                  <c:v>20018956</c:v>
                </c:pt>
                <c:pt idx="2">
                  <c:v>17128602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9F-4FED-A390-03CA3E26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187808"/>
        <c:axId val="997190688"/>
      </c:lineChart>
      <c:catAx>
        <c:axId val="99718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190688"/>
        <c:crosses val="autoZero"/>
        <c:auto val="1"/>
        <c:lblAlgn val="ctr"/>
        <c:lblOffset val="100"/>
        <c:noMultiLvlLbl val="0"/>
      </c:catAx>
      <c:valAx>
        <c:axId val="9971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1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[lianxi.xlsx]每小时行为分析!数据透视表1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每小时行为分析!$B$3:$B$4</c:f>
              <c:strCache>
                <c:ptCount val="1"/>
                <c:pt idx="0">
                  <c:v>addbuy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每小时行为分析!$A$5:$A$29</c:f>
              <c:strCache>
                <c:ptCount val="24"/>
                <c:pt idx="0">
                  <c:v>0.00 </c:v>
                </c:pt>
                <c:pt idx="1">
                  <c:v>1.00 </c:v>
                </c:pt>
                <c:pt idx="2">
                  <c:v>2.00 </c:v>
                </c:pt>
                <c:pt idx="3">
                  <c:v>3.00 </c:v>
                </c:pt>
                <c:pt idx="4">
                  <c:v>4.00 </c:v>
                </c:pt>
                <c:pt idx="5">
                  <c:v>5.00 </c:v>
                </c:pt>
                <c:pt idx="6">
                  <c:v>6.00 </c:v>
                </c:pt>
                <c:pt idx="7">
                  <c:v>7.00 </c:v>
                </c:pt>
                <c:pt idx="8">
                  <c:v>8.00 </c:v>
                </c:pt>
                <c:pt idx="9">
                  <c:v>9.00 </c:v>
                </c:pt>
                <c:pt idx="10">
                  <c:v>10.00 </c:v>
                </c:pt>
                <c:pt idx="11">
                  <c:v>11.00 </c:v>
                </c:pt>
                <c:pt idx="12">
                  <c:v>12.00 </c:v>
                </c:pt>
                <c:pt idx="13">
                  <c:v>13.00 </c:v>
                </c:pt>
                <c:pt idx="14">
                  <c:v>14.00 </c:v>
                </c:pt>
                <c:pt idx="15">
                  <c:v>15.00 </c:v>
                </c:pt>
                <c:pt idx="16">
                  <c:v>16.00 </c:v>
                </c:pt>
                <c:pt idx="17">
                  <c:v>17.00 </c:v>
                </c:pt>
                <c:pt idx="18">
                  <c:v>18.00 </c:v>
                </c:pt>
                <c:pt idx="19">
                  <c:v>19.00 </c:v>
                </c:pt>
                <c:pt idx="20">
                  <c:v>20.00 </c:v>
                </c:pt>
                <c:pt idx="21">
                  <c:v>21.00 </c:v>
                </c:pt>
                <c:pt idx="22">
                  <c:v>22.00 </c:v>
                </c:pt>
                <c:pt idx="23">
                  <c:v>23.00 </c:v>
                </c:pt>
              </c:strCache>
            </c:strRef>
          </c:cat>
          <c:val>
            <c:numRef>
              <c:f>每小时行为分析!$B$5:$B$29</c:f>
              <c:numCache>
                <c:formatCode>General</c:formatCode>
                <c:ptCount val="24"/>
                <c:pt idx="0">
                  <c:v>33</c:v>
                </c:pt>
                <c:pt idx="1">
                  <c:v>26</c:v>
                </c:pt>
                <c:pt idx="2">
                  <c:v>18</c:v>
                </c:pt>
                <c:pt idx="3">
                  <c:v>42</c:v>
                </c:pt>
                <c:pt idx="4">
                  <c:v>29</c:v>
                </c:pt>
                <c:pt idx="5">
                  <c:v>36</c:v>
                </c:pt>
                <c:pt idx="6">
                  <c:v>35</c:v>
                </c:pt>
                <c:pt idx="7">
                  <c:v>33</c:v>
                </c:pt>
                <c:pt idx="8">
                  <c:v>29</c:v>
                </c:pt>
                <c:pt idx="9">
                  <c:v>27</c:v>
                </c:pt>
                <c:pt idx="10">
                  <c:v>29</c:v>
                </c:pt>
                <c:pt idx="11">
                  <c:v>36</c:v>
                </c:pt>
                <c:pt idx="12">
                  <c:v>38</c:v>
                </c:pt>
                <c:pt idx="13">
                  <c:v>37</c:v>
                </c:pt>
                <c:pt idx="14">
                  <c:v>33</c:v>
                </c:pt>
                <c:pt idx="15">
                  <c:v>33</c:v>
                </c:pt>
                <c:pt idx="16">
                  <c:v>23</c:v>
                </c:pt>
                <c:pt idx="17">
                  <c:v>41</c:v>
                </c:pt>
                <c:pt idx="18">
                  <c:v>41</c:v>
                </c:pt>
                <c:pt idx="19">
                  <c:v>38</c:v>
                </c:pt>
                <c:pt idx="20">
                  <c:v>29</c:v>
                </c:pt>
                <c:pt idx="21">
                  <c:v>38</c:v>
                </c:pt>
                <c:pt idx="22">
                  <c:v>40</c:v>
                </c:pt>
                <c:pt idx="2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0-48F5-AE83-0BA41CC14C1F}"/>
            </c:ext>
          </c:extLst>
        </c:ser>
        <c:ser>
          <c:idx val="1"/>
          <c:order val="1"/>
          <c:tx>
            <c:strRef>
              <c:f>每小时行为分析!$C$3:$C$4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每小时行为分析!$A$5:$A$29</c:f>
              <c:strCache>
                <c:ptCount val="24"/>
                <c:pt idx="0">
                  <c:v>0.00 </c:v>
                </c:pt>
                <c:pt idx="1">
                  <c:v>1.00 </c:v>
                </c:pt>
                <c:pt idx="2">
                  <c:v>2.00 </c:v>
                </c:pt>
                <c:pt idx="3">
                  <c:v>3.00 </c:v>
                </c:pt>
                <c:pt idx="4">
                  <c:v>4.00 </c:v>
                </c:pt>
                <c:pt idx="5">
                  <c:v>5.00 </c:v>
                </c:pt>
                <c:pt idx="6">
                  <c:v>6.00 </c:v>
                </c:pt>
                <c:pt idx="7">
                  <c:v>7.00 </c:v>
                </c:pt>
                <c:pt idx="8">
                  <c:v>8.00 </c:v>
                </c:pt>
                <c:pt idx="9">
                  <c:v>9.00 </c:v>
                </c:pt>
                <c:pt idx="10">
                  <c:v>10.00 </c:v>
                </c:pt>
                <c:pt idx="11">
                  <c:v>11.00 </c:v>
                </c:pt>
                <c:pt idx="12">
                  <c:v>12.00 </c:v>
                </c:pt>
                <c:pt idx="13">
                  <c:v>13.00 </c:v>
                </c:pt>
                <c:pt idx="14">
                  <c:v>14.00 </c:v>
                </c:pt>
                <c:pt idx="15">
                  <c:v>15.00 </c:v>
                </c:pt>
                <c:pt idx="16">
                  <c:v>16.00 </c:v>
                </c:pt>
                <c:pt idx="17">
                  <c:v>17.00 </c:v>
                </c:pt>
                <c:pt idx="18">
                  <c:v>18.00 </c:v>
                </c:pt>
                <c:pt idx="19">
                  <c:v>19.00 </c:v>
                </c:pt>
                <c:pt idx="20">
                  <c:v>20.00 </c:v>
                </c:pt>
                <c:pt idx="21">
                  <c:v>21.00 </c:v>
                </c:pt>
                <c:pt idx="22">
                  <c:v>22.00 </c:v>
                </c:pt>
                <c:pt idx="23">
                  <c:v>23.00 </c:v>
                </c:pt>
              </c:strCache>
            </c:strRef>
          </c:cat>
          <c:val>
            <c:numRef>
              <c:f>每小时行为分析!$C$5:$C$29</c:f>
              <c:numCache>
                <c:formatCode>General</c:formatCode>
                <c:ptCount val="24"/>
                <c:pt idx="0">
                  <c:v>217</c:v>
                </c:pt>
                <c:pt idx="1">
                  <c:v>199</c:v>
                </c:pt>
                <c:pt idx="2">
                  <c:v>184</c:v>
                </c:pt>
                <c:pt idx="3">
                  <c:v>150</c:v>
                </c:pt>
                <c:pt idx="4">
                  <c:v>163</c:v>
                </c:pt>
                <c:pt idx="5">
                  <c:v>189</c:v>
                </c:pt>
                <c:pt idx="6">
                  <c:v>178</c:v>
                </c:pt>
                <c:pt idx="7">
                  <c:v>171</c:v>
                </c:pt>
                <c:pt idx="8">
                  <c:v>190</c:v>
                </c:pt>
                <c:pt idx="9">
                  <c:v>182</c:v>
                </c:pt>
                <c:pt idx="10">
                  <c:v>175</c:v>
                </c:pt>
                <c:pt idx="11">
                  <c:v>177</c:v>
                </c:pt>
                <c:pt idx="12">
                  <c:v>172</c:v>
                </c:pt>
                <c:pt idx="13">
                  <c:v>160</c:v>
                </c:pt>
                <c:pt idx="14">
                  <c:v>180</c:v>
                </c:pt>
                <c:pt idx="15">
                  <c:v>171</c:v>
                </c:pt>
                <c:pt idx="16">
                  <c:v>184</c:v>
                </c:pt>
                <c:pt idx="17">
                  <c:v>189</c:v>
                </c:pt>
                <c:pt idx="18">
                  <c:v>155</c:v>
                </c:pt>
                <c:pt idx="19">
                  <c:v>178</c:v>
                </c:pt>
                <c:pt idx="20">
                  <c:v>171</c:v>
                </c:pt>
                <c:pt idx="21">
                  <c:v>156</c:v>
                </c:pt>
                <c:pt idx="22">
                  <c:v>169</c:v>
                </c:pt>
                <c:pt idx="2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40-48F5-AE83-0BA41CC14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842655"/>
        <c:axId val="943844095"/>
      </c:barChart>
      <c:catAx>
        <c:axId val="9438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844095"/>
        <c:crosses val="autoZero"/>
        <c:auto val="1"/>
        <c:lblAlgn val="ctr"/>
        <c:lblOffset val="100"/>
        <c:noMultiLvlLbl val="0"/>
      </c:catAx>
      <c:valAx>
        <c:axId val="9438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8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[lianxi.xlsx]商品销售额Top 10!数据透视表2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商品销售额</a:t>
            </a:r>
            <a:r>
              <a:rPr lang="en-US" altLang="zh-CN"/>
              <a:t>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'商品销售额Top 10'!$B$3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'商品销售额Top 10'!$A$4:$A$14</c:f>
              <c:strCache>
                <c:ptCount val="10"/>
                <c:pt idx="0">
                  <c:v>Microsoft ThinkPad X1</c:v>
                </c:pt>
                <c:pt idx="1">
                  <c:v>HP Gram 17</c:v>
                </c:pt>
                <c:pt idx="2">
                  <c:v>Huawei iPhone 15</c:v>
                </c:pt>
                <c:pt idx="3">
                  <c:v>Sony MacBook Pro</c:v>
                </c:pt>
                <c:pt idx="4">
                  <c:v>Apple XPS 15</c:v>
                </c:pt>
                <c:pt idx="5">
                  <c:v>Samsung XPS 15</c:v>
                </c:pt>
                <c:pt idx="6">
                  <c:v>Samsung Gram 17</c:v>
                </c:pt>
                <c:pt idx="7">
                  <c:v>Microsoft ROG Zephyrus</c:v>
                </c:pt>
                <c:pt idx="8">
                  <c:v>LG Surface Laptop</c:v>
                </c:pt>
                <c:pt idx="9">
                  <c:v>Apple ThinkPad X1</c:v>
                </c:pt>
              </c:strCache>
            </c:strRef>
          </c:cat>
          <c:val>
            <c:numRef>
              <c:f>'商品销售额Top 10'!$B$4:$B$14</c:f>
              <c:numCache>
                <c:formatCode>General</c:formatCode>
                <c:ptCount val="10"/>
                <c:pt idx="0">
                  <c:v>372175</c:v>
                </c:pt>
                <c:pt idx="1">
                  <c:v>385917</c:v>
                </c:pt>
                <c:pt idx="2">
                  <c:v>397597</c:v>
                </c:pt>
                <c:pt idx="3">
                  <c:v>406929</c:v>
                </c:pt>
                <c:pt idx="4">
                  <c:v>411003</c:v>
                </c:pt>
                <c:pt idx="5">
                  <c:v>423298</c:v>
                </c:pt>
                <c:pt idx="6">
                  <c:v>440626</c:v>
                </c:pt>
                <c:pt idx="7">
                  <c:v>445753</c:v>
                </c:pt>
                <c:pt idx="8">
                  <c:v>461139</c:v>
                </c:pt>
                <c:pt idx="9">
                  <c:v>463920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9-4F58-8DC2-4C544241F4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4300895"/>
        <c:axId val="944290815"/>
      </c:barChart>
      <c:catAx>
        <c:axId val="94430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4290815"/>
        <c:crosses val="autoZero"/>
        <c:auto val="1"/>
        <c:lblAlgn val="ctr"/>
        <c:lblOffset val="100"/>
        <c:noMultiLvlLbl val="0"/>
      </c:catAx>
      <c:valAx>
        <c:axId val="94429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430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[lianxi.xlsx]价格区间销量分析!数据透视表3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不同价格区间销量与销售额分析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价格区间销量分析!$B$3</c:f>
              <c:strCache>
                <c:ptCount val="1"/>
                <c:pt idx="0">
                  <c:v>计数项:销量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价格区间销量分析!$A$4:$A$8</c:f>
              <c:strCache>
                <c:ptCount val="4"/>
                <c:pt idx="0">
                  <c:v>超高价商品</c:v>
                </c:pt>
                <c:pt idx="1">
                  <c:v>低价商品</c:v>
                </c:pt>
                <c:pt idx="2">
                  <c:v>高价商品</c:v>
                </c:pt>
                <c:pt idx="3">
                  <c:v>中价商品</c:v>
                </c:pt>
              </c:strCache>
            </c:strRef>
          </c:cat>
          <c:val>
            <c:numRef>
              <c:f>价格区间销量分析!$B$4:$B$8</c:f>
              <c:numCache>
                <c:formatCode>General</c:formatCode>
                <c:ptCount val="4"/>
                <c:pt idx="0">
                  <c:v>430</c:v>
                </c:pt>
                <c:pt idx="1">
                  <c:v>749</c:v>
                </c:pt>
                <c:pt idx="2">
                  <c:v>1432</c:v>
                </c:pt>
                <c:pt idx="3">
                  <c:v>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2-4F67-A6DD-2B55C6F8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831231"/>
        <c:axId val="1095832671"/>
      </c:barChart>
      <c:lineChart>
        <c:grouping val="standard"/>
        <c:varyColors val="0"/>
        <c:ser>
          <c:idx val="1"/>
          <c:order val="1"/>
          <c:tx>
            <c:strRef>
              <c:f>价格区间销量分析!$C$3</c:f>
              <c:strCache>
                <c:ptCount val="1"/>
                <c:pt idx="0">
                  <c:v>求和项:销售额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价格区间销量分析!$A$4:$A$8</c:f>
              <c:strCache>
                <c:ptCount val="4"/>
                <c:pt idx="0">
                  <c:v>超高价商品</c:v>
                </c:pt>
                <c:pt idx="1">
                  <c:v>低价商品</c:v>
                </c:pt>
                <c:pt idx="2">
                  <c:v>高价商品</c:v>
                </c:pt>
                <c:pt idx="3">
                  <c:v>中价商品</c:v>
                </c:pt>
              </c:strCache>
            </c:strRef>
          </c:cat>
          <c:val>
            <c:numRef>
              <c:f>价格区间销量分析!$C$4:$C$8</c:f>
              <c:numCache>
                <c:formatCode>General</c:formatCode>
                <c:ptCount val="4"/>
                <c:pt idx="0">
                  <c:v>12269364</c:v>
                </c:pt>
                <c:pt idx="1">
                  <c:v>951568</c:v>
                </c:pt>
                <c:pt idx="2">
                  <c:v>22248819</c:v>
                </c:pt>
                <c:pt idx="3">
                  <c:v>15424136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92-4F67-A6DD-2B55C6F88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423711"/>
        <c:axId val="295095775"/>
      </c:lineChart>
      <c:catAx>
        <c:axId val="10958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2671"/>
        <c:crosses val="autoZero"/>
        <c:auto val="1"/>
        <c:lblAlgn val="ctr"/>
        <c:lblOffset val="100"/>
        <c:noMultiLvlLbl val="0"/>
      </c:catAx>
      <c:valAx>
        <c:axId val="10958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1231"/>
        <c:crosses val="autoZero"/>
        <c:crossBetween val="between"/>
      </c:valAx>
      <c:valAx>
        <c:axId val="295095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423711"/>
        <c:crosses val="max"/>
        <c:crossBetween val="between"/>
      </c:valAx>
      <c:catAx>
        <c:axId val="1121423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0957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[lianxi.xlsx]商品类别行为分析!数据透视表4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不同商品类别用户行为分布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商品类别行为分析!$B$3:$B$4</c:f>
              <c:strCache>
                <c:ptCount val="1"/>
                <c:pt idx="0">
                  <c:v>addbuy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商品类别行为分析!$A$5:$A$12</c:f>
              <c:strCache>
                <c:ptCount val="7"/>
                <c:pt idx="0">
                  <c:v>笔记本电脑</c:v>
                </c:pt>
                <c:pt idx="1">
                  <c:v>电视</c:v>
                </c:pt>
                <c:pt idx="2">
                  <c:v>耳机</c:v>
                </c:pt>
                <c:pt idx="3">
                  <c:v>平板电脑</c:v>
                </c:pt>
                <c:pt idx="4">
                  <c:v>相机</c:v>
                </c:pt>
                <c:pt idx="5">
                  <c:v>智能手表</c:v>
                </c:pt>
                <c:pt idx="6">
                  <c:v>智能手机</c:v>
                </c:pt>
              </c:strCache>
            </c:strRef>
          </c:cat>
          <c:val>
            <c:numRef>
              <c:f>商品类别行为分析!$B$5:$B$12</c:f>
              <c:numCache>
                <c:formatCode>General</c:formatCode>
                <c:ptCount val="7"/>
                <c:pt idx="0">
                  <c:v>118</c:v>
                </c:pt>
                <c:pt idx="1">
                  <c:v>65</c:v>
                </c:pt>
                <c:pt idx="2">
                  <c:v>160</c:v>
                </c:pt>
                <c:pt idx="3">
                  <c:v>90</c:v>
                </c:pt>
                <c:pt idx="4">
                  <c:v>75</c:v>
                </c:pt>
                <c:pt idx="5">
                  <c:v>67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D-4A07-A63D-8A1050A09A2E}"/>
            </c:ext>
          </c:extLst>
        </c:ser>
        <c:ser>
          <c:idx val="1"/>
          <c:order val="1"/>
          <c:tx>
            <c:strRef>
              <c:f>商品类别行为分析!$C$3:$C$4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商品类别行为分析!$A$5:$A$12</c:f>
              <c:strCache>
                <c:ptCount val="7"/>
                <c:pt idx="0">
                  <c:v>笔记本电脑</c:v>
                </c:pt>
                <c:pt idx="1">
                  <c:v>电视</c:v>
                </c:pt>
                <c:pt idx="2">
                  <c:v>耳机</c:v>
                </c:pt>
                <c:pt idx="3">
                  <c:v>平板电脑</c:v>
                </c:pt>
                <c:pt idx="4">
                  <c:v>相机</c:v>
                </c:pt>
                <c:pt idx="5">
                  <c:v>智能手表</c:v>
                </c:pt>
                <c:pt idx="6">
                  <c:v>智能手机</c:v>
                </c:pt>
              </c:strCache>
            </c:strRef>
          </c:cat>
          <c:val>
            <c:numRef>
              <c:f>商品类别行为分析!$C$5:$C$12</c:f>
              <c:numCache>
                <c:formatCode>General</c:formatCode>
                <c:ptCount val="7"/>
                <c:pt idx="0">
                  <c:v>631</c:v>
                </c:pt>
                <c:pt idx="1">
                  <c:v>423</c:v>
                </c:pt>
                <c:pt idx="2">
                  <c:v>876</c:v>
                </c:pt>
                <c:pt idx="3">
                  <c:v>426</c:v>
                </c:pt>
                <c:pt idx="4">
                  <c:v>404</c:v>
                </c:pt>
                <c:pt idx="5">
                  <c:v>408</c:v>
                </c:pt>
                <c:pt idx="6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BD-4A07-A63D-8A1050A09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5838431"/>
        <c:axId val="1095831711"/>
      </c:barChart>
      <c:catAx>
        <c:axId val="10958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1711"/>
        <c:crosses val="autoZero"/>
        <c:auto val="1"/>
        <c:lblAlgn val="ctr"/>
        <c:lblOffset val="100"/>
        <c:noMultiLvlLbl val="0"/>
      </c:catAx>
      <c:valAx>
        <c:axId val="10958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[lianxi.xlsx]品牌销售额分析!数据透视表1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品牌销售额分析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品牌销售额分析!$B$3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品牌销售额分析!$A$4:$A$14</c:f>
              <c:strCache>
                <c:ptCount val="10"/>
                <c:pt idx="0">
                  <c:v>Samsung</c:v>
                </c:pt>
                <c:pt idx="1">
                  <c:v>HP</c:v>
                </c:pt>
                <c:pt idx="2">
                  <c:v>Microsoft</c:v>
                </c:pt>
                <c:pt idx="3">
                  <c:v>Dell</c:v>
                </c:pt>
                <c:pt idx="4">
                  <c:v>Apple</c:v>
                </c:pt>
                <c:pt idx="5">
                  <c:v>Huawei</c:v>
                </c:pt>
                <c:pt idx="6">
                  <c:v>LG</c:v>
                </c:pt>
                <c:pt idx="7">
                  <c:v>Sony</c:v>
                </c:pt>
                <c:pt idx="8">
                  <c:v>Lenovo</c:v>
                </c:pt>
                <c:pt idx="9">
                  <c:v>Xiaomi</c:v>
                </c:pt>
              </c:strCache>
            </c:strRef>
          </c:cat>
          <c:val>
            <c:numRef>
              <c:f>品牌销售额分析!$B$4:$B$14</c:f>
              <c:numCache>
                <c:formatCode>General</c:formatCode>
                <c:ptCount val="10"/>
                <c:pt idx="0">
                  <c:v>5658907</c:v>
                </c:pt>
                <c:pt idx="1">
                  <c:v>5296905</c:v>
                </c:pt>
                <c:pt idx="2">
                  <c:v>5281872</c:v>
                </c:pt>
                <c:pt idx="3">
                  <c:v>5215719</c:v>
                </c:pt>
                <c:pt idx="4">
                  <c:v>5161794</c:v>
                </c:pt>
                <c:pt idx="5">
                  <c:v>5082422</c:v>
                </c:pt>
                <c:pt idx="6">
                  <c:v>5051067</c:v>
                </c:pt>
                <c:pt idx="7">
                  <c:v>4960923</c:v>
                </c:pt>
                <c:pt idx="8">
                  <c:v>4844290</c:v>
                </c:pt>
                <c:pt idx="9">
                  <c:v>4339988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C-424C-8D06-DFD1941DF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219392"/>
        <c:axId val="831219872"/>
      </c:barChart>
      <c:catAx>
        <c:axId val="83121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19872"/>
        <c:crosses val="autoZero"/>
        <c:auto val="1"/>
        <c:lblAlgn val="ctr"/>
        <c:lblOffset val="100"/>
        <c:noMultiLvlLbl val="0"/>
      </c:catAx>
      <c:valAx>
        <c:axId val="8312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31219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[lianxi.xlsx]商品类别销售额分析!数据透视表2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商品类别销售额占比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商品类别销售额分析!$B$3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A3-447E-B3AA-1017127F30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A3-447E-B3AA-1017127F30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A3-447E-B3AA-1017127F30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A3-447E-B3AA-1017127F30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A3-447E-B3AA-1017127F30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A3-447E-B3AA-1017127F30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A3-447E-B3AA-1017127F30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商品类别销售额分析!$A$4:$A$11</c:f>
              <c:strCache>
                <c:ptCount val="7"/>
                <c:pt idx="0">
                  <c:v>笔记本电脑</c:v>
                </c:pt>
                <c:pt idx="1">
                  <c:v>智能手机</c:v>
                </c:pt>
                <c:pt idx="2">
                  <c:v>相机</c:v>
                </c:pt>
                <c:pt idx="3">
                  <c:v>电视</c:v>
                </c:pt>
                <c:pt idx="4">
                  <c:v>平板电脑</c:v>
                </c:pt>
                <c:pt idx="5">
                  <c:v>智能手表</c:v>
                </c:pt>
                <c:pt idx="6">
                  <c:v>耳机</c:v>
                </c:pt>
              </c:strCache>
            </c:strRef>
          </c:cat>
          <c:val>
            <c:numRef>
              <c:f>商品类别销售额分析!$B$4:$B$11</c:f>
              <c:numCache>
                <c:formatCode>General</c:formatCode>
                <c:ptCount val="7"/>
                <c:pt idx="0">
                  <c:v>16565439</c:v>
                </c:pt>
                <c:pt idx="1">
                  <c:v>12881007</c:v>
                </c:pt>
                <c:pt idx="2">
                  <c:v>7397845</c:v>
                </c:pt>
                <c:pt idx="3">
                  <c:v>5199263</c:v>
                </c:pt>
                <c:pt idx="4">
                  <c:v>4439887</c:v>
                </c:pt>
                <c:pt idx="5">
                  <c:v>2616971</c:v>
                </c:pt>
                <c:pt idx="6">
                  <c:v>1793475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A3-447E-B3AA-1017127F30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[lianxi.xlsx]用户行为类型分析!数据透视表3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用户行为类型占比</a:t>
            </a:r>
            <a:endParaRPr lang="en-US" alt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用户行为类型分析!$B$3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FA-48B9-B13A-ABC7F48D5A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FA-48B9-B13A-ABC7F48D5A4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用户行为类型分析!$A$4:$A$6</c:f>
              <c:strCache>
                <c:ptCount val="2"/>
                <c:pt idx="0">
                  <c:v>addbuy</c:v>
                </c:pt>
                <c:pt idx="1">
                  <c:v>buy</c:v>
                </c:pt>
              </c:strCache>
            </c:strRef>
          </c:cat>
          <c:val>
            <c:numRef>
              <c:f>用户行为类型分析!$B$4:$B$6</c:f>
              <c:numCache>
                <c:formatCode>General</c:formatCode>
                <c:ptCount val="2"/>
                <c:pt idx="0">
                  <c:v>791</c:v>
                </c:pt>
                <c:pt idx="1">
                  <c:v>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FA-48B9-B13A-ABC7F48D5A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[lianxi.xlsx]每日销售额分析!数据透视表9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每日销售额趋势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每日销售额分析!$B$3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每日销售额分析!$A$4:$A$7</c:f>
              <c:strCache>
                <c:ptCount val="3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</c:strCache>
            </c:strRef>
          </c:cat>
          <c:val>
            <c:numRef>
              <c:f>每日销售额分析!$B$4:$B$7</c:f>
              <c:numCache>
                <c:formatCode>General</c:formatCode>
                <c:ptCount val="3"/>
                <c:pt idx="0">
                  <c:v>13746329</c:v>
                </c:pt>
                <c:pt idx="1">
                  <c:v>20018956</c:v>
                </c:pt>
                <c:pt idx="2">
                  <c:v>17128602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DF-4227-8C02-07CC10A94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7187808"/>
        <c:axId val="997190688"/>
      </c:lineChart>
      <c:catAx>
        <c:axId val="99718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190688"/>
        <c:crosses val="autoZero"/>
        <c:auto val="1"/>
        <c:lblAlgn val="ctr"/>
        <c:lblOffset val="100"/>
        <c:noMultiLvlLbl val="0"/>
      </c:catAx>
      <c:valAx>
        <c:axId val="99719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718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[lianxi.xlsx]每小时行为分析!数据透视表1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每小时用户行为分析分布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每小时行为分析!$B$3:$B$4</c:f>
              <c:strCache>
                <c:ptCount val="1"/>
                <c:pt idx="0">
                  <c:v>addbuy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每小时行为分析!$A$5:$A$29</c:f>
              <c:strCache>
                <c:ptCount val="24"/>
                <c:pt idx="0">
                  <c:v>0.00 </c:v>
                </c:pt>
                <c:pt idx="1">
                  <c:v>1.00 </c:v>
                </c:pt>
                <c:pt idx="2">
                  <c:v>2.00 </c:v>
                </c:pt>
                <c:pt idx="3">
                  <c:v>3.00 </c:v>
                </c:pt>
                <c:pt idx="4">
                  <c:v>4.00 </c:v>
                </c:pt>
                <c:pt idx="5">
                  <c:v>5.00 </c:v>
                </c:pt>
                <c:pt idx="6">
                  <c:v>6.00 </c:v>
                </c:pt>
                <c:pt idx="7">
                  <c:v>7.00 </c:v>
                </c:pt>
                <c:pt idx="8">
                  <c:v>8.00 </c:v>
                </c:pt>
                <c:pt idx="9">
                  <c:v>9.00 </c:v>
                </c:pt>
                <c:pt idx="10">
                  <c:v>10.00 </c:v>
                </c:pt>
                <c:pt idx="11">
                  <c:v>11.00 </c:v>
                </c:pt>
                <c:pt idx="12">
                  <c:v>12.00 </c:v>
                </c:pt>
                <c:pt idx="13">
                  <c:v>13.00 </c:v>
                </c:pt>
                <c:pt idx="14">
                  <c:v>14.00 </c:v>
                </c:pt>
                <c:pt idx="15">
                  <c:v>15.00 </c:v>
                </c:pt>
                <c:pt idx="16">
                  <c:v>16.00 </c:v>
                </c:pt>
                <c:pt idx="17">
                  <c:v>17.00 </c:v>
                </c:pt>
                <c:pt idx="18">
                  <c:v>18.00 </c:v>
                </c:pt>
                <c:pt idx="19">
                  <c:v>19.00 </c:v>
                </c:pt>
                <c:pt idx="20">
                  <c:v>20.00 </c:v>
                </c:pt>
                <c:pt idx="21">
                  <c:v>21.00 </c:v>
                </c:pt>
                <c:pt idx="22">
                  <c:v>22.00 </c:v>
                </c:pt>
                <c:pt idx="23">
                  <c:v>23.00 </c:v>
                </c:pt>
              </c:strCache>
            </c:strRef>
          </c:cat>
          <c:val>
            <c:numRef>
              <c:f>每小时行为分析!$B$5:$B$29</c:f>
              <c:numCache>
                <c:formatCode>General</c:formatCode>
                <c:ptCount val="24"/>
                <c:pt idx="0">
                  <c:v>33</c:v>
                </c:pt>
                <c:pt idx="1">
                  <c:v>26</c:v>
                </c:pt>
                <c:pt idx="2">
                  <c:v>18</c:v>
                </c:pt>
                <c:pt idx="3">
                  <c:v>42</c:v>
                </c:pt>
                <c:pt idx="4">
                  <c:v>29</c:v>
                </c:pt>
                <c:pt idx="5">
                  <c:v>36</c:v>
                </c:pt>
                <c:pt idx="6">
                  <c:v>35</c:v>
                </c:pt>
                <c:pt idx="7">
                  <c:v>33</c:v>
                </c:pt>
                <c:pt idx="8">
                  <c:v>29</c:v>
                </c:pt>
                <c:pt idx="9">
                  <c:v>27</c:v>
                </c:pt>
                <c:pt idx="10">
                  <c:v>29</c:v>
                </c:pt>
                <c:pt idx="11">
                  <c:v>36</c:v>
                </c:pt>
                <c:pt idx="12">
                  <c:v>38</c:v>
                </c:pt>
                <c:pt idx="13">
                  <c:v>37</c:v>
                </c:pt>
                <c:pt idx="14">
                  <c:v>33</c:v>
                </c:pt>
                <c:pt idx="15">
                  <c:v>33</c:v>
                </c:pt>
                <c:pt idx="16">
                  <c:v>23</c:v>
                </c:pt>
                <c:pt idx="17">
                  <c:v>41</c:v>
                </c:pt>
                <c:pt idx="18">
                  <c:v>41</c:v>
                </c:pt>
                <c:pt idx="19">
                  <c:v>38</c:v>
                </c:pt>
                <c:pt idx="20">
                  <c:v>29</c:v>
                </c:pt>
                <c:pt idx="21">
                  <c:v>38</c:v>
                </c:pt>
                <c:pt idx="22">
                  <c:v>40</c:v>
                </c:pt>
                <c:pt idx="2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4-453D-86D0-FF9D3A602E1E}"/>
            </c:ext>
          </c:extLst>
        </c:ser>
        <c:ser>
          <c:idx val="1"/>
          <c:order val="1"/>
          <c:tx>
            <c:strRef>
              <c:f>每小时行为分析!$C$3:$C$4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每小时行为分析!$A$5:$A$29</c:f>
              <c:strCache>
                <c:ptCount val="24"/>
                <c:pt idx="0">
                  <c:v>0.00 </c:v>
                </c:pt>
                <c:pt idx="1">
                  <c:v>1.00 </c:v>
                </c:pt>
                <c:pt idx="2">
                  <c:v>2.00 </c:v>
                </c:pt>
                <c:pt idx="3">
                  <c:v>3.00 </c:v>
                </c:pt>
                <c:pt idx="4">
                  <c:v>4.00 </c:v>
                </c:pt>
                <c:pt idx="5">
                  <c:v>5.00 </c:v>
                </c:pt>
                <c:pt idx="6">
                  <c:v>6.00 </c:v>
                </c:pt>
                <c:pt idx="7">
                  <c:v>7.00 </c:v>
                </c:pt>
                <c:pt idx="8">
                  <c:v>8.00 </c:v>
                </c:pt>
                <c:pt idx="9">
                  <c:v>9.00 </c:v>
                </c:pt>
                <c:pt idx="10">
                  <c:v>10.00 </c:v>
                </c:pt>
                <c:pt idx="11">
                  <c:v>11.00 </c:v>
                </c:pt>
                <c:pt idx="12">
                  <c:v>12.00 </c:v>
                </c:pt>
                <c:pt idx="13">
                  <c:v>13.00 </c:v>
                </c:pt>
                <c:pt idx="14">
                  <c:v>14.00 </c:v>
                </c:pt>
                <c:pt idx="15">
                  <c:v>15.00 </c:v>
                </c:pt>
                <c:pt idx="16">
                  <c:v>16.00 </c:v>
                </c:pt>
                <c:pt idx="17">
                  <c:v>17.00 </c:v>
                </c:pt>
                <c:pt idx="18">
                  <c:v>18.00 </c:v>
                </c:pt>
                <c:pt idx="19">
                  <c:v>19.00 </c:v>
                </c:pt>
                <c:pt idx="20">
                  <c:v>20.00 </c:v>
                </c:pt>
                <c:pt idx="21">
                  <c:v>21.00 </c:v>
                </c:pt>
                <c:pt idx="22">
                  <c:v>22.00 </c:v>
                </c:pt>
                <c:pt idx="23">
                  <c:v>23.00 </c:v>
                </c:pt>
              </c:strCache>
            </c:strRef>
          </c:cat>
          <c:val>
            <c:numRef>
              <c:f>每小时行为分析!$C$5:$C$29</c:f>
              <c:numCache>
                <c:formatCode>General</c:formatCode>
                <c:ptCount val="24"/>
                <c:pt idx="0">
                  <c:v>217</c:v>
                </c:pt>
                <c:pt idx="1">
                  <c:v>199</c:v>
                </c:pt>
                <c:pt idx="2">
                  <c:v>184</c:v>
                </c:pt>
                <c:pt idx="3">
                  <c:v>150</c:v>
                </c:pt>
                <c:pt idx="4">
                  <c:v>163</c:v>
                </c:pt>
                <c:pt idx="5">
                  <c:v>189</c:v>
                </c:pt>
                <c:pt idx="6">
                  <c:v>178</c:v>
                </c:pt>
                <c:pt idx="7">
                  <c:v>171</c:v>
                </c:pt>
                <c:pt idx="8">
                  <c:v>190</c:v>
                </c:pt>
                <c:pt idx="9">
                  <c:v>182</c:v>
                </c:pt>
                <c:pt idx="10">
                  <c:v>175</c:v>
                </c:pt>
                <c:pt idx="11">
                  <c:v>177</c:v>
                </c:pt>
                <c:pt idx="12">
                  <c:v>172</c:v>
                </c:pt>
                <c:pt idx="13">
                  <c:v>160</c:v>
                </c:pt>
                <c:pt idx="14">
                  <c:v>180</c:v>
                </c:pt>
                <c:pt idx="15">
                  <c:v>171</c:v>
                </c:pt>
                <c:pt idx="16">
                  <c:v>184</c:v>
                </c:pt>
                <c:pt idx="17">
                  <c:v>189</c:v>
                </c:pt>
                <c:pt idx="18">
                  <c:v>155</c:v>
                </c:pt>
                <c:pt idx="19">
                  <c:v>178</c:v>
                </c:pt>
                <c:pt idx="20">
                  <c:v>171</c:v>
                </c:pt>
                <c:pt idx="21">
                  <c:v>156</c:v>
                </c:pt>
                <c:pt idx="22">
                  <c:v>169</c:v>
                </c:pt>
                <c:pt idx="23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F4-453D-86D0-FF9D3A602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842655"/>
        <c:axId val="943844095"/>
      </c:barChart>
      <c:catAx>
        <c:axId val="9438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844095"/>
        <c:crosses val="autoZero"/>
        <c:auto val="1"/>
        <c:lblAlgn val="ctr"/>
        <c:lblOffset val="100"/>
        <c:noMultiLvlLbl val="0"/>
      </c:catAx>
      <c:valAx>
        <c:axId val="94384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38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[lianxi.xlsx]商品销售额Top 10!数据透视表2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商品销售额</a:t>
            </a:r>
            <a:r>
              <a:rPr lang="en-US" altLang="zh-CN" b="1"/>
              <a:t>Top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'商品销售额Top 10'!$B$3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'商品销售额Top 10'!$A$4:$A$14</c:f>
              <c:strCache>
                <c:ptCount val="10"/>
                <c:pt idx="0">
                  <c:v>Microsoft ThinkPad X1</c:v>
                </c:pt>
                <c:pt idx="1">
                  <c:v>HP Gram 17</c:v>
                </c:pt>
                <c:pt idx="2">
                  <c:v>Huawei iPhone 15</c:v>
                </c:pt>
                <c:pt idx="3">
                  <c:v>Sony MacBook Pro</c:v>
                </c:pt>
                <c:pt idx="4">
                  <c:v>Apple XPS 15</c:v>
                </c:pt>
                <c:pt idx="5">
                  <c:v>Samsung XPS 15</c:v>
                </c:pt>
                <c:pt idx="6">
                  <c:v>Samsung Gram 17</c:v>
                </c:pt>
                <c:pt idx="7">
                  <c:v>Microsoft ROG Zephyrus</c:v>
                </c:pt>
                <c:pt idx="8">
                  <c:v>LG Surface Laptop</c:v>
                </c:pt>
                <c:pt idx="9">
                  <c:v>Apple ThinkPad X1</c:v>
                </c:pt>
              </c:strCache>
            </c:strRef>
          </c:cat>
          <c:val>
            <c:numRef>
              <c:f>'商品销售额Top 10'!$B$4:$B$14</c:f>
              <c:numCache>
                <c:formatCode>General</c:formatCode>
                <c:ptCount val="10"/>
                <c:pt idx="0">
                  <c:v>372175</c:v>
                </c:pt>
                <c:pt idx="1">
                  <c:v>385917</c:v>
                </c:pt>
                <c:pt idx="2">
                  <c:v>397597</c:v>
                </c:pt>
                <c:pt idx="3">
                  <c:v>406929</c:v>
                </c:pt>
                <c:pt idx="4">
                  <c:v>411003</c:v>
                </c:pt>
                <c:pt idx="5">
                  <c:v>423298</c:v>
                </c:pt>
                <c:pt idx="6">
                  <c:v>440626</c:v>
                </c:pt>
                <c:pt idx="7">
                  <c:v>445753</c:v>
                </c:pt>
                <c:pt idx="8">
                  <c:v>461139</c:v>
                </c:pt>
                <c:pt idx="9">
                  <c:v>463920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4-41AA-92AF-439C3E8B15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4300895"/>
        <c:axId val="944290815"/>
      </c:barChart>
      <c:catAx>
        <c:axId val="944300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4290815"/>
        <c:crosses val="autoZero"/>
        <c:auto val="1"/>
        <c:lblAlgn val="ctr"/>
        <c:lblOffset val="100"/>
        <c:noMultiLvlLbl val="0"/>
      </c:catAx>
      <c:valAx>
        <c:axId val="94429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430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[lianxi.xlsx]价格区间销量分析!数据透视表3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不同价格区间销量与销售额分析</a:t>
            </a:r>
            <a:endParaRPr lang="en-US" alt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价格区间销量分析!$B$3</c:f>
              <c:strCache>
                <c:ptCount val="1"/>
                <c:pt idx="0">
                  <c:v>计数项:销量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价格区间销量分析!$A$4:$A$8</c:f>
              <c:strCache>
                <c:ptCount val="4"/>
                <c:pt idx="0">
                  <c:v>超高价商品</c:v>
                </c:pt>
                <c:pt idx="1">
                  <c:v>低价商品</c:v>
                </c:pt>
                <c:pt idx="2">
                  <c:v>高价商品</c:v>
                </c:pt>
                <c:pt idx="3">
                  <c:v>中价商品</c:v>
                </c:pt>
              </c:strCache>
            </c:strRef>
          </c:cat>
          <c:val>
            <c:numRef>
              <c:f>价格区间销量分析!$B$4:$B$8</c:f>
              <c:numCache>
                <c:formatCode>General</c:formatCode>
                <c:ptCount val="4"/>
                <c:pt idx="0">
                  <c:v>430</c:v>
                </c:pt>
                <c:pt idx="1">
                  <c:v>749</c:v>
                </c:pt>
                <c:pt idx="2">
                  <c:v>1432</c:v>
                </c:pt>
                <c:pt idx="3">
                  <c:v>2389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9-4C55-ADC8-45E84115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5831231"/>
        <c:axId val="1095832671"/>
      </c:barChart>
      <c:lineChart>
        <c:grouping val="standard"/>
        <c:varyColors val="0"/>
        <c:ser>
          <c:idx val="1"/>
          <c:order val="1"/>
          <c:tx>
            <c:strRef>
              <c:f>价格区间销量分析!$C$3</c:f>
              <c:strCache>
                <c:ptCount val="1"/>
                <c:pt idx="0">
                  <c:v>求和项:销售额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价格区间销量分析!$A$4:$A$8</c:f>
              <c:strCache>
                <c:ptCount val="4"/>
                <c:pt idx="0">
                  <c:v>超高价商品</c:v>
                </c:pt>
                <c:pt idx="1">
                  <c:v>低价商品</c:v>
                </c:pt>
                <c:pt idx="2">
                  <c:v>高价商品</c:v>
                </c:pt>
                <c:pt idx="3">
                  <c:v>中价商品</c:v>
                </c:pt>
              </c:strCache>
            </c:strRef>
          </c:cat>
          <c:val>
            <c:numRef>
              <c:f>价格区间销量分析!$C$4:$C$8</c:f>
              <c:numCache>
                <c:formatCode>General</c:formatCode>
                <c:ptCount val="4"/>
                <c:pt idx="0">
                  <c:v>12269364</c:v>
                </c:pt>
                <c:pt idx="1">
                  <c:v>951568</c:v>
                </c:pt>
                <c:pt idx="2">
                  <c:v>22248819</c:v>
                </c:pt>
                <c:pt idx="3">
                  <c:v>15424136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C9-4C55-ADC8-45E84115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423711"/>
        <c:axId val="295095775"/>
      </c:lineChart>
      <c:catAx>
        <c:axId val="10958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2671"/>
        <c:crosses val="autoZero"/>
        <c:auto val="1"/>
        <c:lblAlgn val="ctr"/>
        <c:lblOffset val="100"/>
        <c:noMultiLvlLbl val="0"/>
      </c:catAx>
      <c:valAx>
        <c:axId val="109583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1231"/>
        <c:crosses val="autoZero"/>
        <c:crossBetween val="between"/>
      </c:valAx>
      <c:valAx>
        <c:axId val="29509577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1423711"/>
        <c:crosses val="max"/>
        <c:crossBetween val="between"/>
      </c:valAx>
      <c:catAx>
        <c:axId val="11214237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5095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[lianxi.xlsx]商品类别行为分析!数据透视表4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不同商品类别用户行为分布</a:t>
            </a:r>
            <a:endParaRPr lang="en-US" altLang="zh-C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商品类别行为分析!$B$3:$B$4</c:f>
              <c:strCache>
                <c:ptCount val="1"/>
                <c:pt idx="0">
                  <c:v>addbuy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商品类别行为分析!$A$5:$A$12</c:f>
              <c:strCache>
                <c:ptCount val="7"/>
                <c:pt idx="0">
                  <c:v>笔记本电脑</c:v>
                </c:pt>
                <c:pt idx="1">
                  <c:v>电视</c:v>
                </c:pt>
                <c:pt idx="2">
                  <c:v>耳机</c:v>
                </c:pt>
                <c:pt idx="3">
                  <c:v>平板电脑</c:v>
                </c:pt>
                <c:pt idx="4">
                  <c:v>相机</c:v>
                </c:pt>
                <c:pt idx="5">
                  <c:v>智能手表</c:v>
                </c:pt>
                <c:pt idx="6">
                  <c:v>智能手机</c:v>
                </c:pt>
              </c:strCache>
            </c:strRef>
          </c:cat>
          <c:val>
            <c:numRef>
              <c:f>商品类别行为分析!$B$5:$B$12</c:f>
              <c:numCache>
                <c:formatCode>General</c:formatCode>
                <c:ptCount val="7"/>
                <c:pt idx="0">
                  <c:v>118</c:v>
                </c:pt>
                <c:pt idx="1">
                  <c:v>65</c:v>
                </c:pt>
                <c:pt idx="2">
                  <c:v>160</c:v>
                </c:pt>
                <c:pt idx="3">
                  <c:v>90</c:v>
                </c:pt>
                <c:pt idx="4">
                  <c:v>75</c:v>
                </c:pt>
                <c:pt idx="5">
                  <c:v>67</c:v>
                </c:pt>
                <c:pt idx="6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6-4345-ABD7-A8089BB537A4}"/>
            </c:ext>
          </c:extLst>
        </c:ser>
        <c:ser>
          <c:idx val="1"/>
          <c:order val="1"/>
          <c:tx>
            <c:strRef>
              <c:f>商品类别行为分析!$C$3:$C$4</c:f>
              <c:strCache>
                <c:ptCount val="1"/>
                <c:pt idx="0">
                  <c:v>buy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商品类别行为分析!$A$5:$A$12</c:f>
              <c:strCache>
                <c:ptCount val="7"/>
                <c:pt idx="0">
                  <c:v>笔记本电脑</c:v>
                </c:pt>
                <c:pt idx="1">
                  <c:v>电视</c:v>
                </c:pt>
                <c:pt idx="2">
                  <c:v>耳机</c:v>
                </c:pt>
                <c:pt idx="3">
                  <c:v>平板电脑</c:v>
                </c:pt>
                <c:pt idx="4">
                  <c:v>相机</c:v>
                </c:pt>
                <c:pt idx="5">
                  <c:v>智能手表</c:v>
                </c:pt>
                <c:pt idx="6">
                  <c:v>智能手机</c:v>
                </c:pt>
              </c:strCache>
            </c:strRef>
          </c:cat>
          <c:val>
            <c:numRef>
              <c:f>商品类别行为分析!$C$5:$C$12</c:f>
              <c:numCache>
                <c:formatCode>General</c:formatCode>
                <c:ptCount val="7"/>
                <c:pt idx="0">
                  <c:v>631</c:v>
                </c:pt>
                <c:pt idx="1">
                  <c:v>423</c:v>
                </c:pt>
                <c:pt idx="2">
                  <c:v>876</c:v>
                </c:pt>
                <c:pt idx="3">
                  <c:v>426</c:v>
                </c:pt>
                <c:pt idx="4">
                  <c:v>404</c:v>
                </c:pt>
                <c:pt idx="5">
                  <c:v>408</c:v>
                </c:pt>
                <c:pt idx="6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06-4345-ABD7-A8089BB53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5838431"/>
        <c:axId val="1095831711"/>
      </c:barChart>
      <c:catAx>
        <c:axId val="10958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1711"/>
        <c:crosses val="autoZero"/>
        <c:auto val="1"/>
        <c:lblAlgn val="ctr"/>
        <c:lblOffset val="100"/>
        <c:noMultiLvlLbl val="0"/>
      </c:catAx>
      <c:valAx>
        <c:axId val="10958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583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166687</xdr:rowOff>
    </xdr:from>
    <xdr:to>
      <xdr:col>6</xdr:col>
      <xdr:colOff>95250</xdr:colOff>
      <xdr:row>30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9AFABB0-7A7C-24CE-BA05-41B695F15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8</xdr:row>
      <xdr:rowOff>61912</xdr:rowOff>
    </xdr:from>
    <xdr:to>
      <xdr:col>9</xdr:col>
      <xdr:colOff>342900</xdr:colOff>
      <xdr:row>23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BAB0B9-C82D-0A9D-B337-3B20E5D0F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8</xdr:row>
      <xdr:rowOff>61912</xdr:rowOff>
    </xdr:from>
    <xdr:to>
      <xdr:col>11</xdr:col>
      <xdr:colOff>471487</xdr:colOff>
      <xdr:row>23</xdr:row>
      <xdr:rowOff>90487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78EED48-E25A-78D5-8977-D4F708E34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585786</xdr:colOff>
      <xdr:row>4</xdr:row>
      <xdr:rowOff>176212</xdr:rowOff>
    </xdr:from>
    <xdr:to>
      <xdr:col>11</xdr:col>
      <xdr:colOff>438149</xdr:colOff>
      <xdr:row>20</xdr:row>
      <xdr:rowOff>23812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5E4F8A3-D44F-12DC-B647-6227D0A88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652462</xdr:colOff>
      <xdr:row>7</xdr:row>
      <xdr:rowOff>166687</xdr:rowOff>
    </xdr:from>
    <xdr:to>
      <xdr:col>14</xdr:col>
      <xdr:colOff>423862</xdr:colOff>
      <xdr:row>23</xdr:row>
      <xdr:rowOff>14287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B8AD8B-FE7D-3630-528B-998E734A7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223837</xdr:colOff>
      <xdr:row>4</xdr:row>
      <xdr:rowOff>80962</xdr:rowOff>
    </xdr:from>
    <xdr:to>
      <xdr:col>8</xdr:col>
      <xdr:colOff>681037</xdr:colOff>
      <xdr:row>19</xdr:row>
      <xdr:rowOff>109537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0EFF579-6960-7235-6A14-F772666417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7</xdr:row>
      <xdr:rowOff>42862</xdr:rowOff>
    </xdr:from>
    <xdr:to>
      <xdr:col>10</xdr:col>
      <xdr:colOff>657225</xdr:colOff>
      <xdr:row>22</xdr:row>
      <xdr:rowOff>71437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5C8167-23CD-F242-CCB1-EBC0C73A6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8</xdr:row>
      <xdr:rowOff>14287</xdr:rowOff>
    </xdr:from>
    <xdr:to>
      <xdr:col>7</xdr:col>
      <xdr:colOff>962025</xdr:colOff>
      <xdr:row>23</xdr:row>
      <xdr:rowOff>42862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16099C9-6DE6-9C45-5AB6-281F40C7F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685799</xdr:colOff>
      <xdr:row>8</xdr:row>
      <xdr:rowOff>180974</xdr:rowOff>
    </xdr:from>
    <xdr:to>
      <xdr:col>11</xdr:col>
      <xdr:colOff>676274</xdr:colOff>
      <xdr:row>22</xdr:row>
      <xdr:rowOff>9525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307EECE-8BAC-443E-B160-961B5D704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9</xdr:row>
      <xdr:rowOff>9525</xdr:rowOff>
    </xdr:from>
    <xdr:to>
      <xdr:col>19</xdr:col>
      <xdr:colOff>676275</xdr:colOff>
      <xdr:row>22</xdr:row>
      <xdr:rowOff>9525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5F28E2F-EDE1-4DDE-B603-AB34B144D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11</xdr:col>
      <xdr:colOff>676275</xdr:colOff>
      <xdr:row>36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3B82426-86FB-49D0-9B78-2DF99C41F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23</xdr:row>
      <xdr:rowOff>0</xdr:rowOff>
    </xdr:from>
    <xdr:to>
      <xdr:col>20</xdr:col>
      <xdr:colOff>9525</xdr:colOff>
      <xdr:row>36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6E216EE4-2AC2-4301-9FC5-0B433637FD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37</xdr:row>
      <xdr:rowOff>0</xdr:rowOff>
    </xdr:from>
    <xdr:to>
      <xdr:col>11</xdr:col>
      <xdr:colOff>676275</xdr:colOff>
      <xdr:row>50</xdr:row>
      <xdr:rowOff>9525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F2F732F-4659-4D52-A287-12920B2EA0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9525</xdr:colOff>
      <xdr:row>37</xdr:row>
      <xdr:rowOff>0</xdr:rowOff>
    </xdr:from>
    <xdr:to>
      <xdr:col>19</xdr:col>
      <xdr:colOff>676275</xdr:colOff>
      <xdr:row>50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9147A8A3-13D0-4389-84C7-613A2C23D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9525</xdr:colOff>
      <xdr:row>51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665C2E0-9D8E-4962-AADD-0A028E56E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9525</xdr:colOff>
      <xdr:row>50</xdr:row>
      <xdr:rowOff>171450</xdr:rowOff>
    </xdr:from>
    <xdr:to>
      <xdr:col>19</xdr:col>
      <xdr:colOff>676275</xdr:colOff>
      <xdr:row>63</xdr:row>
      <xdr:rowOff>171450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24BAF5AA-95EA-4858-B1FB-544B682E0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676275</xdr:colOff>
      <xdr:row>4</xdr:row>
      <xdr:rowOff>0</xdr:rowOff>
    </xdr:from>
    <xdr:to>
      <xdr:col>8</xdr:col>
      <xdr:colOff>9525</xdr:colOff>
      <xdr:row>8</xdr:row>
      <xdr:rowOff>9525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F4CA3AF4-B539-430C-120B-F83DFABC01F7}"/>
            </a:ext>
          </a:extLst>
        </xdr:cNvPr>
        <xdr:cNvSpPr/>
      </xdr:nvSpPr>
      <xdr:spPr>
        <a:xfrm>
          <a:off x="3638550" y="723900"/>
          <a:ext cx="2076450" cy="733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>
              <a:solidFill>
                <a:schemeClr val="accent1">
                  <a:lumMod val="40000"/>
                  <a:lumOff val="60000"/>
                </a:schemeClr>
              </a:solidFill>
            </a:ln>
          </a:endParaRPr>
        </a:p>
      </xdr:txBody>
    </xdr:sp>
    <xdr:clientData/>
  </xdr:twoCellAnchor>
  <xdr:twoCellAnchor>
    <xdr:from>
      <xdr:col>5</xdr:col>
      <xdr:colOff>57150</xdr:colOff>
      <xdr:row>5</xdr:row>
      <xdr:rowOff>76200</xdr:rowOff>
    </xdr:from>
    <xdr:to>
      <xdr:col>5</xdr:col>
      <xdr:colOff>457200</xdr:colOff>
      <xdr:row>7</xdr:row>
      <xdr:rowOff>85725</xdr:rowOff>
    </xdr:to>
    <xdr:sp macro="" textlink="">
      <xdr:nvSpPr>
        <xdr:cNvPr id="20" name="椭圆 19">
          <a:extLst>
            <a:ext uri="{FF2B5EF4-FFF2-40B4-BE49-F238E27FC236}">
              <a16:creationId xmlns:a16="http://schemas.microsoft.com/office/drawing/2014/main" id="{EC71194E-D4C1-4871-B9F0-757CE540294B}"/>
            </a:ext>
          </a:extLst>
        </xdr:cNvPr>
        <xdr:cNvSpPr/>
      </xdr:nvSpPr>
      <xdr:spPr>
        <a:xfrm>
          <a:off x="3705225" y="981075"/>
          <a:ext cx="400050" cy="371475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ctr"/>
        <a:lstStyle/>
        <a:p>
          <a:pPr algn="ctr"/>
          <a:r>
            <a:rPr lang="zh-CN" altLang="en-US" sz="2000" b="1"/>
            <a:t>￥</a:t>
          </a:r>
        </a:p>
      </xdr:txBody>
    </xdr:sp>
    <xdr:clientData/>
  </xdr:twoCellAnchor>
  <xdr:twoCellAnchor>
    <xdr:from>
      <xdr:col>5</xdr:col>
      <xdr:colOff>504825</xdr:colOff>
      <xdr:row>5</xdr:row>
      <xdr:rowOff>85725</xdr:rowOff>
    </xdr:from>
    <xdr:to>
      <xdr:col>7</xdr:col>
      <xdr:colOff>438150</xdr:colOff>
      <xdr:row>7</xdr:row>
      <xdr:rowOff>114299</xdr:rowOff>
    </xdr:to>
    <xdr:sp macro="" textlink="$T$122">
      <xdr:nvSpPr>
        <xdr:cNvPr id="21" name="文本框 20">
          <a:extLst>
            <a:ext uri="{FF2B5EF4-FFF2-40B4-BE49-F238E27FC236}">
              <a16:creationId xmlns:a16="http://schemas.microsoft.com/office/drawing/2014/main" id="{81B6C7AD-64DF-4F04-97B0-D8D66D208854}"/>
            </a:ext>
          </a:extLst>
        </xdr:cNvPr>
        <xdr:cNvSpPr txBox="1"/>
      </xdr:nvSpPr>
      <xdr:spPr>
        <a:xfrm>
          <a:off x="4152900" y="990600"/>
          <a:ext cx="1304925" cy="3905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E6C63D0-0361-47E7-8958-0EF200319F1D}" type="TxLink">
            <a:rPr lang="en-US" altLang="en-US" sz="1600" b="1" i="0" u="none" strike="noStrike">
              <a:solidFill>
                <a:srgbClr val="000000"/>
              </a:solidFill>
              <a:latin typeface="等线"/>
              <a:ea typeface="等线"/>
            </a:rPr>
            <a:t>¥50,893,887</a:t>
          </a:fld>
          <a:endParaRPr lang="en-US" altLang="en-US" sz="1600" b="1" i="0" u="none" strike="noStrike">
            <a:solidFill>
              <a:srgbClr val="000000"/>
            </a:solidFill>
            <a:latin typeface="等线"/>
            <a:ea typeface="等线"/>
          </a:endParaRPr>
        </a:p>
      </xdr:txBody>
    </xdr:sp>
    <xdr:clientData/>
  </xdr:twoCellAnchor>
  <xdr:twoCellAnchor>
    <xdr:from>
      <xdr:col>5</xdr:col>
      <xdr:colOff>571500</xdr:colOff>
      <xdr:row>4</xdr:row>
      <xdr:rowOff>19049</xdr:rowOff>
    </xdr:from>
    <xdr:to>
      <xdr:col>7</xdr:col>
      <xdr:colOff>447675</xdr:colOff>
      <xdr:row>5</xdr:row>
      <xdr:rowOff>152399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23A9C48A-9568-7826-F2F1-C2A51676D727}"/>
            </a:ext>
          </a:extLst>
        </xdr:cNvPr>
        <xdr:cNvSpPr txBox="1"/>
      </xdr:nvSpPr>
      <xdr:spPr>
        <a:xfrm>
          <a:off x="4219575" y="742949"/>
          <a:ext cx="1247775" cy="314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/>
            <a:t>总销售额</a:t>
          </a:r>
        </a:p>
      </xdr:txBody>
    </xdr:sp>
    <xdr:clientData/>
  </xdr:twoCellAnchor>
  <xdr:twoCellAnchor>
    <xdr:from>
      <xdr:col>8</xdr:col>
      <xdr:colOff>679450</xdr:colOff>
      <xdr:row>4</xdr:row>
      <xdr:rowOff>0</xdr:rowOff>
    </xdr:from>
    <xdr:to>
      <xdr:col>12</xdr:col>
      <xdr:colOff>12700</xdr:colOff>
      <xdr:row>8</xdr:row>
      <xdr:rowOff>9525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86E6B41A-221B-413A-87F2-A26BB301D1D6}"/>
            </a:ext>
          </a:extLst>
        </xdr:cNvPr>
        <xdr:cNvSpPr/>
      </xdr:nvSpPr>
      <xdr:spPr>
        <a:xfrm>
          <a:off x="6384925" y="723900"/>
          <a:ext cx="2076450" cy="733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>
              <a:solidFill>
                <a:schemeClr val="accent1">
                  <a:lumMod val="40000"/>
                  <a:lumOff val="60000"/>
                </a:schemeClr>
              </a:solidFill>
            </a:ln>
          </a:endParaRPr>
        </a:p>
      </xdr:txBody>
    </xdr:sp>
    <xdr:clientData/>
  </xdr:twoCellAnchor>
  <xdr:twoCellAnchor>
    <xdr:from>
      <xdr:col>9</xdr:col>
      <xdr:colOff>104775</xdr:colOff>
      <xdr:row>5</xdr:row>
      <xdr:rowOff>38100</xdr:rowOff>
    </xdr:from>
    <xdr:to>
      <xdr:col>9</xdr:col>
      <xdr:colOff>504825</xdr:colOff>
      <xdr:row>7</xdr:row>
      <xdr:rowOff>47625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211F6D5D-9739-49A3-AD68-ECCA5F469A97}"/>
            </a:ext>
          </a:extLst>
        </xdr:cNvPr>
        <xdr:cNvSpPr/>
      </xdr:nvSpPr>
      <xdr:spPr>
        <a:xfrm>
          <a:off x="6496050" y="942975"/>
          <a:ext cx="400050" cy="371475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ctr"/>
        <a:lstStyle/>
        <a:p>
          <a:pPr algn="ctr"/>
          <a:r>
            <a:rPr lang="zh-CN" altLang="zh-CN" sz="2000" b="1"/>
            <a:t>量</a:t>
          </a:r>
          <a:endParaRPr lang="zh-CN" altLang="en-US" sz="2000" b="1"/>
        </a:p>
      </xdr:txBody>
    </xdr:sp>
    <xdr:clientData/>
  </xdr:twoCellAnchor>
  <xdr:twoCellAnchor>
    <xdr:from>
      <xdr:col>9</xdr:col>
      <xdr:colOff>590550</xdr:colOff>
      <xdr:row>5</xdr:row>
      <xdr:rowOff>57150</xdr:rowOff>
    </xdr:from>
    <xdr:to>
      <xdr:col>11</xdr:col>
      <xdr:colOff>523875</xdr:colOff>
      <xdr:row>7</xdr:row>
      <xdr:rowOff>85724</xdr:rowOff>
    </xdr:to>
    <xdr:sp macro="" textlink="$U$122">
      <xdr:nvSpPr>
        <xdr:cNvPr id="25" name="文本框 24">
          <a:extLst>
            <a:ext uri="{FF2B5EF4-FFF2-40B4-BE49-F238E27FC236}">
              <a16:creationId xmlns:a16="http://schemas.microsoft.com/office/drawing/2014/main" id="{FB47A36B-720D-43DC-84E9-B1B2701B93E8}"/>
            </a:ext>
          </a:extLst>
        </xdr:cNvPr>
        <xdr:cNvSpPr txBox="1"/>
      </xdr:nvSpPr>
      <xdr:spPr>
        <a:xfrm>
          <a:off x="6981825" y="962025"/>
          <a:ext cx="1304925" cy="3905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1674DBB-F464-4194-858B-CA76081BCF29}" type="TxLink">
            <a:rPr lang="en-US" altLang="en-US" sz="1600" b="1" i="0" u="none" strike="noStrike">
              <a:solidFill>
                <a:schemeClr val="accent6">
                  <a:lumMod val="75000"/>
                </a:schemeClr>
              </a:solidFill>
              <a:latin typeface="等线"/>
              <a:ea typeface="等线"/>
            </a:rPr>
            <a:t>11,585</a:t>
          </a:fld>
          <a:endParaRPr lang="en-US" altLang="en-US" sz="1600" b="1" i="0" u="none" strike="noStrike">
            <a:solidFill>
              <a:schemeClr val="accent6">
                <a:lumMod val="75000"/>
              </a:schemeClr>
            </a:solidFill>
            <a:latin typeface="等线"/>
            <a:ea typeface="等线"/>
          </a:endParaRPr>
        </a:p>
      </xdr:txBody>
    </xdr:sp>
    <xdr:clientData/>
  </xdr:twoCellAnchor>
  <xdr:twoCellAnchor>
    <xdr:from>
      <xdr:col>9</xdr:col>
      <xdr:colOff>581025</xdr:colOff>
      <xdr:row>4</xdr:row>
      <xdr:rowOff>9524</xdr:rowOff>
    </xdr:from>
    <xdr:to>
      <xdr:col>11</xdr:col>
      <xdr:colOff>457200</xdr:colOff>
      <xdr:row>5</xdr:row>
      <xdr:rowOff>142874</xdr:rowOff>
    </xdr:to>
    <xdr:sp macro="" textlink="">
      <xdr:nvSpPr>
        <xdr:cNvPr id="26" name="文本框 25">
          <a:extLst>
            <a:ext uri="{FF2B5EF4-FFF2-40B4-BE49-F238E27FC236}">
              <a16:creationId xmlns:a16="http://schemas.microsoft.com/office/drawing/2014/main" id="{F06C86AF-7A95-4B10-BF3B-F7BDF348A256}"/>
            </a:ext>
          </a:extLst>
        </xdr:cNvPr>
        <xdr:cNvSpPr txBox="1"/>
      </xdr:nvSpPr>
      <xdr:spPr>
        <a:xfrm>
          <a:off x="6972300" y="733424"/>
          <a:ext cx="1247775" cy="3143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en-US" sz="1600" b="1"/>
            <a:t>总销量</a:t>
          </a:r>
        </a:p>
      </xdr:txBody>
    </xdr:sp>
    <xdr:clientData/>
  </xdr:twoCellAnchor>
  <xdr:twoCellAnchor>
    <xdr:from>
      <xdr:col>12</xdr:col>
      <xdr:colOff>682625</xdr:colOff>
      <xdr:row>4</xdr:row>
      <xdr:rowOff>0</xdr:rowOff>
    </xdr:from>
    <xdr:to>
      <xdr:col>16</xdr:col>
      <xdr:colOff>15875</xdr:colOff>
      <xdr:row>8</xdr:row>
      <xdr:rowOff>9525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448F797B-812D-4698-A6A0-50661B2475EE}"/>
            </a:ext>
          </a:extLst>
        </xdr:cNvPr>
        <xdr:cNvSpPr/>
      </xdr:nvSpPr>
      <xdr:spPr>
        <a:xfrm>
          <a:off x="9131300" y="723900"/>
          <a:ext cx="2076450" cy="7334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ln>
              <a:solidFill>
                <a:schemeClr val="accent1">
                  <a:lumMod val="40000"/>
                  <a:lumOff val="60000"/>
                </a:schemeClr>
              </a:solidFill>
            </a:ln>
          </a:endParaRPr>
        </a:p>
      </xdr:txBody>
    </xdr:sp>
    <xdr:clientData/>
  </xdr:twoCellAnchor>
  <xdr:twoCellAnchor>
    <xdr:from>
      <xdr:col>13</xdr:col>
      <xdr:colOff>123825</xdr:colOff>
      <xdr:row>5</xdr:row>
      <xdr:rowOff>19050</xdr:rowOff>
    </xdr:from>
    <xdr:to>
      <xdr:col>13</xdr:col>
      <xdr:colOff>523875</xdr:colOff>
      <xdr:row>7</xdr:row>
      <xdr:rowOff>28575</xdr:rowOff>
    </xdr:to>
    <xdr:sp macro="" textlink="">
      <xdr:nvSpPr>
        <xdr:cNvPr id="28" name="椭圆 27">
          <a:extLst>
            <a:ext uri="{FF2B5EF4-FFF2-40B4-BE49-F238E27FC236}">
              <a16:creationId xmlns:a16="http://schemas.microsoft.com/office/drawing/2014/main" id="{9632E3F1-0D74-4500-8B10-353D593D06C6}"/>
            </a:ext>
          </a:extLst>
        </xdr:cNvPr>
        <xdr:cNvSpPr/>
      </xdr:nvSpPr>
      <xdr:spPr>
        <a:xfrm>
          <a:off x="9258300" y="923925"/>
          <a:ext cx="400050" cy="371475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36000" rIns="0" bIns="0" rtlCol="0" anchor="ctr"/>
        <a:lstStyle/>
        <a:p>
          <a:pPr algn="ctr"/>
          <a:r>
            <a:rPr lang="zh-CN" altLang="zh-CN" sz="2000" b="1"/>
            <a:t>购</a:t>
          </a:r>
          <a:endParaRPr lang="zh-CN" altLang="en-US" sz="2000" b="1"/>
        </a:p>
      </xdr:txBody>
    </xdr:sp>
    <xdr:clientData/>
  </xdr:twoCellAnchor>
  <xdr:twoCellAnchor>
    <xdr:from>
      <xdr:col>14</xdr:col>
      <xdr:colOff>95250</xdr:colOff>
      <xdr:row>5</xdr:row>
      <xdr:rowOff>66675</xdr:rowOff>
    </xdr:from>
    <xdr:to>
      <xdr:col>16</xdr:col>
      <xdr:colOff>28575</xdr:colOff>
      <xdr:row>7</xdr:row>
      <xdr:rowOff>95249</xdr:rowOff>
    </xdr:to>
    <xdr:sp macro="" textlink="$V$122">
      <xdr:nvSpPr>
        <xdr:cNvPr id="29" name="文本框 28">
          <a:extLst>
            <a:ext uri="{FF2B5EF4-FFF2-40B4-BE49-F238E27FC236}">
              <a16:creationId xmlns:a16="http://schemas.microsoft.com/office/drawing/2014/main" id="{56B1D167-F0EC-40AF-BD4D-E27C96917970}"/>
            </a:ext>
          </a:extLst>
        </xdr:cNvPr>
        <xdr:cNvSpPr txBox="1"/>
      </xdr:nvSpPr>
      <xdr:spPr>
        <a:xfrm>
          <a:off x="9915525" y="971550"/>
          <a:ext cx="1304925" cy="3905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4A0D8B3-EA6D-4D89-9F86-F7FCC9E13946}" type="TxLink">
            <a:rPr lang="en-US" altLang="en-US" sz="1600" b="1" i="0" u="none" strike="noStrike">
              <a:solidFill>
                <a:schemeClr val="accent2">
                  <a:lumMod val="75000"/>
                </a:schemeClr>
              </a:solidFill>
              <a:latin typeface="等线"/>
              <a:ea typeface="等线"/>
            </a:rPr>
            <a:t>4209</a:t>
          </a:fld>
          <a:endParaRPr lang="en-US" altLang="en-US" sz="1600" b="1" i="0" u="none" strike="noStrike">
            <a:solidFill>
              <a:schemeClr val="accent2">
                <a:lumMod val="75000"/>
              </a:schemeClr>
            </a:solidFill>
            <a:latin typeface="等线"/>
            <a:ea typeface="等线"/>
          </a:endParaRPr>
        </a:p>
      </xdr:txBody>
    </xdr:sp>
    <xdr:clientData/>
  </xdr:twoCellAnchor>
  <xdr:twoCellAnchor>
    <xdr:from>
      <xdr:col>13</xdr:col>
      <xdr:colOff>581025</xdr:colOff>
      <xdr:row>4</xdr:row>
      <xdr:rowOff>0</xdr:rowOff>
    </xdr:from>
    <xdr:to>
      <xdr:col>15</xdr:col>
      <xdr:colOff>457200</xdr:colOff>
      <xdr:row>5</xdr:row>
      <xdr:rowOff>133350</xdr:rowOff>
    </xdr:to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C0BE2A24-670D-42EA-8BCF-D030C0A95B92}"/>
            </a:ext>
          </a:extLst>
        </xdr:cNvPr>
        <xdr:cNvSpPr txBox="1"/>
      </xdr:nvSpPr>
      <xdr:spPr>
        <a:xfrm>
          <a:off x="9715500" y="723900"/>
          <a:ext cx="1247775" cy="3143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altLang="zh-CN" sz="1600" b="1"/>
            <a:t>buy</a:t>
          </a:r>
          <a:r>
            <a:rPr lang="zh-CN" altLang="en-US" sz="1600" b="1"/>
            <a:t>行为数</a:t>
          </a:r>
        </a:p>
      </xdr:txBody>
    </xdr:sp>
    <xdr:clientData/>
  </xdr:twoCellAnchor>
  <xdr:twoCellAnchor>
    <xdr:from>
      <xdr:col>17</xdr:col>
      <xdr:colOff>0</xdr:colOff>
      <xdr:row>4</xdr:row>
      <xdr:rowOff>0</xdr:rowOff>
    </xdr:from>
    <xdr:to>
      <xdr:col>20</xdr:col>
      <xdr:colOff>9525</xdr:colOff>
      <xdr:row>8</xdr:row>
      <xdr:rowOff>9525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AE50247E-452B-49DF-87CE-C17D064B8595}"/>
            </a:ext>
          </a:extLst>
        </xdr:cNvPr>
        <xdr:cNvSpPr/>
      </xdr:nvSpPr>
      <xdr:spPr>
        <a:xfrm>
          <a:off x="11877675" y="723900"/>
          <a:ext cx="2066925" cy="7334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endParaRPr lang="zh-CN" altLang="en-US" sz="1100">
            <a:ln>
              <a:solidFill>
                <a:schemeClr val="accent1">
                  <a:lumMod val="40000"/>
                  <a:lumOff val="60000"/>
                </a:schemeClr>
              </a:solidFill>
            </a:ln>
          </a:endParaRPr>
        </a:p>
      </xdr:txBody>
    </xdr:sp>
    <xdr:clientData/>
  </xdr:twoCellAnchor>
  <xdr:twoCellAnchor>
    <xdr:from>
      <xdr:col>17</xdr:col>
      <xdr:colOff>76200</xdr:colOff>
      <xdr:row>5</xdr:row>
      <xdr:rowOff>66675</xdr:rowOff>
    </xdr:from>
    <xdr:to>
      <xdr:col>17</xdr:col>
      <xdr:colOff>476250</xdr:colOff>
      <xdr:row>7</xdr:row>
      <xdr:rowOff>76200</xdr:rowOff>
    </xdr:to>
    <xdr:sp macro="" textlink="">
      <xdr:nvSpPr>
        <xdr:cNvPr id="32" name="椭圆 31">
          <a:extLst>
            <a:ext uri="{FF2B5EF4-FFF2-40B4-BE49-F238E27FC236}">
              <a16:creationId xmlns:a16="http://schemas.microsoft.com/office/drawing/2014/main" id="{3CFC9EBF-979E-43BB-BF2E-E8790F30EE5B}"/>
            </a:ext>
          </a:extLst>
        </xdr:cNvPr>
        <xdr:cNvSpPr/>
      </xdr:nvSpPr>
      <xdr:spPr>
        <a:xfrm>
          <a:off x="11953875" y="971550"/>
          <a:ext cx="400050" cy="371475"/>
        </a:xfrm>
        <a:prstGeom prst="ellipse">
          <a:avLst/>
        </a:prstGeom>
        <a:solidFill>
          <a:srgbClr val="8E75B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36000" rtlCol="0" anchor="ctr"/>
        <a:lstStyle/>
        <a:p>
          <a:pPr algn="ctr"/>
          <a:r>
            <a:rPr lang="en-US" altLang="zh-CN" sz="2800" b="1"/>
            <a:t>+</a:t>
          </a:r>
          <a:endParaRPr lang="zh-CN" altLang="en-US" sz="2800" b="1"/>
        </a:p>
      </xdr:txBody>
    </xdr:sp>
    <xdr:clientData/>
  </xdr:twoCellAnchor>
  <xdr:twoCellAnchor>
    <xdr:from>
      <xdr:col>18</xdr:col>
      <xdr:colOff>123826</xdr:colOff>
      <xdr:row>5</xdr:row>
      <xdr:rowOff>95250</xdr:rowOff>
    </xdr:from>
    <xdr:to>
      <xdr:col>19</xdr:col>
      <xdr:colOff>561976</xdr:colOff>
      <xdr:row>7</xdr:row>
      <xdr:rowOff>123824</xdr:rowOff>
    </xdr:to>
    <xdr:sp macro="" textlink="$W$122">
      <xdr:nvSpPr>
        <xdr:cNvPr id="33" name="文本框 32">
          <a:extLst>
            <a:ext uri="{FF2B5EF4-FFF2-40B4-BE49-F238E27FC236}">
              <a16:creationId xmlns:a16="http://schemas.microsoft.com/office/drawing/2014/main" id="{6947F0C4-968F-47E3-8E9A-147F11C37C90}"/>
            </a:ext>
          </a:extLst>
        </xdr:cNvPr>
        <xdr:cNvSpPr txBox="1"/>
      </xdr:nvSpPr>
      <xdr:spPr>
        <a:xfrm>
          <a:off x="12687301" y="1000125"/>
          <a:ext cx="1123950" cy="39052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A748CF9-C102-4C36-8A73-29A39E3DFFFF}" type="TxLink">
            <a:rPr lang="en-US" altLang="en-US" sz="1600" b="1" i="0" u="none" strike="noStrike">
              <a:solidFill>
                <a:schemeClr val="accent4">
                  <a:lumMod val="75000"/>
                </a:schemeClr>
              </a:solidFill>
              <a:latin typeface="等线"/>
              <a:ea typeface="等线"/>
            </a:rPr>
            <a:t>791</a:t>
          </a:fld>
          <a:endParaRPr lang="en-US" altLang="en-US" sz="1600" b="1" i="0" u="none" strike="noStrike">
            <a:solidFill>
              <a:schemeClr val="accent4">
                <a:lumMod val="75000"/>
              </a:schemeClr>
            </a:solidFill>
            <a:latin typeface="等线"/>
            <a:ea typeface="等线"/>
          </a:endParaRPr>
        </a:p>
      </xdr:txBody>
    </xdr:sp>
    <xdr:clientData/>
  </xdr:twoCellAnchor>
  <xdr:twoCellAnchor>
    <xdr:from>
      <xdr:col>17</xdr:col>
      <xdr:colOff>476250</xdr:colOff>
      <xdr:row>4</xdr:row>
      <xdr:rowOff>0</xdr:rowOff>
    </xdr:from>
    <xdr:to>
      <xdr:col>19</xdr:col>
      <xdr:colOff>619125</xdr:colOff>
      <xdr:row>5</xdr:row>
      <xdr:rowOff>152401</xdr:rowOff>
    </xdr:to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3FF37FE6-7F11-4DD7-9493-50FFF073C0BB}"/>
            </a:ext>
          </a:extLst>
        </xdr:cNvPr>
        <xdr:cNvSpPr txBox="1"/>
      </xdr:nvSpPr>
      <xdr:spPr>
        <a:xfrm>
          <a:off x="12353925" y="723900"/>
          <a:ext cx="1514475" cy="33337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zh-CN" altLang="zh-CN" sz="1600" b="1"/>
            <a:t>addbuy行为数</a:t>
          </a:r>
          <a:endParaRPr lang="zh-CN" altLang="en-US" sz="1600" b="1"/>
        </a:p>
      </xdr:txBody>
    </xdr:sp>
    <xdr:clientData/>
  </xdr:twoCellAnchor>
  <xdr:twoCellAnchor>
    <xdr:from>
      <xdr:col>4</xdr:col>
      <xdr:colOff>676275</xdr:colOff>
      <xdr:row>64</xdr:row>
      <xdr:rowOff>171449</xdr:rowOff>
    </xdr:from>
    <xdr:to>
      <xdr:col>17</xdr:col>
      <xdr:colOff>0</xdr:colOff>
      <xdr:row>82</xdr:row>
      <xdr:rowOff>9525</xdr:rowOff>
    </xdr:to>
    <xdr:sp macro="" textlink="">
      <xdr:nvSpPr>
        <xdr:cNvPr id="35" name="文本框 34">
          <a:extLst>
            <a:ext uri="{FF2B5EF4-FFF2-40B4-BE49-F238E27FC236}">
              <a16:creationId xmlns:a16="http://schemas.microsoft.com/office/drawing/2014/main" id="{F5BCC77B-7CDC-15D0-F3BC-6454354BEC06}"/>
            </a:ext>
          </a:extLst>
        </xdr:cNvPr>
        <xdr:cNvSpPr txBox="1"/>
      </xdr:nvSpPr>
      <xdr:spPr>
        <a:xfrm>
          <a:off x="3638550" y="11753849"/>
          <a:ext cx="8239125" cy="3095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核心业务结论与运营建议：</a:t>
          </a:r>
        </a:p>
        <a:p>
          <a:endParaRPr lang="zh-CN" altLang="en-US" sz="1100"/>
        </a:p>
        <a:p>
          <a:r>
            <a:rPr lang="en-US" altLang="zh-CN" sz="1100"/>
            <a:t>1. </a:t>
          </a:r>
          <a:r>
            <a:rPr lang="zh-CN" altLang="en-US" sz="1100"/>
            <a:t>根据品牌销售额分析图，</a:t>
          </a:r>
          <a:r>
            <a:rPr lang="en-US" altLang="zh-CN" sz="1100"/>
            <a:t>Samsung</a:t>
          </a:r>
          <a:r>
            <a:rPr lang="zh-CN" altLang="en-US" sz="1100"/>
            <a:t>、</a:t>
          </a:r>
          <a:r>
            <a:rPr lang="en-US" altLang="zh-CN" sz="1100"/>
            <a:t>HP</a:t>
          </a:r>
          <a:r>
            <a:rPr lang="zh-CN" altLang="en-US" sz="1100"/>
            <a:t>、</a:t>
          </a:r>
          <a:r>
            <a:rPr lang="en-US" altLang="zh-CN" sz="1100"/>
            <a:t>Microsoft </a:t>
          </a:r>
          <a:r>
            <a:rPr lang="zh-CN" altLang="en-US" sz="1100"/>
            <a:t>等品牌销售额排名靠前，说明平台销售额主要集中在头部品牌，后续可增加推荐位和活动曝光。</a:t>
          </a:r>
        </a:p>
        <a:p>
          <a:endParaRPr lang="zh-CN" altLang="en-US" sz="1100"/>
        </a:p>
        <a:p>
          <a:r>
            <a:rPr lang="en-US" altLang="zh-CN" sz="1100"/>
            <a:t>2. </a:t>
          </a:r>
          <a:r>
            <a:rPr lang="zh-CN" altLang="en-US" sz="1100"/>
            <a:t>根据商品类别销售额占比图，笔记本电脑和智能手机合计贡献超过一半销售额，是平台核心销售品类，可重点开展专题促销和组合销售。</a:t>
          </a:r>
        </a:p>
        <a:p>
          <a:endParaRPr lang="zh-CN" altLang="en-US" sz="1100"/>
        </a:p>
        <a:p>
          <a:r>
            <a:rPr lang="en-US" altLang="zh-CN" sz="1100"/>
            <a:t>3. </a:t>
          </a:r>
          <a:r>
            <a:rPr lang="zh-CN" altLang="en-US" sz="1100"/>
            <a:t>根据用户行为类型占比图，购买行为占 </a:t>
          </a:r>
          <a:r>
            <a:rPr lang="en-US" altLang="zh-CN" sz="1100"/>
            <a:t>84%</a:t>
          </a:r>
          <a:r>
            <a:rPr lang="zh-CN" altLang="en-US" sz="1100"/>
            <a:t>，加购行为占 </a:t>
          </a:r>
          <a:r>
            <a:rPr lang="en-US" altLang="zh-CN" sz="1100"/>
            <a:t>16%</a:t>
          </a:r>
          <a:r>
            <a:rPr lang="zh-CN" altLang="en-US" sz="1100"/>
            <a:t>，整体转化表现较好，但仍可通过优惠券、购物车提醒促进加购用户转化。</a:t>
          </a:r>
        </a:p>
        <a:p>
          <a:endParaRPr lang="zh-CN" altLang="en-US" sz="1100"/>
        </a:p>
        <a:p>
          <a:r>
            <a:rPr lang="en-US" altLang="zh-CN" sz="1100"/>
            <a:t>4. </a:t>
          </a:r>
          <a:r>
            <a:rPr lang="zh-CN" altLang="en-US" sz="1100"/>
            <a:t>根据月度销售额趋势图，</a:t>
          </a:r>
          <a:r>
            <a:rPr lang="en-US" altLang="zh-CN" sz="1100"/>
            <a:t>11 </a:t>
          </a:r>
          <a:r>
            <a:rPr lang="zh-CN" altLang="en-US" sz="1100"/>
            <a:t>月销售额最高，结合现实电商场景，可能受到“双</a:t>
          </a:r>
          <a:r>
            <a:rPr lang="en-US" altLang="zh-CN" sz="1100"/>
            <a:t>11”</a:t>
          </a:r>
          <a:r>
            <a:rPr lang="zh-CN" altLang="en-US" sz="1100"/>
            <a:t>等促销节点影响，建议后续结合活动数据复盘增长原因。</a:t>
          </a:r>
        </a:p>
        <a:p>
          <a:endParaRPr lang="zh-CN" altLang="en-US" sz="1100"/>
        </a:p>
        <a:p>
          <a:r>
            <a:rPr lang="en-US" altLang="zh-CN" sz="1100"/>
            <a:t>5. </a:t>
          </a:r>
          <a:r>
            <a:rPr lang="zh-CN" altLang="en-US" sz="1100"/>
            <a:t>根据“价格区间销量与销售额分析”图，中价商品销量最高，高价商品销售额贡献较大，应分别采取规模化销售和高价商品转化提升策略。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86.59973587963" createdVersion="8" refreshedVersion="8" minRefreshableVersion="3" recordCount="5000" xr:uid="{008C6932-42CC-41B5-8326-E9302547F8E6}">
  <cacheSource type="worksheet">
    <worksheetSource name="TB"/>
  </cacheSource>
  <cacheFields count="16">
    <cacheField name="用户ID" numFmtId="0">
      <sharedItems containsSemiMixedTypes="0" containsString="0" containsNumber="1" containsInteger="1" minValue="1" maxValue="800"/>
    </cacheField>
    <cacheField name="商品ID" numFmtId="0">
      <sharedItems containsSemiMixedTypes="0" containsString="0" containsNumber="1" containsInteger="1" minValue="1" maxValue="300"/>
    </cacheField>
    <cacheField name="品牌" numFmtId="0">
      <sharedItems count="10">
        <s v="Apple"/>
        <s v="Samsung"/>
        <s v="Dell"/>
        <s v="Lenovo"/>
        <s v="Huawei"/>
        <s v="Xiaomi"/>
        <s v="LG"/>
        <s v="Sony"/>
        <s v="HP"/>
        <s v="Microsoft"/>
      </sharedItems>
    </cacheField>
    <cacheField name="商品名称" numFmtId="0">
      <sharedItems count="389">
        <s v="Apple Gram 17"/>
        <s v="Samsung ZV-E1"/>
        <s v="Dell iPad Pro"/>
        <s v="Lenovo P60 Pro"/>
        <s v="Lenovo Surface Laptop"/>
        <s v="Apple X90L"/>
        <s v="Huawei iPhone 16"/>
        <s v="Dell MacBook Pro"/>
        <s v="Samsung P60 Pro"/>
        <s v="Samsung AirPods Pro"/>
        <s v="Xiaomi A7 IV"/>
        <s v="LG Galaxy Tab S9"/>
        <s v="Sony AirPods Pro"/>
        <s v="Xiaomi Galaxy Watch 6"/>
        <s v="Lenovo X90L"/>
        <s v="Apple iPhone 16"/>
        <s v="Samsung Galaxy Buds2"/>
        <s v="HP Xiaomi Pad 6"/>
        <s v="Microsoft Galaxy Z Flip"/>
        <s v="Huawei Nothing Ear"/>
        <s v="Samsung iPhone 16"/>
        <s v="Dell P60 Pro"/>
        <s v="HP Surface Pro"/>
        <s v="Samsung Nothing Ear"/>
        <s v="Samsung ThinkPad X1"/>
        <s v="Sony ROG Zephyrus"/>
        <s v="Sony Fitbit Sense"/>
        <s v="Huawei P60 Pro"/>
        <s v="LG Surface Laptop"/>
        <s v="Xiaomi AirPods Pro"/>
        <s v="HP iPhone 15"/>
        <s v="HP ROG Zephyrus"/>
        <s v="Dell Galaxy Buds2"/>
        <s v="LG Sony XM5"/>
        <s v="Xiaomi ROG Zephyrus"/>
        <s v="Lenovo Galaxy Buds2"/>
        <s v="Huawei Xiaomi 14"/>
        <s v="HP Galaxy Z Flip"/>
        <s v="Dell Watch GT 4"/>
        <s v="Apple Xiaomi 14"/>
        <s v="LG AirPods Pro"/>
        <s v="HP XPS 15"/>
        <s v="Xiaomi C3"/>
        <s v="Lenovo C3"/>
        <s v="HP Xiaomi Watch 2"/>
        <s v="Dell iPhone 15"/>
        <s v="Dell Gram 17"/>
        <s v="HP Galaxy Buds2"/>
        <s v="Microsoft Surface Pro"/>
        <s v="Lenovo iPhone 15"/>
        <s v="Xiaomi Sony XM5"/>
        <s v="Microsoft iPhone 15"/>
        <s v="Microsoft ROG Zephyrus"/>
        <s v="LG Galaxy Buds2"/>
        <s v="Sony Galaxy Z Flip"/>
        <s v="Microsoft Fitbit Sense"/>
        <s v="Lenovo FreeBuds Pro"/>
        <s v="LG ThinkPad X1"/>
        <s v="Sony Surface Pro"/>
        <s v="Lenovo MatePad Pro"/>
        <s v="Samsung iPhone 15"/>
        <s v="Sony GH6"/>
        <s v="Dell QN90C"/>
        <s v="Huawei MatePad Pro"/>
        <s v="Dell ROG Zephyrus"/>
        <s v="Huawei ROG Zephyrus"/>
        <s v="Huawei Galaxy Z Flip"/>
        <s v="Apple Galaxy S24"/>
        <s v="Lenovo Xiaomi Pad 6"/>
        <s v="Dell Xiaomi 14"/>
        <s v="Samsung Xiaomi Watch 2"/>
        <s v="HP MatePad Pro"/>
        <s v="Xiaomi Xiaomi Watch 2"/>
        <s v="Sony MatePad Pro"/>
        <s v="Lenovo Z50"/>
        <s v="Microsoft ThinkPad X1"/>
        <s v="LG Gram 17"/>
        <s v="Samsung Galaxy Z Flip"/>
        <s v="Xiaomi FreeBuds Pro"/>
        <s v="LG iPad Pro"/>
        <s v="Dell ThinkPad X1"/>
        <s v="Xiaomi A80L"/>
        <s v="Microsoft Z50"/>
        <s v="Sony Galaxy S24"/>
        <s v="Lenovo Sony XM5"/>
        <s v="Sony U8K"/>
        <s v="Xiaomi MatePad Pro"/>
        <s v="Apple Galaxy Buds2"/>
        <s v="Microsoft Galaxy Watch 6"/>
        <s v="Xiaomi Galaxy Tab S9"/>
        <s v="Dell XPS 15"/>
        <s v="Lenovo iPhone 16"/>
        <s v="Microsoft QLED TV"/>
        <s v="Huawei Sony XM5"/>
        <s v="Sony Nothing Ear"/>
        <s v="Samsung MatePad Pro"/>
        <s v="LG Nothing Ear"/>
        <s v="Dell Xiaomi Watch 2"/>
        <s v="Microsoft Surface Laptop"/>
        <s v="Dell Surface Laptop"/>
        <s v="Microsoft Nothing Ear"/>
        <s v="Apple A7 IV"/>
        <s v="Huawei iPhone 15"/>
        <s v="HP Galaxy S24"/>
        <s v="Dell FreeBuds Pro"/>
        <s v="Apple iPhone 15"/>
        <s v="Microsoft iPhone 16"/>
        <s v="Sony Apple Watch S9"/>
        <s v="Dell Sony XM5"/>
        <s v="Xiaomi MacBook Pro"/>
        <s v="LG Apple Watch S9"/>
        <s v="HP iPad Pro"/>
        <s v="Microsoft P60 Pro"/>
        <s v="Microsoft FreeBuds Pro"/>
        <s v="HP Galaxy Tab S9"/>
        <s v="Samsung Galaxy Tab S9"/>
        <s v="Samsung Galaxy S24"/>
        <s v="Sony Xiaomi 14"/>
        <s v="Lenovo Galaxy S24"/>
        <s v="Xiaomi Z50"/>
        <s v="Huawei Galaxy Watch 6"/>
        <s v="Microsoft U8K"/>
        <s v="Sony X90L"/>
        <s v="Lenovo R8"/>
        <s v="Sony Galaxy Buds2"/>
        <s v="Microsoft QN90C"/>
        <s v="Huawei MacBook Pro"/>
        <s v="Dell Xiaomi Pad 6"/>
        <s v="Microsoft XPS 15"/>
        <s v="HP FreeBuds Pro"/>
        <s v="Microsoft A7 IV"/>
        <s v="Huawei Surface Pro"/>
        <s v="HP Nothing Ear"/>
        <s v="Sony QLED TV"/>
        <s v="HP Surface Laptop"/>
        <s v="LG P60 Pro"/>
        <s v="LG Xiaomi Watch 2"/>
        <s v="Huawei Watch GT 4"/>
        <s v="Lenovo Xiaomi Watch 2"/>
        <s v="LG Surface Pro"/>
        <s v="HP Sony XM5"/>
        <s v="Xiaomi Galaxy Buds2"/>
        <s v="Huawei Surface Laptop"/>
        <s v="Sony A80L"/>
        <s v="Sony iPad Pro"/>
        <s v="LG ROG Zephyrus"/>
        <s v="LG iPhone 16"/>
        <s v="Xiaomi Galaxy Z Flip"/>
        <s v="Dell Galaxy Z Flip"/>
        <s v="Samsung ROG Zephyrus"/>
        <s v="Huawei A7 IV"/>
        <s v="Microsoft AirPods Pro"/>
        <s v="Sony C3"/>
        <s v="Huawei Galaxy Buds2"/>
        <s v="Apple Galaxy Z Flip"/>
        <s v="HP ThinkPad X1"/>
        <s v="Sony Surface Laptop"/>
        <s v="Samsung X90L"/>
        <s v="Sony MacBook Pro"/>
        <s v="Huawei QLED TV"/>
        <s v="Apple P60 Pro"/>
        <s v="Samsung XPS 15"/>
        <s v="Dell Fitbit Sense"/>
        <s v="Sony P60 Pro"/>
        <s v="Xiaomi Xiaomi 14"/>
        <s v="Dell A7 IV"/>
        <s v="HP iPhone 16"/>
        <s v="LG A7 IV"/>
        <s v="Apple Galaxy Watch 6"/>
        <s v="Dell Surface Pro"/>
        <s v="LG Fitbit Sense"/>
        <s v="Xiaomi U8K"/>
        <s v="Apple AirPods Pro"/>
        <s v="Samsung Sony XM5"/>
        <s v="LG GH6"/>
        <s v="Lenovo QLED TV"/>
        <s v="Samsung A7 IV"/>
        <s v="Lenovo iPad Pro"/>
        <s v="Samsung A80L"/>
        <s v="Xiaomi XPS 15"/>
        <s v="Microsoft Xiaomi 14"/>
        <s v="Sony FreeBuds Pro"/>
        <s v="Microsoft Sony XM5"/>
        <s v="Xiaomi P60 Pro"/>
        <s v="Sony Watch GT 4"/>
        <s v="Dell iPhone 16"/>
        <s v="Xiaomi Nothing Ear"/>
        <s v="Apple Xiaomi Watch 2"/>
        <s v="Microsoft Xiaomi Pad 6"/>
        <s v="Xiaomi ThinkPad X1"/>
        <s v="Huawei Galaxy S24"/>
        <s v="Microsoft Watch GT 4"/>
        <s v="Apple Z50"/>
        <s v="HP MacBook Pro"/>
        <s v="Samsung Xiaomi 14"/>
        <s v="Xiaomi QN90C"/>
        <s v="Huawei AirPods Pro"/>
        <s v="Dell X-T5"/>
        <s v="Huawei ThinkPad X1"/>
        <s v="Samsung FreeBuds Pro"/>
        <s v="Huawei R8"/>
        <s v="Lenovo Surface Pro"/>
        <s v="Microsoft R8"/>
        <s v="LG Xiaomi 14"/>
        <s v="Sony X-T5"/>
        <s v="Dell Apple Watch S9"/>
        <s v="Samsung Watch GT 4"/>
        <s v="HP Gram 17"/>
        <s v="Apple C3"/>
        <s v="Sony XPS 15"/>
        <s v="HP Fitbit Sense"/>
        <s v="Apple ZV-E1"/>
        <s v="Apple ThinkPad X1"/>
        <s v="HP ZV-E1"/>
        <s v="HP AirPods Pro"/>
        <s v="Apple MatePad Pro"/>
        <s v="Huawei Xiaomi Watch 2"/>
        <s v="Microsoft Xiaomi Watch 2"/>
        <s v="Apple FreeBuds Pro"/>
        <s v="LG Galaxy S24"/>
        <s v="Samsung U8K"/>
        <s v="HP U8K"/>
        <s v="Xiaomi Gram 17"/>
        <s v="Huawei U8K"/>
        <s v="LG A80L"/>
        <s v="HP A80L"/>
        <s v="Dell Nothing Ear"/>
        <s v="Apple Xiaomi Pad 6"/>
        <s v="Dell MatePad Pro"/>
        <s v="Apple Apple Watch S9"/>
        <s v="Lenovo X-T5"/>
        <s v="Microsoft Galaxy S24"/>
        <s v="Lenovo Galaxy Z Flip"/>
        <s v="Apple QN90C"/>
        <s v="Lenovo Watch GT 4"/>
        <s v="Sony Gram 17"/>
        <s v="Sony Sony XM5"/>
        <s v="Microsoft Gram 17"/>
        <s v="Lenovo Galaxy Watch 6"/>
        <s v="HP X-T5"/>
        <s v="Sony Xiaomi Pad 6"/>
        <s v="Huawei GH6"/>
        <s v="Huawei C3"/>
        <s v="HP Z50"/>
        <s v="Xiaomi X-T5"/>
        <s v="Sony ZV-E1"/>
        <s v="Xiaomi iPhone 16"/>
        <s v="Lenovo ZV-E1"/>
        <s v="Lenovo XPS 15"/>
        <s v="Apple Surface Pro"/>
        <s v="Dell Galaxy S24"/>
        <s v="Samsung Surface Laptop"/>
        <s v="Huawei ZV-E1"/>
        <s v="Samsung iPad Pro"/>
        <s v="Apple A80L"/>
        <s v="Sony Xiaomi Watch 2"/>
        <s v="Dell X90L"/>
        <s v="Xiaomi iPhone 15"/>
        <s v="Xiaomi Surface Pro"/>
        <s v="Xiaomi Galaxy S24"/>
        <s v="Microsoft ZV-E1"/>
        <s v="LG QN90C"/>
        <s v="LG FreeBuds Pro"/>
        <s v="Dell U8K"/>
        <s v="Lenovo MacBook Pro"/>
        <s v="Apple Nothing Ear"/>
        <s v="Samsung Fitbit Sense"/>
        <s v="Lenovo QN90C"/>
        <s v="Samsung QLED TV"/>
        <s v="Apple XPS 15"/>
        <s v="Huawei Xiaomi Pad 6"/>
        <s v="Huawei iPad Pro"/>
        <s v="HP P60 Pro"/>
        <s v="Apple iPad Pro"/>
        <s v="Microsoft MatePad Pro"/>
        <s v="Sony Z50"/>
        <s v="Samsung QN90C"/>
        <s v="Huawei FreeBuds Pro"/>
        <s v="LG iPhone 15"/>
        <s v="LG X90L"/>
        <s v="Dell Z50"/>
        <s v="Sony Galaxy Watch 6"/>
        <s v="LG Xiaomi Pad 6"/>
        <s v="Apple Surface Laptop"/>
        <s v="Xiaomi Fitbit Sense"/>
        <s v="Xiaomi R8"/>
        <s v="Microsoft MacBook Pro"/>
        <s v="Microsoft A80L"/>
        <s v="Sony Galaxy Tab S9"/>
        <s v="Sony R8"/>
        <s v="Lenovo AirPods Pro"/>
        <s v="Dell R8"/>
        <s v="Apple Fitbit Sense"/>
        <s v="HP A7 IV"/>
        <s v="LG Galaxy Watch 6"/>
        <s v="Lenovo Gram 17"/>
        <s v="LG C3"/>
        <s v="Xiaomi Xiaomi Pad 6"/>
        <s v="Xiaomi QLED TV"/>
        <s v="Lenovo GH6"/>
        <s v="Apple Watch GT 4"/>
        <s v="Apple Galaxy Tab S9"/>
        <s v="LG U8K"/>
        <s v="Microsoft iPad Pro"/>
        <s v="Lenovo A7 IV"/>
        <s v="Lenovo Xiaomi 14"/>
        <s v="Xiaomi Surface Laptop"/>
        <s v="Xiaomi GH6"/>
        <s v="Sony QN90C"/>
        <s v="HP R8"/>
        <s v="LG XPS 15"/>
        <s v="Lenovo Galaxy Tab S9"/>
        <s v="Microsoft Galaxy Buds2"/>
        <s v="Xiaomi Watch GT 4"/>
        <s v="Samsung Apple Watch S9"/>
        <s v="Huawei QN90C"/>
        <s v="Huawei XPS 15"/>
        <s v="LG Galaxy Z Flip"/>
        <s v="HP Apple Watch S9"/>
        <s v="Apple X-T5"/>
        <s v="Samsung C3"/>
        <s v="Microsoft X90L"/>
        <s v="Apple Sony XM5"/>
        <s v="Apple ROG Zephyrus"/>
        <s v="Lenovo A80L"/>
        <s v="Dell GH6"/>
        <s v="Lenovo Fitbit Sense"/>
        <s v="Samsung R8"/>
        <s v="Samsung X-T5"/>
        <s v="Huawei X-T5"/>
        <s v="Microsoft C3"/>
        <s v="Huawei Galaxy Tab S9"/>
        <s v="Dell QLED TV"/>
        <s v="Dell C3"/>
        <s v="Apple U8K"/>
        <s v="Huawei Fitbit Sense"/>
        <s v="LG Z50"/>
        <s v="Sony iPhone 16"/>
        <s v="Lenovo U8K"/>
        <s v="Xiaomi ZV-E1"/>
        <s v="Dell ZV-E1"/>
        <s v="Dell AirPods Pro"/>
        <s v="Microsoft X-T5"/>
        <s v="HP Xiaomi 14"/>
        <s v="Apple QLED TV"/>
        <s v="LG QLED TV"/>
        <s v="Samsung GH6"/>
        <s v="Apple MacBook Pro"/>
        <s v="Sony ThinkPad X1"/>
        <s v="Microsoft Galaxy Tab S9"/>
        <s v="HP GH6"/>
        <s v="Microsoft GH6"/>
        <s v="Xiaomi iPad Pro"/>
        <s v="Apple R8"/>
        <s v="Lenovo ThinkPad X1"/>
        <s v="Samsung Galaxy Watch 6"/>
        <s v="Samsung Gram 17"/>
        <s v="Sony iPhone 15"/>
        <s v="Apple GH6"/>
        <s v="Samsung Surface Pro"/>
        <s v="LG Watch GT 4"/>
        <s v="Dell Galaxy Watch 6"/>
        <s v="Dell A80L"/>
        <s v="Huawei Z50"/>
        <s v="HP QLED TV"/>
        <s v="Lenovo Apple Watch S9"/>
        <s v="Samsung MacBook Pro"/>
        <s v="Huawei X90L"/>
        <s v="HP C3"/>
        <s v="LG ZV-E1"/>
        <s v="Lenovo Nothing Ear"/>
        <s v="LG MatePad Pro"/>
        <s v="Microsoft Apple Watch S9"/>
        <s v="LG X-T5"/>
        <s v="Dell Galaxy Tab S9"/>
        <s v="Xiaomi X90L"/>
        <s v="Samsung Xiaomi Pad 6"/>
        <s v="Sony A7 IV"/>
        <s v="Huawei Apple Watch S9"/>
        <s v="HP Watch GT 4"/>
        <s v="Huawei Gram 17"/>
        <s v="HP QN90C"/>
        <s v="Xiaomi Apple Watch S9"/>
        <s v="Lenovo ROG Zephyrus"/>
        <s v="LG R8"/>
        <s v="LG MacBook Pro"/>
        <s v="HP Galaxy Watch 6"/>
        <s v="HP X90L"/>
        <s v="Huawei A80L"/>
      </sharedItems>
    </cacheField>
    <cacheField name="商品类别" numFmtId="0">
      <sharedItems count="7">
        <s v="笔记本电脑"/>
        <s v="相机"/>
        <s v="平板电脑"/>
        <s v="智能手机"/>
        <s v="电视"/>
        <s v="耳机"/>
        <s v="智能手表"/>
      </sharedItems>
    </cacheField>
    <cacheField name="商品类目ID" numFmtId="0">
      <sharedItems containsSemiMixedTypes="0" containsString="0" containsNumber="1" containsInteger="1" minValue="1" maxValue="7"/>
    </cacheField>
    <cacheField name="行为类型" numFmtId="0">
      <sharedItems count="2">
        <s v="buy"/>
        <s v="addbuy"/>
      </sharedItems>
    </cacheField>
    <cacheField name="时间戳" numFmtId="22">
      <sharedItems containsSemiMixedTypes="0" containsNonDate="0" containsDate="1" containsString="0" minDate="2025-10-01T00:12:00" maxDate="2026-01-01T00:00:00"/>
    </cacheField>
    <cacheField name="日期" numFmtId="14">
      <sharedItems containsSemiMixedTypes="0" containsNonDate="0" containsDate="1" containsString="0" minDate="2025-10-01T00:00:00" maxDate="2026-01-01T00:00:00" count="92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5"/>
    </cacheField>
    <cacheField name="小时" numFmtId="176">
      <sharedItems containsSemiMixedTypes="0" containsString="0" containsNumber="1" containsInteger="1" minValue="0" maxValue="23" count="24">
        <n v="0"/>
        <n v="1"/>
        <n v="2"/>
        <n v="3"/>
        <n v="4"/>
        <n v="6"/>
        <n v="7"/>
        <n v="8"/>
        <n v="9"/>
        <n v="10"/>
        <n v="11"/>
        <n v="12"/>
        <n v="14"/>
        <n v="15"/>
        <n v="16"/>
        <n v="17"/>
        <n v="18"/>
        <n v="20"/>
        <n v="22"/>
        <n v="23"/>
        <n v="5"/>
        <n v="13"/>
        <n v="19"/>
        <n v="21"/>
      </sharedItems>
    </cacheField>
    <cacheField name="售价" numFmtId="0">
      <sharedItems containsSemiMixedTypes="0" containsString="0" containsNumber="1" containsInteger="1" minValue="50" maxValue="14988"/>
    </cacheField>
    <cacheField name="销量" numFmtId="0">
      <sharedItems containsSemiMixedTypes="0" containsString="0" containsNumber="1" containsInteger="1" minValue="0" maxValue="5"/>
    </cacheField>
    <cacheField name="销售额" numFmtId="0">
      <sharedItems containsSemiMixedTypes="0" containsString="0" containsNumber="1" containsInteger="1" minValue="0" maxValue="74675"/>
    </cacheField>
    <cacheField name="销售区间" numFmtId="0">
      <sharedItems count="4">
        <s v="超高价商品"/>
        <s v="高价商品"/>
        <s v="中价商品"/>
        <s v="低价商品"/>
      </sharedItems>
    </cacheField>
    <cacheField name="天(日期)" numFmtId="0" databaseField="0">
      <fieldGroup base="8">
        <rangePr groupBy="days" startDate="2025-10-01T00:00:00" endDate="2026-01-01T00:00:00"/>
        <groupItems count="368">
          <s v="&lt;2025/10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1/1"/>
        </groupItems>
      </fieldGroup>
    </cacheField>
    <cacheField name="月(日期)" numFmtId="0" databaseField="0">
      <fieldGroup base="8">
        <rangePr groupBy="months" startDate="2025-10-01T00:00:00" endDate="2026-01-01T00:00:00"/>
        <groupItems count="14">
          <s v="&lt;2025/10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282"/>
    <n v="126"/>
    <x v="0"/>
    <x v="0"/>
    <x v="0"/>
    <n v="2"/>
    <x v="0"/>
    <d v="2025-10-01T00:12:00"/>
    <x v="0"/>
    <x v="0"/>
    <n v="14333"/>
    <n v="2"/>
    <n v="28666"/>
    <x v="0"/>
  </r>
  <r>
    <n v="759"/>
    <n v="280"/>
    <x v="1"/>
    <x v="1"/>
    <x v="1"/>
    <n v="6"/>
    <x v="0"/>
    <d v="2025-10-01T01:32:00"/>
    <x v="0"/>
    <x v="1"/>
    <n v="5528"/>
    <n v="3"/>
    <n v="16584"/>
    <x v="1"/>
  </r>
  <r>
    <n v="31"/>
    <n v="48"/>
    <x v="2"/>
    <x v="2"/>
    <x v="2"/>
    <n v="3"/>
    <x v="0"/>
    <d v="2025-10-01T02:07:00"/>
    <x v="0"/>
    <x v="2"/>
    <n v="2314"/>
    <n v="3"/>
    <n v="6942"/>
    <x v="2"/>
  </r>
  <r>
    <n v="28"/>
    <n v="288"/>
    <x v="3"/>
    <x v="3"/>
    <x v="3"/>
    <n v="1"/>
    <x v="0"/>
    <d v="2025-10-01T02:31:00"/>
    <x v="0"/>
    <x v="2"/>
    <n v="2710"/>
    <n v="1"/>
    <n v="2710"/>
    <x v="2"/>
  </r>
  <r>
    <n v="226"/>
    <n v="230"/>
    <x v="3"/>
    <x v="4"/>
    <x v="0"/>
    <n v="2"/>
    <x v="0"/>
    <d v="2025-10-01T02:35:00"/>
    <x v="0"/>
    <x v="2"/>
    <n v="7423"/>
    <n v="3"/>
    <n v="22269"/>
    <x v="1"/>
  </r>
  <r>
    <n v="715"/>
    <n v="217"/>
    <x v="0"/>
    <x v="5"/>
    <x v="4"/>
    <n v="7"/>
    <x v="0"/>
    <d v="2025-10-01T02:40:00"/>
    <x v="0"/>
    <x v="2"/>
    <n v="6269"/>
    <n v="3"/>
    <n v="18807"/>
    <x v="1"/>
  </r>
  <r>
    <n v="782"/>
    <n v="173"/>
    <x v="4"/>
    <x v="6"/>
    <x v="3"/>
    <n v="1"/>
    <x v="0"/>
    <d v="2025-10-01T02:41:00"/>
    <x v="0"/>
    <x v="2"/>
    <n v="3729"/>
    <n v="1"/>
    <n v="3729"/>
    <x v="2"/>
  </r>
  <r>
    <n v="368"/>
    <n v="177"/>
    <x v="2"/>
    <x v="7"/>
    <x v="0"/>
    <n v="2"/>
    <x v="0"/>
    <d v="2025-10-01T03:35:00"/>
    <x v="0"/>
    <x v="3"/>
    <n v="5521"/>
    <n v="3"/>
    <n v="16563"/>
    <x v="1"/>
  </r>
  <r>
    <n v="471"/>
    <n v="275"/>
    <x v="0"/>
    <x v="0"/>
    <x v="0"/>
    <n v="2"/>
    <x v="0"/>
    <d v="2025-10-01T03:59:00"/>
    <x v="0"/>
    <x v="3"/>
    <n v="13826"/>
    <n v="5"/>
    <n v="69130"/>
    <x v="0"/>
  </r>
  <r>
    <n v="301"/>
    <n v="186"/>
    <x v="1"/>
    <x v="8"/>
    <x v="3"/>
    <n v="1"/>
    <x v="0"/>
    <d v="2025-10-01T04:32:00"/>
    <x v="0"/>
    <x v="4"/>
    <n v="2015"/>
    <n v="3"/>
    <n v="6045"/>
    <x v="2"/>
  </r>
  <r>
    <n v="678"/>
    <n v="117"/>
    <x v="1"/>
    <x v="9"/>
    <x v="5"/>
    <n v="4"/>
    <x v="0"/>
    <d v="2025-10-01T04:32:00"/>
    <x v="0"/>
    <x v="4"/>
    <n v="1130"/>
    <n v="2"/>
    <n v="2260"/>
    <x v="2"/>
  </r>
  <r>
    <n v="390"/>
    <n v="143"/>
    <x v="5"/>
    <x v="10"/>
    <x v="1"/>
    <n v="6"/>
    <x v="0"/>
    <d v="2025-10-01T06:05:00"/>
    <x v="0"/>
    <x v="5"/>
    <n v="6581"/>
    <n v="1"/>
    <n v="6581"/>
    <x v="1"/>
  </r>
  <r>
    <n v="380"/>
    <n v="182"/>
    <x v="6"/>
    <x v="11"/>
    <x v="2"/>
    <n v="3"/>
    <x v="0"/>
    <d v="2025-10-01T06:52:00"/>
    <x v="0"/>
    <x v="5"/>
    <n v="5339"/>
    <n v="2"/>
    <n v="10678"/>
    <x v="1"/>
  </r>
  <r>
    <n v="624"/>
    <n v="88"/>
    <x v="7"/>
    <x v="12"/>
    <x v="5"/>
    <n v="4"/>
    <x v="0"/>
    <d v="2025-10-01T06:59:00"/>
    <x v="0"/>
    <x v="5"/>
    <n v="622"/>
    <n v="4"/>
    <n v="2488"/>
    <x v="3"/>
  </r>
  <r>
    <n v="474"/>
    <n v="195"/>
    <x v="5"/>
    <x v="13"/>
    <x v="6"/>
    <n v="5"/>
    <x v="0"/>
    <d v="2025-10-01T07:04:00"/>
    <x v="0"/>
    <x v="6"/>
    <n v="3160"/>
    <n v="2"/>
    <n v="6320"/>
    <x v="2"/>
  </r>
  <r>
    <n v="702"/>
    <n v="167"/>
    <x v="3"/>
    <x v="14"/>
    <x v="4"/>
    <n v="7"/>
    <x v="0"/>
    <d v="2025-10-01T07:09:00"/>
    <x v="0"/>
    <x v="6"/>
    <n v="3838"/>
    <n v="3"/>
    <n v="11514"/>
    <x v="2"/>
  </r>
  <r>
    <n v="33"/>
    <n v="162"/>
    <x v="0"/>
    <x v="15"/>
    <x v="3"/>
    <n v="1"/>
    <x v="1"/>
    <d v="2025-10-01T07:19:00"/>
    <x v="0"/>
    <x v="6"/>
    <n v="8000"/>
    <n v="0"/>
    <n v="0"/>
    <x v="1"/>
  </r>
  <r>
    <n v="581"/>
    <n v="162"/>
    <x v="1"/>
    <x v="16"/>
    <x v="5"/>
    <n v="4"/>
    <x v="0"/>
    <d v="2025-10-01T07:39:00"/>
    <x v="0"/>
    <x v="6"/>
    <n v="808"/>
    <n v="1"/>
    <n v="808"/>
    <x v="3"/>
  </r>
  <r>
    <n v="659"/>
    <n v="235"/>
    <x v="8"/>
    <x v="17"/>
    <x v="2"/>
    <n v="3"/>
    <x v="0"/>
    <d v="2025-10-01T07:54:00"/>
    <x v="0"/>
    <x v="6"/>
    <n v="3376"/>
    <n v="1"/>
    <n v="3376"/>
    <x v="2"/>
  </r>
  <r>
    <n v="763"/>
    <n v="288"/>
    <x v="4"/>
    <x v="6"/>
    <x v="3"/>
    <n v="1"/>
    <x v="0"/>
    <d v="2025-10-01T08:03:00"/>
    <x v="0"/>
    <x v="7"/>
    <n v="2105"/>
    <n v="1"/>
    <n v="2105"/>
    <x v="2"/>
  </r>
  <r>
    <n v="598"/>
    <n v="205"/>
    <x v="9"/>
    <x v="18"/>
    <x v="3"/>
    <n v="1"/>
    <x v="0"/>
    <d v="2025-10-01T08:28:00"/>
    <x v="0"/>
    <x v="7"/>
    <n v="5349"/>
    <n v="2"/>
    <n v="10698"/>
    <x v="1"/>
  </r>
  <r>
    <n v="506"/>
    <n v="47"/>
    <x v="4"/>
    <x v="19"/>
    <x v="5"/>
    <n v="4"/>
    <x v="0"/>
    <d v="2025-10-01T08:32:00"/>
    <x v="0"/>
    <x v="7"/>
    <n v="703"/>
    <n v="1"/>
    <n v="703"/>
    <x v="3"/>
  </r>
  <r>
    <n v="643"/>
    <n v="82"/>
    <x v="1"/>
    <x v="20"/>
    <x v="3"/>
    <n v="1"/>
    <x v="0"/>
    <d v="2025-10-01T08:41:00"/>
    <x v="0"/>
    <x v="7"/>
    <n v="7015"/>
    <n v="1"/>
    <n v="7015"/>
    <x v="1"/>
  </r>
  <r>
    <n v="66"/>
    <n v="198"/>
    <x v="2"/>
    <x v="21"/>
    <x v="3"/>
    <n v="1"/>
    <x v="0"/>
    <d v="2025-10-01T08:53:00"/>
    <x v="0"/>
    <x v="7"/>
    <n v="7636"/>
    <n v="2"/>
    <n v="15272"/>
    <x v="1"/>
  </r>
  <r>
    <n v="258"/>
    <n v="284"/>
    <x v="8"/>
    <x v="22"/>
    <x v="2"/>
    <n v="3"/>
    <x v="0"/>
    <d v="2025-10-01T09:09:00"/>
    <x v="0"/>
    <x v="8"/>
    <n v="4731"/>
    <n v="2"/>
    <n v="9462"/>
    <x v="2"/>
  </r>
  <r>
    <n v="769"/>
    <n v="137"/>
    <x v="1"/>
    <x v="23"/>
    <x v="5"/>
    <n v="4"/>
    <x v="0"/>
    <d v="2025-10-01T09:50:00"/>
    <x v="0"/>
    <x v="8"/>
    <n v="221"/>
    <n v="2"/>
    <n v="442"/>
    <x v="3"/>
  </r>
  <r>
    <n v="446"/>
    <n v="81"/>
    <x v="1"/>
    <x v="24"/>
    <x v="0"/>
    <n v="2"/>
    <x v="0"/>
    <d v="2025-10-01T09:56:00"/>
    <x v="0"/>
    <x v="8"/>
    <n v="14475"/>
    <n v="5"/>
    <n v="72375"/>
    <x v="0"/>
  </r>
  <r>
    <n v="781"/>
    <n v="92"/>
    <x v="7"/>
    <x v="25"/>
    <x v="0"/>
    <n v="2"/>
    <x v="0"/>
    <d v="2025-10-01T10:15:00"/>
    <x v="0"/>
    <x v="9"/>
    <n v="11234"/>
    <n v="2"/>
    <n v="22468"/>
    <x v="0"/>
  </r>
  <r>
    <n v="624"/>
    <n v="102"/>
    <x v="7"/>
    <x v="26"/>
    <x v="6"/>
    <n v="5"/>
    <x v="0"/>
    <d v="2025-10-01T10:39:00"/>
    <x v="0"/>
    <x v="9"/>
    <n v="2733"/>
    <n v="2"/>
    <n v="5466"/>
    <x v="2"/>
  </r>
  <r>
    <n v="798"/>
    <n v="272"/>
    <x v="4"/>
    <x v="27"/>
    <x v="3"/>
    <n v="1"/>
    <x v="0"/>
    <d v="2025-10-01T10:40:00"/>
    <x v="0"/>
    <x v="9"/>
    <n v="2243"/>
    <n v="4"/>
    <n v="8972"/>
    <x v="2"/>
  </r>
  <r>
    <n v="20"/>
    <n v="58"/>
    <x v="6"/>
    <x v="28"/>
    <x v="0"/>
    <n v="2"/>
    <x v="1"/>
    <d v="2025-10-01T11:05:00"/>
    <x v="0"/>
    <x v="10"/>
    <n v="4115"/>
    <n v="0"/>
    <n v="0"/>
    <x v="2"/>
  </r>
  <r>
    <n v="247"/>
    <n v="291"/>
    <x v="5"/>
    <x v="29"/>
    <x v="5"/>
    <n v="4"/>
    <x v="0"/>
    <d v="2025-10-01T11:10:00"/>
    <x v="0"/>
    <x v="10"/>
    <n v="750"/>
    <n v="1"/>
    <n v="750"/>
    <x v="3"/>
  </r>
  <r>
    <n v="779"/>
    <n v="273"/>
    <x v="8"/>
    <x v="30"/>
    <x v="3"/>
    <n v="1"/>
    <x v="1"/>
    <d v="2025-10-01T11:12:00"/>
    <x v="0"/>
    <x v="10"/>
    <n v="1488"/>
    <n v="0"/>
    <n v="0"/>
    <x v="2"/>
  </r>
  <r>
    <n v="170"/>
    <n v="136"/>
    <x v="8"/>
    <x v="31"/>
    <x v="0"/>
    <n v="2"/>
    <x v="0"/>
    <d v="2025-10-01T12:30:00"/>
    <x v="0"/>
    <x v="11"/>
    <n v="5925"/>
    <n v="1"/>
    <n v="5925"/>
    <x v="1"/>
  </r>
  <r>
    <n v="553"/>
    <n v="103"/>
    <x v="2"/>
    <x v="32"/>
    <x v="5"/>
    <n v="4"/>
    <x v="1"/>
    <d v="2025-10-01T14:00:00"/>
    <x v="0"/>
    <x v="12"/>
    <n v="1240"/>
    <n v="0"/>
    <n v="0"/>
    <x v="2"/>
  </r>
  <r>
    <n v="530"/>
    <n v="232"/>
    <x v="6"/>
    <x v="33"/>
    <x v="5"/>
    <n v="4"/>
    <x v="0"/>
    <d v="2025-10-01T14:43:00"/>
    <x v="0"/>
    <x v="12"/>
    <n v="692"/>
    <n v="3"/>
    <n v="2076"/>
    <x v="3"/>
  </r>
  <r>
    <n v="347"/>
    <n v="11"/>
    <x v="5"/>
    <x v="10"/>
    <x v="1"/>
    <n v="6"/>
    <x v="0"/>
    <d v="2025-10-01T14:53:00"/>
    <x v="0"/>
    <x v="12"/>
    <n v="3908"/>
    <n v="3"/>
    <n v="11724"/>
    <x v="2"/>
  </r>
  <r>
    <n v="226"/>
    <n v="4"/>
    <x v="5"/>
    <x v="34"/>
    <x v="0"/>
    <n v="2"/>
    <x v="0"/>
    <d v="2025-10-01T14:56:00"/>
    <x v="0"/>
    <x v="12"/>
    <n v="13721"/>
    <n v="4"/>
    <n v="54884"/>
    <x v="0"/>
  </r>
  <r>
    <n v="70"/>
    <n v="17"/>
    <x v="0"/>
    <x v="15"/>
    <x v="3"/>
    <n v="1"/>
    <x v="0"/>
    <d v="2025-10-01T15:26:00"/>
    <x v="0"/>
    <x v="13"/>
    <n v="1743"/>
    <n v="2"/>
    <n v="3486"/>
    <x v="2"/>
  </r>
  <r>
    <n v="286"/>
    <n v="249"/>
    <x v="3"/>
    <x v="35"/>
    <x v="5"/>
    <n v="4"/>
    <x v="0"/>
    <d v="2025-10-01T15:42:00"/>
    <x v="0"/>
    <x v="13"/>
    <n v="562"/>
    <n v="2"/>
    <n v="1124"/>
    <x v="3"/>
  </r>
  <r>
    <n v="585"/>
    <n v="296"/>
    <x v="4"/>
    <x v="36"/>
    <x v="3"/>
    <n v="1"/>
    <x v="1"/>
    <d v="2025-10-01T15:45:00"/>
    <x v="0"/>
    <x v="13"/>
    <n v="2831"/>
    <n v="0"/>
    <n v="0"/>
    <x v="2"/>
  </r>
  <r>
    <n v="195"/>
    <n v="49"/>
    <x v="8"/>
    <x v="37"/>
    <x v="3"/>
    <n v="1"/>
    <x v="0"/>
    <d v="2025-10-01T16:03:00"/>
    <x v="0"/>
    <x v="14"/>
    <n v="4796"/>
    <n v="1"/>
    <n v="4796"/>
    <x v="2"/>
  </r>
  <r>
    <n v="434"/>
    <n v="211"/>
    <x v="2"/>
    <x v="38"/>
    <x v="6"/>
    <n v="5"/>
    <x v="0"/>
    <d v="2025-10-01T16:04:00"/>
    <x v="0"/>
    <x v="14"/>
    <n v="1334"/>
    <n v="2"/>
    <n v="2668"/>
    <x v="2"/>
  </r>
  <r>
    <n v="670"/>
    <n v="51"/>
    <x v="0"/>
    <x v="39"/>
    <x v="3"/>
    <n v="1"/>
    <x v="0"/>
    <d v="2025-10-01T17:08:00"/>
    <x v="0"/>
    <x v="15"/>
    <n v="4998"/>
    <n v="3"/>
    <n v="14994"/>
    <x v="2"/>
  </r>
  <r>
    <n v="255"/>
    <n v="99"/>
    <x v="6"/>
    <x v="40"/>
    <x v="5"/>
    <n v="4"/>
    <x v="1"/>
    <d v="2025-10-01T17:16:00"/>
    <x v="0"/>
    <x v="15"/>
    <n v="180"/>
    <n v="0"/>
    <n v="0"/>
    <x v="3"/>
  </r>
  <r>
    <n v="433"/>
    <n v="94"/>
    <x v="8"/>
    <x v="41"/>
    <x v="0"/>
    <n v="2"/>
    <x v="0"/>
    <d v="2025-10-01T17:44:00"/>
    <x v="0"/>
    <x v="15"/>
    <n v="7190"/>
    <n v="1"/>
    <n v="7190"/>
    <x v="1"/>
  </r>
  <r>
    <n v="454"/>
    <n v="282"/>
    <x v="5"/>
    <x v="42"/>
    <x v="4"/>
    <n v="7"/>
    <x v="0"/>
    <d v="2025-10-01T17:54:00"/>
    <x v="0"/>
    <x v="15"/>
    <n v="3817"/>
    <n v="3"/>
    <n v="11451"/>
    <x v="2"/>
  </r>
  <r>
    <n v="96"/>
    <n v="122"/>
    <x v="3"/>
    <x v="43"/>
    <x v="4"/>
    <n v="7"/>
    <x v="0"/>
    <d v="2025-10-01T18:14:00"/>
    <x v="0"/>
    <x v="16"/>
    <n v="2127"/>
    <n v="2"/>
    <n v="4254"/>
    <x v="2"/>
  </r>
  <r>
    <n v="219"/>
    <n v="206"/>
    <x v="8"/>
    <x v="44"/>
    <x v="6"/>
    <n v="5"/>
    <x v="1"/>
    <d v="2025-10-01T18:35:00"/>
    <x v="0"/>
    <x v="16"/>
    <n v="1489"/>
    <n v="0"/>
    <n v="0"/>
    <x v="2"/>
  </r>
  <r>
    <n v="400"/>
    <n v="136"/>
    <x v="2"/>
    <x v="45"/>
    <x v="3"/>
    <n v="1"/>
    <x v="0"/>
    <d v="2025-10-01T18:40:00"/>
    <x v="0"/>
    <x v="16"/>
    <n v="1364"/>
    <n v="2"/>
    <n v="2728"/>
    <x v="2"/>
  </r>
  <r>
    <n v="749"/>
    <n v="285"/>
    <x v="2"/>
    <x v="46"/>
    <x v="0"/>
    <n v="2"/>
    <x v="0"/>
    <d v="2025-10-01T20:13:00"/>
    <x v="0"/>
    <x v="17"/>
    <n v="11400"/>
    <n v="2"/>
    <n v="22800"/>
    <x v="0"/>
  </r>
  <r>
    <n v="195"/>
    <n v="152"/>
    <x v="8"/>
    <x v="47"/>
    <x v="5"/>
    <n v="4"/>
    <x v="0"/>
    <d v="2025-10-01T20:52:00"/>
    <x v="0"/>
    <x v="17"/>
    <n v="1500"/>
    <n v="3"/>
    <n v="4500"/>
    <x v="2"/>
  </r>
  <r>
    <n v="63"/>
    <n v="161"/>
    <x v="9"/>
    <x v="48"/>
    <x v="2"/>
    <n v="3"/>
    <x v="1"/>
    <d v="2025-10-01T22:07:00"/>
    <x v="0"/>
    <x v="18"/>
    <n v="3112"/>
    <n v="0"/>
    <n v="0"/>
    <x v="2"/>
  </r>
  <r>
    <n v="515"/>
    <n v="272"/>
    <x v="9"/>
    <x v="18"/>
    <x v="3"/>
    <n v="1"/>
    <x v="1"/>
    <d v="2025-10-01T23:06:00"/>
    <x v="0"/>
    <x v="19"/>
    <n v="1293"/>
    <n v="0"/>
    <n v="0"/>
    <x v="2"/>
  </r>
  <r>
    <n v="191"/>
    <n v="36"/>
    <x v="3"/>
    <x v="49"/>
    <x v="3"/>
    <n v="1"/>
    <x v="0"/>
    <d v="2025-10-01T23:30:00"/>
    <x v="0"/>
    <x v="19"/>
    <n v="2118"/>
    <n v="2"/>
    <n v="4236"/>
    <x v="2"/>
  </r>
  <r>
    <n v="123"/>
    <n v="292"/>
    <x v="5"/>
    <x v="50"/>
    <x v="5"/>
    <n v="4"/>
    <x v="0"/>
    <d v="2025-10-02T00:38:00"/>
    <x v="1"/>
    <x v="0"/>
    <n v="1102"/>
    <n v="2"/>
    <n v="2204"/>
    <x v="2"/>
  </r>
  <r>
    <n v="635"/>
    <n v="42"/>
    <x v="9"/>
    <x v="51"/>
    <x v="3"/>
    <n v="1"/>
    <x v="0"/>
    <d v="2025-10-02T00:40:00"/>
    <x v="1"/>
    <x v="0"/>
    <n v="3112"/>
    <n v="2"/>
    <n v="6224"/>
    <x v="2"/>
  </r>
  <r>
    <n v="536"/>
    <n v="162"/>
    <x v="9"/>
    <x v="52"/>
    <x v="0"/>
    <n v="2"/>
    <x v="0"/>
    <d v="2025-10-02T00:46:00"/>
    <x v="1"/>
    <x v="0"/>
    <n v="11004"/>
    <n v="1"/>
    <n v="11004"/>
    <x v="0"/>
  </r>
  <r>
    <n v="272"/>
    <n v="203"/>
    <x v="6"/>
    <x v="53"/>
    <x v="5"/>
    <n v="4"/>
    <x v="1"/>
    <d v="2025-10-02T00:47:00"/>
    <x v="1"/>
    <x v="0"/>
    <n v="488"/>
    <n v="0"/>
    <n v="0"/>
    <x v="3"/>
  </r>
  <r>
    <n v="324"/>
    <n v="38"/>
    <x v="7"/>
    <x v="54"/>
    <x v="3"/>
    <n v="1"/>
    <x v="0"/>
    <d v="2025-10-02T00:58:00"/>
    <x v="1"/>
    <x v="0"/>
    <n v="2215"/>
    <n v="2"/>
    <n v="4430"/>
    <x v="2"/>
  </r>
  <r>
    <n v="103"/>
    <n v="38"/>
    <x v="9"/>
    <x v="55"/>
    <x v="6"/>
    <n v="5"/>
    <x v="0"/>
    <d v="2025-10-02T01:11:00"/>
    <x v="1"/>
    <x v="1"/>
    <n v="872"/>
    <n v="2"/>
    <n v="1744"/>
    <x v="3"/>
  </r>
  <r>
    <n v="136"/>
    <n v="179"/>
    <x v="3"/>
    <x v="56"/>
    <x v="5"/>
    <n v="4"/>
    <x v="0"/>
    <d v="2025-10-02T01:19:00"/>
    <x v="1"/>
    <x v="1"/>
    <n v="1060"/>
    <n v="1"/>
    <n v="1060"/>
    <x v="2"/>
  </r>
  <r>
    <n v="162"/>
    <n v="225"/>
    <x v="6"/>
    <x v="57"/>
    <x v="0"/>
    <n v="2"/>
    <x v="1"/>
    <d v="2025-10-02T02:06:00"/>
    <x v="1"/>
    <x v="2"/>
    <n v="5052"/>
    <n v="0"/>
    <n v="0"/>
    <x v="1"/>
  </r>
  <r>
    <n v="670"/>
    <n v="271"/>
    <x v="7"/>
    <x v="58"/>
    <x v="2"/>
    <n v="3"/>
    <x v="0"/>
    <d v="2025-10-02T02:18:00"/>
    <x v="1"/>
    <x v="2"/>
    <n v="6000"/>
    <n v="5"/>
    <n v="30000"/>
    <x v="1"/>
  </r>
  <r>
    <n v="680"/>
    <n v="54"/>
    <x v="3"/>
    <x v="59"/>
    <x v="2"/>
    <n v="3"/>
    <x v="0"/>
    <d v="2025-10-02T02:26:00"/>
    <x v="1"/>
    <x v="2"/>
    <n v="1705"/>
    <n v="3"/>
    <n v="5115"/>
    <x v="2"/>
  </r>
  <r>
    <n v="761"/>
    <n v="284"/>
    <x v="1"/>
    <x v="60"/>
    <x v="3"/>
    <n v="1"/>
    <x v="1"/>
    <d v="2025-10-02T02:47:00"/>
    <x v="1"/>
    <x v="2"/>
    <n v="2035"/>
    <n v="0"/>
    <n v="0"/>
    <x v="2"/>
  </r>
  <r>
    <n v="216"/>
    <n v="176"/>
    <x v="7"/>
    <x v="58"/>
    <x v="2"/>
    <n v="3"/>
    <x v="0"/>
    <d v="2025-10-02T02:51:00"/>
    <x v="1"/>
    <x v="2"/>
    <n v="2712"/>
    <n v="2"/>
    <n v="5424"/>
    <x v="2"/>
  </r>
  <r>
    <n v="501"/>
    <n v="129"/>
    <x v="7"/>
    <x v="61"/>
    <x v="1"/>
    <n v="6"/>
    <x v="0"/>
    <d v="2025-10-02T03:34:00"/>
    <x v="1"/>
    <x v="3"/>
    <n v="5486"/>
    <n v="3"/>
    <n v="16458"/>
    <x v="1"/>
  </r>
  <r>
    <n v="46"/>
    <n v="2"/>
    <x v="2"/>
    <x v="62"/>
    <x v="4"/>
    <n v="7"/>
    <x v="0"/>
    <d v="2025-10-02T03:36:00"/>
    <x v="1"/>
    <x v="3"/>
    <n v="1763"/>
    <n v="1"/>
    <n v="1763"/>
    <x v="2"/>
  </r>
  <r>
    <n v="166"/>
    <n v="227"/>
    <x v="4"/>
    <x v="63"/>
    <x v="2"/>
    <n v="3"/>
    <x v="1"/>
    <d v="2025-10-02T05:31:00"/>
    <x v="1"/>
    <x v="20"/>
    <n v="4426"/>
    <n v="0"/>
    <n v="0"/>
    <x v="2"/>
  </r>
  <r>
    <n v="10"/>
    <n v="58"/>
    <x v="2"/>
    <x v="64"/>
    <x v="0"/>
    <n v="2"/>
    <x v="0"/>
    <d v="2025-10-02T06:10:00"/>
    <x v="1"/>
    <x v="5"/>
    <n v="13199"/>
    <n v="1"/>
    <n v="13199"/>
    <x v="0"/>
  </r>
  <r>
    <n v="37"/>
    <n v="190"/>
    <x v="4"/>
    <x v="65"/>
    <x v="0"/>
    <n v="2"/>
    <x v="0"/>
    <d v="2025-10-02T06:16:00"/>
    <x v="1"/>
    <x v="5"/>
    <n v="5385"/>
    <n v="2"/>
    <n v="10770"/>
    <x v="1"/>
  </r>
  <r>
    <n v="131"/>
    <n v="22"/>
    <x v="4"/>
    <x v="66"/>
    <x v="3"/>
    <n v="1"/>
    <x v="0"/>
    <d v="2025-10-02T06:16:00"/>
    <x v="1"/>
    <x v="5"/>
    <n v="5853"/>
    <n v="4"/>
    <n v="23412"/>
    <x v="1"/>
  </r>
  <r>
    <n v="216"/>
    <n v="128"/>
    <x v="0"/>
    <x v="67"/>
    <x v="3"/>
    <n v="1"/>
    <x v="1"/>
    <d v="2025-10-02T07:01:00"/>
    <x v="1"/>
    <x v="6"/>
    <n v="3511"/>
    <n v="0"/>
    <n v="0"/>
    <x v="2"/>
  </r>
  <r>
    <n v="636"/>
    <n v="80"/>
    <x v="3"/>
    <x v="68"/>
    <x v="2"/>
    <n v="3"/>
    <x v="0"/>
    <d v="2025-10-02T07:34:00"/>
    <x v="1"/>
    <x v="6"/>
    <n v="2323"/>
    <n v="2"/>
    <n v="4646"/>
    <x v="2"/>
  </r>
  <r>
    <n v="26"/>
    <n v="92"/>
    <x v="4"/>
    <x v="66"/>
    <x v="3"/>
    <n v="1"/>
    <x v="0"/>
    <d v="2025-10-02T08:08:00"/>
    <x v="1"/>
    <x v="7"/>
    <n v="2822"/>
    <n v="1"/>
    <n v="2822"/>
    <x v="2"/>
  </r>
  <r>
    <n v="753"/>
    <n v="128"/>
    <x v="2"/>
    <x v="69"/>
    <x v="3"/>
    <n v="1"/>
    <x v="0"/>
    <d v="2025-10-02T08:47:00"/>
    <x v="1"/>
    <x v="7"/>
    <n v="7003"/>
    <n v="1"/>
    <n v="7003"/>
    <x v="1"/>
  </r>
  <r>
    <n v="40"/>
    <n v="241"/>
    <x v="1"/>
    <x v="70"/>
    <x v="6"/>
    <n v="5"/>
    <x v="0"/>
    <d v="2025-10-02T08:49:00"/>
    <x v="1"/>
    <x v="7"/>
    <n v="1773"/>
    <n v="2"/>
    <n v="3546"/>
    <x v="2"/>
  </r>
  <r>
    <n v="313"/>
    <n v="117"/>
    <x v="8"/>
    <x v="71"/>
    <x v="2"/>
    <n v="3"/>
    <x v="0"/>
    <d v="2025-10-02T09:01:00"/>
    <x v="1"/>
    <x v="8"/>
    <n v="3224"/>
    <n v="2"/>
    <n v="6448"/>
    <x v="2"/>
  </r>
  <r>
    <n v="337"/>
    <n v="143"/>
    <x v="5"/>
    <x v="72"/>
    <x v="6"/>
    <n v="5"/>
    <x v="1"/>
    <d v="2025-10-02T09:04:00"/>
    <x v="1"/>
    <x v="8"/>
    <n v="1525"/>
    <n v="0"/>
    <n v="0"/>
    <x v="2"/>
  </r>
  <r>
    <n v="657"/>
    <n v="261"/>
    <x v="7"/>
    <x v="73"/>
    <x v="2"/>
    <n v="3"/>
    <x v="0"/>
    <d v="2025-10-02T09:57:00"/>
    <x v="1"/>
    <x v="8"/>
    <n v="2263"/>
    <n v="2"/>
    <n v="4526"/>
    <x v="2"/>
  </r>
  <r>
    <n v="29"/>
    <n v="60"/>
    <x v="3"/>
    <x v="74"/>
    <x v="1"/>
    <n v="6"/>
    <x v="1"/>
    <d v="2025-10-02T10:23:00"/>
    <x v="1"/>
    <x v="9"/>
    <n v="8695"/>
    <n v="0"/>
    <n v="0"/>
    <x v="1"/>
  </r>
  <r>
    <n v="40"/>
    <n v="56"/>
    <x v="9"/>
    <x v="75"/>
    <x v="0"/>
    <n v="2"/>
    <x v="0"/>
    <d v="2025-10-02T10:34:00"/>
    <x v="1"/>
    <x v="9"/>
    <n v="8170"/>
    <n v="4"/>
    <n v="32680"/>
    <x v="1"/>
  </r>
  <r>
    <n v="322"/>
    <n v="224"/>
    <x v="6"/>
    <x v="76"/>
    <x v="0"/>
    <n v="2"/>
    <x v="1"/>
    <d v="2025-10-02T10:35:00"/>
    <x v="1"/>
    <x v="9"/>
    <n v="13796"/>
    <n v="0"/>
    <n v="0"/>
    <x v="0"/>
  </r>
  <r>
    <n v="591"/>
    <n v="98"/>
    <x v="1"/>
    <x v="77"/>
    <x v="3"/>
    <n v="1"/>
    <x v="0"/>
    <d v="2025-10-02T10:45:00"/>
    <x v="1"/>
    <x v="9"/>
    <n v="6027"/>
    <n v="1"/>
    <n v="6027"/>
    <x v="1"/>
  </r>
  <r>
    <n v="533"/>
    <n v="276"/>
    <x v="2"/>
    <x v="7"/>
    <x v="0"/>
    <n v="2"/>
    <x v="0"/>
    <d v="2025-10-02T10:56:00"/>
    <x v="1"/>
    <x v="9"/>
    <n v="7995"/>
    <n v="2"/>
    <n v="15990"/>
    <x v="1"/>
  </r>
  <r>
    <n v="442"/>
    <n v="36"/>
    <x v="5"/>
    <x v="78"/>
    <x v="5"/>
    <n v="4"/>
    <x v="0"/>
    <d v="2025-10-02T11:30:00"/>
    <x v="1"/>
    <x v="10"/>
    <n v="1500"/>
    <n v="1"/>
    <n v="1500"/>
    <x v="2"/>
  </r>
  <r>
    <n v="738"/>
    <n v="154"/>
    <x v="6"/>
    <x v="79"/>
    <x v="2"/>
    <n v="3"/>
    <x v="0"/>
    <d v="2025-10-02T11:57:00"/>
    <x v="1"/>
    <x v="10"/>
    <n v="4323"/>
    <n v="1"/>
    <n v="4323"/>
    <x v="2"/>
  </r>
  <r>
    <n v="413"/>
    <n v="152"/>
    <x v="2"/>
    <x v="80"/>
    <x v="0"/>
    <n v="2"/>
    <x v="0"/>
    <d v="2025-10-02T12:55:00"/>
    <x v="1"/>
    <x v="11"/>
    <n v="12266"/>
    <n v="2"/>
    <n v="24532"/>
    <x v="0"/>
  </r>
  <r>
    <n v="681"/>
    <n v="195"/>
    <x v="5"/>
    <x v="81"/>
    <x v="4"/>
    <n v="7"/>
    <x v="0"/>
    <d v="2025-10-02T13:12:00"/>
    <x v="1"/>
    <x v="21"/>
    <n v="5906"/>
    <n v="3"/>
    <n v="17718"/>
    <x v="1"/>
  </r>
  <r>
    <n v="416"/>
    <n v="281"/>
    <x v="9"/>
    <x v="82"/>
    <x v="1"/>
    <n v="6"/>
    <x v="1"/>
    <d v="2025-10-02T13:15:00"/>
    <x v="1"/>
    <x v="21"/>
    <n v="4966"/>
    <n v="0"/>
    <n v="0"/>
    <x v="2"/>
  </r>
  <r>
    <n v="216"/>
    <n v="221"/>
    <x v="7"/>
    <x v="83"/>
    <x v="3"/>
    <n v="1"/>
    <x v="0"/>
    <d v="2025-10-02T13:48:00"/>
    <x v="1"/>
    <x v="21"/>
    <n v="7629"/>
    <n v="3"/>
    <n v="22887"/>
    <x v="1"/>
  </r>
  <r>
    <n v="453"/>
    <n v="227"/>
    <x v="6"/>
    <x v="28"/>
    <x v="0"/>
    <n v="2"/>
    <x v="0"/>
    <d v="2025-10-02T14:26:00"/>
    <x v="1"/>
    <x v="12"/>
    <n v="13612"/>
    <n v="4"/>
    <n v="54448"/>
    <x v="0"/>
  </r>
  <r>
    <n v="754"/>
    <n v="87"/>
    <x v="3"/>
    <x v="84"/>
    <x v="5"/>
    <n v="4"/>
    <x v="0"/>
    <d v="2025-10-02T14:48:00"/>
    <x v="1"/>
    <x v="12"/>
    <n v="1342"/>
    <n v="2"/>
    <n v="2684"/>
    <x v="2"/>
  </r>
  <r>
    <n v="680"/>
    <n v="172"/>
    <x v="7"/>
    <x v="85"/>
    <x v="4"/>
    <n v="7"/>
    <x v="1"/>
    <d v="2025-10-02T15:27:00"/>
    <x v="1"/>
    <x v="13"/>
    <n v="6740"/>
    <n v="0"/>
    <n v="0"/>
    <x v="1"/>
  </r>
  <r>
    <n v="231"/>
    <n v="102"/>
    <x v="5"/>
    <x v="86"/>
    <x v="2"/>
    <n v="3"/>
    <x v="0"/>
    <d v="2025-10-02T15:45:00"/>
    <x v="1"/>
    <x v="13"/>
    <n v="2449"/>
    <n v="1"/>
    <n v="2449"/>
    <x v="2"/>
  </r>
  <r>
    <n v="487"/>
    <n v="38"/>
    <x v="0"/>
    <x v="87"/>
    <x v="5"/>
    <n v="4"/>
    <x v="0"/>
    <d v="2025-10-02T16:05:00"/>
    <x v="1"/>
    <x v="14"/>
    <n v="163"/>
    <n v="4"/>
    <n v="652"/>
    <x v="3"/>
  </r>
  <r>
    <n v="736"/>
    <n v="197"/>
    <x v="9"/>
    <x v="88"/>
    <x v="6"/>
    <n v="5"/>
    <x v="0"/>
    <d v="2025-10-02T16:20:00"/>
    <x v="1"/>
    <x v="14"/>
    <n v="2677"/>
    <n v="2"/>
    <n v="5354"/>
    <x v="2"/>
  </r>
  <r>
    <n v="672"/>
    <n v="3"/>
    <x v="5"/>
    <x v="89"/>
    <x v="2"/>
    <n v="3"/>
    <x v="0"/>
    <d v="2025-10-02T16:20:00"/>
    <x v="1"/>
    <x v="14"/>
    <n v="5553"/>
    <n v="3"/>
    <n v="16659"/>
    <x v="1"/>
  </r>
  <r>
    <n v="181"/>
    <n v="266"/>
    <x v="2"/>
    <x v="90"/>
    <x v="0"/>
    <n v="2"/>
    <x v="0"/>
    <d v="2025-10-02T16:23:00"/>
    <x v="1"/>
    <x v="14"/>
    <n v="5944"/>
    <n v="1"/>
    <n v="5944"/>
    <x v="1"/>
  </r>
  <r>
    <n v="125"/>
    <n v="234"/>
    <x v="3"/>
    <x v="91"/>
    <x v="3"/>
    <n v="1"/>
    <x v="0"/>
    <d v="2025-10-02T16:24:00"/>
    <x v="1"/>
    <x v="14"/>
    <n v="4630"/>
    <n v="1"/>
    <n v="4630"/>
    <x v="2"/>
  </r>
  <r>
    <n v="610"/>
    <n v="163"/>
    <x v="3"/>
    <x v="3"/>
    <x v="3"/>
    <n v="1"/>
    <x v="0"/>
    <d v="2025-10-02T16:51:00"/>
    <x v="1"/>
    <x v="14"/>
    <n v="2129"/>
    <n v="2"/>
    <n v="4258"/>
    <x v="2"/>
  </r>
  <r>
    <n v="517"/>
    <n v="219"/>
    <x v="9"/>
    <x v="92"/>
    <x v="4"/>
    <n v="7"/>
    <x v="0"/>
    <d v="2025-10-02T17:01:00"/>
    <x v="1"/>
    <x v="15"/>
    <n v="7713"/>
    <n v="2"/>
    <n v="15426"/>
    <x v="1"/>
  </r>
  <r>
    <n v="461"/>
    <n v="133"/>
    <x v="4"/>
    <x v="93"/>
    <x v="5"/>
    <n v="4"/>
    <x v="1"/>
    <d v="2025-10-02T17:20:00"/>
    <x v="1"/>
    <x v="15"/>
    <n v="1200"/>
    <n v="0"/>
    <n v="0"/>
    <x v="2"/>
  </r>
  <r>
    <n v="497"/>
    <n v="123"/>
    <x v="7"/>
    <x v="94"/>
    <x v="5"/>
    <n v="4"/>
    <x v="0"/>
    <d v="2025-10-02T18:23:00"/>
    <x v="1"/>
    <x v="16"/>
    <n v="682"/>
    <n v="2"/>
    <n v="1364"/>
    <x v="3"/>
  </r>
  <r>
    <n v="241"/>
    <n v="140"/>
    <x v="1"/>
    <x v="95"/>
    <x v="2"/>
    <n v="3"/>
    <x v="0"/>
    <d v="2025-10-02T18:30:00"/>
    <x v="1"/>
    <x v="16"/>
    <n v="3774"/>
    <n v="2"/>
    <n v="7548"/>
    <x v="2"/>
  </r>
  <r>
    <n v="142"/>
    <n v="78"/>
    <x v="3"/>
    <x v="43"/>
    <x v="4"/>
    <n v="7"/>
    <x v="1"/>
    <d v="2025-10-02T18:44:00"/>
    <x v="1"/>
    <x v="16"/>
    <n v="4214"/>
    <n v="0"/>
    <n v="0"/>
    <x v="2"/>
  </r>
  <r>
    <n v="220"/>
    <n v="33"/>
    <x v="4"/>
    <x v="36"/>
    <x v="3"/>
    <n v="1"/>
    <x v="0"/>
    <d v="2025-10-02T19:22:00"/>
    <x v="1"/>
    <x v="22"/>
    <n v="2890"/>
    <n v="4"/>
    <n v="11560"/>
    <x v="2"/>
  </r>
  <r>
    <n v="478"/>
    <n v="213"/>
    <x v="6"/>
    <x v="96"/>
    <x v="5"/>
    <n v="4"/>
    <x v="0"/>
    <d v="2025-10-02T19:29:00"/>
    <x v="1"/>
    <x v="22"/>
    <n v="907"/>
    <n v="1"/>
    <n v="907"/>
    <x v="3"/>
  </r>
  <r>
    <n v="789"/>
    <n v="300"/>
    <x v="2"/>
    <x v="97"/>
    <x v="6"/>
    <n v="5"/>
    <x v="0"/>
    <d v="2025-10-02T19:31:00"/>
    <x v="1"/>
    <x v="22"/>
    <n v="960"/>
    <n v="1"/>
    <n v="960"/>
    <x v="3"/>
  </r>
  <r>
    <n v="489"/>
    <n v="4"/>
    <x v="9"/>
    <x v="98"/>
    <x v="0"/>
    <n v="2"/>
    <x v="0"/>
    <d v="2025-10-02T19:40:00"/>
    <x v="1"/>
    <x v="22"/>
    <n v="4511"/>
    <n v="2"/>
    <n v="9022"/>
    <x v="2"/>
  </r>
  <r>
    <n v="552"/>
    <n v="280"/>
    <x v="2"/>
    <x v="99"/>
    <x v="0"/>
    <n v="2"/>
    <x v="0"/>
    <d v="2025-10-02T19:44:00"/>
    <x v="1"/>
    <x v="22"/>
    <n v="9715"/>
    <n v="3"/>
    <n v="29145"/>
    <x v="1"/>
  </r>
  <r>
    <n v="447"/>
    <n v="249"/>
    <x v="5"/>
    <x v="86"/>
    <x v="2"/>
    <n v="3"/>
    <x v="0"/>
    <d v="2025-10-02T20:55:00"/>
    <x v="1"/>
    <x v="17"/>
    <n v="3355"/>
    <n v="2"/>
    <n v="6710"/>
    <x v="2"/>
  </r>
  <r>
    <n v="742"/>
    <n v="85"/>
    <x v="6"/>
    <x v="33"/>
    <x v="5"/>
    <n v="4"/>
    <x v="0"/>
    <d v="2025-10-02T21:39:00"/>
    <x v="1"/>
    <x v="23"/>
    <n v="108"/>
    <n v="2"/>
    <n v="216"/>
    <x v="3"/>
  </r>
  <r>
    <n v="28"/>
    <n v="202"/>
    <x v="9"/>
    <x v="100"/>
    <x v="5"/>
    <n v="4"/>
    <x v="0"/>
    <d v="2025-10-02T22:05:00"/>
    <x v="1"/>
    <x v="18"/>
    <n v="872"/>
    <n v="3"/>
    <n v="2616"/>
    <x v="3"/>
  </r>
  <r>
    <n v="659"/>
    <n v="220"/>
    <x v="0"/>
    <x v="101"/>
    <x v="1"/>
    <n v="6"/>
    <x v="0"/>
    <d v="2025-10-02T22:59:00"/>
    <x v="1"/>
    <x v="18"/>
    <n v="11785"/>
    <n v="3"/>
    <n v="35355"/>
    <x v="0"/>
  </r>
  <r>
    <n v="267"/>
    <n v="195"/>
    <x v="4"/>
    <x v="102"/>
    <x v="3"/>
    <n v="1"/>
    <x v="1"/>
    <d v="2025-10-02T23:43:00"/>
    <x v="1"/>
    <x v="19"/>
    <n v="2147"/>
    <n v="0"/>
    <n v="0"/>
    <x v="2"/>
  </r>
  <r>
    <n v="346"/>
    <n v="195"/>
    <x v="8"/>
    <x v="103"/>
    <x v="3"/>
    <n v="1"/>
    <x v="0"/>
    <d v="2025-10-02T23:48:00"/>
    <x v="1"/>
    <x v="19"/>
    <n v="3589"/>
    <n v="2"/>
    <n v="7178"/>
    <x v="2"/>
  </r>
  <r>
    <n v="84"/>
    <n v="241"/>
    <x v="2"/>
    <x v="104"/>
    <x v="5"/>
    <n v="4"/>
    <x v="0"/>
    <d v="2025-10-03T00:47:00"/>
    <x v="2"/>
    <x v="0"/>
    <n v="804"/>
    <n v="1"/>
    <n v="804"/>
    <x v="3"/>
  </r>
  <r>
    <n v="359"/>
    <n v="115"/>
    <x v="3"/>
    <x v="49"/>
    <x v="3"/>
    <n v="1"/>
    <x v="0"/>
    <d v="2025-10-03T01:08:00"/>
    <x v="2"/>
    <x v="1"/>
    <n v="1341"/>
    <n v="2"/>
    <n v="2682"/>
    <x v="2"/>
  </r>
  <r>
    <n v="254"/>
    <n v="103"/>
    <x v="0"/>
    <x v="105"/>
    <x v="3"/>
    <n v="1"/>
    <x v="0"/>
    <d v="2025-10-03T01:51:00"/>
    <x v="2"/>
    <x v="1"/>
    <n v="6160"/>
    <n v="4"/>
    <n v="24640"/>
    <x v="1"/>
  </r>
  <r>
    <n v="245"/>
    <n v="65"/>
    <x v="9"/>
    <x v="106"/>
    <x v="3"/>
    <n v="1"/>
    <x v="0"/>
    <d v="2025-10-03T02:51:00"/>
    <x v="2"/>
    <x v="2"/>
    <n v="7684"/>
    <n v="2"/>
    <n v="15368"/>
    <x v="1"/>
  </r>
  <r>
    <n v="224"/>
    <n v="239"/>
    <x v="1"/>
    <x v="23"/>
    <x v="5"/>
    <n v="4"/>
    <x v="0"/>
    <d v="2025-10-03T03:02:00"/>
    <x v="2"/>
    <x v="3"/>
    <n v="1161"/>
    <n v="3"/>
    <n v="3483"/>
    <x v="2"/>
  </r>
  <r>
    <n v="621"/>
    <n v="59"/>
    <x v="6"/>
    <x v="53"/>
    <x v="5"/>
    <n v="4"/>
    <x v="0"/>
    <d v="2025-10-03T03:05:00"/>
    <x v="2"/>
    <x v="3"/>
    <n v="1413"/>
    <n v="1"/>
    <n v="1413"/>
    <x v="2"/>
  </r>
  <r>
    <n v="593"/>
    <n v="14"/>
    <x v="7"/>
    <x v="107"/>
    <x v="6"/>
    <n v="5"/>
    <x v="0"/>
    <d v="2025-10-03T03:11:00"/>
    <x v="2"/>
    <x v="3"/>
    <n v="3868"/>
    <n v="2"/>
    <n v="7736"/>
    <x v="2"/>
  </r>
  <r>
    <n v="733"/>
    <n v="102"/>
    <x v="2"/>
    <x v="108"/>
    <x v="5"/>
    <n v="4"/>
    <x v="0"/>
    <d v="2025-10-03T03:26:00"/>
    <x v="2"/>
    <x v="3"/>
    <n v="782"/>
    <n v="2"/>
    <n v="1564"/>
    <x v="3"/>
  </r>
  <r>
    <n v="714"/>
    <n v="155"/>
    <x v="5"/>
    <x v="109"/>
    <x v="0"/>
    <n v="2"/>
    <x v="0"/>
    <d v="2025-10-03T04:11:00"/>
    <x v="2"/>
    <x v="4"/>
    <n v="5348"/>
    <n v="4"/>
    <n v="21392"/>
    <x v="1"/>
  </r>
  <r>
    <n v="43"/>
    <n v="178"/>
    <x v="1"/>
    <x v="23"/>
    <x v="5"/>
    <n v="4"/>
    <x v="0"/>
    <d v="2025-10-03T05:04:00"/>
    <x v="2"/>
    <x v="20"/>
    <n v="1500"/>
    <n v="2"/>
    <n v="3000"/>
    <x v="2"/>
  </r>
  <r>
    <n v="519"/>
    <n v="175"/>
    <x v="6"/>
    <x v="110"/>
    <x v="6"/>
    <n v="5"/>
    <x v="0"/>
    <d v="2025-10-03T05:04:00"/>
    <x v="2"/>
    <x v="20"/>
    <n v="3001"/>
    <n v="1"/>
    <n v="3001"/>
    <x v="2"/>
  </r>
  <r>
    <n v="444"/>
    <n v="186"/>
    <x v="8"/>
    <x v="111"/>
    <x v="2"/>
    <n v="3"/>
    <x v="0"/>
    <d v="2025-10-03T05:23:00"/>
    <x v="2"/>
    <x v="20"/>
    <n v="1618"/>
    <n v="3"/>
    <n v="4854"/>
    <x v="2"/>
  </r>
  <r>
    <n v="181"/>
    <n v="268"/>
    <x v="4"/>
    <x v="93"/>
    <x v="5"/>
    <n v="4"/>
    <x v="0"/>
    <d v="2025-10-03T05:37:00"/>
    <x v="2"/>
    <x v="20"/>
    <n v="1386"/>
    <n v="1"/>
    <n v="1386"/>
    <x v="2"/>
  </r>
  <r>
    <n v="794"/>
    <n v="248"/>
    <x v="9"/>
    <x v="112"/>
    <x v="3"/>
    <n v="1"/>
    <x v="0"/>
    <d v="2025-10-03T05:44:00"/>
    <x v="2"/>
    <x v="20"/>
    <n v="6266"/>
    <n v="2"/>
    <n v="12532"/>
    <x v="1"/>
  </r>
  <r>
    <n v="331"/>
    <n v="126"/>
    <x v="9"/>
    <x v="113"/>
    <x v="5"/>
    <n v="4"/>
    <x v="0"/>
    <d v="2025-10-03T05:47:00"/>
    <x v="2"/>
    <x v="20"/>
    <n v="1025"/>
    <n v="1"/>
    <n v="1025"/>
    <x v="2"/>
  </r>
  <r>
    <n v="769"/>
    <n v="238"/>
    <x v="8"/>
    <x v="114"/>
    <x v="2"/>
    <n v="3"/>
    <x v="0"/>
    <d v="2025-10-03T05:58:00"/>
    <x v="2"/>
    <x v="20"/>
    <n v="2151"/>
    <n v="4"/>
    <n v="8604"/>
    <x v="2"/>
  </r>
  <r>
    <n v="30"/>
    <n v="254"/>
    <x v="2"/>
    <x v="38"/>
    <x v="6"/>
    <n v="5"/>
    <x v="0"/>
    <d v="2025-10-03T07:14:00"/>
    <x v="2"/>
    <x v="6"/>
    <n v="3246"/>
    <n v="2"/>
    <n v="6492"/>
    <x v="2"/>
  </r>
  <r>
    <n v="364"/>
    <n v="133"/>
    <x v="8"/>
    <x v="47"/>
    <x v="5"/>
    <n v="4"/>
    <x v="0"/>
    <d v="2025-10-03T07:24:00"/>
    <x v="2"/>
    <x v="6"/>
    <n v="608"/>
    <n v="3"/>
    <n v="1824"/>
    <x v="3"/>
  </r>
  <r>
    <n v="570"/>
    <n v="6"/>
    <x v="9"/>
    <x v="113"/>
    <x v="5"/>
    <n v="4"/>
    <x v="0"/>
    <d v="2025-10-03T07:44:00"/>
    <x v="2"/>
    <x v="6"/>
    <n v="690"/>
    <n v="2"/>
    <n v="1380"/>
    <x v="3"/>
  </r>
  <r>
    <n v="738"/>
    <n v="209"/>
    <x v="1"/>
    <x v="115"/>
    <x v="2"/>
    <n v="3"/>
    <x v="0"/>
    <d v="2025-10-03T08:16:00"/>
    <x v="2"/>
    <x v="7"/>
    <n v="5629"/>
    <n v="2"/>
    <n v="11258"/>
    <x v="1"/>
  </r>
  <r>
    <n v="662"/>
    <n v="252"/>
    <x v="5"/>
    <x v="50"/>
    <x v="5"/>
    <n v="4"/>
    <x v="0"/>
    <d v="2025-10-03T08:28:00"/>
    <x v="2"/>
    <x v="7"/>
    <n v="1134"/>
    <n v="1"/>
    <n v="1134"/>
    <x v="2"/>
  </r>
  <r>
    <n v="227"/>
    <n v="208"/>
    <x v="1"/>
    <x v="116"/>
    <x v="3"/>
    <n v="1"/>
    <x v="0"/>
    <d v="2025-10-03T10:02:00"/>
    <x v="2"/>
    <x v="9"/>
    <n v="4479"/>
    <n v="3"/>
    <n v="13437"/>
    <x v="2"/>
  </r>
  <r>
    <n v="596"/>
    <n v="189"/>
    <x v="7"/>
    <x v="117"/>
    <x v="3"/>
    <n v="1"/>
    <x v="0"/>
    <d v="2025-10-03T11:29:00"/>
    <x v="2"/>
    <x v="10"/>
    <n v="6591"/>
    <n v="4"/>
    <n v="26364"/>
    <x v="1"/>
  </r>
  <r>
    <n v="436"/>
    <n v="282"/>
    <x v="3"/>
    <x v="118"/>
    <x v="3"/>
    <n v="1"/>
    <x v="0"/>
    <d v="2025-10-03T11:37:00"/>
    <x v="2"/>
    <x v="10"/>
    <n v="4959"/>
    <n v="1"/>
    <n v="4959"/>
    <x v="2"/>
  </r>
  <r>
    <n v="314"/>
    <n v="129"/>
    <x v="8"/>
    <x v="103"/>
    <x v="3"/>
    <n v="1"/>
    <x v="0"/>
    <d v="2025-10-03T11:55:00"/>
    <x v="2"/>
    <x v="10"/>
    <n v="3689"/>
    <n v="3"/>
    <n v="11067"/>
    <x v="2"/>
  </r>
  <r>
    <n v="123"/>
    <n v="275"/>
    <x v="5"/>
    <x v="119"/>
    <x v="1"/>
    <n v="6"/>
    <x v="0"/>
    <d v="2025-10-03T12:05:00"/>
    <x v="2"/>
    <x v="11"/>
    <n v="5638"/>
    <n v="1"/>
    <n v="5638"/>
    <x v="1"/>
  </r>
  <r>
    <n v="222"/>
    <n v="248"/>
    <x v="4"/>
    <x v="120"/>
    <x v="6"/>
    <n v="5"/>
    <x v="0"/>
    <d v="2025-10-03T12:13:00"/>
    <x v="2"/>
    <x v="11"/>
    <n v="4000"/>
    <n v="2"/>
    <n v="8000"/>
    <x v="2"/>
  </r>
  <r>
    <n v="612"/>
    <n v="145"/>
    <x v="9"/>
    <x v="121"/>
    <x v="4"/>
    <n v="7"/>
    <x v="0"/>
    <d v="2025-10-03T12:14:00"/>
    <x v="2"/>
    <x v="11"/>
    <n v="3935"/>
    <n v="1"/>
    <n v="3935"/>
    <x v="2"/>
  </r>
  <r>
    <n v="370"/>
    <n v="92"/>
    <x v="7"/>
    <x v="122"/>
    <x v="4"/>
    <n v="7"/>
    <x v="0"/>
    <d v="2025-10-03T12:39:00"/>
    <x v="2"/>
    <x v="11"/>
    <n v="2222"/>
    <n v="5"/>
    <n v="11110"/>
    <x v="2"/>
  </r>
  <r>
    <n v="281"/>
    <n v="24"/>
    <x v="3"/>
    <x v="123"/>
    <x v="1"/>
    <n v="6"/>
    <x v="0"/>
    <d v="2025-10-03T12:58:00"/>
    <x v="2"/>
    <x v="11"/>
    <n v="6759"/>
    <n v="2"/>
    <n v="13518"/>
    <x v="1"/>
  </r>
  <r>
    <n v="654"/>
    <n v="252"/>
    <x v="7"/>
    <x v="124"/>
    <x v="5"/>
    <n v="4"/>
    <x v="1"/>
    <d v="2025-10-03T12:59:00"/>
    <x v="2"/>
    <x v="11"/>
    <n v="244"/>
    <n v="0"/>
    <n v="0"/>
    <x v="3"/>
  </r>
  <r>
    <n v="481"/>
    <n v="246"/>
    <x v="9"/>
    <x v="125"/>
    <x v="4"/>
    <n v="7"/>
    <x v="0"/>
    <d v="2025-10-03T13:08:00"/>
    <x v="2"/>
    <x v="21"/>
    <n v="2146"/>
    <n v="1"/>
    <n v="2146"/>
    <x v="2"/>
  </r>
  <r>
    <n v="259"/>
    <n v="245"/>
    <x v="4"/>
    <x v="126"/>
    <x v="0"/>
    <n v="2"/>
    <x v="0"/>
    <d v="2025-10-03T14:11:00"/>
    <x v="2"/>
    <x v="12"/>
    <n v="11190"/>
    <n v="3"/>
    <n v="33570"/>
    <x v="0"/>
  </r>
  <r>
    <n v="76"/>
    <n v="296"/>
    <x v="2"/>
    <x v="127"/>
    <x v="2"/>
    <n v="3"/>
    <x v="0"/>
    <d v="2025-10-03T14:19:00"/>
    <x v="2"/>
    <x v="12"/>
    <n v="2267"/>
    <n v="3"/>
    <n v="6801"/>
    <x v="2"/>
  </r>
  <r>
    <n v="153"/>
    <n v="289"/>
    <x v="0"/>
    <x v="87"/>
    <x v="5"/>
    <n v="4"/>
    <x v="0"/>
    <d v="2025-10-03T14:23:00"/>
    <x v="2"/>
    <x v="12"/>
    <n v="1490"/>
    <n v="3"/>
    <n v="4470"/>
    <x v="2"/>
  </r>
  <r>
    <n v="572"/>
    <n v="214"/>
    <x v="5"/>
    <x v="109"/>
    <x v="0"/>
    <n v="2"/>
    <x v="0"/>
    <d v="2025-10-03T14:40:00"/>
    <x v="2"/>
    <x v="12"/>
    <n v="8821"/>
    <n v="3"/>
    <n v="26463"/>
    <x v="1"/>
  </r>
  <r>
    <n v="795"/>
    <n v="268"/>
    <x v="9"/>
    <x v="128"/>
    <x v="0"/>
    <n v="2"/>
    <x v="0"/>
    <d v="2025-10-03T16:33:00"/>
    <x v="2"/>
    <x v="14"/>
    <n v="14038"/>
    <n v="2"/>
    <n v="28076"/>
    <x v="0"/>
  </r>
  <r>
    <n v="603"/>
    <n v="220"/>
    <x v="8"/>
    <x v="129"/>
    <x v="5"/>
    <n v="4"/>
    <x v="1"/>
    <d v="2025-10-03T16:40:00"/>
    <x v="2"/>
    <x v="14"/>
    <n v="859"/>
    <n v="0"/>
    <n v="0"/>
    <x v="3"/>
  </r>
  <r>
    <n v="625"/>
    <n v="51"/>
    <x v="9"/>
    <x v="130"/>
    <x v="1"/>
    <n v="6"/>
    <x v="0"/>
    <d v="2025-10-03T17:10:00"/>
    <x v="2"/>
    <x v="15"/>
    <n v="7094"/>
    <n v="2"/>
    <n v="14188"/>
    <x v="1"/>
  </r>
  <r>
    <n v="677"/>
    <n v="42"/>
    <x v="5"/>
    <x v="78"/>
    <x v="5"/>
    <n v="4"/>
    <x v="0"/>
    <d v="2025-10-03T17:48:00"/>
    <x v="2"/>
    <x v="15"/>
    <n v="595"/>
    <n v="1"/>
    <n v="595"/>
    <x v="3"/>
  </r>
  <r>
    <n v="77"/>
    <n v="81"/>
    <x v="4"/>
    <x v="131"/>
    <x v="2"/>
    <n v="3"/>
    <x v="0"/>
    <d v="2025-10-03T17:55:00"/>
    <x v="2"/>
    <x v="15"/>
    <n v="2708"/>
    <n v="2"/>
    <n v="5416"/>
    <x v="2"/>
  </r>
  <r>
    <n v="482"/>
    <n v="150"/>
    <x v="8"/>
    <x v="132"/>
    <x v="5"/>
    <n v="4"/>
    <x v="0"/>
    <d v="2025-10-03T18:29:00"/>
    <x v="2"/>
    <x v="16"/>
    <n v="64"/>
    <n v="1"/>
    <n v="64"/>
    <x v="3"/>
  </r>
  <r>
    <n v="290"/>
    <n v="233"/>
    <x v="7"/>
    <x v="133"/>
    <x v="4"/>
    <n v="7"/>
    <x v="0"/>
    <d v="2025-10-03T18:42:00"/>
    <x v="2"/>
    <x v="16"/>
    <n v="1685"/>
    <n v="2"/>
    <n v="3370"/>
    <x v="2"/>
  </r>
  <r>
    <n v="641"/>
    <n v="102"/>
    <x v="5"/>
    <x v="119"/>
    <x v="1"/>
    <n v="6"/>
    <x v="0"/>
    <d v="2025-10-03T19:08:00"/>
    <x v="2"/>
    <x v="22"/>
    <n v="3317"/>
    <n v="2"/>
    <n v="6634"/>
    <x v="2"/>
  </r>
  <r>
    <n v="664"/>
    <n v="77"/>
    <x v="3"/>
    <x v="91"/>
    <x v="3"/>
    <n v="1"/>
    <x v="0"/>
    <d v="2025-10-03T19:35:00"/>
    <x v="2"/>
    <x v="22"/>
    <n v="4340"/>
    <n v="2"/>
    <n v="8680"/>
    <x v="2"/>
  </r>
  <r>
    <n v="170"/>
    <n v="158"/>
    <x v="1"/>
    <x v="60"/>
    <x v="3"/>
    <n v="1"/>
    <x v="0"/>
    <d v="2025-10-03T19:55:00"/>
    <x v="2"/>
    <x v="22"/>
    <n v="3048"/>
    <n v="1"/>
    <n v="3048"/>
    <x v="2"/>
  </r>
  <r>
    <n v="450"/>
    <n v="64"/>
    <x v="9"/>
    <x v="113"/>
    <x v="5"/>
    <n v="4"/>
    <x v="0"/>
    <d v="2025-10-03T19:58:00"/>
    <x v="2"/>
    <x v="22"/>
    <n v="1451"/>
    <n v="1"/>
    <n v="1451"/>
    <x v="2"/>
  </r>
  <r>
    <n v="413"/>
    <n v="140"/>
    <x v="7"/>
    <x v="117"/>
    <x v="3"/>
    <n v="1"/>
    <x v="0"/>
    <d v="2025-10-03T20:45:00"/>
    <x v="2"/>
    <x v="17"/>
    <n v="4991"/>
    <n v="2"/>
    <n v="9982"/>
    <x v="2"/>
  </r>
  <r>
    <n v="83"/>
    <n v="21"/>
    <x v="8"/>
    <x v="134"/>
    <x v="0"/>
    <n v="2"/>
    <x v="0"/>
    <d v="2025-10-03T20:56:00"/>
    <x v="2"/>
    <x v="17"/>
    <n v="12275"/>
    <n v="1"/>
    <n v="12275"/>
    <x v="0"/>
  </r>
  <r>
    <n v="257"/>
    <n v="14"/>
    <x v="6"/>
    <x v="135"/>
    <x v="3"/>
    <n v="1"/>
    <x v="0"/>
    <d v="2025-10-03T21:01:00"/>
    <x v="2"/>
    <x v="23"/>
    <n v="4715"/>
    <n v="3"/>
    <n v="14145"/>
    <x v="2"/>
  </r>
  <r>
    <n v="22"/>
    <n v="138"/>
    <x v="9"/>
    <x v="100"/>
    <x v="5"/>
    <n v="4"/>
    <x v="0"/>
    <d v="2025-10-03T21:02:00"/>
    <x v="2"/>
    <x v="23"/>
    <n v="154"/>
    <n v="2"/>
    <n v="308"/>
    <x v="3"/>
  </r>
  <r>
    <n v="532"/>
    <n v="227"/>
    <x v="4"/>
    <x v="66"/>
    <x v="3"/>
    <n v="1"/>
    <x v="0"/>
    <d v="2025-10-03T21:26:00"/>
    <x v="2"/>
    <x v="23"/>
    <n v="5540"/>
    <n v="4"/>
    <n v="22160"/>
    <x v="1"/>
  </r>
  <r>
    <n v="651"/>
    <n v="252"/>
    <x v="9"/>
    <x v="18"/>
    <x v="3"/>
    <n v="1"/>
    <x v="0"/>
    <d v="2025-10-03T21:56:00"/>
    <x v="2"/>
    <x v="23"/>
    <n v="3170"/>
    <n v="3"/>
    <n v="9510"/>
    <x v="2"/>
  </r>
  <r>
    <n v="342"/>
    <n v="165"/>
    <x v="6"/>
    <x v="136"/>
    <x v="6"/>
    <n v="5"/>
    <x v="0"/>
    <d v="2025-10-03T21:56:00"/>
    <x v="2"/>
    <x v="23"/>
    <n v="1213"/>
    <n v="1"/>
    <n v="1213"/>
    <x v="2"/>
  </r>
  <r>
    <n v="422"/>
    <n v="254"/>
    <x v="4"/>
    <x v="137"/>
    <x v="6"/>
    <n v="5"/>
    <x v="1"/>
    <d v="2025-10-03T22:15:00"/>
    <x v="2"/>
    <x v="18"/>
    <n v="3397"/>
    <n v="0"/>
    <n v="0"/>
    <x v="2"/>
  </r>
  <r>
    <n v="38"/>
    <n v="233"/>
    <x v="2"/>
    <x v="64"/>
    <x v="0"/>
    <n v="2"/>
    <x v="0"/>
    <d v="2025-10-03T22:22:00"/>
    <x v="2"/>
    <x v="18"/>
    <n v="8861"/>
    <n v="2"/>
    <n v="17722"/>
    <x v="1"/>
  </r>
  <r>
    <n v="119"/>
    <n v="207"/>
    <x v="7"/>
    <x v="83"/>
    <x v="3"/>
    <n v="1"/>
    <x v="0"/>
    <d v="2025-10-03T22:50:00"/>
    <x v="2"/>
    <x v="18"/>
    <n v="1682"/>
    <n v="1"/>
    <n v="1682"/>
    <x v="2"/>
  </r>
  <r>
    <n v="424"/>
    <n v="28"/>
    <x v="3"/>
    <x v="138"/>
    <x v="6"/>
    <n v="5"/>
    <x v="0"/>
    <d v="2025-10-03T22:55:00"/>
    <x v="2"/>
    <x v="18"/>
    <n v="2707"/>
    <n v="1"/>
    <n v="2707"/>
    <x v="2"/>
  </r>
  <r>
    <n v="775"/>
    <n v="256"/>
    <x v="6"/>
    <x v="139"/>
    <x v="2"/>
    <n v="3"/>
    <x v="1"/>
    <d v="2025-10-03T23:26:00"/>
    <x v="2"/>
    <x v="19"/>
    <n v="3101"/>
    <n v="0"/>
    <n v="0"/>
    <x v="2"/>
  </r>
  <r>
    <n v="274"/>
    <n v="282"/>
    <x v="0"/>
    <x v="15"/>
    <x v="3"/>
    <n v="1"/>
    <x v="0"/>
    <d v="2025-10-03T23:39:00"/>
    <x v="2"/>
    <x v="19"/>
    <n v="6149"/>
    <n v="4"/>
    <n v="24596"/>
    <x v="1"/>
  </r>
  <r>
    <n v="125"/>
    <n v="15"/>
    <x v="8"/>
    <x v="140"/>
    <x v="5"/>
    <n v="4"/>
    <x v="0"/>
    <d v="2025-10-04T00:52:00"/>
    <x v="3"/>
    <x v="0"/>
    <n v="265"/>
    <n v="1"/>
    <n v="265"/>
    <x v="3"/>
  </r>
  <r>
    <n v="319"/>
    <n v="283"/>
    <x v="5"/>
    <x v="141"/>
    <x v="5"/>
    <n v="4"/>
    <x v="0"/>
    <d v="2025-10-04T00:56:00"/>
    <x v="3"/>
    <x v="0"/>
    <n v="1451"/>
    <n v="2"/>
    <n v="2902"/>
    <x v="2"/>
  </r>
  <r>
    <n v="231"/>
    <n v="59"/>
    <x v="2"/>
    <x v="2"/>
    <x v="2"/>
    <n v="3"/>
    <x v="0"/>
    <d v="2025-10-04T01:07:00"/>
    <x v="3"/>
    <x v="1"/>
    <n v="1694"/>
    <n v="2"/>
    <n v="3388"/>
    <x v="2"/>
  </r>
  <r>
    <n v="734"/>
    <n v="150"/>
    <x v="4"/>
    <x v="142"/>
    <x v="0"/>
    <n v="2"/>
    <x v="0"/>
    <d v="2025-10-04T01:10:00"/>
    <x v="3"/>
    <x v="1"/>
    <n v="11420"/>
    <n v="2"/>
    <n v="22840"/>
    <x v="0"/>
  </r>
  <r>
    <n v="495"/>
    <n v="242"/>
    <x v="7"/>
    <x v="143"/>
    <x v="4"/>
    <n v="7"/>
    <x v="0"/>
    <d v="2025-10-04T02:19:00"/>
    <x v="3"/>
    <x v="2"/>
    <n v="5829"/>
    <n v="2"/>
    <n v="11658"/>
    <x v="1"/>
  </r>
  <r>
    <n v="393"/>
    <n v="98"/>
    <x v="3"/>
    <x v="35"/>
    <x v="5"/>
    <n v="4"/>
    <x v="1"/>
    <d v="2025-10-04T03:14:00"/>
    <x v="3"/>
    <x v="3"/>
    <n v="582"/>
    <n v="0"/>
    <n v="0"/>
    <x v="3"/>
  </r>
  <r>
    <n v="283"/>
    <n v="213"/>
    <x v="4"/>
    <x v="102"/>
    <x v="3"/>
    <n v="1"/>
    <x v="1"/>
    <d v="2025-10-04T03:22:00"/>
    <x v="3"/>
    <x v="3"/>
    <n v="5970"/>
    <n v="0"/>
    <n v="0"/>
    <x v="1"/>
  </r>
  <r>
    <n v="290"/>
    <n v="153"/>
    <x v="7"/>
    <x v="144"/>
    <x v="2"/>
    <n v="3"/>
    <x v="1"/>
    <d v="2025-10-04T03:51:00"/>
    <x v="3"/>
    <x v="3"/>
    <n v="4343"/>
    <n v="0"/>
    <n v="0"/>
    <x v="2"/>
  </r>
  <r>
    <n v="458"/>
    <n v="276"/>
    <x v="8"/>
    <x v="47"/>
    <x v="5"/>
    <n v="4"/>
    <x v="0"/>
    <d v="2025-10-04T04:36:00"/>
    <x v="3"/>
    <x v="4"/>
    <n v="1348"/>
    <n v="1"/>
    <n v="1348"/>
    <x v="2"/>
  </r>
  <r>
    <n v="782"/>
    <n v="279"/>
    <x v="6"/>
    <x v="145"/>
    <x v="0"/>
    <n v="2"/>
    <x v="0"/>
    <d v="2025-10-04T04:57:00"/>
    <x v="3"/>
    <x v="4"/>
    <n v="11911"/>
    <n v="1"/>
    <n v="11911"/>
    <x v="0"/>
  </r>
  <r>
    <n v="715"/>
    <n v="123"/>
    <x v="6"/>
    <x v="146"/>
    <x v="3"/>
    <n v="1"/>
    <x v="0"/>
    <d v="2025-10-04T05:17:00"/>
    <x v="3"/>
    <x v="20"/>
    <n v="4123"/>
    <n v="2"/>
    <n v="8246"/>
    <x v="2"/>
  </r>
  <r>
    <n v="45"/>
    <n v="163"/>
    <x v="5"/>
    <x v="147"/>
    <x v="3"/>
    <n v="1"/>
    <x v="0"/>
    <d v="2025-10-04T05:24:00"/>
    <x v="3"/>
    <x v="20"/>
    <n v="5680"/>
    <n v="1"/>
    <n v="5680"/>
    <x v="1"/>
  </r>
  <r>
    <n v="680"/>
    <n v="78"/>
    <x v="2"/>
    <x v="148"/>
    <x v="3"/>
    <n v="1"/>
    <x v="0"/>
    <d v="2025-10-04T05:27:00"/>
    <x v="3"/>
    <x v="20"/>
    <n v="7142"/>
    <n v="3"/>
    <n v="21426"/>
    <x v="1"/>
  </r>
  <r>
    <n v="605"/>
    <n v="170"/>
    <x v="4"/>
    <x v="19"/>
    <x v="5"/>
    <n v="4"/>
    <x v="0"/>
    <d v="2025-10-04T06:27:00"/>
    <x v="3"/>
    <x v="5"/>
    <n v="882"/>
    <n v="3"/>
    <n v="2646"/>
    <x v="3"/>
  </r>
  <r>
    <n v="468"/>
    <n v="8"/>
    <x v="1"/>
    <x v="149"/>
    <x v="0"/>
    <n v="2"/>
    <x v="0"/>
    <d v="2025-10-04T07:28:00"/>
    <x v="3"/>
    <x v="6"/>
    <n v="5669"/>
    <n v="3"/>
    <n v="17007"/>
    <x v="1"/>
  </r>
  <r>
    <n v="481"/>
    <n v="136"/>
    <x v="4"/>
    <x v="150"/>
    <x v="1"/>
    <n v="6"/>
    <x v="1"/>
    <d v="2025-10-04T07:55:00"/>
    <x v="3"/>
    <x v="6"/>
    <n v="4370"/>
    <n v="0"/>
    <n v="0"/>
    <x v="2"/>
  </r>
  <r>
    <n v="83"/>
    <n v="169"/>
    <x v="2"/>
    <x v="69"/>
    <x v="3"/>
    <n v="1"/>
    <x v="0"/>
    <d v="2025-10-04T08:06:00"/>
    <x v="3"/>
    <x v="7"/>
    <n v="3892"/>
    <n v="5"/>
    <n v="19460"/>
    <x v="2"/>
  </r>
  <r>
    <n v="642"/>
    <n v="250"/>
    <x v="2"/>
    <x v="38"/>
    <x v="6"/>
    <n v="5"/>
    <x v="0"/>
    <d v="2025-10-04T08:17:00"/>
    <x v="3"/>
    <x v="7"/>
    <n v="3635"/>
    <n v="3"/>
    <n v="10905"/>
    <x v="2"/>
  </r>
  <r>
    <n v="241"/>
    <n v="148"/>
    <x v="9"/>
    <x v="151"/>
    <x v="5"/>
    <n v="4"/>
    <x v="0"/>
    <d v="2025-10-04T08:52:00"/>
    <x v="3"/>
    <x v="7"/>
    <n v="976"/>
    <n v="2"/>
    <n v="1952"/>
    <x v="3"/>
  </r>
  <r>
    <n v="101"/>
    <n v="52"/>
    <x v="1"/>
    <x v="70"/>
    <x v="6"/>
    <n v="5"/>
    <x v="1"/>
    <d v="2025-10-04T09:52:00"/>
    <x v="3"/>
    <x v="8"/>
    <n v="1913"/>
    <n v="0"/>
    <n v="0"/>
    <x v="2"/>
  </r>
  <r>
    <n v="48"/>
    <n v="167"/>
    <x v="7"/>
    <x v="152"/>
    <x v="4"/>
    <n v="7"/>
    <x v="0"/>
    <d v="2025-10-04T10:50:00"/>
    <x v="3"/>
    <x v="9"/>
    <n v="5019"/>
    <n v="3"/>
    <n v="15057"/>
    <x v="1"/>
  </r>
  <r>
    <n v="384"/>
    <n v="221"/>
    <x v="7"/>
    <x v="83"/>
    <x v="3"/>
    <n v="1"/>
    <x v="0"/>
    <d v="2025-10-04T11:30:00"/>
    <x v="3"/>
    <x v="10"/>
    <n v="7350"/>
    <n v="4"/>
    <n v="29400"/>
    <x v="1"/>
  </r>
  <r>
    <n v="580"/>
    <n v="93"/>
    <x v="3"/>
    <x v="138"/>
    <x v="6"/>
    <n v="5"/>
    <x v="0"/>
    <d v="2025-10-04T11:57:00"/>
    <x v="3"/>
    <x v="10"/>
    <n v="1321"/>
    <n v="2"/>
    <n v="2642"/>
    <x v="2"/>
  </r>
  <r>
    <n v="392"/>
    <n v="124"/>
    <x v="1"/>
    <x v="8"/>
    <x v="3"/>
    <n v="1"/>
    <x v="0"/>
    <d v="2025-10-04T11:59:00"/>
    <x v="3"/>
    <x v="10"/>
    <n v="2281"/>
    <n v="1"/>
    <n v="2281"/>
    <x v="2"/>
  </r>
  <r>
    <n v="473"/>
    <n v="131"/>
    <x v="4"/>
    <x v="153"/>
    <x v="5"/>
    <n v="4"/>
    <x v="0"/>
    <d v="2025-10-04T12:04:00"/>
    <x v="3"/>
    <x v="11"/>
    <n v="1167"/>
    <n v="2"/>
    <n v="2334"/>
    <x v="2"/>
  </r>
  <r>
    <n v="295"/>
    <n v="280"/>
    <x v="0"/>
    <x v="154"/>
    <x v="3"/>
    <n v="1"/>
    <x v="1"/>
    <d v="2025-10-04T13:05:00"/>
    <x v="3"/>
    <x v="21"/>
    <n v="4694"/>
    <n v="0"/>
    <n v="0"/>
    <x v="2"/>
  </r>
  <r>
    <n v="602"/>
    <n v="154"/>
    <x v="8"/>
    <x v="155"/>
    <x v="0"/>
    <n v="2"/>
    <x v="0"/>
    <d v="2025-10-04T13:29:00"/>
    <x v="3"/>
    <x v="21"/>
    <n v="6425"/>
    <n v="2"/>
    <n v="12850"/>
    <x v="1"/>
  </r>
  <r>
    <n v="310"/>
    <n v="102"/>
    <x v="7"/>
    <x v="156"/>
    <x v="0"/>
    <n v="2"/>
    <x v="0"/>
    <d v="2025-10-04T13:30:00"/>
    <x v="3"/>
    <x v="21"/>
    <n v="14485"/>
    <n v="5"/>
    <n v="72425"/>
    <x v="0"/>
  </r>
  <r>
    <n v="391"/>
    <n v="293"/>
    <x v="1"/>
    <x v="157"/>
    <x v="4"/>
    <n v="7"/>
    <x v="1"/>
    <d v="2025-10-04T13:32:00"/>
    <x v="3"/>
    <x v="21"/>
    <n v="4698"/>
    <n v="0"/>
    <n v="0"/>
    <x v="2"/>
  </r>
  <r>
    <n v="303"/>
    <n v="12"/>
    <x v="7"/>
    <x v="117"/>
    <x v="3"/>
    <n v="1"/>
    <x v="0"/>
    <d v="2025-10-04T14:01:00"/>
    <x v="3"/>
    <x v="12"/>
    <n v="4034"/>
    <n v="1"/>
    <n v="4034"/>
    <x v="2"/>
  </r>
  <r>
    <n v="580"/>
    <n v="26"/>
    <x v="7"/>
    <x v="158"/>
    <x v="0"/>
    <n v="2"/>
    <x v="0"/>
    <d v="2025-10-04T14:01:00"/>
    <x v="3"/>
    <x v="12"/>
    <n v="14786"/>
    <n v="2"/>
    <n v="29572"/>
    <x v="0"/>
  </r>
  <r>
    <n v="795"/>
    <n v="118"/>
    <x v="8"/>
    <x v="155"/>
    <x v="0"/>
    <n v="2"/>
    <x v="1"/>
    <d v="2025-10-04T14:06:00"/>
    <x v="3"/>
    <x v="12"/>
    <n v="14116"/>
    <n v="0"/>
    <n v="0"/>
    <x v="0"/>
  </r>
  <r>
    <n v="636"/>
    <n v="129"/>
    <x v="5"/>
    <x v="141"/>
    <x v="5"/>
    <n v="4"/>
    <x v="0"/>
    <d v="2025-10-04T14:27:00"/>
    <x v="3"/>
    <x v="12"/>
    <n v="1273"/>
    <n v="1"/>
    <n v="1273"/>
    <x v="2"/>
  </r>
  <r>
    <n v="100"/>
    <n v="21"/>
    <x v="4"/>
    <x v="159"/>
    <x v="4"/>
    <n v="7"/>
    <x v="0"/>
    <d v="2025-10-04T14:58:00"/>
    <x v="3"/>
    <x v="12"/>
    <n v="7238"/>
    <n v="1"/>
    <n v="7238"/>
    <x v="1"/>
  </r>
  <r>
    <n v="374"/>
    <n v="68"/>
    <x v="0"/>
    <x v="160"/>
    <x v="3"/>
    <n v="1"/>
    <x v="0"/>
    <d v="2025-10-04T15:26:00"/>
    <x v="3"/>
    <x v="13"/>
    <n v="3555"/>
    <n v="1"/>
    <n v="3555"/>
    <x v="2"/>
  </r>
  <r>
    <n v="180"/>
    <n v="103"/>
    <x v="6"/>
    <x v="33"/>
    <x v="5"/>
    <n v="4"/>
    <x v="1"/>
    <d v="2025-10-04T15:33:00"/>
    <x v="3"/>
    <x v="13"/>
    <n v="185"/>
    <n v="0"/>
    <n v="0"/>
    <x v="3"/>
  </r>
  <r>
    <n v="514"/>
    <n v="140"/>
    <x v="6"/>
    <x v="139"/>
    <x v="2"/>
    <n v="3"/>
    <x v="0"/>
    <d v="2025-10-04T16:06:00"/>
    <x v="3"/>
    <x v="14"/>
    <n v="2658"/>
    <n v="3"/>
    <n v="7974"/>
    <x v="2"/>
  </r>
  <r>
    <n v="303"/>
    <n v="174"/>
    <x v="7"/>
    <x v="54"/>
    <x v="3"/>
    <n v="1"/>
    <x v="0"/>
    <d v="2025-10-04T16:13:00"/>
    <x v="3"/>
    <x v="14"/>
    <n v="7687"/>
    <n v="2"/>
    <n v="15374"/>
    <x v="1"/>
  </r>
  <r>
    <n v="773"/>
    <n v="116"/>
    <x v="1"/>
    <x v="161"/>
    <x v="0"/>
    <n v="2"/>
    <x v="0"/>
    <d v="2025-10-04T16:24:00"/>
    <x v="3"/>
    <x v="14"/>
    <n v="5925"/>
    <n v="4"/>
    <n v="23700"/>
    <x v="1"/>
  </r>
  <r>
    <n v="375"/>
    <n v="47"/>
    <x v="2"/>
    <x v="162"/>
    <x v="6"/>
    <n v="5"/>
    <x v="0"/>
    <d v="2025-10-04T17:00:00"/>
    <x v="3"/>
    <x v="15"/>
    <n v="3740"/>
    <n v="3"/>
    <n v="11220"/>
    <x v="2"/>
  </r>
  <r>
    <n v="127"/>
    <n v="233"/>
    <x v="7"/>
    <x v="94"/>
    <x v="5"/>
    <n v="4"/>
    <x v="0"/>
    <d v="2025-10-04T17:28:00"/>
    <x v="3"/>
    <x v="15"/>
    <n v="665"/>
    <n v="1"/>
    <n v="665"/>
    <x v="3"/>
  </r>
  <r>
    <n v="391"/>
    <n v="191"/>
    <x v="7"/>
    <x v="163"/>
    <x v="3"/>
    <n v="1"/>
    <x v="0"/>
    <d v="2025-10-04T18:18:00"/>
    <x v="3"/>
    <x v="16"/>
    <n v="4163"/>
    <n v="2"/>
    <n v="8326"/>
    <x v="2"/>
  </r>
  <r>
    <n v="26"/>
    <n v="288"/>
    <x v="5"/>
    <x v="147"/>
    <x v="3"/>
    <n v="1"/>
    <x v="0"/>
    <d v="2025-10-04T18:46:00"/>
    <x v="3"/>
    <x v="16"/>
    <n v="2032"/>
    <n v="2"/>
    <n v="4064"/>
    <x v="2"/>
  </r>
  <r>
    <n v="65"/>
    <n v="238"/>
    <x v="5"/>
    <x v="164"/>
    <x v="3"/>
    <n v="1"/>
    <x v="1"/>
    <d v="2025-10-04T19:09:00"/>
    <x v="3"/>
    <x v="22"/>
    <n v="3799"/>
    <n v="0"/>
    <n v="0"/>
    <x v="2"/>
  </r>
  <r>
    <n v="144"/>
    <n v="24"/>
    <x v="2"/>
    <x v="165"/>
    <x v="1"/>
    <n v="6"/>
    <x v="1"/>
    <d v="2025-10-04T19:11:00"/>
    <x v="3"/>
    <x v="22"/>
    <n v="7083"/>
    <n v="0"/>
    <n v="0"/>
    <x v="1"/>
  </r>
  <r>
    <n v="100"/>
    <n v="121"/>
    <x v="8"/>
    <x v="111"/>
    <x v="2"/>
    <n v="3"/>
    <x v="0"/>
    <d v="2025-10-04T19:23:00"/>
    <x v="3"/>
    <x v="22"/>
    <n v="1759"/>
    <n v="1"/>
    <n v="1759"/>
    <x v="2"/>
  </r>
  <r>
    <n v="380"/>
    <n v="277"/>
    <x v="2"/>
    <x v="148"/>
    <x v="3"/>
    <n v="1"/>
    <x v="0"/>
    <d v="2025-10-04T19:32:00"/>
    <x v="3"/>
    <x v="22"/>
    <n v="5272"/>
    <n v="2"/>
    <n v="10544"/>
    <x v="1"/>
  </r>
  <r>
    <n v="671"/>
    <n v="51"/>
    <x v="4"/>
    <x v="93"/>
    <x v="5"/>
    <n v="4"/>
    <x v="0"/>
    <d v="2025-10-04T19:39:00"/>
    <x v="3"/>
    <x v="22"/>
    <n v="1008"/>
    <n v="3"/>
    <n v="3024"/>
    <x v="2"/>
  </r>
  <r>
    <n v="34"/>
    <n v="190"/>
    <x v="2"/>
    <x v="38"/>
    <x v="6"/>
    <n v="5"/>
    <x v="0"/>
    <d v="2025-10-04T21:15:00"/>
    <x v="3"/>
    <x v="23"/>
    <n v="2919"/>
    <n v="3"/>
    <n v="8757"/>
    <x v="2"/>
  </r>
  <r>
    <n v="372"/>
    <n v="51"/>
    <x v="8"/>
    <x v="166"/>
    <x v="3"/>
    <n v="1"/>
    <x v="0"/>
    <d v="2025-10-04T21:28:00"/>
    <x v="3"/>
    <x v="23"/>
    <n v="2806"/>
    <n v="3"/>
    <n v="8418"/>
    <x v="2"/>
  </r>
  <r>
    <n v="408"/>
    <n v="142"/>
    <x v="6"/>
    <x v="167"/>
    <x v="1"/>
    <n v="6"/>
    <x v="0"/>
    <d v="2025-10-04T22:27:00"/>
    <x v="3"/>
    <x v="18"/>
    <n v="8096"/>
    <n v="2"/>
    <n v="16192"/>
    <x v="1"/>
  </r>
  <r>
    <n v="679"/>
    <n v="109"/>
    <x v="8"/>
    <x v="30"/>
    <x v="3"/>
    <n v="1"/>
    <x v="0"/>
    <d v="2025-10-04T22:53:00"/>
    <x v="3"/>
    <x v="18"/>
    <n v="2416"/>
    <n v="3"/>
    <n v="7248"/>
    <x v="2"/>
  </r>
  <r>
    <n v="129"/>
    <n v="290"/>
    <x v="6"/>
    <x v="11"/>
    <x v="2"/>
    <n v="3"/>
    <x v="0"/>
    <d v="2025-10-04T23:35:00"/>
    <x v="3"/>
    <x v="19"/>
    <n v="1500"/>
    <n v="4"/>
    <n v="6000"/>
    <x v="2"/>
  </r>
  <r>
    <n v="601"/>
    <n v="111"/>
    <x v="3"/>
    <x v="35"/>
    <x v="5"/>
    <n v="4"/>
    <x v="0"/>
    <d v="2025-10-04T23:54:00"/>
    <x v="3"/>
    <x v="19"/>
    <n v="305"/>
    <n v="1"/>
    <n v="305"/>
    <x v="3"/>
  </r>
  <r>
    <n v="3"/>
    <n v="142"/>
    <x v="4"/>
    <x v="131"/>
    <x v="2"/>
    <n v="3"/>
    <x v="0"/>
    <d v="2025-10-05T00:17:00"/>
    <x v="4"/>
    <x v="0"/>
    <n v="3376"/>
    <n v="3"/>
    <n v="10128"/>
    <x v="2"/>
  </r>
  <r>
    <n v="179"/>
    <n v="57"/>
    <x v="3"/>
    <x v="56"/>
    <x v="5"/>
    <n v="4"/>
    <x v="0"/>
    <d v="2025-10-05T00:35:00"/>
    <x v="4"/>
    <x v="0"/>
    <n v="212"/>
    <n v="2"/>
    <n v="424"/>
    <x v="3"/>
  </r>
  <r>
    <n v="367"/>
    <n v="122"/>
    <x v="4"/>
    <x v="126"/>
    <x v="0"/>
    <n v="2"/>
    <x v="0"/>
    <d v="2025-10-05T00:40:00"/>
    <x v="4"/>
    <x v="0"/>
    <n v="14643"/>
    <n v="2"/>
    <n v="29286"/>
    <x v="0"/>
  </r>
  <r>
    <n v="272"/>
    <n v="27"/>
    <x v="0"/>
    <x v="168"/>
    <x v="6"/>
    <n v="5"/>
    <x v="0"/>
    <d v="2025-10-05T01:14:00"/>
    <x v="4"/>
    <x v="1"/>
    <n v="3176"/>
    <n v="1"/>
    <n v="3176"/>
    <x v="2"/>
  </r>
  <r>
    <n v="117"/>
    <n v="33"/>
    <x v="2"/>
    <x v="169"/>
    <x v="2"/>
    <n v="3"/>
    <x v="1"/>
    <d v="2025-10-05T01:23:00"/>
    <x v="4"/>
    <x v="1"/>
    <n v="2717"/>
    <n v="0"/>
    <n v="0"/>
    <x v="2"/>
  </r>
  <r>
    <n v="608"/>
    <n v="56"/>
    <x v="6"/>
    <x v="170"/>
    <x v="6"/>
    <n v="5"/>
    <x v="0"/>
    <d v="2025-10-05T01:24:00"/>
    <x v="4"/>
    <x v="1"/>
    <n v="2779"/>
    <n v="2"/>
    <n v="5558"/>
    <x v="2"/>
  </r>
  <r>
    <n v="45"/>
    <n v="267"/>
    <x v="5"/>
    <x v="171"/>
    <x v="4"/>
    <n v="7"/>
    <x v="0"/>
    <d v="2025-10-05T01:51:00"/>
    <x v="4"/>
    <x v="1"/>
    <n v="5259"/>
    <n v="1"/>
    <n v="5259"/>
    <x v="1"/>
  </r>
  <r>
    <n v="491"/>
    <n v="206"/>
    <x v="0"/>
    <x v="172"/>
    <x v="5"/>
    <n v="4"/>
    <x v="0"/>
    <d v="2025-10-05T01:56:00"/>
    <x v="4"/>
    <x v="1"/>
    <n v="701"/>
    <n v="2"/>
    <n v="1402"/>
    <x v="3"/>
  </r>
  <r>
    <n v="730"/>
    <n v="228"/>
    <x v="1"/>
    <x v="173"/>
    <x v="5"/>
    <n v="4"/>
    <x v="0"/>
    <d v="2025-10-05T03:11:00"/>
    <x v="4"/>
    <x v="3"/>
    <n v="1074"/>
    <n v="4"/>
    <n v="4296"/>
    <x v="2"/>
  </r>
  <r>
    <n v="152"/>
    <n v="34"/>
    <x v="6"/>
    <x v="174"/>
    <x v="1"/>
    <n v="6"/>
    <x v="0"/>
    <d v="2025-10-05T04:33:00"/>
    <x v="4"/>
    <x v="4"/>
    <n v="3045"/>
    <n v="2"/>
    <n v="6090"/>
    <x v="2"/>
  </r>
  <r>
    <n v="600"/>
    <n v="281"/>
    <x v="9"/>
    <x v="92"/>
    <x v="4"/>
    <n v="7"/>
    <x v="0"/>
    <d v="2025-10-05T05:38:00"/>
    <x v="4"/>
    <x v="20"/>
    <n v="2473"/>
    <n v="3"/>
    <n v="7419"/>
    <x v="2"/>
  </r>
  <r>
    <n v="544"/>
    <n v="151"/>
    <x v="2"/>
    <x v="21"/>
    <x v="3"/>
    <n v="1"/>
    <x v="0"/>
    <d v="2025-10-05T05:50:00"/>
    <x v="4"/>
    <x v="20"/>
    <n v="6799"/>
    <n v="2"/>
    <n v="13598"/>
    <x v="1"/>
  </r>
  <r>
    <n v="102"/>
    <n v="59"/>
    <x v="9"/>
    <x v="18"/>
    <x v="3"/>
    <n v="1"/>
    <x v="1"/>
    <d v="2025-10-05T05:50:00"/>
    <x v="4"/>
    <x v="20"/>
    <n v="4774"/>
    <n v="0"/>
    <n v="0"/>
    <x v="2"/>
  </r>
  <r>
    <n v="221"/>
    <n v="221"/>
    <x v="3"/>
    <x v="175"/>
    <x v="4"/>
    <n v="7"/>
    <x v="0"/>
    <d v="2025-10-05T07:00:00"/>
    <x v="4"/>
    <x v="6"/>
    <n v="6996"/>
    <n v="2"/>
    <n v="13992"/>
    <x v="1"/>
  </r>
  <r>
    <n v="465"/>
    <n v="205"/>
    <x v="2"/>
    <x v="104"/>
    <x v="5"/>
    <n v="4"/>
    <x v="0"/>
    <d v="2025-10-05T07:15:00"/>
    <x v="4"/>
    <x v="6"/>
    <n v="890"/>
    <n v="1"/>
    <n v="890"/>
    <x v="3"/>
  </r>
  <r>
    <n v="438"/>
    <n v="161"/>
    <x v="1"/>
    <x v="116"/>
    <x v="3"/>
    <n v="1"/>
    <x v="0"/>
    <d v="2025-10-05T08:45:00"/>
    <x v="4"/>
    <x v="7"/>
    <n v="4580"/>
    <n v="2"/>
    <n v="9160"/>
    <x v="2"/>
  </r>
  <r>
    <n v="704"/>
    <n v="243"/>
    <x v="6"/>
    <x v="53"/>
    <x v="5"/>
    <n v="4"/>
    <x v="0"/>
    <d v="2025-10-05T10:13:00"/>
    <x v="4"/>
    <x v="9"/>
    <n v="1342"/>
    <n v="2"/>
    <n v="2684"/>
    <x v="2"/>
  </r>
  <r>
    <n v="443"/>
    <n v="50"/>
    <x v="1"/>
    <x v="176"/>
    <x v="1"/>
    <n v="6"/>
    <x v="0"/>
    <d v="2025-10-05T11:04:00"/>
    <x v="4"/>
    <x v="10"/>
    <n v="2945"/>
    <n v="3"/>
    <n v="8835"/>
    <x v="2"/>
  </r>
  <r>
    <n v="601"/>
    <n v="288"/>
    <x v="3"/>
    <x v="177"/>
    <x v="2"/>
    <n v="3"/>
    <x v="1"/>
    <d v="2025-10-05T11:13:00"/>
    <x v="4"/>
    <x v="10"/>
    <n v="4418"/>
    <n v="0"/>
    <n v="0"/>
    <x v="2"/>
  </r>
  <r>
    <n v="363"/>
    <n v="217"/>
    <x v="1"/>
    <x v="178"/>
    <x v="4"/>
    <n v="7"/>
    <x v="0"/>
    <d v="2025-10-05T11:26:00"/>
    <x v="4"/>
    <x v="10"/>
    <n v="6069"/>
    <n v="4"/>
    <n v="24276"/>
    <x v="1"/>
  </r>
  <r>
    <n v="361"/>
    <n v="54"/>
    <x v="9"/>
    <x v="82"/>
    <x v="1"/>
    <n v="6"/>
    <x v="1"/>
    <d v="2025-10-05T12:16:00"/>
    <x v="4"/>
    <x v="11"/>
    <n v="2789"/>
    <n v="0"/>
    <n v="0"/>
    <x v="2"/>
  </r>
  <r>
    <n v="673"/>
    <n v="247"/>
    <x v="5"/>
    <x v="179"/>
    <x v="0"/>
    <n v="2"/>
    <x v="1"/>
    <d v="2025-10-05T12:27:00"/>
    <x v="4"/>
    <x v="11"/>
    <n v="13527"/>
    <n v="0"/>
    <n v="0"/>
    <x v="0"/>
  </r>
  <r>
    <n v="377"/>
    <n v="59"/>
    <x v="6"/>
    <x v="135"/>
    <x v="3"/>
    <n v="1"/>
    <x v="0"/>
    <d v="2025-10-05T12:31:00"/>
    <x v="4"/>
    <x v="11"/>
    <n v="2692"/>
    <n v="3"/>
    <n v="8076"/>
    <x v="2"/>
  </r>
  <r>
    <n v="440"/>
    <n v="288"/>
    <x v="9"/>
    <x v="106"/>
    <x v="3"/>
    <n v="1"/>
    <x v="1"/>
    <d v="2025-10-05T12:53:00"/>
    <x v="4"/>
    <x v="11"/>
    <n v="7189"/>
    <n v="0"/>
    <n v="0"/>
    <x v="1"/>
  </r>
  <r>
    <n v="659"/>
    <n v="286"/>
    <x v="9"/>
    <x v="180"/>
    <x v="3"/>
    <n v="1"/>
    <x v="0"/>
    <d v="2025-10-05T14:06:00"/>
    <x v="4"/>
    <x v="12"/>
    <n v="7404"/>
    <n v="1"/>
    <n v="7404"/>
    <x v="1"/>
  </r>
  <r>
    <n v="185"/>
    <n v="140"/>
    <x v="7"/>
    <x v="12"/>
    <x v="5"/>
    <n v="4"/>
    <x v="1"/>
    <d v="2025-10-05T14:37:00"/>
    <x v="4"/>
    <x v="12"/>
    <n v="214"/>
    <n v="0"/>
    <n v="0"/>
    <x v="3"/>
  </r>
  <r>
    <n v="360"/>
    <n v="4"/>
    <x v="7"/>
    <x v="181"/>
    <x v="5"/>
    <n v="4"/>
    <x v="0"/>
    <d v="2025-10-05T15:00:00"/>
    <x v="4"/>
    <x v="13"/>
    <n v="1500"/>
    <n v="1"/>
    <n v="1500"/>
    <x v="2"/>
  </r>
  <r>
    <n v="72"/>
    <n v="73"/>
    <x v="9"/>
    <x v="182"/>
    <x v="5"/>
    <n v="4"/>
    <x v="0"/>
    <d v="2025-10-05T15:03:00"/>
    <x v="4"/>
    <x v="13"/>
    <n v="294"/>
    <n v="2"/>
    <n v="588"/>
    <x v="3"/>
  </r>
  <r>
    <n v="221"/>
    <n v="193"/>
    <x v="1"/>
    <x v="23"/>
    <x v="5"/>
    <n v="4"/>
    <x v="0"/>
    <d v="2025-10-05T15:28:00"/>
    <x v="4"/>
    <x v="13"/>
    <n v="1161"/>
    <n v="3"/>
    <n v="3483"/>
    <x v="2"/>
  </r>
  <r>
    <n v="379"/>
    <n v="160"/>
    <x v="6"/>
    <x v="53"/>
    <x v="5"/>
    <n v="4"/>
    <x v="0"/>
    <d v="2025-10-05T17:30:00"/>
    <x v="4"/>
    <x v="15"/>
    <n v="941"/>
    <n v="3"/>
    <n v="2823"/>
    <x v="3"/>
  </r>
  <r>
    <n v="87"/>
    <n v="27"/>
    <x v="9"/>
    <x v="121"/>
    <x v="4"/>
    <n v="7"/>
    <x v="0"/>
    <d v="2025-10-05T17:34:00"/>
    <x v="4"/>
    <x v="15"/>
    <n v="7377"/>
    <n v="1"/>
    <n v="7377"/>
    <x v="1"/>
  </r>
  <r>
    <n v="691"/>
    <n v="42"/>
    <x v="9"/>
    <x v="151"/>
    <x v="5"/>
    <n v="4"/>
    <x v="0"/>
    <d v="2025-10-05T17:53:00"/>
    <x v="4"/>
    <x v="15"/>
    <n v="248"/>
    <n v="5"/>
    <n v="1240"/>
    <x v="3"/>
  </r>
  <r>
    <n v="622"/>
    <n v="227"/>
    <x v="2"/>
    <x v="97"/>
    <x v="6"/>
    <n v="5"/>
    <x v="0"/>
    <d v="2025-10-05T18:49:00"/>
    <x v="4"/>
    <x v="16"/>
    <n v="1940"/>
    <n v="2"/>
    <n v="3880"/>
    <x v="2"/>
  </r>
  <r>
    <n v="117"/>
    <n v="177"/>
    <x v="5"/>
    <x v="183"/>
    <x v="3"/>
    <n v="1"/>
    <x v="0"/>
    <d v="2025-10-05T19:25:00"/>
    <x v="4"/>
    <x v="22"/>
    <n v="4331"/>
    <n v="3"/>
    <n v="12993"/>
    <x v="2"/>
  </r>
  <r>
    <n v="695"/>
    <n v="250"/>
    <x v="7"/>
    <x v="117"/>
    <x v="3"/>
    <n v="1"/>
    <x v="0"/>
    <d v="2025-10-05T19:56:00"/>
    <x v="4"/>
    <x v="22"/>
    <n v="4377"/>
    <n v="2"/>
    <n v="8754"/>
    <x v="2"/>
  </r>
  <r>
    <n v="226"/>
    <n v="203"/>
    <x v="7"/>
    <x v="107"/>
    <x v="6"/>
    <n v="5"/>
    <x v="0"/>
    <d v="2025-10-05T20:28:00"/>
    <x v="4"/>
    <x v="17"/>
    <n v="3099"/>
    <n v="2"/>
    <n v="6198"/>
    <x v="2"/>
  </r>
  <r>
    <n v="309"/>
    <n v="109"/>
    <x v="0"/>
    <x v="168"/>
    <x v="6"/>
    <n v="5"/>
    <x v="0"/>
    <d v="2025-10-05T20:40:00"/>
    <x v="4"/>
    <x v="17"/>
    <n v="3082"/>
    <n v="2"/>
    <n v="6164"/>
    <x v="2"/>
  </r>
  <r>
    <n v="336"/>
    <n v="62"/>
    <x v="7"/>
    <x v="184"/>
    <x v="6"/>
    <n v="5"/>
    <x v="1"/>
    <d v="2025-10-05T20:49:00"/>
    <x v="4"/>
    <x v="17"/>
    <n v="3813"/>
    <n v="0"/>
    <n v="0"/>
    <x v="2"/>
  </r>
  <r>
    <n v="133"/>
    <n v="195"/>
    <x v="2"/>
    <x v="185"/>
    <x v="3"/>
    <n v="1"/>
    <x v="1"/>
    <d v="2025-10-05T21:33:00"/>
    <x v="4"/>
    <x v="23"/>
    <n v="1117"/>
    <n v="0"/>
    <n v="0"/>
    <x v="2"/>
  </r>
  <r>
    <n v="573"/>
    <n v="182"/>
    <x v="5"/>
    <x v="186"/>
    <x v="5"/>
    <n v="4"/>
    <x v="0"/>
    <d v="2025-10-05T22:17:00"/>
    <x v="4"/>
    <x v="18"/>
    <n v="1300"/>
    <n v="2"/>
    <n v="2600"/>
    <x v="2"/>
  </r>
  <r>
    <n v="20"/>
    <n v="236"/>
    <x v="0"/>
    <x v="187"/>
    <x v="6"/>
    <n v="5"/>
    <x v="0"/>
    <d v="2025-10-05T23:11:00"/>
    <x v="4"/>
    <x v="19"/>
    <n v="1098"/>
    <n v="1"/>
    <n v="1098"/>
    <x v="2"/>
  </r>
  <r>
    <n v="588"/>
    <n v="208"/>
    <x v="9"/>
    <x v="182"/>
    <x v="5"/>
    <n v="4"/>
    <x v="0"/>
    <d v="2025-10-06T00:16:00"/>
    <x v="5"/>
    <x v="0"/>
    <n v="169"/>
    <n v="4"/>
    <n v="676"/>
    <x v="3"/>
  </r>
  <r>
    <n v="415"/>
    <n v="11"/>
    <x v="7"/>
    <x v="158"/>
    <x v="0"/>
    <n v="2"/>
    <x v="0"/>
    <d v="2025-10-06T00:35:00"/>
    <x v="5"/>
    <x v="0"/>
    <n v="14501"/>
    <n v="2"/>
    <n v="29002"/>
    <x v="0"/>
  </r>
  <r>
    <n v="707"/>
    <n v="186"/>
    <x v="9"/>
    <x v="188"/>
    <x v="2"/>
    <n v="3"/>
    <x v="0"/>
    <d v="2025-10-06T00:53:00"/>
    <x v="5"/>
    <x v="0"/>
    <n v="4047"/>
    <n v="3"/>
    <n v="12141"/>
    <x v="2"/>
  </r>
  <r>
    <n v="447"/>
    <n v="206"/>
    <x v="1"/>
    <x v="115"/>
    <x v="2"/>
    <n v="3"/>
    <x v="0"/>
    <d v="2025-10-06T01:36:00"/>
    <x v="5"/>
    <x v="1"/>
    <n v="2244"/>
    <n v="1"/>
    <n v="2244"/>
    <x v="2"/>
  </r>
  <r>
    <n v="764"/>
    <n v="174"/>
    <x v="2"/>
    <x v="38"/>
    <x v="6"/>
    <n v="5"/>
    <x v="0"/>
    <d v="2025-10-06T02:03:00"/>
    <x v="5"/>
    <x v="2"/>
    <n v="2786"/>
    <n v="2"/>
    <n v="5572"/>
    <x v="2"/>
  </r>
  <r>
    <n v="523"/>
    <n v="59"/>
    <x v="4"/>
    <x v="102"/>
    <x v="3"/>
    <n v="1"/>
    <x v="1"/>
    <d v="2025-10-06T02:35:00"/>
    <x v="5"/>
    <x v="2"/>
    <n v="2785"/>
    <n v="0"/>
    <n v="0"/>
    <x v="2"/>
  </r>
  <r>
    <n v="360"/>
    <n v="76"/>
    <x v="5"/>
    <x v="189"/>
    <x v="0"/>
    <n v="2"/>
    <x v="0"/>
    <d v="2025-10-06T03:17:00"/>
    <x v="5"/>
    <x v="3"/>
    <n v="12754"/>
    <n v="2"/>
    <n v="25508"/>
    <x v="0"/>
  </r>
  <r>
    <n v="203"/>
    <n v="89"/>
    <x v="4"/>
    <x v="190"/>
    <x v="3"/>
    <n v="1"/>
    <x v="0"/>
    <d v="2025-10-06T04:16:00"/>
    <x v="5"/>
    <x v="4"/>
    <n v="2787"/>
    <n v="2"/>
    <n v="5574"/>
    <x v="2"/>
  </r>
  <r>
    <n v="792"/>
    <n v="253"/>
    <x v="1"/>
    <x v="161"/>
    <x v="0"/>
    <n v="2"/>
    <x v="0"/>
    <d v="2025-10-06T04:27:00"/>
    <x v="5"/>
    <x v="4"/>
    <n v="13747"/>
    <n v="3"/>
    <n v="41241"/>
    <x v="0"/>
  </r>
  <r>
    <n v="460"/>
    <n v="290"/>
    <x v="9"/>
    <x v="112"/>
    <x v="3"/>
    <n v="1"/>
    <x v="0"/>
    <d v="2025-10-06T04:39:00"/>
    <x v="5"/>
    <x v="4"/>
    <n v="4986"/>
    <n v="2"/>
    <n v="9972"/>
    <x v="2"/>
  </r>
  <r>
    <n v="643"/>
    <n v="162"/>
    <x v="9"/>
    <x v="191"/>
    <x v="6"/>
    <n v="5"/>
    <x v="0"/>
    <d v="2025-10-06T04:42:00"/>
    <x v="5"/>
    <x v="4"/>
    <n v="3558"/>
    <n v="3"/>
    <n v="10674"/>
    <x v="2"/>
  </r>
  <r>
    <n v="453"/>
    <n v="156"/>
    <x v="1"/>
    <x v="173"/>
    <x v="5"/>
    <n v="4"/>
    <x v="0"/>
    <d v="2025-10-06T05:05:00"/>
    <x v="5"/>
    <x v="20"/>
    <n v="384"/>
    <n v="2"/>
    <n v="768"/>
    <x v="3"/>
  </r>
  <r>
    <n v="520"/>
    <n v="38"/>
    <x v="0"/>
    <x v="192"/>
    <x v="1"/>
    <n v="6"/>
    <x v="0"/>
    <d v="2025-10-06T05:06:00"/>
    <x v="5"/>
    <x v="20"/>
    <n v="6602"/>
    <n v="3"/>
    <n v="19806"/>
    <x v="1"/>
  </r>
  <r>
    <n v="59"/>
    <n v="189"/>
    <x v="8"/>
    <x v="193"/>
    <x v="0"/>
    <n v="2"/>
    <x v="1"/>
    <d v="2025-10-06T05:22:00"/>
    <x v="5"/>
    <x v="20"/>
    <n v="9121"/>
    <n v="0"/>
    <n v="0"/>
    <x v="1"/>
  </r>
  <r>
    <n v="93"/>
    <n v="260"/>
    <x v="1"/>
    <x v="194"/>
    <x v="3"/>
    <n v="1"/>
    <x v="0"/>
    <d v="2025-10-06T05:43:00"/>
    <x v="5"/>
    <x v="20"/>
    <n v="7759"/>
    <n v="2"/>
    <n v="15518"/>
    <x v="1"/>
  </r>
  <r>
    <n v="757"/>
    <n v="22"/>
    <x v="9"/>
    <x v="112"/>
    <x v="3"/>
    <n v="1"/>
    <x v="1"/>
    <d v="2025-10-06T05:52:00"/>
    <x v="5"/>
    <x v="20"/>
    <n v="4185"/>
    <n v="0"/>
    <n v="0"/>
    <x v="2"/>
  </r>
  <r>
    <n v="620"/>
    <n v="244"/>
    <x v="5"/>
    <x v="195"/>
    <x v="4"/>
    <n v="7"/>
    <x v="0"/>
    <d v="2025-10-06T06:16:00"/>
    <x v="5"/>
    <x v="5"/>
    <n v="5276"/>
    <n v="3"/>
    <n v="15828"/>
    <x v="1"/>
  </r>
  <r>
    <n v="106"/>
    <n v="176"/>
    <x v="0"/>
    <x v="187"/>
    <x v="6"/>
    <n v="5"/>
    <x v="0"/>
    <d v="2025-10-06T06:17:00"/>
    <x v="5"/>
    <x v="5"/>
    <n v="2730"/>
    <n v="2"/>
    <n v="5460"/>
    <x v="2"/>
  </r>
  <r>
    <n v="254"/>
    <n v="225"/>
    <x v="4"/>
    <x v="196"/>
    <x v="5"/>
    <n v="4"/>
    <x v="0"/>
    <d v="2025-10-06T06:18:00"/>
    <x v="5"/>
    <x v="5"/>
    <n v="280"/>
    <n v="1"/>
    <n v="280"/>
    <x v="3"/>
  </r>
  <r>
    <n v="163"/>
    <n v="187"/>
    <x v="3"/>
    <x v="3"/>
    <x v="3"/>
    <n v="1"/>
    <x v="1"/>
    <d v="2025-10-06T07:03:00"/>
    <x v="5"/>
    <x v="6"/>
    <n v="4667"/>
    <n v="0"/>
    <n v="0"/>
    <x v="2"/>
  </r>
  <r>
    <n v="794"/>
    <n v="174"/>
    <x v="2"/>
    <x v="197"/>
    <x v="1"/>
    <n v="6"/>
    <x v="0"/>
    <d v="2025-10-06T07:15:00"/>
    <x v="5"/>
    <x v="6"/>
    <n v="8052"/>
    <n v="2"/>
    <n v="16104"/>
    <x v="1"/>
  </r>
  <r>
    <n v="663"/>
    <n v="172"/>
    <x v="0"/>
    <x v="39"/>
    <x v="3"/>
    <n v="1"/>
    <x v="0"/>
    <d v="2025-10-06T07:19:00"/>
    <x v="5"/>
    <x v="6"/>
    <n v="6667"/>
    <n v="2"/>
    <n v="13334"/>
    <x v="1"/>
  </r>
  <r>
    <n v="695"/>
    <n v="198"/>
    <x v="1"/>
    <x v="23"/>
    <x v="5"/>
    <n v="4"/>
    <x v="0"/>
    <d v="2025-10-06T07:38:00"/>
    <x v="5"/>
    <x v="6"/>
    <n v="152"/>
    <n v="1"/>
    <n v="152"/>
    <x v="3"/>
  </r>
  <r>
    <n v="342"/>
    <n v="42"/>
    <x v="9"/>
    <x v="106"/>
    <x v="3"/>
    <n v="1"/>
    <x v="0"/>
    <d v="2025-10-06T08:17:00"/>
    <x v="5"/>
    <x v="7"/>
    <n v="3256"/>
    <n v="4"/>
    <n v="13024"/>
    <x v="2"/>
  </r>
  <r>
    <n v="318"/>
    <n v="201"/>
    <x v="4"/>
    <x v="198"/>
    <x v="0"/>
    <n v="2"/>
    <x v="0"/>
    <d v="2025-10-06T08:24:00"/>
    <x v="5"/>
    <x v="7"/>
    <n v="13686"/>
    <n v="3"/>
    <n v="41058"/>
    <x v="0"/>
  </r>
  <r>
    <n v="573"/>
    <n v="193"/>
    <x v="1"/>
    <x v="199"/>
    <x v="5"/>
    <n v="4"/>
    <x v="0"/>
    <d v="2025-10-06T08:50:00"/>
    <x v="5"/>
    <x v="7"/>
    <n v="418"/>
    <n v="4"/>
    <n v="1672"/>
    <x v="3"/>
  </r>
  <r>
    <n v="720"/>
    <n v="270"/>
    <x v="4"/>
    <x v="36"/>
    <x v="3"/>
    <n v="1"/>
    <x v="0"/>
    <d v="2025-10-06T08:52:00"/>
    <x v="5"/>
    <x v="7"/>
    <n v="6239"/>
    <n v="1"/>
    <n v="6239"/>
    <x v="1"/>
  </r>
  <r>
    <n v="371"/>
    <n v="10"/>
    <x v="2"/>
    <x v="21"/>
    <x v="3"/>
    <n v="1"/>
    <x v="0"/>
    <d v="2025-10-06T08:53:00"/>
    <x v="5"/>
    <x v="7"/>
    <n v="1895"/>
    <n v="2"/>
    <n v="3790"/>
    <x v="2"/>
  </r>
  <r>
    <n v="350"/>
    <n v="249"/>
    <x v="4"/>
    <x v="200"/>
    <x v="1"/>
    <n v="6"/>
    <x v="0"/>
    <d v="2025-10-06T09:14:00"/>
    <x v="5"/>
    <x v="8"/>
    <n v="7898"/>
    <n v="1"/>
    <n v="7898"/>
    <x v="1"/>
  </r>
  <r>
    <n v="80"/>
    <n v="152"/>
    <x v="4"/>
    <x v="6"/>
    <x v="3"/>
    <n v="1"/>
    <x v="0"/>
    <d v="2025-10-06T09:34:00"/>
    <x v="5"/>
    <x v="8"/>
    <n v="2487"/>
    <n v="1"/>
    <n v="2487"/>
    <x v="2"/>
  </r>
  <r>
    <n v="39"/>
    <n v="173"/>
    <x v="3"/>
    <x v="201"/>
    <x v="2"/>
    <n v="3"/>
    <x v="0"/>
    <d v="2025-10-06T10:01:00"/>
    <x v="5"/>
    <x v="9"/>
    <n v="2387"/>
    <n v="2"/>
    <n v="4774"/>
    <x v="2"/>
  </r>
  <r>
    <n v="386"/>
    <n v="79"/>
    <x v="4"/>
    <x v="27"/>
    <x v="3"/>
    <n v="1"/>
    <x v="0"/>
    <d v="2025-10-06T10:35:00"/>
    <x v="5"/>
    <x v="9"/>
    <n v="7393"/>
    <n v="2"/>
    <n v="14786"/>
    <x v="1"/>
  </r>
  <r>
    <n v="739"/>
    <n v="225"/>
    <x v="9"/>
    <x v="202"/>
    <x v="1"/>
    <n v="6"/>
    <x v="0"/>
    <d v="2025-10-06T12:14:00"/>
    <x v="5"/>
    <x v="11"/>
    <n v="4550"/>
    <n v="2"/>
    <n v="9100"/>
    <x v="2"/>
  </r>
  <r>
    <n v="737"/>
    <n v="122"/>
    <x v="6"/>
    <x v="203"/>
    <x v="3"/>
    <n v="1"/>
    <x v="0"/>
    <d v="2025-10-06T12:33:00"/>
    <x v="5"/>
    <x v="11"/>
    <n v="1367"/>
    <n v="2"/>
    <n v="2734"/>
    <x v="2"/>
  </r>
  <r>
    <n v="460"/>
    <n v="120"/>
    <x v="7"/>
    <x v="117"/>
    <x v="3"/>
    <n v="1"/>
    <x v="0"/>
    <d v="2025-10-06T12:44:00"/>
    <x v="5"/>
    <x v="11"/>
    <n v="4750"/>
    <n v="2"/>
    <n v="9500"/>
    <x v="2"/>
  </r>
  <r>
    <n v="199"/>
    <n v="189"/>
    <x v="7"/>
    <x v="204"/>
    <x v="1"/>
    <n v="6"/>
    <x v="0"/>
    <d v="2025-10-06T13:26:00"/>
    <x v="5"/>
    <x v="21"/>
    <n v="10671"/>
    <n v="1"/>
    <n v="10671"/>
    <x v="0"/>
  </r>
  <r>
    <n v="788"/>
    <n v="145"/>
    <x v="8"/>
    <x v="37"/>
    <x v="3"/>
    <n v="1"/>
    <x v="0"/>
    <d v="2025-10-06T13:34:00"/>
    <x v="5"/>
    <x v="21"/>
    <n v="6648"/>
    <n v="5"/>
    <n v="33240"/>
    <x v="1"/>
  </r>
  <r>
    <n v="429"/>
    <n v="83"/>
    <x v="3"/>
    <x v="3"/>
    <x v="3"/>
    <n v="1"/>
    <x v="0"/>
    <d v="2025-10-06T13:49:00"/>
    <x v="5"/>
    <x v="21"/>
    <n v="7369"/>
    <n v="2"/>
    <n v="14738"/>
    <x v="1"/>
  </r>
  <r>
    <n v="257"/>
    <n v="27"/>
    <x v="9"/>
    <x v="106"/>
    <x v="3"/>
    <n v="1"/>
    <x v="0"/>
    <d v="2025-10-06T13:51:00"/>
    <x v="5"/>
    <x v="21"/>
    <n v="7593"/>
    <n v="3"/>
    <n v="22779"/>
    <x v="1"/>
  </r>
  <r>
    <n v="106"/>
    <n v="265"/>
    <x v="6"/>
    <x v="135"/>
    <x v="3"/>
    <n v="1"/>
    <x v="1"/>
    <d v="2025-10-06T13:52:00"/>
    <x v="5"/>
    <x v="21"/>
    <n v="6298"/>
    <n v="0"/>
    <n v="0"/>
    <x v="1"/>
  </r>
  <r>
    <n v="280"/>
    <n v="231"/>
    <x v="1"/>
    <x v="161"/>
    <x v="0"/>
    <n v="2"/>
    <x v="0"/>
    <d v="2025-10-06T15:19:00"/>
    <x v="5"/>
    <x v="13"/>
    <n v="5987"/>
    <n v="2"/>
    <n v="11974"/>
    <x v="1"/>
  </r>
  <r>
    <n v="228"/>
    <n v="231"/>
    <x v="2"/>
    <x v="2"/>
    <x v="2"/>
    <n v="3"/>
    <x v="0"/>
    <d v="2025-10-06T16:07:00"/>
    <x v="5"/>
    <x v="14"/>
    <n v="5580"/>
    <n v="2"/>
    <n v="11160"/>
    <x v="1"/>
  </r>
  <r>
    <n v="406"/>
    <n v="258"/>
    <x v="2"/>
    <x v="205"/>
    <x v="6"/>
    <n v="5"/>
    <x v="0"/>
    <d v="2025-10-06T16:39:00"/>
    <x v="5"/>
    <x v="14"/>
    <n v="2044"/>
    <n v="1"/>
    <n v="2044"/>
    <x v="2"/>
  </r>
  <r>
    <n v="384"/>
    <n v="115"/>
    <x v="2"/>
    <x v="7"/>
    <x v="0"/>
    <n v="2"/>
    <x v="0"/>
    <d v="2025-10-06T16:53:00"/>
    <x v="5"/>
    <x v="14"/>
    <n v="10046"/>
    <n v="1"/>
    <n v="10046"/>
    <x v="0"/>
  </r>
  <r>
    <n v="150"/>
    <n v="71"/>
    <x v="1"/>
    <x v="206"/>
    <x v="6"/>
    <n v="5"/>
    <x v="0"/>
    <d v="2025-10-06T16:58:00"/>
    <x v="5"/>
    <x v="14"/>
    <n v="878"/>
    <n v="1"/>
    <n v="878"/>
    <x v="3"/>
  </r>
  <r>
    <n v="143"/>
    <n v="241"/>
    <x v="8"/>
    <x v="207"/>
    <x v="0"/>
    <n v="2"/>
    <x v="0"/>
    <d v="2025-10-06T17:02:00"/>
    <x v="5"/>
    <x v="15"/>
    <n v="4573"/>
    <n v="2"/>
    <n v="9146"/>
    <x v="2"/>
  </r>
  <r>
    <n v="20"/>
    <n v="132"/>
    <x v="0"/>
    <x v="208"/>
    <x v="4"/>
    <n v="7"/>
    <x v="0"/>
    <d v="2025-10-06T17:10:00"/>
    <x v="5"/>
    <x v="15"/>
    <n v="5289"/>
    <n v="2"/>
    <n v="10578"/>
    <x v="1"/>
  </r>
  <r>
    <n v="624"/>
    <n v="271"/>
    <x v="3"/>
    <x v="175"/>
    <x v="4"/>
    <n v="7"/>
    <x v="0"/>
    <d v="2025-10-06T17:31:00"/>
    <x v="5"/>
    <x v="15"/>
    <n v="3142"/>
    <n v="1"/>
    <n v="3142"/>
    <x v="2"/>
  </r>
  <r>
    <n v="309"/>
    <n v="63"/>
    <x v="7"/>
    <x v="209"/>
    <x v="0"/>
    <n v="2"/>
    <x v="0"/>
    <d v="2025-10-06T18:04:00"/>
    <x v="5"/>
    <x v="16"/>
    <n v="10790"/>
    <n v="5"/>
    <n v="53950"/>
    <x v="0"/>
  </r>
  <r>
    <n v="638"/>
    <n v="235"/>
    <x v="2"/>
    <x v="69"/>
    <x v="3"/>
    <n v="1"/>
    <x v="0"/>
    <d v="2025-10-06T18:33:00"/>
    <x v="5"/>
    <x v="16"/>
    <n v="1313"/>
    <n v="4"/>
    <n v="5252"/>
    <x v="2"/>
  </r>
  <r>
    <n v="549"/>
    <n v="9"/>
    <x v="8"/>
    <x v="210"/>
    <x v="6"/>
    <n v="5"/>
    <x v="0"/>
    <d v="2025-10-06T18:41:00"/>
    <x v="5"/>
    <x v="16"/>
    <n v="913"/>
    <n v="1"/>
    <n v="913"/>
    <x v="3"/>
  </r>
  <r>
    <n v="299"/>
    <n v="220"/>
    <x v="5"/>
    <x v="89"/>
    <x v="2"/>
    <n v="3"/>
    <x v="0"/>
    <d v="2025-10-06T20:03:00"/>
    <x v="5"/>
    <x v="17"/>
    <n v="5815"/>
    <n v="2"/>
    <n v="11630"/>
    <x v="1"/>
  </r>
  <r>
    <n v="585"/>
    <n v="214"/>
    <x v="6"/>
    <x v="11"/>
    <x v="2"/>
    <n v="3"/>
    <x v="0"/>
    <d v="2025-10-06T20:39:00"/>
    <x v="5"/>
    <x v="17"/>
    <n v="1626"/>
    <n v="4"/>
    <n v="6504"/>
    <x v="2"/>
  </r>
  <r>
    <n v="370"/>
    <n v="35"/>
    <x v="1"/>
    <x v="8"/>
    <x v="3"/>
    <n v="1"/>
    <x v="1"/>
    <d v="2025-10-06T21:00:00"/>
    <x v="5"/>
    <x v="23"/>
    <n v="2674"/>
    <n v="0"/>
    <n v="0"/>
    <x v="2"/>
  </r>
  <r>
    <n v="568"/>
    <n v="11"/>
    <x v="3"/>
    <x v="3"/>
    <x v="3"/>
    <n v="1"/>
    <x v="1"/>
    <d v="2025-10-06T21:25:00"/>
    <x v="5"/>
    <x v="23"/>
    <n v="5387"/>
    <n v="0"/>
    <n v="0"/>
    <x v="1"/>
  </r>
  <r>
    <n v="397"/>
    <n v="192"/>
    <x v="0"/>
    <x v="211"/>
    <x v="1"/>
    <n v="6"/>
    <x v="0"/>
    <d v="2025-10-06T21:40:00"/>
    <x v="5"/>
    <x v="23"/>
    <n v="8437"/>
    <n v="2"/>
    <n v="16874"/>
    <x v="1"/>
  </r>
  <r>
    <n v="70"/>
    <n v="177"/>
    <x v="0"/>
    <x v="212"/>
    <x v="0"/>
    <n v="2"/>
    <x v="0"/>
    <d v="2025-10-06T21:47:00"/>
    <x v="5"/>
    <x v="23"/>
    <n v="8337"/>
    <n v="3"/>
    <n v="25011"/>
    <x v="1"/>
  </r>
  <r>
    <n v="753"/>
    <n v="171"/>
    <x v="1"/>
    <x v="23"/>
    <x v="5"/>
    <n v="4"/>
    <x v="0"/>
    <d v="2025-10-06T21:59:00"/>
    <x v="5"/>
    <x v="23"/>
    <n v="718"/>
    <n v="2"/>
    <n v="1436"/>
    <x v="3"/>
  </r>
  <r>
    <n v="347"/>
    <n v="90"/>
    <x v="6"/>
    <x v="145"/>
    <x v="0"/>
    <n v="2"/>
    <x v="0"/>
    <d v="2025-10-06T22:37:00"/>
    <x v="5"/>
    <x v="18"/>
    <n v="6007"/>
    <n v="1"/>
    <n v="6007"/>
    <x v="1"/>
  </r>
  <r>
    <n v="187"/>
    <n v="70"/>
    <x v="8"/>
    <x v="213"/>
    <x v="1"/>
    <n v="6"/>
    <x v="0"/>
    <d v="2025-10-06T22:37:00"/>
    <x v="5"/>
    <x v="18"/>
    <n v="9768"/>
    <n v="3"/>
    <n v="29304"/>
    <x v="1"/>
  </r>
  <r>
    <n v="301"/>
    <n v="104"/>
    <x v="8"/>
    <x v="214"/>
    <x v="5"/>
    <n v="4"/>
    <x v="1"/>
    <d v="2025-10-06T22:40:00"/>
    <x v="5"/>
    <x v="18"/>
    <n v="345"/>
    <n v="0"/>
    <n v="0"/>
    <x v="3"/>
  </r>
  <r>
    <n v="318"/>
    <n v="264"/>
    <x v="0"/>
    <x v="215"/>
    <x v="2"/>
    <n v="3"/>
    <x v="1"/>
    <d v="2025-10-06T22:42:00"/>
    <x v="5"/>
    <x v="18"/>
    <n v="1760"/>
    <n v="0"/>
    <n v="0"/>
    <x v="2"/>
  </r>
  <r>
    <n v="38"/>
    <n v="98"/>
    <x v="8"/>
    <x v="71"/>
    <x v="2"/>
    <n v="3"/>
    <x v="0"/>
    <d v="2025-10-06T22:43:00"/>
    <x v="5"/>
    <x v="18"/>
    <n v="4840"/>
    <n v="3"/>
    <n v="14520"/>
    <x v="2"/>
  </r>
  <r>
    <n v="340"/>
    <n v="140"/>
    <x v="0"/>
    <x v="211"/>
    <x v="1"/>
    <n v="6"/>
    <x v="1"/>
    <d v="2025-10-06T23:34:00"/>
    <x v="5"/>
    <x v="19"/>
    <n v="6669"/>
    <n v="0"/>
    <n v="0"/>
    <x v="1"/>
  </r>
  <r>
    <n v="762"/>
    <n v="226"/>
    <x v="2"/>
    <x v="99"/>
    <x v="0"/>
    <n v="2"/>
    <x v="0"/>
    <d v="2025-10-07T00:06:00"/>
    <x v="6"/>
    <x v="0"/>
    <n v="6027"/>
    <n v="2"/>
    <n v="12054"/>
    <x v="1"/>
  </r>
  <r>
    <n v="709"/>
    <n v="255"/>
    <x v="4"/>
    <x v="216"/>
    <x v="6"/>
    <n v="5"/>
    <x v="0"/>
    <d v="2025-10-07T00:23:00"/>
    <x v="6"/>
    <x v="0"/>
    <n v="2356"/>
    <n v="3"/>
    <n v="7068"/>
    <x v="2"/>
  </r>
  <r>
    <n v="745"/>
    <n v="218"/>
    <x v="7"/>
    <x v="144"/>
    <x v="2"/>
    <n v="3"/>
    <x v="0"/>
    <d v="2025-10-07T00:26:00"/>
    <x v="6"/>
    <x v="0"/>
    <n v="4574"/>
    <n v="2"/>
    <n v="9148"/>
    <x v="2"/>
  </r>
  <r>
    <n v="559"/>
    <n v="151"/>
    <x v="9"/>
    <x v="202"/>
    <x v="1"/>
    <n v="6"/>
    <x v="0"/>
    <d v="2025-10-07T00:44:00"/>
    <x v="6"/>
    <x v="0"/>
    <n v="3313"/>
    <n v="3"/>
    <n v="9939"/>
    <x v="2"/>
  </r>
  <r>
    <n v="677"/>
    <n v="152"/>
    <x v="1"/>
    <x v="24"/>
    <x v="0"/>
    <n v="2"/>
    <x v="1"/>
    <d v="2025-10-07T01:01:00"/>
    <x v="6"/>
    <x v="1"/>
    <n v="9114"/>
    <n v="0"/>
    <n v="0"/>
    <x v="1"/>
  </r>
  <r>
    <n v="171"/>
    <n v="228"/>
    <x v="9"/>
    <x v="217"/>
    <x v="6"/>
    <n v="5"/>
    <x v="0"/>
    <d v="2025-10-07T01:06:00"/>
    <x v="6"/>
    <x v="1"/>
    <n v="2083"/>
    <n v="2"/>
    <n v="4166"/>
    <x v="2"/>
  </r>
  <r>
    <n v="630"/>
    <n v="223"/>
    <x v="0"/>
    <x v="218"/>
    <x v="5"/>
    <n v="4"/>
    <x v="0"/>
    <d v="2025-10-07T01:21:00"/>
    <x v="6"/>
    <x v="1"/>
    <n v="797"/>
    <n v="2"/>
    <n v="1594"/>
    <x v="3"/>
  </r>
  <r>
    <n v="688"/>
    <n v="208"/>
    <x v="0"/>
    <x v="105"/>
    <x v="3"/>
    <n v="1"/>
    <x v="0"/>
    <d v="2025-10-07T01:34:00"/>
    <x v="6"/>
    <x v="1"/>
    <n v="3376"/>
    <n v="3"/>
    <n v="10128"/>
    <x v="2"/>
  </r>
  <r>
    <n v="147"/>
    <n v="225"/>
    <x v="4"/>
    <x v="102"/>
    <x v="3"/>
    <n v="1"/>
    <x v="0"/>
    <d v="2025-10-07T02:00:00"/>
    <x v="6"/>
    <x v="2"/>
    <n v="4038"/>
    <n v="3"/>
    <n v="12114"/>
    <x v="2"/>
  </r>
  <r>
    <n v="798"/>
    <n v="188"/>
    <x v="1"/>
    <x v="20"/>
    <x v="3"/>
    <n v="1"/>
    <x v="0"/>
    <d v="2025-10-07T02:26:00"/>
    <x v="6"/>
    <x v="2"/>
    <n v="1149"/>
    <n v="1"/>
    <n v="1149"/>
    <x v="2"/>
  </r>
  <r>
    <n v="620"/>
    <n v="79"/>
    <x v="9"/>
    <x v="51"/>
    <x v="3"/>
    <n v="1"/>
    <x v="0"/>
    <d v="2025-10-07T02:28:00"/>
    <x v="6"/>
    <x v="2"/>
    <n v="3962"/>
    <n v="1"/>
    <n v="3962"/>
    <x v="2"/>
  </r>
  <r>
    <n v="455"/>
    <n v="40"/>
    <x v="6"/>
    <x v="219"/>
    <x v="3"/>
    <n v="1"/>
    <x v="0"/>
    <d v="2025-10-07T02:40:00"/>
    <x v="6"/>
    <x v="2"/>
    <n v="6592"/>
    <n v="3"/>
    <n v="19776"/>
    <x v="1"/>
  </r>
  <r>
    <n v="408"/>
    <n v="161"/>
    <x v="3"/>
    <x v="118"/>
    <x v="3"/>
    <n v="1"/>
    <x v="0"/>
    <d v="2025-10-07T03:06:00"/>
    <x v="6"/>
    <x v="3"/>
    <n v="5571"/>
    <n v="4"/>
    <n v="22284"/>
    <x v="1"/>
  </r>
  <r>
    <n v="27"/>
    <n v="96"/>
    <x v="5"/>
    <x v="29"/>
    <x v="5"/>
    <n v="4"/>
    <x v="0"/>
    <d v="2025-10-07T03:25:00"/>
    <x v="6"/>
    <x v="3"/>
    <n v="1322"/>
    <n v="4"/>
    <n v="5288"/>
    <x v="2"/>
  </r>
  <r>
    <n v="121"/>
    <n v="135"/>
    <x v="2"/>
    <x v="169"/>
    <x v="2"/>
    <n v="3"/>
    <x v="1"/>
    <d v="2025-10-07T04:16:00"/>
    <x v="6"/>
    <x v="4"/>
    <n v="5653"/>
    <n v="0"/>
    <n v="0"/>
    <x v="1"/>
  </r>
  <r>
    <n v="627"/>
    <n v="147"/>
    <x v="8"/>
    <x v="47"/>
    <x v="5"/>
    <n v="4"/>
    <x v="0"/>
    <d v="2025-10-07T04:45:00"/>
    <x v="6"/>
    <x v="4"/>
    <n v="743"/>
    <n v="2"/>
    <n v="1486"/>
    <x v="3"/>
  </r>
  <r>
    <n v="76"/>
    <n v="232"/>
    <x v="1"/>
    <x v="115"/>
    <x v="2"/>
    <n v="3"/>
    <x v="0"/>
    <d v="2025-10-07T04:49:00"/>
    <x v="6"/>
    <x v="4"/>
    <n v="5425"/>
    <n v="2"/>
    <n v="10850"/>
    <x v="1"/>
  </r>
  <r>
    <n v="699"/>
    <n v="164"/>
    <x v="8"/>
    <x v="30"/>
    <x v="3"/>
    <n v="1"/>
    <x v="0"/>
    <d v="2025-10-07T04:51:00"/>
    <x v="6"/>
    <x v="4"/>
    <n v="2579"/>
    <n v="3"/>
    <n v="7737"/>
    <x v="2"/>
  </r>
  <r>
    <n v="556"/>
    <n v="149"/>
    <x v="1"/>
    <x v="220"/>
    <x v="4"/>
    <n v="7"/>
    <x v="1"/>
    <d v="2025-10-07T05:19:00"/>
    <x v="6"/>
    <x v="20"/>
    <n v="6947"/>
    <n v="0"/>
    <n v="0"/>
    <x v="1"/>
  </r>
  <r>
    <n v="521"/>
    <n v="115"/>
    <x v="4"/>
    <x v="190"/>
    <x v="3"/>
    <n v="1"/>
    <x v="0"/>
    <d v="2025-10-07T05:19:00"/>
    <x v="6"/>
    <x v="20"/>
    <n v="3337"/>
    <n v="5"/>
    <n v="16685"/>
    <x v="2"/>
  </r>
  <r>
    <n v="506"/>
    <n v="14"/>
    <x v="4"/>
    <x v="6"/>
    <x v="3"/>
    <n v="1"/>
    <x v="0"/>
    <d v="2025-10-07T05:43:00"/>
    <x v="6"/>
    <x v="20"/>
    <n v="1896"/>
    <n v="2"/>
    <n v="3792"/>
    <x v="2"/>
  </r>
  <r>
    <n v="479"/>
    <n v="283"/>
    <x v="9"/>
    <x v="113"/>
    <x v="5"/>
    <n v="4"/>
    <x v="0"/>
    <d v="2025-10-07T06:57:00"/>
    <x v="6"/>
    <x v="5"/>
    <n v="872"/>
    <n v="1"/>
    <n v="872"/>
    <x v="3"/>
  </r>
  <r>
    <n v="317"/>
    <n v="204"/>
    <x v="1"/>
    <x v="9"/>
    <x v="5"/>
    <n v="4"/>
    <x v="0"/>
    <d v="2025-10-07T07:20:00"/>
    <x v="6"/>
    <x v="6"/>
    <n v="428"/>
    <n v="3"/>
    <n v="1284"/>
    <x v="3"/>
  </r>
  <r>
    <n v="421"/>
    <n v="210"/>
    <x v="8"/>
    <x v="221"/>
    <x v="4"/>
    <n v="7"/>
    <x v="0"/>
    <d v="2025-10-07T07:33:00"/>
    <x v="6"/>
    <x v="6"/>
    <n v="7541"/>
    <n v="2"/>
    <n v="15082"/>
    <x v="1"/>
  </r>
  <r>
    <n v="461"/>
    <n v="239"/>
    <x v="6"/>
    <x v="79"/>
    <x v="2"/>
    <n v="3"/>
    <x v="1"/>
    <d v="2025-10-07T08:00:00"/>
    <x v="6"/>
    <x v="7"/>
    <n v="1968"/>
    <n v="0"/>
    <n v="0"/>
    <x v="2"/>
  </r>
  <r>
    <n v="799"/>
    <n v="283"/>
    <x v="6"/>
    <x v="53"/>
    <x v="5"/>
    <n v="4"/>
    <x v="1"/>
    <d v="2025-10-07T08:16:00"/>
    <x v="6"/>
    <x v="7"/>
    <n v="1500"/>
    <n v="0"/>
    <n v="0"/>
    <x v="2"/>
  </r>
  <r>
    <n v="444"/>
    <n v="258"/>
    <x v="4"/>
    <x v="6"/>
    <x v="3"/>
    <n v="1"/>
    <x v="1"/>
    <d v="2025-10-07T08:37:00"/>
    <x v="6"/>
    <x v="7"/>
    <n v="6341"/>
    <n v="0"/>
    <n v="0"/>
    <x v="1"/>
  </r>
  <r>
    <n v="312"/>
    <n v="85"/>
    <x v="3"/>
    <x v="91"/>
    <x v="3"/>
    <n v="1"/>
    <x v="1"/>
    <d v="2025-10-07T09:53:00"/>
    <x v="6"/>
    <x v="8"/>
    <n v="1316"/>
    <n v="0"/>
    <n v="0"/>
    <x v="2"/>
  </r>
  <r>
    <n v="532"/>
    <n v="146"/>
    <x v="5"/>
    <x v="189"/>
    <x v="0"/>
    <n v="2"/>
    <x v="0"/>
    <d v="2025-10-07T10:06:00"/>
    <x v="6"/>
    <x v="9"/>
    <n v="6618"/>
    <n v="3"/>
    <n v="19854"/>
    <x v="1"/>
  </r>
  <r>
    <n v="565"/>
    <n v="141"/>
    <x v="5"/>
    <x v="222"/>
    <x v="0"/>
    <n v="2"/>
    <x v="1"/>
    <d v="2025-10-07T11:32:00"/>
    <x v="6"/>
    <x v="10"/>
    <n v="5220"/>
    <n v="0"/>
    <n v="0"/>
    <x v="1"/>
  </r>
  <r>
    <n v="547"/>
    <n v="48"/>
    <x v="7"/>
    <x v="25"/>
    <x v="0"/>
    <n v="2"/>
    <x v="0"/>
    <d v="2025-10-07T12:34:00"/>
    <x v="6"/>
    <x v="11"/>
    <n v="6170"/>
    <n v="2"/>
    <n v="12340"/>
    <x v="1"/>
  </r>
  <r>
    <n v="595"/>
    <n v="79"/>
    <x v="4"/>
    <x v="223"/>
    <x v="4"/>
    <n v="7"/>
    <x v="0"/>
    <d v="2025-10-07T12:40:00"/>
    <x v="6"/>
    <x v="11"/>
    <n v="5745"/>
    <n v="3"/>
    <n v="17235"/>
    <x v="1"/>
  </r>
  <r>
    <n v="620"/>
    <n v="173"/>
    <x v="9"/>
    <x v="180"/>
    <x v="3"/>
    <n v="1"/>
    <x v="0"/>
    <d v="2025-10-07T12:42:00"/>
    <x v="6"/>
    <x v="11"/>
    <n v="2539"/>
    <n v="2"/>
    <n v="5078"/>
    <x v="2"/>
  </r>
  <r>
    <n v="47"/>
    <n v="296"/>
    <x v="0"/>
    <x v="208"/>
    <x v="4"/>
    <n v="7"/>
    <x v="0"/>
    <d v="2025-10-07T12:45:00"/>
    <x v="6"/>
    <x v="11"/>
    <n v="5938"/>
    <n v="1"/>
    <n v="5938"/>
    <x v="1"/>
  </r>
  <r>
    <n v="427"/>
    <n v="16"/>
    <x v="5"/>
    <x v="186"/>
    <x v="5"/>
    <n v="4"/>
    <x v="0"/>
    <d v="2025-10-07T12:45:00"/>
    <x v="6"/>
    <x v="11"/>
    <n v="725"/>
    <n v="5"/>
    <n v="3625"/>
    <x v="3"/>
  </r>
  <r>
    <n v="658"/>
    <n v="155"/>
    <x v="3"/>
    <x v="56"/>
    <x v="5"/>
    <n v="4"/>
    <x v="0"/>
    <d v="2025-10-07T12:48:00"/>
    <x v="6"/>
    <x v="11"/>
    <n v="1190"/>
    <n v="1"/>
    <n v="1190"/>
    <x v="2"/>
  </r>
  <r>
    <n v="465"/>
    <n v="38"/>
    <x v="2"/>
    <x v="104"/>
    <x v="5"/>
    <n v="4"/>
    <x v="0"/>
    <d v="2025-10-07T13:18:00"/>
    <x v="6"/>
    <x v="21"/>
    <n v="964"/>
    <n v="1"/>
    <n v="964"/>
    <x v="3"/>
  </r>
  <r>
    <n v="426"/>
    <n v="248"/>
    <x v="4"/>
    <x v="216"/>
    <x v="6"/>
    <n v="5"/>
    <x v="0"/>
    <d v="2025-10-07T13:20:00"/>
    <x v="6"/>
    <x v="21"/>
    <n v="3450"/>
    <n v="4"/>
    <n v="13800"/>
    <x v="2"/>
  </r>
  <r>
    <n v="148"/>
    <n v="161"/>
    <x v="6"/>
    <x v="135"/>
    <x v="3"/>
    <n v="1"/>
    <x v="0"/>
    <d v="2025-10-07T13:30:00"/>
    <x v="6"/>
    <x v="21"/>
    <n v="4708"/>
    <n v="4"/>
    <n v="18832"/>
    <x v="2"/>
  </r>
  <r>
    <n v="134"/>
    <n v="190"/>
    <x v="6"/>
    <x v="224"/>
    <x v="4"/>
    <n v="7"/>
    <x v="0"/>
    <d v="2025-10-07T14:20:00"/>
    <x v="6"/>
    <x v="12"/>
    <n v="7347"/>
    <n v="2"/>
    <n v="14694"/>
    <x v="1"/>
  </r>
  <r>
    <n v="248"/>
    <n v="239"/>
    <x v="1"/>
    <x v="116"/>
    <x v="3"/>
    <n v="1"/>
    <x v="0"/>
    <d v="2025-10-07T14:20:00"/>
    <x v="6"/>
    <x v="12"/>
    <n v="5305"/>
    <n v="1"/>
    <n v="5305"/>
    <x v="1"/>
  </r>
  <r>
    <n v="145"/>
    <n v="50"/>
    <x v="8"/>
    <x v="47"/>
    <x v="5"/>
    <n v="4"/>
    <x v="1"/>
    <d v="2025-10-07T15:05:00"/>
    <x v="6"/>
    <x v="13"/>
    <n v="236"/>
    <n v="0"/>
    <n v="0"/>
    <x v="3"/>
  </r>
  <r>
    <n v="429"/>
    <n v="128"/>
    <x v="2"/>
    <x v="64"/>
    <x v="0"/>
    <n v="2"/>
    <x v="0"/>
    <d v="2025-10-07T15:14:00"/>
    <x v="6"/>
    <x v="13"/>
    <n v="4777"/>
    <n v="1"/>
    <n v="4777"/>
    <x v="2"/>
  </r>
  <r>
    <n v="195"/>
    <n v="82"/>
    <x v="9"/>
    <x v="113"/>
    <x v="5"/>
    <n v="4"/>
    <x v="0"/>
    <d v="2025-10-07T15:17:00"/>
    <x v="6"/>
    <x v="13"/>
    <n v="344"/>
    <n v="5"/>
    <n v="1720"/>
    <x v="3"/>
  </r>
  <r>
    <n v="316"/>
    <n v="255"/>
    <x v="8"/>
    <x v="225"/>
    <x v="4"/>
    <n v="7"/>
    <x v="0"/>
    <d v="2025-10-07T15:49:00"/>
    <x v="6"/>
    <x v="13"/>
    <n v="5644"/>
    <n v="3"/>
    <n v="16932"/>
    <x v="1"/>
  </r>
  <r>
    <n v="469"/>
    <n v="124"/>
    <x v="2"/>
    <x v="226"/>
    <x v="5"/>
    <n v="4"/>
    <x v="0"/>
    <d v="2025-10-07T16:15:00"/>
    <x v="6"/>
    <x v="14"/>
    <n v="50"/>
    <n v="2"/>
    <n v="100"/>
    <x v="3"/>
  </r>
  <r>
    <n v="52"/>
    <n v="145"/>
    <x v="6"/>
    <x v="40"/>
    <x v="5"/>
    <n v="4"/>
    <x v="0"/>
    <d v="2025-10-07T17:10:00"/>
    <x v="6"/>
    <x v="15"/>
    <n v="588"/>
    <n v="1"/>
    <n v="588"/>
    <x v="3"/>
  </r>
  <r>
    <n v="550"/>
    <n v="5"/>
    <x v="8"/>
    <x v="71"/>
    <x v="2"/>
    <n v="3"/>
    <x v="1"/>
    <d v="2025-10-07T17:46:00"/>
    <x v="6"/>
    <x v="15"/>
    <n v="5659"/>
    <n v="0"/>
    <n v="0"/>
    <x v="1"/>
  </r>
  <r>
    <n v="745"/>
    <n v="188"/>
    <x v="4"/>
    <x v="198"/>
    <x v="0"/>
    <n v="2"/>
    <x v="0"/>
    <d v="2025-10-07T18:29:00"/>
    <x v="6"/>
    <x v="16"/>
    <n v="5781"/>
    <n v="3"/>
    <n v="17343"/>
    <x v="1"/>
  </r>
  <r>
    <n v="53"/>
    <n v="292"/>
    <x v="0"/>
    <x v="227"/>
    <x v="2"/>
    <n v="3"/>
    <x v="0"/>
    <d v="2025-10-07T18:38:00"/>
    <x v="6"/>
    <x v="16"/>
    <n v="4790"/>
    <n v="2"/>
    <n v="9580"/>
    <x v="2"/>
  </r>
  <r>
    <n v="296"/>
    <n v="38"/>
    <x v="6"/>
    <x v="145"/>
    <x v="0"/>
    <n v="2"/>
    <x v="0"/>
    <d v="2025-10-07T18:43:00"/>
    <x v="6"/>
    <x v="16"/>
    <n v="13103"/>
    <n v="1"/>
    <n v="13103"/>
    <x v="0"/>
  </r>
  <r>
    <n v="287"/>
    <n v="61"/>
    <x v="8"/>
    <x v="210"/>
    <x v="6"/>
    <n v="5"/>
    <x v="0"/>
    <d v="2025-10-07T19:20:00"/>
    <x v="6"/>
    <x v="22"/>
    <n v="2440"/>
    <n v="1"/>
    <n v="2440"/>
    <x v="2"/>
  </r>
  <r>
    <n v="348"/>
    <n v="286"/>
    <x v="2"/>
    <x v="228"/>
    <x v="2"/>
    <n v="3"/>
    <x v="0"/>
    <d v="2025-10-07T20:03:00"/>
    <x v="6"/>
    <x v="17"/>
    <n v="2403"/>
    <n v="1"/>
    <n v="2403"/>
    <x v="2"/>
  </r>
  <r>
    <n v="617"/>
    <n v="261"/>
    <x v="4"/>
    <x v="200"/>
    <x v="1"/>
    <n v="6"/>
    <x v="0"/>
    <d v="2025-10-07T22:07:00"/>
    <x v="6"/>
    <x v="18"/>
    <n v="8176"/>
    <n v="4"/>
    <n v="32704"/>
    <x v="1"/>
  </r>
  <r>
    <n v="40"/>
    <n v="71"/>
    <x v="0"/>
    <x v="229"/>
    <x v="6"/>
    <n v="5"/>
    <x v="0"/>
    <d v="2025-10-07T22:21:00"/>
    <x v="6"/>
    <x v="18"/>
    <n v="2500"/>
    <n v="3"/>
    <n v="7500"/>
    <x v="2"/>
  </r>
  <r>
    <n v="153"/>
    <n v="264"/>
    <x v="3"/>
    <x v="230"/>
    <x v="1"/>
    <n v="6"/>
    <x v="0"/>
    <d v="2025-10-07T22:33:00"/>
    <x v="6"/>
    <x v="18"/>
    <n v="7498"/>
    <n v="2"/>
    <n v="14996"/>
    <x v="1"/>
  </r>
  <r>
    <n v="167"/>
    <n v="202"/>
    <x v="9"/>
    <x v="231"/>
    <x v="3"/>
    <n v="1"/>
    <x v="0"/>
    <d v="2025-10-07T23:13:00"/>
    <x v="6"/>
    <x v="19"/>
    <n v="2112"/>
    <n v="2"/>
    <n v="4224"/>
    <x v="2"/>
  </r>
  <r>
    <n v="345"/>
    <n v="260"/>
    <x v="7"/>
    <x v="163"/>
    <x v="3"/>
    <n v="1"/>
    <x v="1"/>
    <d v="2025-10-07T23:24:00"/>
    <x v="6"/>
    <x v="19"/>
    <n v="6228"/>
    <n v="0"/>
    <n v="0"/>
    <x v="1"/>
  </r>
  <r>
    <n v="726"/>
    <n v="289"/>
    <x v="3"/>
    <x v="232"/>
    <x v="3"/>
    <n v="1"/>
    <x v="0"/>
    <d v="2025-10-08T00:34:00"/>
    <x v="7"/>
    <x v="0"/>
    <n v="7845"/>
    <n v="3"/>
    <n v="23535"/>
    <x v="1"/>
  </r>
  <r>
    <n v="340"/>
    <n v="57"/>
    <x v="0"/>
    <x v="233"/>
    <x v="4"/>
    <n v="7"/>
    <x v="1"/>
    <d v="2025-10-08T01:26:00"/>
    <x v="7"/>
    <x v="1"/>
    <n v="3998"/>
    <n v="0"/>
    <n v="0"/>
    <x v="2"/>
  </r>
  <r>
    <n v="705"/>
    <n v="14"/>
    <x v="7"/>
    <x v="117"/>
    <x v="3"/>
    <n v="1"/>
    <x v="0"/>
    <d v="2025-10-08T01:41:00"/>
    <x v="7"/>
    <x v="1"/>
    <n v="4510"/>
    <n v="1"/>
    <n v="4510"/>
    <x v="2"/>
  </r>
  <r>
    <n v="592"/>
    <n v="117"/>
    <x v="7"/>
    <x v="94"/>
    <x v="5"/>
    <n v="4"/>
    <x v="1"/>
    <d v="2025-10-08T02:18:00"/>
    <x v="7"/>
    <x v="2"/>
    <n v="1314"/>
    <n v="0"/>
    <n v="0"/>
    <x v="2"/>
  </r>
  <r>
    <n v="537"/>
    <n v="195"/>
    <x v="8"/>
    <x v="114"/>
    <x v="2"/>
    <n v="3"/>
    <x v="0"/>
    <d v="2025-10-08T02:55:00"/>
    <x v="7"/>
    <x v="2"/>
    <n v="2018"/>
    <n v="1"/>
    <n v="2018"/>
    <x v="2"/>
  </r>
  <r>
    <n v="587"/>
    <n v="57"/>
    <x v="5"/>
    <x v="10"/>
    <x v="1"/>
    <n v="6"/>
    <x v="1"/>
    <d v="2025-10-08T02:58:00"/>
    <x v="7"/>
    <x v="2"/>
    <n v="4569"/>
    <n v="0"/>
    <n v="0"/>
    <x v="2"/>
  </r>
  <r>
    <n v="429"/>
    <n v="78"/>
    <x v="8"/>
    <x v="155"/>
    <x v="0"/>
    <n v="2"/>
    <x v="0"/>
    <d v="2025-10-08T04:00:00"/>
    <x v="7"/>
    <x v="4"/>
    <n v="6934"/>
    <n v="1"/>
    <n v="6934"/>
    <x v="1"/>
  </r>
  <r>
    <n v="514"/>
    <n v="242"/>
    <x v="5"/>
    <x v="50"/>
    <x v="5"/>
    <n v="4"/>
    <x v="0"/>
    <d v="2025-10-08T04:18:00"/>
    <x v="7"/>
    <x v="4"/>
    <n v="1048"/>
    <n v="1"/>
    <n v="1048"/>
    <x v="2"/>
  </r>
  <r>
    <n v="213"/>
    <n v="288"/>
    <x v="4"/>
    <x v="131"/>
    <x v="2"/>
    <n v="3"/>
    <x v="0"/>
    <d v="2025-10-08T05:05:00"/>
    <x v="7"/>
    <x v="20"/>
    <n v="2171"/>
    <n v="3"/>
    <n v="6513"/>
    <x v="2"/>
  </r>
  <r>
    <n v="386"/>
    <n v="161"/>
    <x v="8"/>
    <x v="210"/>
    <x v="6"/>
    <n v="5"/>
    <x v="0"/>
    <d v="2025-10-08T05:15:00"/>
    <x v="7"/>
    <x v="20"/>
    <n v="2270"/>
    <n v="2"/>
    <n v="4540"/>
    <x v="2"/>
  </r>
  <r>
    <n v="560"/>
    <n v="182"/>
    <x v="3"/>
    <x v="234"/>
    <x v="6"/>
    <n v="5"/>
    <x v="1"/>
    <d v="2025-10-08T06:15:00"/>
    <x v="7"/>
    <x v="5"/>
    <n v="1544"/>
    <n v="0"/>
    <n v="0"/>
    <x v="2"/>
  </r>
  <r>
    <n v="496"/>
    <n v="99"/>
    <x v="7"/>
    <x v="163"/>
    <x v="3"/>
    <n v="1"/>
    <x v="0"/>
    <d v="2025-10-08T06:28:00"/>
    <x v="7"/>
    <x v="5"/>
    <n v="6731"/>
    <n v="1"/>
    <n v="6731"/>
    <x v="1"/>
  </r>
  <r>
    <n v="231"/>
    <n v="153"/>
    <x v="3"/>
    <x v="56"/>
    <x v="5"/>
    <n v="4"/>
    <x v="0"/>
    <d v="2025-10-08T06:28:00"/>
    <x v="7"/>
    <x v="5"/>
    <n v="496"/>
    <n v="2"/>
    <n v="992"/>
    <x v="3"/>
  </r>
  <r>
    <n v="325"/>
    <n v="246"/>
    <x v="5"/>
    <x v="50"/>
    <x v="5"/>
    <n v="4"/>
    <x v="0"/>
    <d v="2025-10-08T07:31:00"/>
    <x v="7"/>
    <x v="6"/>
    <n v="801"/>
    <n v="2"/>
    <n v="1602"/>
    <x v="3"/>
  </r>
  <r>
    <n v="125"/>
    <n v="294"/>
    <x v="7"/>
    <x v="83"/>
    <x v="3"/>
    <n v="1"/>
    <x v="0"/>
    <d v="2025-10-08T07:33:00"/>
    <x v="7"/>
    <x v="6"/>
    <n v="3943"/>
    <n v="2"/>
    <n v="7886"/>
    <x v="2"/>
  </r>
  <r>
    <n v="354"/>
    <n v="75"/>
    <x v="2"/>
    <x v="97"/>
    <x v="6"/>
    <n v="5"/>
    <x v="1"/>
    <d v="2025-10-08T07:43:00"/>
    <x v="7"/>
    <x v="6"/>
    <n v="3649"/>
    <n v="0"/>
    <n v="0"/>
    <x v="2"/>
  </r>
  <r>
    <n v="81"/>
    <n v="178"/>
    <x v="7"/>
    <x v="235"/>
    <x v="0"/>
    <n v="2"/>
    <x v="0"/>
    <d v="2025-10-08T09:03:00"/>
    <x v="7"/>
    <x v="8"/>
    <n v="8579"/>
    <n v="5"/>
    <n v="42895"/>
    <x v="1"/>
  </r>
  <r>
    <n v="220"/>
    <n v="104"/>
    <x v="7"/>
    <x v="236"/>
    <x v="5"/>
    <n v="4"/>
    <x v="0"/>
    <d v="2025-10-08T10:22:00"/>
    <x v="7"/>
    <x v="9"/>
    <n v="1090"/>
    <n v="2"/>
    <n v="2180"/>
    <x v="2"/>
  </r>
  <r>
    <n v="713"/>
    <n v="140"/>
    <x v="7"/>
    <x v="163"/>
    <x v="3"/>
    <n v="1"/>
    <x v="0"/>
    <d v="2025-10-08T10:45:00"/>
    <x v="7"/>
    <x v="9"/>
    <n v="7857"/>
    <n v="2"/>
    <n v="15714"/>
    <x v="1"/>
  </r>
  <r>
    <n v="601"/>
    <n v="123"/>
    <x v="9"/>
    <x v="237"/>
    <x v="0"/>
    <n v="2"/>
    <x v="1"/>
    <d v="2025-10-08T11:12:00"/>
    <x v="7"/>
    <x v="10"/>
    <n v="6104"/>
    <n v="0"/>
    <n v="0"/>
    <x v="1"/>
  </r>
  <r>
    <n v="654"/>
    <n v="120"/>
    <x v="3"/>
    <x v="238"/>
    <x v="6"/>
    <n v="5"/>
    <x v="0"/>
    <d v="2025-10-08T11:27:00"/>
    <x v="7"/>
    <x v="10"/>
    <n v="1618"/>
    <n v="1"/>
    <n v="1618"/>
    <x v="2"/>
  </r>
  <r>
    <n v="735"/>
    <n v="242"/>
    <x v="2"/>
    <x v="80"/>
    <x v="0"/>
    <n v="2"/>
    <x v="1"/>
    <d v="2025-10-08T11:36:00"/>
    <x v="7"/>
    <x v="10"/>
    <n v="4711"/>
    <n v="0"/>
    <n v="0"/>
    <x v="2"/>
  </r>
  <r>
    <n v="564"/>
    <n v="81"/>
    <x v="4"/>
    <x v="196"/>
    <x v="5"/>
    <n v="4"/>
    <x v="0"/>
    <d v="2025-10-08T11:47:00"/>
    <x v="7"/>
    <x v="10"/>
    <n v="403"/>
    <n v="2"/>
    <n v="806"/>
    <x v="3"/>
  </r>
  <r>
    <n v="667"/>
    <n v="103"/>
    <x v="8"/>
    <x v="239"/>
    <x v="1"/>
    <n v="6"/>
    <x v="0"/>
    <d v="2025-10-08T12:17:00"/>
    <x v="7"/>
    <x v="11"/>
    <n v="8800"/>
    <n v="1"/>
    <n v="8800"/>
    <x v="1"/>
  </r>
  <r>
    <n v="662"/>
    <n v="31"/>
    <x v="6"/>
    <x v="219"/>
    <x v="3"/>
    <n v="1"/>
    <x v="0"/>
    <d v="2025-10-08T12:54:00"/>
    <x v="7"/>
    <x v="11"/>
    <n v="7139"/>
    <n v="2"/>
    <n v="14278"/>
    <x v="1"/>
  </r>
  <r>
    <n v="548"/>
    <n v="20"/>
    <x v="9"/>
    <x v="202"/>
    <x v="1"/>
    <n v="6"/>
    <x v="0"/>
    <d v="2025-10-08T13:35:00"/>
    <x v="7"/>
    <x v="21"/>
    <n v="3598"/>
    <n v="1"/>
    <n v="3598"/>
    <x v="2"/>
  </r>
  <r>
    <n v="407"/>
    <n v="254"/>
    <x v="4"/>
    <x v="102"/>
    <x v="3"/>
    <n v="1"/>
    <x v="0"/>
    <d v="2025-10-08T14:16:00"/>
    <x v="7"/>
    <x v="12"/>
    <n v="2447"/>
    <n v="2"/>
    <n v="4894"/>
    <x v="2"/>
  </r>
  <r>
    <n v="10"/>
    <n v="153"/>
    <x v="7"/>
    <x v="158"/>
    <x v="0"/>
    <n v="2"/>
    <x v="0"/>
    <d v="2025-10-08T14:19:00"/>
    <x v="7"/>
    <x v="12"/>
    <n v="7235"/>
    <n v="2"/>
    <n v="14470"/>
    <x v="1"/>
  </r>
  <r>
    <n v="657"/>
    <n v="279"/>
    <x v="7"/>
    <x v="240"/>
    <x v="2"/>
    <n v="3"/>
    <x v="0"/>
    <d v="2025-10-08T14:37:00"/>
    <x v="7"/>
    <x v="12"/>
    <n v="2350"/>
    <n v="3"/>
    <n v="7050"/>
    <x v="2"/>
  </r>
  <r>
    <n v="480"/>
    <n v="140"/>
    <x v="4"/>
    <x v="241"/>
    <x v="1"/>
    <n v="6"/>
    <x v="0"/>
    <d v="2025-10-08T14:39:00"/>
    <x v="7"/>
    <x v="12"/>
    <n v="10642"/>
    <n v="3"/>
    <n v="31926"/>
    <x v="0"/>
  </r>
  <r>
    <n v="749"/>
    <n v="235"/>
    <x v="6"/>
    <x v="146"/>
    <x v="3"/>
    <n v="1"/>
    <x v="0"/>
    <d v="2025-10-08T15:00:00"/>
    <x v="7"/>
    <x v="13"/>
    <n v="2436"/>
    <n v="3"/>
    <n v="7308"/>
    <x v="2"/>
  </r>
  <r>
    <n v="755"/>
    <n v="173"/>
    <x v="4"/>
    <x v="242"/>
    <x v="4"/>
    <n v="7"/>
    <x v="0"/>
    <d v="2025-10-08T15:15:00"/>
    <x v="7"/>
    <x v="13"/>
    <n v="6741"/>
    <n v="1"/>
    <n v="6741"/>
    <x v="1"/>
  </r>
  <r>
    <n v="626"/>
    <n v="208"/>
    <x v="5"/>
    <x v="89"/>
    <x v="2"/>
    <n v="3"/>
    <x v="0"/>
    <d v="2025-10-08T16:13:00"/>
    <x v="7"/>
    <x v="14"/>
    <n v="4006"/>
    <n v="4"/>
    <n v="16024"/>
    <x v="2"/>
  </r>
  <r>
    <n v="411"/>
    <n v="49"/>
    <x v="6"/>
    <x v="79"/>
    <x v="2"/>
    <n v="3"/>
    <x v="1"/>
    <d v="2025-10-08T16:25:00"/>
    <x v="7"/>
    <x v="14"/>
    <n v="5066"/>
    <n v="0"/>
    <n v="0"/>
    <x v="1"/>
  </r>
  <r>
    <n v="255"/>
    <n v="4"/>
    <x v="8"/>
    <x v="243"/>
    <x v="1"/>
    <n v="6"/>
    <x v="0"/>
    <d v="2025-10-08T16:28:00"/>
    <x v="7"/>
    <x v="14"/>
    <n v="4898"/>
    <n v="2"/>
    <n v="9796"/>
    <x v="2"/>
  </r>
  <r>
    <n v="772"/>
    <n v="137"/>
    <x v="5"/>
    <x v="244"/>
    <x v="1"/>
    <n v="6"/>
    <x v="0"/>
    <d v="2025-10-08T16:32:00"/>
    <x v="7"/>
    <x v="14"/>
    <n v="6268"/>
    <n v="1"/>
    <n v="6268"/>
    <x v="1"/>
  </r>
  <r>
    <n v="587"/>
    <n v="6"/>
    <x v="9"/>
    <x v="180"/>
    <x v="3"/>
    <n v="1"/>
    <x v="0"/>
    <d v="2025-10-08T17:10:00"/>
    <x v="7"/>
    <x v="15"/>
    <n v="3654"/>
    <n v="1"/>
    <n v="3654"/>
    <x v="2"/>
  </r>
  <r>
    <n v="242"/>
    <n v="32"/>
    <x v="6"/>
    <x v="76"/>
    <x v="0"/>
    <n v="2"/>
    <x v="0"/>
    <d v="2025-10-08T17:35:00"/>
    <x v="7"/>
    <x v="15"/>
    <n v="8419"/>
    <n v="1"/>
    <n v="8419"/>
    <x v="1"/>
  </r>
  <r>
    <n v="164"/>
    <n v="208"/>
    <x v="8"/>
    <x v="129"/>
    <x v="5"/>
    <n v="4"/>
    <x v="0"/>
    <d v="2025-10-08T17:38:00"/>
    <x v="7"/>
    <x v="15"/>
    <n v="1277"/>
    <n v="2"/>
    <n v="2554"/>
    <x v="2"/>
  </r>
  <r>
    <n v="121"/>
    <n v="152"/>
    <x v="7"/>
    <x v="245"/>
    <x v="1"/>
    <n v="6"/>
    <x v="0"/>
    <d v="2025-10-08T17:41:00"/>
    <x v="7"/>
    <x v="15"/>
    <n v="10393"/>
    <n v="2"/>
    <n v="20786"/>
    <x v="0"/>
  </r>
  <r>
    <n v="137"/>
    <n v="245"/>
    <x v="5"/>
    <x v="246"/>
    <x v="3"/>
    <n v="1"/>
    <x v="0"/>
    <d v="2025-10-08T18:13:00"/>
    <x v="7"/>
    <x v="16"/>
    <n v="4124"/>
    <n v="2"/>
    <n v="8248"/>
    <x v="2"/>
  </r>
  <r>
    <n v="426"/>
    <n v="282"/>
    <x v="9"/>
    <x v="231"/>
    <x v="3"/>
    <n v="1"/>
    <x v="0"/>
    <d v="2025-10-08T18:15:00"/>
    <x v="7"/>
    <x v="16"/>
    <n v="2286"/>
    <n v="1"/>
    <n v="2286"/>
    <x v="2"/>
  </r>
  <r>
    <n v="224"/>
    <n v="127"/>
    <x v="3"/>
    <x v="247"/>
    <x v="1"/>
    <n v="6"/>
    <x v="0"/>
    <d v="2025-10-08T19:00:00"/>
    <x v="7"/>
    <x v="22"/>
    <n v="9901"/>
    <n v="1"/>
    <n v="9901"/>
    <x v="1"/>
  </r>
  <r>
    <n v="539"/>
    <n v="229"/>
    <x v="9"/>
    <x v="151"/>
    <x v="5"/>
    <n v="4"/>
    <x v="0"/>
    <d v="2025-10-08T19:33:00"/>
    <x v="7"/>
    <x v="22"/>
    <n v="1500"/>
    <n v="2"/>
    <n v="3000"/>
    <x v="2"/>
  </r>
  <r>
    <n v="578"/>
    <n v="58"/>
    <x v="6"/>
    <x v="167"/>
    <x v="1"/>
    <n v="6"/>
    <x v="0"/>
    <d v="2025-10-08T19:35:00"/>
    <x v="7"/>
    <x v="22"/>
    <n v="10813"/>
    <n v="2"/>
    <n v="21626"/>
    <x v="0"/>
  </r>
  <r>
    <n v="587"/>
    <n v="275"/>
    <x v="3"/>
    <x v="248"/>
    <x v="0"/>
    <n v="2"/>
    <x v="0"/>
    <d v="2025-10-08T19:37:00"/>
    <x v="7"/>
    <x v="22"/>
    <n v="5091"/>
    <n v="2"/>
    <n v="10182"/>
    <x v="1"/>
  </r>
  <r>
    <n v="453"/>
    <n v="60"/>
    <x v="6"/>
    <x v="170"/>
    <x v="6"/>
    <n v="5"/>
    <x v="0"/>
    <d v="2025-10-08T21:32:00"/>
    <x v="7"/>
    <x v="23"/>
    <n v="1297"/>
    <n v="4"/>
    <n v="5188"/>
    <x v="2"/>
  </r>
  <r>
    <n v="94"/>
    <n v="262"/>
    <x v="9"/>
    <x v="182"/>
    <x v="5"/>
    <n v="4"/>
    <x v="0"/>
    <d v="2025-10-08T21:44:00"/>
    <x v="7"/>
    <x v="23"/>
    <n v="1348"/>
    <n v="2"/>
    <n v="2696"/>
    <x v="2"/>
  </r>
  <r>
    <n v="526"/>
    <n v="213"/>
    <x v="8"/>
    <x v="47"/>
    <x v="5"/>
    <n v="4"/>
    <x v="0"/>
    <d v="2025-10-08T21:56:00"/>
    <x v="7"/>
    <x v="23"/>
    <n v="790"/>
    <n v="2"/>
    <n v="1580"/>
    <x v="3"/>
  </r>
  <r>
    <n v="474"/>
    <n v="158"/>
    <x v="0"/>
    <x v="249"/>
    <x v="2"/>
    <n v="3"/>
    <x v="0"/>
    <d v="2025-10-08T22:41:00"/>
    <x v="7"/>
    <x v="18"/>
    <n v="5330"/>
    <n v="5"/>
    <n v="26650"/>
    <x v="1"/>
  </r>
  <r>
    <n v="4"/>
    <n v="112"/>
    <x v="2"/>
    <x v="250"/>
    <x v="3"/>
    <n v="1"/>
    <x v="0"/>
    <d v="2025-10-08T23:59:00"/>
    <x v="7"/>
    <x v="19"/>
    <n v="6736"/>
    <n v="3"/>
    <n v="20208"/>
    <x v="1"/>
  </r>
  <r>
    <n v="353"/>
    <n v="33"/>
    <x v="0"/>
    <x v="154"/>
    <x v="3"/>
    <n v="1"/>
    <x v="0"/>
    <d v="2025-10-09T01:52:00"/>
    <x v="8"/>
    <x v="1"/>
    <n v="5574"/>
    <n v="1"/>
    <n v="5574"/>
    <x v="1"/>
  </r>
  <r>
    <n v="33"/>
    <n v="147"/>
    <x v="1"/>
    <x v="251"/>
    <x v="0"/>
    <n v="2"/>
    <x v="0"/>
    <d v="2025-10-09T02:29:00"/>
    <x v="8"/>
    <x v="2"/>
    <n v="12696"/>
    <n v="1"/>
    <n v="12696"/>
    <x v="0"/>
  </r>
  <r>
    <n v="747"/>
    <n v="216"/>
    <x v="4"/>
    <x v="252"/>
    <x v="1"/>
    <n v="6"/>
    <x v="0"/>
    <d v="2025-10-09T02:41:00"/>
    <x v="8"/>
    <x v="2"/>
    <n v="8590"/>
    <n v="2"/>
    <n v="17180"/>
    <x v="1"/>
  </r>
  <r>
    <n v="385"/>
    <n v="42"/>
    <x v="8"/>
    <x v="134"/>
    <x v="0"/>
    <n v="2"/>
    <x v="0"/>
    <d v="2025-10-09T02:44:00"/>
    <x v="8"/>
    <x v="2"/>
    <n v="10130"/>
    <n v="4"/>
    <n v="40520"/>
    <x v="0"/>
  </r>
  <r>
    <n v="670"/>
    <n v="179"/>
    <x v="3"/>
    <x v="14"/>
    <x v="4"/>
    <n v="7"/>
    <x v="0"/>
    <d v="2025-10-09T03:24:00"/>
    <x v="8"/>
    <x v="3"/>
    <n v="7230"/>
    <n v="1"/>
    <n v="7230"/>
    <x v="1"/>
  </r>
  <r>
    <n v="542"/>
    <n v="66"/>
    <x v="3"/>
    <x v="84"/>
    <x v="5"/>
    <n v="4"/>
    <x v="1"/>
    <d v="2025-10-09T03:45:00"/>
    <x v="8"/>
    <x v="3"/>
    <n v="183"/>
    <n v="0"/>
    <n v="0"/>
    <x v="3"/>
  </r>
  <r>
    <n v="306"/>
    <n v="238"/>
    <x v="0"/>
    <x v="105"/>
    <x v="3"/>
    <n v="1"/>
    <x v="0"/>
    <d v="2025-10-09T04:00:00"/>
    <x v="8"/>
    <x v="4"/>
    <n v="6876"/>
    <n v="2"/>
    <n v="13752"/>
    <x v="1"/>
  </r>
  <r>
    <n v="545"/>
    <n v="195"/>
    <x v="3"/>
    <x v="232"/>
    <x v="3"/>
    <n v="1"/>
    <x v="0"/>
    <d v="2025-10-09T05:03:00"/>
    <x v="8"/>
    <x v="20"/>
    <n v="6685"/>
    <n v="4"/>
    <n v="26740"/>
    <x v="1"/>
  </r>
  <r>
    <n v="355"/>
    <n v="80"/>
    <x v="5"/>
    <x v="147"/>
    <x v="3"/>
    <n v="1"/>
    <x v="1"/>
    <d v="2025-10-09T05:06:00"/>
    <x v="8"/>
    <x v="20"/>
    <n v="7661"/>
    <n v="0"/>
    <n v="0"/>
    <x v="1"/>
  </r>
  <r>
    <n v="677"/>
    <n v="215"/>
    <x v="1"/>
    <x v="253"/>
    <x v="2"/>
    <n v="3"/>
    <x v="0"/>
    <d v="2025-10-09T05:24:00"/>
    <x v="8"/>
    <x v="20"/>
    <n v="3654"/>
    <n v="2"/>
    <n v="7308"/>
    <x v="2"/>
  </r>
  <r>
    <n v="212"/>
    <n v="35"/>
    <x v="0"/>
    <x v="15"/>
    <x v="3"/>
    <n v="1"/>
    <x v="0"/>
    <d v="2025-10-09T05:24:00"/>
    <x v="8"/>
    <x v="20"/>
    <n v="6229"/>
    <n v="3"/>
    <n v="18687"/>
    <x v="1"/>
  </r>
  <r>
    <n v="613"/>
    <n v="25"/>
    <x v="0"/>
    <x v="254"/>
    <x v="4"/>
    <n v="7"/>
    <x v="0"/>
    <d v="2025-10-09T05:41:00"/>
    <x v="8"/>
    <x v="20"/>
    <n v="2430"/>
    <n v="1"/>
    <n v="2430"/>
    <x v="2"/>
  </r>
  <r>
    <n v="450"/>
    <n v="120"/>
    <x v="0"/>
    <x v="154"/>
    <x v="3"/>
    <n v="1"/>
    <x v="0"/>
    <d v="2025-10-09T05:42:00"/>
    <x v="8"/>
    <x v="20"/>
    <n v="3183"/>
    <n v="1"/>
    <n v="3183"/>
    <x v="2"/>
  </r>
  <r>
    <n v="516"/>
    <n v="149"/>
    <x v="0"/>
    <x v="168"/>
    <x v="6"/>
    <n v="5"/>
    <x v="1"/>
    <d v="2025-10-09T05:46:00"/>
    <x v="8"/>
    <x v="20"/>
    <n v="2921"/>
    <n v="0"/>
    <n v="0"/>
    <x v="2"/>
  </r>
  <r>
    <n v="592"/>
    <n v="165"/>
    <x v="9"/>
    <x v="125"/>
    <x v="4"/>
    <n v="7"/>
    <x v="0"/>
    <d v="2025-10-09T05:49:00"/>
    <x v="8"/>
    <x v="20"/>
    <n v="3592"/>
    <n v="2"/>
    <n v="7184"/>
    <x v="2"/>
  </r>
  <r>
    <n v="534"/>
    <n v="114"/>
    <x v="4"/>
    <x v="36"/>
    <x v="3"/>
    <n v="1"/>
    <x v="1"/>
    <d v="2025-10-09T06:17:00"/>
    <x v="8"/>
    <x v="5"/>
    <n v="2894"/>
    <n v="0"/>
    <n v="0"/>
    <x v="2"/>
  </r>
  <r>
    <n v="571"/>
    <n v="90"/>
    <x v="7"/>
    <x v="12"/>
    <x v="5"/>
    <n v="4"/>
    <x v="0"/>
    <d v="2025-10-09T06:53:00"/>
    <x v="8"/>
    <x v="5"/>
    <n v="849"/>
    <n v="2"/>
    <n v="1698"/>
    <x v="3"/>
  </r>
  <r>
    <n v="508"/>
    <n v="25"/>
    <x v="2"/>
    <x v="162"/>
    <x v="6"/>
    <n v="5"/>
    <x v="0"/>
    <d v="2025-10-09T07:16:00"/>
    <x v="8"/>
    <x v="6"/>
    <n v="3511"/>
    <n v="2"/>
    <n v="7022"/>
    <x v="2"/>
  </r>
  <r>
    <n v="327"/>
    <n v="214"/>
    <x v="2"/>
    <x v="64"/>
    <x v="0"/>
    <n v="2"/>
    <x v="0"/>
    <d v="2025-10-09T08:43:00"/>
    <x v="8"/>
    <x v="7"/>
    <n v="9771"/>
    <n v="2"/>
    <n v="19542"/>
    <x v="1"/>
  </r>
  <r>
    <n v="189"/>
    <n v="276"/>
    <x v="7"/>
    <x v="255"/>
    <x v="6"/>
    <n v="5"/>
    <x v="1"/>
    <d v="2025-10-09T08:55:00"/>
    <x v="8"/>
    <x v="7"/>
    <n v="2348"/>
    <n v="0"/>
    <n v="0"/>
    <x v="2"/>
  </r>
  <r>
    <n v="725"/>
    <n v="74"/>
    <x v="5"/>
    <x v="195"/>
    <x v="4"/>
    <n v="7"/>
    <x v="0"/>
    <d v="2025-10-09T09:04:00"/>
    <x v="8"/>
    <x v="8"/>
    <n v="5302"/>
    <n v="4"/>
    <n v="21208"/>
    <x v="1"/>
  </r>
  <r>
    <n v="427"/>
    <n v="286"/>
    <x v="3"/>
    <x v="4"/>
    <x v="0"/>
    <n v="2"/>
    <x v="0"/>
    <d v="2025-10-09T09:58:00"/>
    <x v="8"/>
    <x v="8"/>
    <n v="11415"/>
    <n v="2"/>
    <n v="22830"/>
    <x v="0"/>
  </r>
  <r>
    <n v="262"/>
    <n v="105"/>
    <x v="2"/>
    <x v="256"/>
    <x v="4"/>
    <n v="7"/>
    <x v="0"/>
    <d v="2025-10-09T10:05:00"/>
    <x v="8"/>
    <x v="9"/>
    <n v="5709"/>
    <n v="1"/>
    <n v="5709"/>
    <x v="1"/>
  </r>
  <r>
    <n v="380"/>
    <n v="48"/>
    <x v="1"/>
    <x v="173"/>
    <x v="5"/>
    <n v="4"/>
    <x v="0"/>
    <d v="2025-10-09T11:32:00"/>
    <x v="8"/>
    <x v="10"/>
    <n v="857"/>
    <n v="1"/>
    <n v="857"/>
    <x v="3"/>
  </r>
  <r>
    <n v="275"/>
    <n v="194"/>
    <x v="5"/>
    <x v="257"/>
    <x v="3"/>
    <n v="1"/>
    <x v="0"/>
    <d v="2025-10-09T11:33:00"/>
    <x v="8"/>
    <x v="10"/>
    <n v="5557"/>
    <n v="3"/>
    <n v="16671"/>
    <x v="1"/>
  </r>
  <r>
    <n v="742"/>
    <n v="287"/>
    <x v="5"/>
    <x v="258"/>
    <x v="2"/>
    <n v="3"/>
    <x v="0"/>
    <d v="2025-10-09T13:05:00"/>
    <x v="8"/>
    <x v="21"/>
    <n v="1660"/>
    <n v="2"/>
    <n v="3320"/>
    <x v="2"/>
  </r>
  <r>
    <n v="311"/>
    <n v="8"/>
    <x v="5"/>
    <x v="259"/>
    <x v="3"/>
    <n v="1"/>
    <x v="0"/>
    <d v="2025-10-09T13:07:00"/>
    <x v="8"/>
    <x v="21"/>
    <n v="2822"/>
    <n v="3"/>
    <n v="8466"/>
    <x v="2"/>
  </r>
  <r>
    <n v="773"/>
    <n v="246"/>
    <x v="1"/>
    <x v="194"/>
    <x v="3"/>
    <n v="1"/>
    <x v="1"/>
    <d v="2025-10-09T14:05:00"/>
    <x v="8"/>
    <x v="12"/>
    <n v="2632"/>
    <n v="0"/>
    <n v="0"/>
    <x v="2"/>
  </r>
  <r>
    <n v="210"/>
    <n v="204"/>
    <x v="9"/>
    <x v="260"/>
    <x v="1"/>
    <n v="6"/>
    <x v="0"/>
    <d v="2025-10-09T14:25:00"/>
    <x v="8"/>
    <x v="12"/>
    <n v="6130"/>
    <n v="2"/>
    <n v="12260"/>
    <x v="1"/>
  </r>
  <r>
    <n v="390"/>
    <n v="239"/>
    <x v="6"/>
    <x v="261"/>
    <x v="4"/>
    <n v="7"/>
    <x v="1"/>
    <d v="2025-10-09T16:37:00"/>
    <x v="8"/>
    <x v="14"/>
    <n v="3542"/>
    <n v="0"/>
    <n v="0"/>
    <x v="2"/>
  </r>
  <r>
    <n v="268"/>
    <n v="185"/>
    <x v="6"/>
    <x v="219"/>
    <x v="3"/>
    <n v="1"/>
    <x v="0"/>
    <d v="2025-10-09T16:39:00"/>
    <x v="8"/>
    <x v="14"/>
    <n v="5503"/>
    <n v="1"/>
    <n v="5503"/>
    <x v="1"/>
  </r>
  <r>
    <n v="740"/>
    <n v="241"/>
    <x v="8"/>
    <x v="30"/>
    <x v="3"/>
    <n v="1"/>
    <x v="0"/>
    <d v="2025-10-09T17:00:00"/>
    <x v="8"/>
    <x v="15"/>
    <n v="5254"/>
    <n v="3"/>
    <n v="15762"/>
    <x v="1"/>
  </r>
  <r>
    <n v="424"/>
    <n v="24"/>
    <x v="6"/>
    <x v="262"/>
    <x v="5"/>
    <n v="4"/>
    <x v="1"/>
    <d v="2025-10-09T18:32:00"/>
    <x v="8"/>
    <x v="16"/>
    <n v="609"/>
    <n v="0"/>
    <n v="0"/>
    <x v="3"/>
  </r>
  <r>
    <n v="268"/>
    <n v="284"/>
    <x v="4"/>
    <x v="242"/>
    <x v="4"/>
    <n v="7"/>
    <x v="0"/>
    <d v="2025-10-09T18:52:00"/>
    <x v="8"/>
    <x v="16"/>
    <n v="6021"/>
    <n v="2"/>
    <n v="12042"/>
    <x v="1"/>
  </r>
  <r>
    <n v="157"/>
    <n v="101"/>
    <x v="2"/>
    <x v="250"/>
    <x v="3"/>
    <n v="1"/>
    <x v="1"/>
    <d v="2025-10-09T19:18:00"/>
    <x v="8"/>
    <x v="22"/>
    <n v="5880"/>
    <n v="0"/>
    <n v="0"/>
    <x v="1"/>
  </r>
  <r>
    <n v="252"/>
    <n v="256"/>
    <x v="2"/>
    <x v="263"/>
    <x v="4"/>
    <n v="7"/>
    <x v="0"/>
    <d v="2025-10-09T19:50:00"/>
    <x v="8"/>
    <x v="22"/>
    <n v="4119"/>
    <n v="1"/>
    <n v="4119"/>
    <x v="2"/>
  </r>
  <r>
    <n v="782"/>
    <n v="251"/>
    <x v="6"/>
    <x v="219"/>
    <x v="3"/>
    <n v="1"/>
    <x v="1"/>
    <d v="2025-10-09T20:06:00"/>
    <x v="8"/>
    <x v="17"/>
    <n v="5645"/>
    <n v="0"/>
    <n v="0"/>
    <x v="1"/>
  </r>
  <r>
    <n v="173"/>
    <n v="181"/>
    <x v="8"/>
    <x v="37"/>
    <x v="3"/>
    <n v="1"/>
    <x v="0"/>
    <d v="2025-10-09T20:32:00"/>
    <x v="8"/>
    <x v="17"/>
    <n v="7055"/>
    <n v="2"/>
    <n v="14110"/>
    <x v="1"/>
  </r>
  <r>
    <n v="189"/>
    <n v="278"/>
    <x v="3"/>
    <x v="232"/>
    <x v="3"/>
    <n v="1"/>
    <x v="0"/>
    <d v="2025-10-09T20:55:00"/>
    <x v="8"/>
    <x v="17"/>
    <n v="2257"/>
    <n v="4"/>
    <n v="9028"/>
    <x v="2"/>
  </r>
  <r>
    <n v="77"/>
    <n v="25"/>
    <x v="3"/>
    <x v="264"/>
    <x v="0"/>
    <n v="2"/>
    <x v="0"/>
    <d v="2025-10-09T21:57:00"/>
    <x v="8"/>
    <x v="23"/>
    <n v="14345"/>
    <n v="1"/>
    <n v="14345"/>
    <x v="0"/>
  </r>
  <r>
    <n v="646"/>
    <n v="119"/>
    <x v="2"/>
    <x v="256"/>
    <x v="4"/>
    <n v="7"/>
    <x v="0"/>
    <d v="2025-10-09T21:58:00"/>
    <x v="8"/>
    <x v="23"/>
    <n v="7564"/>
    <n v="1"/>
    <n v="7564"/>
    <x v="1"/>
  </r>
  <r>
    <n v="224"/>
    <n v="259"/>
    <x v="4"/>
    <x v="242"/>
    <x v="4"/>
    <n v="7"/>
    <x v="1"/>
    <d v="2025-10-09T22:07:00"/>
    <x v="8"/>
    <x v="18"/>
    <n v="2218"/>
    <n v="0"/>
    <n v="0"/>
    <x v="2"/>
  </r>
  <r>
    <n v="654"/>
    <n v="248"/>
    <x v="0"/>
    <x v="160"/>
    <x v="3"/>
    <n v="1"/>
    <x v="0"/>
    <d v="2025-10-09T23:26:00"/>
    <x v="8"/>
    <x v="19"/>
    <n v="4726"/>
    <n v="2"/>
    <n v="9452"/>
    <x v="2"/>
  </r>
  <r>
    <n v="545"/>
    <n v="283"/>
    <x v="0"/>
    <x v="105"/>
    <x v="3"/>
    <n v="1"/>
    <x v="0"/>
    <d v="2025-10-10T00:25:00"/>
    <x v="9"/>
    <x v="0"/>
    <n v="6449"/>
    <n v="3"/>
    <n v="19347"/>
    <x v="1"/>
  </r>
  <r>
    <n v="740"/>
    <n v="141"/>
    <x v="0"/>
    <x v="265"/>
    <x v="5"/>
    <n v="4"/>
    <x v="0"/>
    <d v="2025-10-10T00:41:00"/>
    <x v="9"/>
    <x v="0"/>
    <n v="698"/>
    <n v="3"/>
    <n v="2094"/>
    <x v="3"/>
  </r>
  <r>
    <n v="715"/>
    <n v="221"/>
    <x v="0"/>
    <x v="160"/>
    <x v="3"/>
    <n v="1"/>
    <x v="0"/>
    <d v="2025-10-10T01:06:00"/>
    <x v="9"/>
    <x v="1"/>
    <n v="5334"/>
    <n v="1"/>
    <n v="5334"/>
    <x v="1"/>
  </r>
  <r>
    <n v="153"/>
    <n v="124"/>
    <x v="1"/>
    <x v="266"/>
    <x v="6"/>
    <n v="5"/>
    <x v="0"/>
    <d v="2025-10-10T01:15:00"/>
    <x v="9"/>
    <x v="1"/>
    <n v="1388"/>
    <n v="2"/>
    <n v="2776"/>
    <x v="2"/>
  </r>
  <r>
    <n v="363"/>
    <n v="137"/>
    <x v="3"/>
    <x v="267"/>
    <x v="4"/>
    <n v="7"/>
    <x v="1"/>
    <d v="2025-10-10T01:21:00"/>
    <x v="9"/>
    <x v="1"/>
    <n v="3189"/>
    <n v="0"/>
    <n v="0"/>
    <x v="2"/>
  </r>
  <r>
    <n v="416"/>
    <n v="236"/>
    <x v="1"/>
    <x v="116"/>
    <x v="3"/>
    <n v="1"/>
    <x v="0"/>
    <d v="2025-10-10T01:37:00"/>
    <x v="9"/>
    <x v="1"/>
    <n v="7515"/>
    <n v="1"/>
    <n v="7515"/>
    <x v="1"/>
  </r>
  <r>
    <n v="701"/>
    <n v="42"/>
    <x v="5"/>
    <x v="78"/>
    <x v="5"/>
    <n v="4"/>
    <x v="0"/>
    <d v="2025-10-10T01:49:00"/>
    <x v="9"/>
    <x v="1"/>
    <n v="1131"/>
    <n v="4"/>
    <n v="4524"/>
    <x v="2"/>
  </r>
  <r>
    <n v="387"/>
    <n v="283"/>
    <x v="2"/>
    <x v="197"/>
    <x v="1"/>
    <n v="6"/>
    <x v="0"/>
    <d v="2025-10-10T02:12:00"/>
    <x v="9"/>
    <x v="2"/>
    <n v="2366"/>
    <n v="1"/>
    <n v="2366"/>
    <x v="2"/>
  </r>
  <r>
    <n v="176"/>
    <n v="43"/>
    <x v="0"/>
    <x v="0"/>
    <x v="0"/>
    <n v="2"/>
    <x v="0"/>
    <d v="2025-10-10T02:14:00"/>
    <x v="9"/>
    <x v="2"/>
    <n v="11626"/>
    <n v="1"/>
    <n v="11626"/>
    <x v="0"/>
  </r>
  <r>
    <n v="98"/>
    <n v="271"/>
    <x v="6"/>
    <x v="135"/>
    <x v="3"/>
    <n v="1"/>
    <x v="0"/>
    <d v="2025-10-10T03:51:00"/>
    <x v="9"/>
    <x v="3"/>
    <n v="5116"/>
    <n v="2"/>
    <n v="10232"/>
    <x v="1"/>
  </r>
  <r>
    <n v="581"/>
    <n v="244"/>
    <x v="5"/>
    <x v="164"/>
    <x v="3"/>
    <n v="1"/>
    <x v="0"/>
    <d v="2025-10-10T05:45:00"/>
    <x v="9"/>
    <x v="20"/>
    <n v="1265"/>
    <n v="4"/>
    <n v="5060"/>
    <x v="2"/>
  </r>
  <r>
    <n v="288"/>
    <n v="279"/>
    <x v="1"/>
    <x v="268"/>
    <x v="4"/>
    <n v="7"/>
    <x v="0"/>
    <d v="2025-10-10T06:16:00"/>
    <x v="9"/>
    <x v="5"/>
    <n v="3543"/>
    <n v="1"/>
    <n v="3543"/>
    <x v="2"/>
  </r>
  <r>
    <n v="323"/>
    <n v="9"/>
    <x v="0"/>
    <x v="269"/>
    <x v="0"/>
    <n v="2"/>
    <x v="0"/>
    <d v="2025-10-10T06:37:00"/>
    <x v="9"/>
    <x v="5"/>
    <n v="13368"/>
    <n v="3"/>
    <n v="40104"/>
    <x v="0"/>
  </r>
  <r>
    <n v="79"/>
    <n v="154"/>
    <x v="4"/>
    <x v="270"/>
    <x v="2"/>
    <n v="3"/>
    <x v="1"/>
    <d v="2025-10-10T06:46:00"/>
    <x v="9"/>
    <x v="5"/>
    <n v="3297"/>
    <n v="0"/>
    <n v="0"/>
    <x v="2"/>
  </r>
  <r>
    <n v="399"/>
    <n v="277"/>
    <x v="5"/>
    <x v="183"/>
    <x v="3"/>
    <n v="1"/>
    <x v="0"/>
    <d v="2025-10-10T07:31:00"/>
    <x v="9"/>
    <x v="6"/>
    <n v="2418"/>
    <n v="3"/>
    <n v="7254"/>
    <x v="2"/>
  </r>
  <r>
    <n v="513"/>
    <n v="178"/>
    <x v="4"/>
    <x v="271"/>
    <x v="2"/>
    <n v="3"/>
    <x v="0"/>
    <d v="2025-10-10T08:02:00"/>
    <x v="9"/>
    <x v="7"/>
    <n v="4213"/>
    <n v="3"/>
    <n v="12639"/>
    <x v="2"/>
  </r>
  <r>
    <n v="78"/>
    <n v="175"/>
    <x v="2"/>
    <x v="185"/>
    <x v="3"/>
    <n v="1"/>
    <x v="0"/>
    <d v="2025-10-10T08:06:00"/>
    <x v="9"/>
    <x v="7"/>
    <n v="1289"/>
    <n v="1"/>
    <n v="1289"/>
    <x v="2"/>
  </r>
  <r>
    <n v="407"/>
    <n v="168"/>
    <x v="9"/>
    <x v="121"/>
    <x v="4"/>
    <n v="7"/>
    <x v="0"/>
    <d v="2025-10-10T09:10:00"/>
    <x v="9"/>
    <x v="8"/>
    <n v="6650"/>
    <n v="2"/>
    <n v="13300"/>
    <x v="1"/>
  </r>
  <r>
    <n v="503"/>
    <n v="117"/>
    <x v="7"/>
    <x v="240"/>
    <x v="2"/>
    <n v="3"/>
    <x v="0"/>
    <d v="2025-10-10T09:56:00"/>
    <x v="9"/>
    <x v="8"/>
    <n v="1866"/>
    <n v="4"/>
    <n v="7464"/>
    <x v="2"/>
  </r>
  <r>
    <n v="191"/>
    <n v="300"/>
    <x v="2"/>
    <x v="108"/>
    <x v="5"/>
    <n v="4"/>
    <x v="0"/>
    <d v="2025-10-10T11:15:00"/>
    <x v="9"/>
    <x v="10"/>
    <n v="861"/>
    <n v="1"/>
    <n v="861"/>
    <x v="3"/>
  </r>
  <r>
    <n v="303"/>
    <n v="127"/>
    <x v="1"/>
    <x v="8"/>
    <x v="3"/>
    <n v="1"/>
    <x v="1"/>
    <d v="2025-10-10T11:50:00"/>
    <x v="9"/>
    <x v="10"/>
    <n v="6406"/>
    <n v="0"/>
    <n v="0"/>
    <x v="1"/>
  </r>
  <r>
    <n v="158"/>
    <n v="195"/>
    <x v="1"/>
    <x v="116"/>
    <x v="3"/>
    <n v="1"/>
    <x v="0"/>
    <d v="2025-10-10T12:15:00"/>
    <x v="9"/>
    <x v="11"/>
    <n v="6678"/>
    <n v="2"/>
    <n v="13356"/>
    <x v="1"/>
  </r>
  <r>
    <n v="399"/>
    <n v="163"/>
    <x v="4"/>
    <x v="36"/>
    <x v="3"/>
    <n v="1"/>
    <x v="0"/>
    <d v="2025-10-10T12:29:00"/>
    <x v="9"/>
    <x v="11"/>
    <n v="6954"/>
    <n v="2"/>
    <n v="13908"/>
    <x v="1"/>
  </r>
  <r>
    <n v="316"/>
    <n v="228"/>
    <x v="1"/>
    <x v="9"/>
    <x v="5"/>
    <n v="4"/>
    <x v="0"/>
    <d v="2025-10-10T13:41:00"/>
    <x v="9"/>
    <x v="21"/>
    <n v="642"/>
    <n v="3"/>
    <n v="1926"/>
    <x v="3"/>
  </r>
  <r>
    <n v="136"/>
    <n v="45"/>
    <x v="7"/>
    <x v="152"/>
    <x v="4"/>
    <n v="7"/>
    <x v="0"/>
    <d v="2025-10-10T14:34:00"/>
    <x v="9"/>
    <x v="12"/>
    <n v="4637"/>
    <n v="1"/>
    <n v="4637"/>
    <x v="2"/>
  </r>
  <r>
    <n v="569"/>
    <n v="263"/>
    <x v="8"/>
    <x v="272"/>
    <x v="3"/>
    <n v="1"/>
    <x v="0"/>
    <d v="2025-10-10T14:35:00"/>
    <x v="9"/>
    <x v="12"/>
    <n v="2555"/>
    <n v="2"/>
    <n v="5110"/>
    <x v="2"/>
  </r>
  <r>
    <n v="363"/>
    <n v="284"/>
    <x v="0"/>
    <x v="273"/>
    <x v="2"/>
    <n v="3"/>
    <x v="0"/>
    <d v="2025-10-10T14:36:00"/>
    <x v="9"/>
    <x v="12"/>
    <n v="4694"/>
    <n v="2"/>
    <n v="9388"/>
    <x v="2"/>
  </r>
  <r>
    <n v="395"/>
    <n v="7"/>
    <x v="9"/>
    <x v="274"/>
    <x v="2"/>
    <n v="3"/>
    <x v="0"/>
    <d v="2025-10-10T14:49:00"/>
    <x v="9"/>
    <x v="12"/>
    <n v="2367"/>
    <n v="3"/>
    <n v="7101"/>
    <x v="2"/>
  </r>
  <r>
    <n v="743"/>
    <n v="287"/>
    <x v="2"/>
    <x v="205"/>
    <x v="6"/>
    <n v="5"/>
    <x v="0"/>
    <d v="2025-10-10T15:33:00"/>
    <x v="9"/>
    <x v="13"/>
    <n v="2006"/>
    <n v="1"/>
    <n v="2006"/>
    <x v="2"/>
  </r>
  <r>
    <n v="702"/>
    <n v="195"/>
    <x v="3"/>
    <x v="35"/>
    <x v="5"/>
    <n v="4"/>
    <x v="1"/>
    <d v="2025-10-10T17:28:00"/>
    <x v="9"/>
    <x v="15"/>
    <n v="639"/>
    <n v="0"/>
    <n v="0"/>
    <x v="3"/>
  </r>
  <r>
    <n v="275"/>
    <n v="253"/>
    <x v="7"/>
    <x v="275"/>
    <x v="1"/>
    <n v="6"/>
    <x v="0"/>
    <d v="2025-10-10T17:33:00"/>
    <x v="9"/>
    <x v="15"/>
    <n v="4648"/>
    <n v="2"/>
    <n v="9296"/>
    <x v="2"/>
  </r>
  <r>
    <n v="283"/>
    <n v="216"/>
    <x v="4"/>
    <x v="270"/>
    <x v="2"/>
    <n v="3"/>
    <x v="0"/>
    <d v="2025-10-10T17:56:00"/>
    <x v="9"/>
    <x v="15"/>
    <n v="2527"/>
    <n v="1"/>
    <n v="2527"/>
    <x v="2"/>
  </r>
  <r>
    <n v="258"/>
    <n v="127"/>
    <x v="1"/>
    <x v="276"/>
    <x v="4"/>
    <n v="7"/>
    <x v="0"/>
    <d v="2025-10-10T18:09:00"/>
    <x v="9"/>
    <x v="16"/>
    <n v="4002"/>
    <n v="1"/>
    <n v="4002"/>
    <x v="2"/>
  </r>
  <r>
    <n v="632"/>
    <n v="101"/>
    <x v="8"/>
    <x v="272"/>
    <x v="3"/>
    <n v="1"/>
    <x v="1"/>
    <d v="2025-10-10T19:42:00"/>
    <x v="9"/>
    <x v="22"/>
    <n v="7025"/>
    <n v="0"/>
    <n v="0"/>
    <x v="1"/>
  </r>
  <r>
    <n v="7"/>
    <n v="203"/>
    <x v="4"/>
    <x v="277"/>
    <x v="5"/>
    <n v="4"/>
    <x v="0"/>
    <d v="2025-10-10T20:31:00"/>
    <x v="9"/>
    <x v="17"/>
    <n v="841"/>
    <n v="3"/>
    <n v="2523"/>
    <x v="3"/>
  </r>
  <r>
    <n v="451"/>
    <n v="172"/>
    <x v="2"/>
    <x v="250"/>
    <x v="3"/>
    <n v="1"/>
    <x v="0"/>
    <d v="2025-10-10T21:19:00"/>
    <x v="9"/>
    <x v="23"/>
    <n v="3838"/>
    <n v="3"/>
    <n v="11514"/>
    <x v="2"/>
  </r>
  <r>
    <n v="308"/>
    <n v="165"/>
    <x v="9"/>
    <x v="128"/>
    <x v="0"/>
    <n v="2"/>
    <x v="0"/>
    <d v="2025-10-10T21:36:00"/>
    <x v="9"/>
    <x v="23"/>
    <n v="11188"/>
    <n v="1"/>
    <n v="11188"/>
    <x v="0"/>
  </r>
  <r>
    <n v="322"/>
    <n v="91"/>
    <x v="5"/>
    <x v="147"/>
    <x v="3"/>
    <n v="1"/>
    <x v="0"/>
    <d v="2025-10-10T21:50:00"/>
    <x v="9"/>
    <x v="23"/>
    <n v="6096"/>
    <n v="1"/>
    <n v="6096"/>
    <x v="1"/>
  </r>
  <r>
    <n v="712"/>
    <n v="252"/>
    <x v="7"/>
    <x v="245"/>
    <x v="1"/>
    <n v="6"/>
    <x v="0"/>
    <d v="2025-10-10T21:59:00"/>
    <x v="9"/>
    <x v="23"/>
    <n v="8487"/>
    <n v="1"/>
    <n v="8487"/>
    <x v="1"/>
  </r>
  <r>
    <n v="386"/>
    <n v="144"/>
    <x v="5"/>
    <x v="78"/>
    <x v="5"/>
    <n v="4"/>
    <x v="1"/>
    <d v="2025-10-10T22:00:00"/>
    <x v="9"/>
    <x v="18"/>
    <n v="1429"/>
    <n v="0"/>
    <n v="0"/>
    <x v="2"/>
  </r>
  <r>
    <n v="578"/>
    <n v="103"/>
    <x v="6"/>
    <x v="278"/>
    <x v="3"/>
    <n v="1"/>
    <x v="0"/>
    <d v="2025-10-10T22:53:00"/>
    <x v="9"/>
    <x v="18"/>
    <n v="7689"/>
    <n v="2"/>
    <n v="15378"/>
    <x v="1"/>
  </r>
  <r>
    <n v="28"/>
    <n v="237"/>
    <x v="4"/>
    <x v="19"/>
    <x v="5"/>
    <n v="4"/>
    <x v="0"/>
    <d v="2025-10-10T23:38:00"/>
    <x v="9"/>
    <x v="19"/>
    <n v="1341"/>
    <n v="4"/>
    <n v="5364"/>
    <x v="2"/>
  </r>
  <r>
    <n v="710"/>
    <n v="36"/>
    <x v="8"/>
    <x v="103"/>
    <x v="3"/>
    <n v="1"/>
    <x v="1"/>
    <d v="2025-10-11T03:14:00"/>
    <x v="10"/>
    <x v="3"/>
    <n v="6709"/>
    <n v="0"/>
    <n v="0"/>
    <x v="1"/>
  </r>
  <r>
    <n v="649"/>
    <n v="156"/>
    <x v="8"/>
    <x v="41"/>
    <x v="0"/>
    <n v="2"/>
    <x v="0"/>
    <d v="2025-10-11T05:45:00"/>
    <x v="10"/>
    <x v="20"/>
    <n v="10847"/>
    <n v="2"/>
    <n v="21694"/>
    <x v="0"/>
  </r>
  <r>
    <n v="387"/>
    <n v="38"/>
    <x v="4"/>
    <x v="93"/>
    <x v="5"/>
    <n v="4"/>
    <x v="0"/>
    <d v="2025-10-11T06:06:00"/>
    <x v="10"/>
    <x v="5"/>
    <n v="474"/>
    <n v="3"/>
    <n v="1422"/>
    <x v="3"/>
  </r>
  <r>
    <n v="411"/>
    <n v="274"/>
    <x v="8"/>
    <x v="22"/>
    <x v="2"/>
    <n v="3"/>
    <x v="0"/>
    <d v="2025-10-11T06:45:00"/>
    <x v="10"/>
    <x v="5"/>
    <n v="5284"/>
    <n v="3"/>
    <n v="15852"/>
    <x v="1"/>
  </r>
  <r>
    <n v="38"/>
    <n v="185"/>
    <x v="2"/>
    <x v="226"/>
    <x v="5"/>
    <n v="4"/>
    <x v="0"/>
    <d v="2025-10-11T08:02:00"/>
    <x v="10"/>
    <x v="7"/>
    <n v="1241"/>
    <n v="3"/>
    <n v="3723"/>
    <x v="2"/>
  </r>
  <r>
    <n v="88"/>
    <n v="56"/>
    <x v="9"/>
    <x v="180"/>
    <x v="3"/>
    <n v="1"/>
    <x v="0"/>
    <d v="2025-10-11T08:52:00"/>
    <x v="10"/>
    <x v="7"/>
    <n v="6821"/>
    <n v="3"/>
    <n v="20463"/>
    <x v="1"/>
  </r>
  <r>
    <n v="663"/>
    <n v="23"/>
    <x v="6"/>
    <x v="279"/>
    <x v="4"/>
    <n v="7"/>
    <x v="0"/>
    <d v="2025-10-11T09:00:00"/>
    <x v="10"/>
    <x v="8"/>
    <n v="7726"/>
    <n v="2"/>
    <n v="15452"/>
    <x v="1"/>
  </r>
  <r>
    <n v="441"/>
    <n v="55"/>
    <x v="2"/>
    <x v="280"/>
    <x v="1"/>
    <n v="6"/>
    <x v="0"/>
    <d v="2025-10-11T09:16:00"/>
    <x v="10"/>
    <x v="8"/>
    <n v="11357"/>
    <n v="5"/>
    <n v="56785"/>
    <x v="0"/>
  </r>
  <r>
    <n v="523"/>
    <n v="266"/>
    <x v="7"/>
    <x v="281"/>
    <x v="6"/>
    <n v="5"/>
    <x v="0"/>
    <d v="2025-10-11T09:19:00"/>
    <x v="10"/>
    <x v="8"/>
    <n v="800"/>
    <n v="2"/>
    <n v="1600"/>
    <x v="3"/>
  </r>
  <r>
    <n v="475"/>
    <n v="257"/>
    <x v="6"/>
    <x v="282"/>
    <x v="2"/>
    <n v="3"/>
    <x v="0"/>
    <d v="2025-10-11T10:41:00"/>
    <x v="10"/>
    <x v="9"/>
    <n v="3338"/>
    <n v="1"/>
    <n v="3338"/>
    <x v="2"/>
  </r>
  <r>
    <n v="108"/>
    <n v="152"/>
    <x v="0"/>
    <x v="283"/>
    <x v="0"/>
    <n v="2"/>
    <x v="0"/>
    <d v="2025-10-11T11:06:00"/>
    <x v="10"/>
    <x v="10"/>
    <n v="6445"/>
    <n v="2"/>
    <n v="12890"/>
    <x v="1"/>
  </r>
  <r>
    <n v="357"/>
    <n v="160"/>
    <x v="1"/>
    <x v="16"/>
    <x v="5"/>
    <n v="4"/>
    <x v="0"/>
    <d v="2025-10-11T11:12:00"/>
    <x v="10"/>
    <x v="10"/>
    <n v="744"/>
    <n v="3"/>
    <n v="2232"/>
    <x v="3"/>
  </r>
  <r>
    <n v="495"/>
    <n v="179"/>
    <x v="5"/>
    <x v="284"/>
    <x v="6"/>
    <n v="5"/>
    <x v="0"/>
    <d v="2025-10-11T11:42:00"/>
    <x v="10"/>
    <x v="10"/>
    <n v="2238"/>
    <n v="3"/>
    <n v="6714"/>
    <x v="2"/>
  </r>
  <r>
    <n v="327"/>
    <n v="35"/>
    <x v="8"/>
    <x v="140"/>
    <x v="5"/>
    <n v="4"/>
    <x v="0"/>
    <d v="2025-10-11T12:07:00"/>
    <x v="10"/>
    <x v="11"/>
    <n v="874"/>
    <n v="3"/>
    <n v="2622"/>
    <x v="3"/>
  </r>
  <r>
    <n v="352"/>
    <n v="56"/>
    <x v="1"/>
    <x v="60"/>
    <x v="3"/>
    <n v="1"/>
    <x v="0"/>
    <d v="2025-10-11T12:19:00"/>
    <x v="10"/>
    <x v="11"/>
    <n v="3281"/>
    <n v="3"/>
    <n v="9843"/>
    <x v="2"/>
  </r>
  <r>
    <n v="179"/>
    <n v="283"/>
    <x v="5"/>
    <x v="34"/>
    <x v="0"/>
    <n v="2"/>
    <x v="0"/>
    <d v="2025-10-11T12:22:00"/>
    <x v="10"/>
    <x v="11"/>
    <n v="6871"/>
    <n v="2"/>
    <n v="13742"/>
    <x v="1"/>
  </r>
  <r>
    <n v="474"/>
    <n v="119"/>
    <x v="3"/>
    <x v="232"/>
    <x v="3"/>
    <n v="1"/>
    <x v="1"/>
    <d v="2025-10-11T12:52:00"/>
    <x v="10"/>
    <x v="11"/>
    <n v="2280"/>
    <n v="0"/>
    <n v="0"/>
    <x v="2"/>
  </r>
  <r>
    <n v="656"/>
    <n v="222"/>
    <x v="4"/>
    <x v="6"/>
    <x v="3"/>
    <n v="1"/>
    <x v="0"/>
    <d v="2025-10-11T13:11:00"/>
    <x v="10"/>
    <x v="21"/>
    <n v="7542"/>
    <n v="3"/>
    <n v="22626"/>
    <x v="1"/>
  </r>
  <r>
    <n v="461"/>
    <n v="220"/>
    <x v="9"/>
    <x v="106"/>
    <x v="3"/>
    <n v="1"/>
    <x v="0"/>
    <d v="2025-10-11T13:51:00"/>
    <x v="10"/>
    <x v="21"/>
    <n v="4054"/>
    <n v="1"/>
    <n v="4054"/>
    <x v="2"/>
  </r>
  <r>
    <n v="286"/>
    <n v="33"/>
    <x v="5"/>
    <x v="285"/>
    <x v="1"/>
    <n v="6"/>
    <x v="0"/>
    <d v="2025-10-11T14:10:00"/>
    <x v="10"/>
    <x v="12"/>
    <n v="8172"/>
    <n v="3"/>
    <n v="24516"/>
    <x v="1"/>
  </r>
  <r>
    <n v="375"/>
    <n v="167"/>
    <x v="3"/>
    <x v="91"/>
    <x v="3"/>
    <n v="1"/>
    <x v="0"/>
    <d v="2025-10-11T15:01:00"/>
    <x v="10"/>
    <x v="13"/>
    <n v="5581"/>
    <n v="3"/>
    <n v="16743"/>
    <x v="1"/>
  </r>
  <r>
    <n v="687"/>
    <n v="251"/>
    <x v="1"/>
    <x v="199"/>
    <x v="5"/>
    <n v="4"/>
    <x v="0"/>
    <d v="2025-10-11T15:22:00"/>
    <x v="10"/>
    <x v="13"/>
    <n v="487"/>
    <n v="2"/>
    <n v="974"/>
    <x v="3"/>
  </r>
  <r>
    <n v="398"/>
    <n v="201"/>
    <x v="6"/>
    <x v="96"/>
    <x v="5"/>
    <n v="4"/>
    <x v="1"/>
    <d v="2025-10-11T15:44:00"/>
    <x v="10"/>
    <x v="13"/>
    <n v="1257"/>
    <n v="0"/>
    <n v="0"/>
    <x v="2"/>
  </r>
  <r>
    <n v="633"/>
    <n v="89"/>
    <x v="6"/>
    <x v="282"/>
    <x v="2"/>
    <n v="3"/>
    <x v="0"/>
    <d v="2025-10-11T16:39:00"/>
    <x v="10"/>
    <x v="14"/>
    <n v="2413"/>
    <n v="1"/>
    <n v="2413"/>
    <x v="2"/>
  </r>
  <r>
    <n v="689"/>
    <n v="69"/>
    <x v="9"/>
    <x v="286"/>
    <x v="0"/>
    <n v="2"/>
    <x v="0"/>
    <d v="2025-10-11T16:53:00"/>
    <x v="10"/>
    <x v="14"/>
    <n v="8987"/>
    <n v="2"/>
    <n v="17974"/>
    <x v="1"/>
  </r>
  <r>
    <n v="120"/>
    <n v="94"/>
    <x v="5"/>
    <x v="86"/>
    <x v="2"/>
    <n v="3"/>
    <x v="0"/>
    <d v="2025-10-11T16:57:00"/>
    <x v="10"/>
    <x v="14"/>
    <n v="3925"/>
    <n v="1"/>
    <n v="3925"/>
    <x v="2"/>
  </r>
  <r>
    <n v="398"/>
    <n v="215"/>
    <x v="4"/>
    <x v="131"/>
    <x v="2"/>
    <n v="3"/>
    <x v="0"/>
    <d v="2025-10-11T16:57:00"/>
    <x v="10"/>
    <x v="14"/>
    <n v="4713"/>
    <n v="4"/>
    <n v="18852"/>
    <x v="2"/>
  </r>
  <r>
    <n v="434"/>
    <n v="96"/>
    <x v="9"/>
    <x v="287"/>
    <x v="4"/>
    <n v="7"/>
    <x v="0"/>
    <d v="2025-10-11T17:35:00"/>
    <x v="10"/>
    <x v="15"/>
    <n v="6255"/>
    <n v="2"/>
    <n v="12510"/>
    <x v="1"/>
  </r>
  <r>
    <n v="661"/>
    <n v="89"/>
    <x v="3"/>
    <x v="175"/>
    <x v="4"/>
    <n v="7"/>
    <x v="0"/>
    <d v="2025-10-11T18:00:00"/>
    <x v="10"/>
    <x v="16"/>
    <n v="5611"/>
    <n v="2"/>
    <n v="11222"/>
    <x v="1"/>
  </r>
  <r>
    <n v="192"/>
    <n v="162"/>
    <x v="7"/>
    <x v="288"/>
    <x v="2"/>
    <n v="3"/>
    <x v="0"/>
    <d v="2025-10-11T18:33:00"/>
    <x v="10"/>
    <x v="16"/>
    <n v="2916"/>
    <n v="2"/>
    <n v="5832"/>
    <x v="2"/>
  </r>
  <r>
    <n v="10"/>
    <n v="249"/>
    <x v="0"/>
    <x v="233"/>
    <x v="4"/>
    <n v="7"/>
    <x v="1"/>
    <d v="2025-10-11T18:39:00"/>
    <x v="10"/>
    <x v="16"/>
    <n v="5311"/>
    <n v="0"/>
    <n v="0"/>
    <x v="1"/>
  </r>
  <r>
    <n v="518"/>
    <n v="254"/>
    <x v="2"/>
    <x v="64"/>
    <x v="0"/>
    <n v="2"/>
    <x v="0"/>
    <d v="2025-10-11T18:43:00"/>
    <x v="10"/>
    <x v="16"/>
    <n v="6135"/>
    <n v="2"/>
    <n v="12270"/>
    <x v="1"/>
  </r>
  <r>
    <n v="728"/>
    <n v="228"/>
    <x v="8"/>
    <x v="134"/>
    <x v="0"/>
    <n v="2"/>
    <x v="0"/>
    <d v="2025-10-11T18:43:00"/>
    <x v="10"/>
    <x v="16"/>
    <n v="10853"/>
    <n v="2"/>
    <n v="21706"/>
    <x v="0"/>
  </r>
  <r>
    <n v="32"/>
    <n v="113"/>
    <x v="1"/>
    <x v="23"/>
    <x v="5"/>
    <n v="4"/>
    <x v="0"/>
    <d v="2025-10-11T18:55:00"/>
    <x v="10"/>
    <x v="16"/>
    <n v="935"/>
    <n v="2"/>
    <n v="1870"/>
    <x v="3"/>
  </r>
  <r>
    <n v="551"/>
    <n v="148"/>
    <x v="7"/>
    <x v="289"/>
    <x v="1"/>
    <n v="6"/>
    <x v="0"/>
    <d v="2025-10-11T19:18:00"/>
    <x v="10"/>
    <x v="22"/>
    <n v="6601"/>
    <n v="1"/>
    <n v="6601"/>
    <x v="1"/>
  </r>
  <r>
    <n v="761"/>
    <n v="254"/>
    <x v="8"/>
    <x v="272"/>
    <x v="3"/>
    <n v="1"/>
    <x v="0"/>
    <d v="2025-10-11T19:32:00"/>
    <x v="10"/>
    <x v="22"/>
    <n v="2576"/>
    <n v="3"/>
    <n v="7728"/>
    <x v="2"/>
  </r>
  <r>
    <n v="117"/>
    <n v="138"/>
    <x v="1"/>
    <x v="8"/>
    <x v="3"/>
    <n v="1"/>
    <x v="0"/>
    <d v="2025-10-11T19:47:00"/>
    <x v="10"/>
    <x v="22"/>
    <n v="5564"/>
    <n v="3"/>
    <n v="16692"/>
    <x v="1"/>
  </r>
  <r>
    <n v="779"/>
    <n v="226"/>
    <x v="3"/>
    <x v="290"/>
    <x v="5"/>
    <n v="4"/>
    <x v="0"/>
    <d v="2025-10-11T20:49:00"/>
    <x v="10"/>
    <x v="17"/>
    <n v="1149"/>
    <n v="3"/>
    <n v="3447"/>
    <x v="2"/>
  </r>
  <r>
    <n v="754"/>
    <n v="127"/>
    <x v="2"/>
    <x v="45"/>
    <x v="3"/>
    <n v="1"/>
    <x v="1"/>
    <d v="2025-10-11T21:00:00"/>
    <x v="10"/>
    <x v="23"/>
    <n v="5386"/>
    <n v="0"/>
    <n v="0"/>
    <x v="1"/>
  </r>
  <r>
    <n v="357"/>
    <n v="45"/>
    <x v="8"/>
    <x v="129"/>
    <x v="5"/>
    <n v="4"/>
    <x v="0"/>
    <d v="2025-10-11T21:19:00"/>
    <x v="10"/>
    <x v="23"/>
    <n v="475"/>
    <n v="3"/>
    <n v="1425"/>
    <x v="3"/>
  </r>
  <r>
    <n v="756"/>
    <n v="180"/>
    <x v="5"/>
    <x v="89"/>
    <x v="2"/>
    <n v="3"/>
    <x v="0"/>
    <d v="2025-10-11T22:00:00"/>
    <x v="10"/>
    <x v="18"/>
    <n v="4956"/>
    <n v="1"/>
    <n v="4956"/>
    <x v="2"/>
  </r>
  <r>
    <n v="631"/>
    <n v="72"/>
    <x v="2"/>
    <x v="291"/>
    <x v="1"/>
    <n v="6"/>
    <x v="0"/>
    <d v="2025-10-11T22:13:00"/>
    <x v="10"/>
    <x v="18"/>
    <n v="12000"/>
    <n v="1"/>
    <n v="12000"/>
    <x v="0"/>
  </r>
  <r>
    <n v="360"/>
    <n v="273"/>
    <x v="0"/>
    <x v="292"/>
    <x v="6"/>
    <n v="5"/>
    <x v="1"/>
    <d v="2025-10-11T22:39:00"/>
    <x v="10"/>
    <x v="18"/>
    <n v="1551"/>
    <n v="0"/>
    <n v="0"/>
    <x v="2"/>
  </r>
  <r>
    <n v="332"/>
    <n v="150"/>
    <x v="3"/>
    <x v="14"/>
    <x v="4"/>
    <n v="7"/>
    <x v="0"/>
    <d v="2025-10-11T23:32:00"/>
    <x v="10"/>
    <x v="19"/>
    <n v="3907"/>
    <n v="1"/>
    <n v="3907"/>
    <x v="2"/>
  </r>
  <r>
    <n v="696"/>
    <n v="49"/>
    <x v="7"/>
    <x v="94"/>
    <x v="5"/>
    <n v="4"/>
    <x v="0"/>
    <d v="2025-10-12T00:51:00"/>
    <x v="11"/>
    <x v="0"/>
    <n v="735"/>
    <n v="2"/>
    <n v="1470"/>
    <x v="3"/>
  </r>
  <r>
    <n v="284"/>
    <n v="65"/>
    <x v="2"/>
    <x v="7"/>
    <x v="0"/>
    <n v="2"/>
    <x v="0"/>
    <d v="2025-10-12T00:55:00"/>
    <x v="11"/>
    <x v="0"/>
    <n v="6405"/>
    <n v="3"/>
    <n v="19215"/>
    <x v="1"/>
  </r>
  <r>
    <n v="729"/>
    <n v="165"/>
    <x v="5"/>
    <x v="246"/>
    <x v="3"/>
    <n v="1"/>
    <x v="0"/>
    <d v="2025-10-12T02:04:00"/>
    <x v="11"/>
    <x v="2"/>
    <n v="6613"/>
    <n v="2"/>
    <n v="13226"/>
    <x v="1"/>
  </r>
  <r>
    <n v="146"/>
    <n v="296"/>
    <x v="2"/>
    <x v="108"/>
    <x v="5"/>
    <n v="4"/>
    <x v="0"/>
    <d v="2025-10-12T02:22:00"/>
    <x v="11"/>
    <x v="2"/>
    <n v="745"/>
    <n v="5"/>
    <n v="3725"/>
    <x v="3"/>
  </r>
  <r>
    <n v="463"/>
    <n v="39"/>
    <x v="2"/>
    <x v="148"/>
    <x v="3"/>
    <n v="1"/>
    <x v="0"/>
    <d v="2025-10-12T02:30:00"/>
    <x v="11"/>
    <x v="2"/>
    <n v="6117"/>
    <n v="4"/>
    <n v="24468"/>
    <x v="1"/>
  </r>
  <r>
    <n v="528"/>
    <n v="143"/>
    <x v="1"/>
    <x v="178"/>
    <x v="4"/>
    <n v="7"/>
    <x v="0"/>
    <d v="2025-10-12T02:46:00"/>
    <x v="11"/>
    <x v="2"/>
    <n v="6883"/>
    <n v="1"/>
    <n v="6883"/>
    <x v="1"/>
  </r>
  <r>
    <n v="596"/>
    <n v="2"/>
    <x v="8"/>
    <x v="71"/>
    <x v="2"/>
    <n v="3"/>
    <x v="0"/>
    <d v="2025-10-12T04:30:00"/>
    <x v="11"/>
    <x v="4"/>
    <n v="4555"/>
    <n v="2"/>
    <n v="9110"/>
    <x v="2"/>
  </r>
  <r>
    <n v="65"/>
    <n v="274"/>
    <x v="8"/>
    <x v="71"/>
    <x v="2"/>
    <n v="3"/>
    <x v="0"/>
    <d v="2025-10-12T04:48:00"/>
    <x v="11"/>
    <x v="4"/>
    <n v="2437"/>
    <n v="3"/>
    <n v="7311"/>
    <x v="2"/>
  </r>
  <r>
    <n v="507"/>
    <n v="138"/>
    <x v="2"/>
    <x v="291"/>
    <x v="1"/>
    <n v="6"/>
    <x v="1"/>
    <d v="2025-10-12T04:59:00"/>
    <x v="11"/>
    <x v="4"/>
    <n v="8427"/>
    <n v="0"/>
    <n v="0"/>
    <x v="1"/>
  </r>
  <r>
    <n v="592"/>
    <n v="67"/>
    <x v="6"/>
    <x v="135"/>
    <x v="3"/>
    <n v="1"/>
    <x v="0"/>
    <d v="2025-10-12T05:25:00"/>
    <x v="11"/>
    <x v="20"/>
    <n v="3589"/>
    <n v="1"/>
    <n v="3589"/>
    <x v="2"/>
  </r>
  <r>
    <n v="781"/>
    <n v="25"/>
    <x v="6"/>
    <x v="203"/>
    <x v="3"/>
    <n v="1"/>
    <x v="0"/>
    <d v="2025-10-12T05:32:00"/>
    <x v="11"/>
    <x v="20"/>
    <n v="5685"/>
    <n v="2"/>
    <n v="11370"/>
    <x v="1"/>
  </r>
  <r>
    <n v="128"/>
    <n v="81"/>
    <x v="8"/>
    <x v="293"/>
    <x v="1"/>
    <n v="6"/>
    <x v="1"/>
    <d v="2025-10-12T05:35:00"/>
    <x v="11"/>
    <x v="20"/>
    <n v="2602"/>
    <n v="0"/>
    <n v="0"/>
    <x v="2"/>
  </r>
  <r>
    <n v="208"/>
    <n v="68"/>
    <x v="0"/>
    <x v="254"/>
    <x v="4"/>
    <n v="7"/>
    <x v="0"/>
    <d v="2025-10-12T05:38:00"/>
    <x v="11"/>
    <x v="20"/>
    <n v="5148"/>
    <n v="2"/>
    <n v="10296"/>
    <x v="1"/>
  </r>
  <r>
    <n v="96"/>
    <n v="185"/>
    <x v="4"/>
    <x v="277"/>
    <x v="5"/>
    <n v="4"/>
    <x v="0"/>
    <d v="2025-10-12T05:42:00"/>
    <x v="11"/>
    <x v="20"/>
    <n v="1335"/>
    <n v="1"/>
    <n v="1335"/>
    <x v="2"/>
  </r>
  <r>
    <n v="54"/>
    <n v="203"/>
    <x v="6"/>
    <x v="294"/>
    <x v="6"/>
    <n v="5"/>
    <x v="0"/>
    <d v="2025-10-12T05:46:00"/>
    <x v="11"/>
    <x v="20"/>
    <n v="1667"/>
    <n v="1"/>
    <n v="1667"/>
    <x v="2"/>
  </r>
  <r>
    <n v="672"/>
    <n v="47"/>
    <x v="5"/>
    <x v="147"/>
    <x v="3"/>
    <n v="1"/>
    <x v="0"/>
    <d v="2025-10-12T05:50:00"/>
    <x v="11"/>
    <x v="20"/>
    <n v="6080"/>
    <n v="1"/>
    <n v="6080"/>
    <x v="1"/>
  </r>
  <r>
    <n v="80"/>
    <n v="68"/>
    <x v="5"/>
    <x v="244"/>
    <x v="1"/>
    <n v="6"/>
    <x v="0"/>
    <d v="2025-10-12T06:17:00"/>
    <x v="11"/>
    <x v="5"/>
    <n v="3359"/>
    <n v="1"/>
    <n v="3359"/>
    <x v="2"/>
  </r>
  <r>
    <n v="456"/>
    <n v="5"/>
    <x v="3"/>
    <x v="295"/>
    <x v="0"/>
    <n v="2"/>
    <x v="0"/>
    <d v="2025-10-12T06:23:00"/>
    <x v="11"/>
    <x v="5"/>
    <n v="13641"/>
    <n v="2"/>
    <n v="27282"/>
    <x v="0"/>
  </r>
  <r>
    <n v="433"/>
    <n v="68"/>
    <x v="6"/>
    <x v="296"/>
    <x v="4"/>
    <n v="7"/>
    <x v="0"/>
    <d v="2025-10-12T06:34:00"/>
    <x v="11"/>
    <x v="5"/>
    <n v="1722"/>
    <n v="1"/>
    <n v="1722"/>
    <x v="2"/>
  </r>
  <r>
    <n v="92"/>
    <n v="53"/>
    <x v="5"/>
    <x v="297"/>
    <x v="2"/>
    <n v="3"/>
    <x v="1"/>
    <d v="2025-10-12T07:34:00"/>
    <x v="11"/>
    <x v="6"/>
    <n v="5249"/>
    <n v="0"/>
    <n v="0"/>
    <x v="1"/>
  </r>
  <r>
    <n v="141"/>
    <n v="196"/>
    <x v="6"/>
    <x v="57"/>
    <x v="0"/>
    <n v="2"/>
    <x v="0"/>
    <d v="2025-10-12T07:51:00"/>
    <x v="11"/>
    <x v="6"/>
    <n v="5650"/>
    <n v="3"/>
    <n v="16950"/>
    <x v="1"/>
  </r>
  <r>
    <n v="694"/>
    <n v="74"/>
    <x v="4"/>
    <x v="36"/>
    <x v="3"/>
    <n v="1"/>
    <x v="0"/>
    <d v="2025-10-12T08:20:00"/>
    <x v="11"/>
    <x v="7"/>
    <n v="7521"/>
    <n v="2"/>
    <n v="15042"/>
    <x v="1"/>
  </r>
  <r>
    <n v="625"/>
    <n v="85"/>
    <x v="9"/>
    <x v="151"/>
    <x v="5"/>
    <n v="4"/>
    <x v="0"/>
    <d v="2025-10-12T08:25:00"/>
    <x v="11"/>
    <x v="7"/>
    <n v="261"/>
    <n v="1"/>
    <n v="261"/>
    <x v="3"/>
  </r>
  <r>
    <n v="767"/>
    <n v="78"/>
    <x v="5"/>
    <x v="298"/>
    <x v="4"/>
    <n v="7"/>
    <x v="0"/>
    <d v="2025-10-12T08:31:00"/>
    <x v="11"/>
    <x v="7"/>
    <n v="5084"/>
    <n v="2"/>
    <n v="10168"/>
    <x v="1"/>
  </r>
  <r>
    <n v="89"/>
    <n v="52"/>
    <x v="8"/>
    <x v="166"/>
    <x v="3"/>
    <n v="1"/>
    <x v="0"/>
    <d v="2025-10-12T08:32:00"/>
    <x v="11"/>
    <x v="7"/>
    <n v="4487"/>
    <n v="1"/>
    <n v="4487"/>
    <x v="2"/>
  </r>
  <r>
    <n v="748"/>
    <n v="197"/>
    <x v="1"/>
    <x v="220"/>
    <x v="4"/>
    <n v="7"/>
    <x v="0"/>
    <d v="2025-10-12T08:37:00"/>
    <x v="11"/>
    <x v="7"/>
    <n v="2831"/>
    <n v="2"/>
    <n v="5662"/>
    <x v="2"/>
  </r>
  <r>
    <n v="254"/>
    <n v="142"/>
    <x v="6"/>
    <x v="53"/>
    <x v="5"/>
    <n v="4"/>
    <x v="0"/>
    <d v="2025-10-12T08:46:00"/>
    <x v="11"/>
    <x v="7"/>
    <n v="788"/>
    <n v="2"/>
    <n v="1576"/>
    <x v="3"/>
  </r>
  <r>
    <n v="615"/>
    <n v="146"/>
    <x v="3"/>
    <x v="299"/>
    <x v="1"/>
    <n v="6"/>
    <x v="0"/>
    <d v="2025-10-12T08:51:00"/>
    <x v="11"/>
    <x v="7"/>
    <n v="3307"/>
    <n v="3"/>
    <n v="9921"/>
    <x v="2"/>
  </r>
  <r>
    <n v="211"/>
    <n v="266"/>
    <x v="0"/>
    <x v="300"/>
    <x v="6"/>
    <n v="5"/>
    <x v="0"/>
    <d v="2025-10-12T08:53:00"/>
    <x v="11"/>
    <x v="7"/>
    <n v="4000"/>
    <n v="3"/>
    <n v="12000"/>
    <x v="2"/>
  </r>
  <r>
    <n v="402"/>
    <n v="152"/>
    <x v="5"/>
    <x v="222"/>
    <x v="0"/>
    <n v="2"/>
    <x v="0"/>
    <d v="2025-10-12T08:57:00"/>
    <x v="11"/>
    <x v="7"/>
    <n v="14003"/>
    <n v="2"/>
    <n v="28006"/>
    <x v="0"/>
  </r>
  <r>
    <n v="396"/>
    <n v="58"/>
    <x v="5"/>
    <x v="50"/>
    <x v="5"/>
    <n v="4"/>
    <x v="0"/>
    <d v="2025-10-12T09:13:00"/>
    <x v="11"/>
    <x v="8"/>
    <n v="1200"/>
    <n v="2"/>
    <n v="2400"/>
    <x v="2"/>
  </r>
  <r>
    <n v="541"/>
    <n v="7"/>
    <x v="9"/>
    <x v="151"/>
    <x v="5"/>
    <n v="4"/>
    <x v="0"/>
    <d v="2025-10-12T09:19:00"/>
    <x v="11"/>
    <x v="8"/>
    <n v="598"/>
    <n v="2"/>
    <n v="1196"/>
    <x v="3"/>
  </r>
  <r>
    <n v="583"/>
    <n v="216"/>
    <x v="4"/>
    <x v="66"/>
    <x v="3"/>
    <n v="1"/>
    <x v="0"/>
    <d v="2025-10-12T09:31:00"/>
    <x v="11"/>
    <x v="8"/>
    <n v="3920"/>
    <n v="2"/>
    <n v="7840"/>
    <x v="2"/>
  </r>
  <r>
    <n v="789"/>
    <n v="38"/>
    <x v="4"/>
    <x v="93"/>
    <x v="5"/>
    <n v="4"/>
    <x v="0"/>
    <d v="2025-10-12T09:50:00"/>
    <x v="11"/>
    <x v="8"/>
    <n v="877"/>
    <n v="4"/>
    <n v="3508"/>
    <x v="3"/>
  </r>
  <r>
    <n v="269"/>
    <n v="111"/>
    <x v="1"/>
    <x v="60"/>
    <x v="3"/>
    <n v="1"/>
    <x v="0"/>
    <d v="2025-10-12T10:21:00"/>
    <x v="11"/>
    <x v="9"/>
    <n v="1236"/>
    <n v="1"/>
    <n v="1236"/>
    <x v="2"/>
  </r>
  <r>
    <n v="294"/>
    <n v="257"/>
    <x v="2"/>
    <x v="226"/>
    <x v="5"/>
    <n v="4"/>
    <x v="0"/>
    <d v="2025-10-12T10:22:00"/>
    <x v="11"/>
    <x v="9"/>
    <n v="50"/>
    <n v="3"/>
    <n v="150"/>
    <x v="3"/>
  </r>
  <r>
    <n v="656"/>
    <n v="275"/>
    <x v="2"/>
    <x v="2"/>
    <x v="2"/>
    <n v="3"/>
    <x v="0"/>
    <d v="2025-10-12T11:04:00"/>
    <x v="11"/>
    <x v="10"/>
    <n v="4919"/>
    <n v="1"/>
    <n v="4919"/>
    <x v="2"/>
  </r>
  <r>
    <n v="86"/>
    <n v="159"/>
    <x v="4"/>
    <x v="63"/>
    <x v="2"/>
    <n v="3"/>
    <x v="0"/>
    <d v="2025-10-12T11:31:00"/>
    <x v="11"/>
    <x v="10"/>
    <n v="6000"/>
    <n v="3"/>
    <n v="18000"/>
    <x v="1"/>
  </r>
  <r>
    <n v="550"/>
    <n v="168"/>
    <x v="5"/>
    <x v="246"/>
    <x v="3"/>
    <n v="1"/>
    <x v="0"/>
    <d v="2025-10-12T11:33:00"/>
    <x v="11"/>
    <x v="10"/>
    <n v="1708"/>
    <n v="2"/>
    <n v="3416"/>
    <x v="2"/>
  </r>
  <r>
    <n v="716"/>
    <n v="224"/>
    <x v="1"/>
    <x v="206"/>
    <x v="6"/>
    <n v="5"/>
    <x v="1"/>
    <d v="2025-10-12T12:28:00"/>
    <x v="11"/>
    <x v="11"/>
    <n v="2500"/>
    <n v="0"/>
    <n v="0"/>
    <x v="2"/>
  </r>
  <r>
    <n v="89"/>
    <n v="223"/>
    <x v="0"/>
    <x v="5"/>
    <x v="4"/>
    <n v="7"/>
    <x v="0"/>
    <d v="2025-10-12T13:35:00"/>
    <x v="11"/>
    <x v="21"/>
    <n v="7401"/>
    <n v="3"/>
    <n v="22203"/>
    <x v="1"/>
  </r>
  <r>
    <n v="57"/>
    <n v="159"/>
    <x v="9"/>
    <x v="100"/>
    <x v="5"/>
    <n v="4"/>
    <x v="0"/>
    <d v="2025-10-12T13:36:00"/>
    <x v="11"/>
    <x v="21"/>
    <n v="319"/>
    <n v="2"/>
    <n v="638"/>
    <x v="3"/>
  </r>
  <r>
    <n v="719"/>
    <n v="6"/>
    <x v="0"/>
    <x v="301"/>
    <x v="2"/>
    <n v="3"/>
    <x v="0"/>
    <d v="2025-10-12T13:45:00"/>
    <x v="11"/>
    <x v="21"/>
    <n v="2799"/>
    <n v="1"/>
    <n v="2799"/>
    <x v="2"/>
  </r>
  <r>
    <n v="530"/>
    <n v="133"/>
    <x v="6"/>
    <x v="302"/>
    <x v="4"/>
    <n v="7"/>
    <x v="0"/>
    <d v="2025-10-12T14:29:00"/>
    <x v="11"/>
    <x v="12"/>
    <n v="2896"/>
    <n v="2"/>
    <n v="5792"/>
    <x v="2"/>
  </r>
  <r>
    <n v="751"/>
    <n v="61"/>
    <x v="4"/>
    <x v="277"/>
    <x v="5"/>
    <n v="4"/>
    <x v="0"/>
    <d v="2025-10-12T15:05:00"/>
    <x v="11"/>
    <x v="13"/>
    <n v="381"/>
    <n v="1"/>
    <n v="381"/>
    <x v="3"/>
  </r>
  <r>
    <n v="537"/>
    <n v="33"/>
    <x v="2"/>
    <x v="104"/>
    <x v="5"/>
    <n v="4"/>
    <x v="0"/>
    <d v="2025-10-12T15:10:00"/>
    <x v="11"/>
    <x v="13"/>
    <n v="81"/>
    <n v="2"/>
    <n v="162"/>
    <x v="3"/>
  </r>
  <r>
    <n v="509"/>
    <n v="234"/>
    <x v="9"/>
    <x v="303"/>
    <x v="2"/>
    <n v="3"/>
    <x v="0"/>
    <d v="2025-10-12T15:17:00"/>
    <x v="11"/>
    <x v="13"/>
    <n v="3818"/>
    <n v="4"/>
    <n v="15272"/>
    <x v="2"/>
  </r>
  <r>
    <n v="581"/>
    <n v="86"/>
    <x v="0"/>
    <x v="154"/>
    <x v="3"/>
    <n v="1"/>
    <x v="1"/>
    <d v="2025-10-12T15:29:00"/>
    <x v="11"/>
    <x v="13"/>
    <n v="5168"/>
    <n v="0"/>
    <n v="0"/>
    <x v="1"/>
  </r>
  <r>
    <n v="588"/>
    <n v="60"/>
    <x v="7"/>
    <x v="158"/>
    <x v="0"/>
    <n v="2"/>
    <x v="0"/>
    <d v="2025-10-12T15:47:00"/>
    <x v="11"/>
    <x v="13"/>
    <n v="9904"/>
    <n v="2"/>
    <n v="19808"/>
    <x v="1"/>
  </r>
  <r>
    <n v="46"/>
    <n v="7"/>
    <x v="3"/>
    <x v="304"/>
    <x v="1"/>
    <n v="6"/>
    <x v="0"/>
    <d v="2025-10-12T16:12:00"/>
    <x v="11"/>
    <x v="14"/>
    <n v="5921"/>
    <n v="1"/>
    <n v="5921"/>
    <x v="1"/>
  </r>
  <r>
    <n v="393"/>
    <n v="77"/>
    <x v="8"/>
    <x v="103"/>
    <x v="3"/>
    <n v="1"/>
    <x v="0"/>
    <d v="2025-10-12T16:24:00"/>
    <x v="11"/>
    <x v="14"/>
    <n v="2826"/>
    <n v="3"/>
    <n v="8478"/>
    <x v="2"/>
  </r>
  <r>
    <n v="759"/>
    <n v="215"/>
    <x v="3"/>
    <x v="305"/>
    <x v="3"/>
    <n v="1"/>
    <x v="0"/>
    <d v="2025-10-12T16:41:00"/>
    <x v="11"/>
    <x v="14"/>
    <n v="2284"/>
    <n v="2"/>
    <n v="4568"/>
    <x v="2"/>
  </r>
  <r>
    <n v="738"/>
    <n v="164"/>
    <x v="5"/>
    <x v="306"/>
    <x v="0"/>
    <n v="2"/>
    <x v="0"/>
    <d v="2025-10-12T17:17:00"/>
    <x v="11"/>
    <x v="15"/>
    <n v="7642"/>
    <n v="3"/>
    <n v="22926"/>
    <x v="1"/>
  </r>
  <r>
    <n v="123"/>
    <n v="258"/>
    <x v="9"/>
    <x v="113"/>
    <x v="5"/>
    <n v="4"/>
    <x v="0"/>
    <d v="2025-10-12T17:18:00"/>
    <x v="11"/>
    <x v="15"/>
    <n v="444"/>
    <n v="2"/>
    <n v="888"/>
    <x v="3"/>
  </r>
  <r>
    <n v="48"/>
    <n v="206"/>
    <x v="5"/>
    <x v="307"/>
    <x v="1"/>
    <n v="6"/>
    <x v="0"/>
    <d v="2025-10-12T17:26:00"/>
    <x v="11"/>
    <x v="15"/>
    <n v="2753"/>
    <n v="2"/>
    <n v="5506"/>
    <x v="2"/>
  </r>
  <r>
    <n v="336"/>
    <n v="45"/>
    <x v="7"/>
    <x v="83"/>
    <x v="3"/>
    <n v="1"/>
    <x v="0"/>
    <d v="2025-10-12T17:59:00"/>
    <x v="11"/>
    <x v="15"/>
    <n v="1602"/>
    <n v="2"/>
    <n v="3204"/>
    <x v="2"/>
  </r>
  <r>
    <n v="206"/>
    <n v="150"/>
    <x v="0"/>
    <x v="218"/>
    <x v="5"/>
    <n v="4"/>
    <x v="0"/>
    <d v="2025-10-12T18:59:00"/>
    <x v="11"/>
    <x v="16"/>
    <n v="1215"/>
    <n v="2"/>
    <n v="2430"/>
    <x v="2"/>
  </r>
  <r>
    <n v="476"/>
    <n v="189"/>
    <x v="9"/>
    <x v="128"/>
    <x v="0"/>
    <n v="2"/>
    <x v="0"/>
    <d v="2025-10-12T19:18:00"/>
    <x v="11"/>
    <x v="22"/>
    <n v="13192"/>
    <n v="2"/>
    <n v="26384"/>
    <x v="0"/>
  </r>
  <r>
    <n v="779"/>
    <n v="126"/>
    <x v="5"/>
    <x v="186"/>
    <x v="5"/>
    <n v="4"/>
    <x v="0"/>
    <d v="2025-10-12T19:38:00"/>
    <x v="11"/>
    <x v="22"/>
    <n v="1313"/>
    <n v="2"/>
    <n v="2626"/>
    <x v="2"/>
  </r>
  <r>
    <n v="239"/>
    <n v="278"/>
    <x v="2"/>
    <x v="45"/>
    <x v="3"/>
    <n v="1"/>
    <x v="0"/>
    <d v="2025-10-12T19:41:00"/>
    <x v="11"/>
    <x v="22"/>
    <n v="2036"/>
    <n v="2"/>
    <n v="4072"/>
    <x v="2"/>
  </r>
  <r>
    <n v="2"/>
    <n v="193"/>
    <x v="0"/>
    <x v="67"/>
    <x v="3"/>
    <n v="1"/>
    <x v="0"/>
    <d v="2025-10-12T19:57:00"/>
    <x v="11"/>
    <x v="22"/>
    <n v="3962"/>
    <n v="1"/>
    <n v="3962"/>
    <x v="2"/>
  </r>
  <r>
    <n v="244"/>
    <n v="215"/>
    <x v="5"/>
    <x v="186"/>
    <x v="5"/>
    <n v="4"/>
    <x v="0"/>
    <d v="2025-10-12T20:17:00"/>
    <x v="11"/>
    <x v="17"/>
    <n v="532"/>
    <n v="1"/>
    <n v="532"/>
    <x v="3"/>
  </r>
  <r>
    <n v="96"/>
    <n v="23"/>
    <x v="4"/>
    <x v="277"/>
    <x v="5"/>
    <n v="4"/>
    <x v="0"/>
    <d v="2025-10-12T20:24:00"/>
    <x v="11"/>
    <x v="17"/>
    <n v="887"/>
    <n v="3"/>
    <n v="2661"/>
    <x v="3"/>
  </r>
  <r>
    <n v="470"/>
    <n v="44"/>
    <x v="2"/>
    <x v="104"/>
    <x v="5"/>
    <n v="4"/>
    <x v="0"/>
    <d v="2025-10-12T20:32:00"/>
    <x v="11"/>
    <x v="17"/>
    <n v="590"/>
    <n v="2"/>
    <n v="1180"/>
    <x v="3"/>
  </r>
  <r>
    <n v="653"/>
    <n v="202"/>
    <x v="3"/>
    <x v="248"/>
    <x v="0"/>
    <n v="2"/>
    <x v="0"/>
    <d v="2025-10-12T20:45:00"/>
    <x v="11"/>
    <x v="17"/>
    <n v="13363"/>
    <n v="4"/>
    <n v="53452"/>
    <x v="0"/>
  </r>
  <r>
    <n v="446"/>
    <n v="67"/>
    <x v="9"/>
    <x v="51"/>
    <x v="3"/>
    <n v="1"/>
    <x v="0"/>
    <d v="2025-10-12T20:45:00"/>
    <x v="11"/>
    <x v="17"/>
    <n v="1716"/>
    <n v="2"/>
    <n v="3432"/>
    <x v="2"/>
  </r>
  <r>
    <n v="403"/>
    <n v="168"/>
    <x v="7"/>
    <x v="308"/>
    <x v="4"/>
    <n v="7"/>
    <x v="0"/>
    <d v="2025-10-12T20:56:00"/>
    <x v="11"/>
    <x v="17"/>
    <n v="3388"/>
    <n v="2"/>
    <n v="6776"/>
    <x v="2"/>
  </r>
  <r>
    <n v="77"/>
    <n v="104"/>
    <x v="7"/>
    <x v="289"/>
    <x v="1"/>
    <n v="6"/>
    <x v="0"/>
    <d v="2025-10-12T21:02:00"/>
    <x v="11"/>
    <x v="23"/>
    <n v="7242"/>
    <n v="2"/>
    <n v="14484"/>
    <x v="1"/>
  </r>
  <r>
    <n v="160"/>
    <n v="55"/>
    <x v="9"/>
    <x v="130"/>
    <x v="1"/>
    <n v="6"/>
    <x v="0"/>
    <d v="2025-10-12T21:13:00"/>
    <x v="11"/>
    <x v="23"/>
    <n v="4429"/>
    <n v="3"/>
    <n v="13287"/>
    <x v="2"/>
  </r>
  <r>
    <n v="417"/>
    <n v="62"/>
    <x v="8"/>
    <x v="71"/>
    <x v="2"/>
    <n v="3"/>
    <x v="0"/>
    <d v="2025-10-12T21:16:00"/>
    <x v="11"/>
    <x v="23"/>
    <n v="2876"/>
    <n v="1"/>
    <n v="2876"/>
    <x v="2"/>
  </r>
  <r>
    <n v="316"/>
    <n v="238"/>
    <x v="5"/>
    <x v="244"/>
    <x v="1"/>
    <n v="6"/>
    <x v="0"/>
    <d v="2025-10-12T22:15:00"/>
    <x v="11"/>
    <x v="18"/>
    <n v="10763"/>
    <n v="2"/>
    <n v="21526"/>
    <x v="0"/>
  </r>
  <r>
    <n v="703"/>
    <n v="156"/>
    <x v="1"/>
    <x v="115"/>
    <x v="2"/>
    <n v="3"/>
    <x v="0"/>
    <d v="2025-10-12T22:38:00"/>
    <x v="11"/>
    <x v="18"/>
    <n v="3531"/>
    <n v="2"/>
    <n v="7062"/>
    <x v="2"/>
  </r>
  <r>
    <n v="94"/>
    <n v="128"/>
    <x v="6"/>
    <x v="11"/>
    <x v="2"/>
    <n v="3"/>
    <x v="1"/>
    <d v="2025-10-12T23:09:00"/>
    <x v="11"/>
    <x v="19"/>
    <n v="1740"/>
    <n v="0"/>
    <n v="0"/>
    <x v="2"/>
  </r>
  <r>
    <n v="694"/>
    <n v="154"/>
    <x v="3"/>
    <x v="290"/>
    <x v="5"/>
    <n v="4"/>
    <x v="0"/>
    <d v="2025-10-12T23:50:00"/>
    <x v="11"/>
    <x v="19"/>
    <n v="780"/>
    <n v="1"/>
    <n v="780"/>
    <x v="3"/>
  </r>
  <r>
    <n v="464"/>
    <n v="285"/>
    <x v="0"/>
    <x v="283"/>
    <x v="0"/>
    <n v="2"/>
    <x v="0"/>
    <d v="2025-10-13T00:08:00"/>
    <x v="12"/>
    <x v="0"/>
    <n v="8151"/>
    <n v="3"/>
    <n v="24453"/>
    <x v="1"/>
  </r>
  <r>
    <n v="474"/>
    <n v="53"/>
    <x v="5"/>
    <x v="257"/>
    <x v="3"/>
    <n v="1"/>
    <x v="1"/>
    <d v="2025-10-13T00:10:00"/>
    <x v="12"/>
    <x v="0"/>
    <n v="7209"/>
    <n v="0"/>
    <n v="0"/>
    <x v="1"/>
  </r>
  <r>
    <n v="64"/>
    <n v="114"/>
    <x v="1"/>
    <x v="60"/>
    <x v="3"/>
    <n v="1"/>
    <x v="0"/>
    <d v="2025-10-13T00:31:00"/>
    <x v="12"/>
    <x v="0"/>
    <n v="7456"/>
    <n v="3"/>
    <n v="22368"/>
    <x v="1"/>
  </r>
  <r>
    <n v="703"/>
    <n v="44"/>
    <x v="2"/>
    <x v="250"/>
    <x v="3"/>
    <n v="1"/>
    <x v="0"/>
    <d v="2025-10-13T00:54:00"/>
    <x v="12"/>
    <x v="0"/>
    <n v="1971"/>
    <n v="3"/>
    <n v="5913"/>
    <x v="2"/>
  </r>
  <r>
    <n v="23"/>
    <n v="34"/>
    <x v="7"/>
    <x v="12"/>
    <x v="5"/>
    <n v="4"/>
    <x v="1"/>
    <d v="2025-10-13T01:31:00"/>
    <x v="12"/>
    <x v="1"/>
    <n v="1342"/>
    <n v="0"/>
    <n v="0"/>
    <x v="2"/>
  </r>
  <r>
    <n v="95"/>
    <n v="170"/>
    <x v="8"/>
    <x v="309"/>
    <x v="1"/>
    <n v="6"/>
    <x v="1"/>
    <d v="2025-10-13T01:46:00"/>
    <x v="12"/>
    <x v="1"/>
    <n v="5369"/>
    <n v="0"/>
    <n v="0"/>
    <x v="1"/>
  </r>
  <r>
    <n v="173"/>
    <n v="294"/>
    <x v="8"/>
    <x v="30"/>
    <x v="3"/>
    <n v="1"/>
    <x v="0"/>
    <d v="2025-10-13T01:49:00"/>
    <x v="12"/>
    <x v="1"/>
    <n v="1824"/>
    <n v="3"/>
    <n v="5472"/>
    <x v="2"/>
  </r>
  <r>
    <n v="31"/>
    <n v="196"/>
    <x v="2"/>
    <x v="148"/>
    <x v="3"/>
    <n v="1"/>
    <x v="0"/>
    <d v="2025-10-13T01:58:00"/>
    <x v="12"/>
    <x v="1"/>
    <n v="4718"/>
    <n v="1"/>
    <n v="4718"/>
    <x v="2"/>
  </r>
  <r>
    <n v="192"/>
    <n v="141"/>
    <x v="6"/>
    <x v="310"/>
    <x v="0"/>
    <n v="2"/>
    <x v="0"/>
    <d v="2025-10-13T02:10:00"/>
    <x v="12"/>
    <x v="2"/>
    <n v="10878"/>
    <n v="3"/>
    <n v="32634"/>
    <x v="0"/>
  </r>
  <r>
    <n v="629"/>
    <n v="126"/>
    <x v="4"/>
    <x v="196"/>
    <x v="5"/>
    <n v="4"/>
    <x v="0"/>
    <d v="2025-10-13T02:37:00"/>
    <x v="12"/>
    <x v="2"/>
    <n v="651"/>
    <n v="3"/>
    <n v="1953"/>
    <x v="3"/>
  </r>
  <r>
    <n v="564"/>
    <n v="246"/>
    <x v="8"/>
    <x v="37"/>
    <x v="3"/>
    <n v="1"/>
    <x v="0"/>
    <d v="2025-10-13T03:00:00"/>
    <x v="12"/>
    <x v="3"/>
    <n v="6253"/>
    <n v="1"/>
    <n v="6253"/>
    <x v="1"/>
  </r>
  <r>
    <n v="141"/>
    <n v="215"/>
    <x v="7"/>
    <x v="236"/>
    <x v="5"/>
    <n v="4"/>
    <x v="0"/>
    <d v="2025-10-13T03:12:00"/>
    <x v="12"/>
    <x v="3"/>
    <n v="50"/>
    <n v="3"/>
    <n v="150"/>
    <x v="3"/>
  </r>
  <r>
    <n v="646"/>
    <n v="279"/>
    <x v="3"/>
    <x v="311"/>
    <x v="2"/>
    <n v="3"/>
    <x v="0"/>
    <d v="2025-10-13T05:06:00"/>
    <x v="12"/>
    <x v="20"/>
    <n v="3262"/>
    <n v="1"/>
    <n v="3262"/>
    <x v="2"/>
  </r>
  <r>
    <n v="368"/>
    <n v="246"/>
    <x v="2"/>
    <x v="69"/>
    <x v="3"/>
    <n v="1"/>
    <x v="0"/>
    <d v="2025-10-13T05:30:00"/>
    <x v="12"/>
    <x v="20"/>
    <n v="7320"/>
    <n v="2"/>
    <n v="14640"/>
    <x v="1"/>
  </r>
  <r>
    <n v="580"/>
    <n v="258"/>
    <x v="8"/>
    <x v="103"/>
    <x v="3"/>
    <n v="1"/>
    <x v="0"/>
    <d v="2025-10-13T05:37:00"/>
    <x v="12"/>
    <x v="20"/>
    <n v="5660"/>
    <n v="1"/>
    <n v="5660"/>
    <x v="1"/>
  </r>
  <r>
    <n v="27"/>
    <n v="164"/>
    <x v="7"/>
    <x v="289"/>
    <x v="1"/>
    <n v="6"/>
    <x v="0"/>
    <d v="2025-10-13T05:40:00"/>
    <x v="12"/>
    <x v="20"/>
    <n v="7267"/>
    <n v="3"/>
    <n v="21801"/>
    <x v="1"/>
  </r>
  <r>
    <n v="484"/>
    <n v="272"/>
    <x v="7"/>
    <x v="144"/>
    <x v="2"/>
    <n v="3"/>
    <x v="0"/>
    <d v="2025-10-13T05:45:00"/>
    <x v="12"/>
    <x v="20"/>
    <n v="3109"/>
    <n v="2"/>
    <n v="6218"/>
    <x v="2"/>
  </r>
  <r>
    <n v="164"/>
    <n v="52"/>
    <x v="9"/>
    <x v="312"/>
    <x v="5"/>
    <n v="4"/>
    <x v="0"/>
    <d v="2025-10-13T05:52:00"/>
    <x v="12"/>
    <x v="20"/>
    <n v="974"/>
    <n v="4"/>
    <n v="3896"/>
    <x v="3"/>
  </r>
  <r>
    <n v="547"/>
    <n v="29"/>
    <x v="5"/>
    <x v="313"/>
    <x v="6"/>
    <n v="5"/>
    <x v="0"/>
    <d v="2025-10-13T05:57:00"/>
    <x v="12"/>
    <x v="20"/>
    <n v="1951"/>
    <n v="3"/>
    <n v="5853"/>
    <x v="2"/>
  </r>
  <r>
    <n v="178"/>
    <n v="91"/>
    <x v="2"/>
    <x v="280"/>
    <x v="1"/>
    <n v="6"/>
    <x v="0"/>
    <d v="2025-10-13T06:02:00"/>
    <x v="12"/>
    <x v="5"/>
    <n v="5688"/>
    <n v="2"/>
    <n v="11376"/>
    <x v="1"/>
  </r>
  <r>
    <n v="715"/>
    <n v="184"/>
    <x v="6"/>
    <x v="203"/>
    <x v="3"/>
    <n v="1"/>
    <x v="0"/>
    <d v="2025-10-13T06:11:00"/>
    <x v="12"/>
    <x v="5"/>
    <n v="3040"/>
    <n v="1"/>
    <n v="3040"/>
    <x v="2"/>
  </r>
  <r>
    <n v="578"/>
    <n v="73"/>
    <x v="6"/>
    <x v="135"/>
    <x v="3"/>
    <n v="1"/>
    <x v="0"/>
    <d v="2025-10-13T06:16:00"/>
    <x v="12"/>
    <x v="5"/>
    <n v="5660"/>
    <n v="5"/>
    <n v="28300"/>
    <x v="1"/>
  </r>
  <r>
    <n v="317"/>
    <n v="90"/>
    <x v="8"/>
    <x v="272"/>
    <x v="3"/>
    <n v="1"/>
    <x v="0"/>
    <d v="2025-10-13T07:16:00"/>
    <x v="12"/>
    <x v="6"/>
    <n v="5508"/>
    <n v="3"/>
    <n v="16524"/>
    <x v="1"/>
  </r>
  <r>
    <n v="239"/>
    <n v="113"/>
    <x v="1"/>
    <x v="314"/>
    <x v="6"/>
    <n v="5"/>
    <x v="0"/>
    <d v="2025-10-13T07:19:00"/>
    <x v="12"/>
    <x v="6"/>
    <n v="2627"/>
    <n v="1"/>
    <n v="2627"/>
    <x v="2"/>
  </r>
  <r>
    <n v="340"/>
    <n v="104"/>
    <x v="8"/>
    <x v="30"/>
    <x v="3"/>
    <n v="1"/>
    <x v="0"/>
    <d v="2025-10-13T07:38:00"/>
    <x v="12"/>
    <x v="6"/>
    <n v="1232"/>
    <n v="3"/>
    <n v="3696"/>
    <x v="2"/>
  </r>
  <r>
    <n v="61"/>
    <n v="12"/>
    <x v="4"/>
    <x v="315"/>
    <x v="4"/>
    <n v="7"/>
    <x v="0"/>
    <d v="2025-10-13T07:52:00"/>
    <x v="12"/>
    <x v="6"/>
    <n v="2542"/>
    <n v="1"/>
    <n v="2542"/>
    <x v="2"/>
  </r>
  <r>
    <n v="539"/>
    <n v="187"/>
    <x v="4"/>
    <x v="242"/>
    <x v="4"/>
    <n v="7"/>
    <x v="0"/>
    <d v="2025-10-13T09:39:00"/>
    <x v="12"/>
    <x v="8"/>
    <n v="2810"/>
    <n v="2"/>
    <n v="5620"/>
    <x v="2"/>
  </r>
  <r>
    <n v="104"/>
    <n v="173"/>
    <x v="2"/>
    <x v="226"/>
    <x v="5"/>
    <n v="4"/>
    <x v="1"/>
    <d v="2025-10-13T09:42:00"/>
    <x v="12"/>
    <x v="8"/>
    <n v="189"/>
    <n v="0"/>
    <n v="0"/>
    <x v="3"/>
  </r>
  <r>
    <n v="750"/>
    <n v="224"/>
    <x v="4"/>
    <x v="316"/>
    <x v="0"/>
    <n v="2"/>
    <x v="0"/>
    <d v="2025-10-13T09:56:00"/>
    <x v="12"/>
    <x v="8"/>
    <n v="8909"/>
    <n v="1"/>
    <n v="8909"/>
    <x v="1"/>
  </r>
  <r>
    <n v="725"/>
    <n v="288"/>
    <x v="6"/>
    <x v="53"/>
    <x v="5"/>
    <n v="4"/>
    <x v="0"/>
    <d v="2025-10-13T11:28:00"/>
    <x v="12"/>
    <x v="10"/>
    <n v="1408"/>
    <n v="1"/>
    <n v="1408"/>
    <x v="2"/>
  </r>
  <r>
    <n v="604"/>
    <n v="90"/>
    <x v="5"/>
    <x v="222"/>
    <x v="0"/>
    <n v="2"/>
    <x v="0"/>
    <d v="2025-10-13T12:22:00"/>
    <x v="12"/>
    <x v="11"/>
    <n v="14037"/>
    <n v="3"/>
    <n v="42111"/>
    <x v="0"/>
  </r>
  <r>
    <n v="182"/>
    <n v="1"/>
    <x v="7"/>
    <x v="288"/>
    <x v="2"/>
    <n v="3"/>
    <x v="0"/>
    <d v="2025-10-13T13:07:00"/>
    <x v="12"/>
    <x v="21"/>
    <n v="4556"/>
    <n v="4"/>
    <n v="18224"/>
    <x v="2"/>
  </r>
  <r>
    <n v="34"/>
    <n v="94"/>
    <x v="2"/>
    <x v="226"/>
    <x v="5"/>
    <n v="4"/>
    <x v="0"/>
    <d v="2025-10-13T13:14:00"/>
    <x v="12"/>
    <x v="21"/>
    <n v="1500"/>
    <n v="3"/>
    <n v="4500"/>
    <x v="2"/>
  </r>
  <r>
    <n v="655"/>
    <n v="290"/>
    <x v="9"/>
    <x v="202"/>
    <x v="1"/>
    <n v="6"/>
    <x v="0"/>
    <d v="2025-10-13T13:19:00"/>
    <x v="12"/>
    <x v="21"/>
    <n v="11831"/>
    <n v="4"/>
    <n v="47324"/>
    <x v="0"/>
  </r>
  <r>
    <n v="764"/>
    <n v="40"/>
    <x v="4"/>
    <x v="198"/>
    <x v="0"/>
    <n v="2"/>
    <x v="1"/>
    <d v="2025-10-13T13:49:00"/>
    <x v="12"/>
    <x v="21"/>
    <n v="5759"/>
    <n v="0"/>
    <n v="0"/>
    <x v="1"/>
  </r>
  <r>
    <n v="652"/>
    <n v="46"/>
    <x v="6"/>
    <x v="53"/>
    <x v="5"/>
    <n v="4"/>
    <x v="0"/>
    <d v="2025-10-13T14:59:00"/>
    <x v="12"/>
    <x v="12"/>
    <n v="514"/>
    <n v="2"/>
    <n v="1028"/>
    <x v="3"/>
  </r>
  <r>
    <n v="12"/>
    <n v="136"/>
    <x v="6"/>
    <x v="317"/>
    <x v="3"/>
    <n v="1"/>
    <x v="0"/>
    <d v="2025-10-13T15:20:00"/>
    <x v="12"/>
    <x v="13"/>
    <n v="7893"/>
    <n v="2"/>
    <n v="15786"/>
    <x v="1"/>
  </r>
  <r>
    <n v="263"/>
    <n v="56"/>
    <x v="1"/>
    <x v="95"/>
    <x v="2"/>
    <n v="3"/>
    <x v="0"/>
    <d v="2025-10-13T15:43:00"/>
    <x v="12"/>
    <x v="13"/>
    <n v="3144"/>
    <n v="1"/>
    <n v="3144"/>
    <x v="2"/>
  </r>
  <r>
    <n v="751"/>
    <n v="215"/>
    <x v="2"/>
    <x v="108"/>
    <x v="5"/>
    <n v="4"/>
    <x v="0"/>
    <d v="2025-10-13T15:52:00"/>
    <x v="12"/>
    <x v="13"/>
    <n v="50"/>
    <n v="1"/>
    <n v="50"/>
    <x v="3"/>
  </r>
  <r>
    <n v="360"/>
    <n v="280"/>
    <x v="8"/>
    <x v="134"/>
    <x v="0"/>
    <n v="2"/>
    <x v="0"/>
    <d v="2025-10-13T16:30:00"/>
    <x v="12"/>
    <x v="14"/>
    <n v="6736"/>
    <n v="1"/>
    <n v="6736"/>
    <x v="1"/>
  </r>
  <r>
    <n v="667"/>
    <n v="116"/>
    <x v="8"/>
    <x v="272"/>
    <x v="3"/>
    <n v="1"/>
    <x v="0"/>
    <d v="2025-10-13T16:36:00"/>
    <x v="12"/>
    <x v="14"/>
    <n v="3925"/>
    <n v="5"/>
    <n v="19625"/>
    <x v="2"/>
  </r>
  <r>
    <n v="302"/>
    <n v="11"/>
    <x v="1"/>
    <x v="253"/>
    <x v="2"/>
    <n v="3"/>
    <x v="0"/>
    <d v="2025-10-13T16:46:00"/>
    <x v="12"/>
    <x v="14"/>
    <n v="2863"/>
    <n v="1"/>
    <n v="2863"/>
    <x v="2"/>
  </r>
  <r>
    <n v="351"/>
    <n v="88"/>
    <x v="1"/>
    <x v="9"/>
    <x v="5"/>
    <n v="4"/>
    <x v="0"/>
    <d v="2025-10-13T17:01:00"/>
    <x v="12"/>
    <x v="15"/>
    <n v="635"/>
    <n v="2"/>
    <n v="1270"/>
    <x v="3"/>
  </r>
  <r>
    <n v="96"/>
    <n v="174"/>
    <x v="1"/>
    <x v="149"/>
    <x v="0"/>
    <n v="2"/>
    <x v="0"/>
    <d v="2025-10-13T17:20:00"/>
    <x v="12"/>
    <x v="15"/>
    <n v="10033"/>
    <n v="3"/>
    <n v="30099"/>
    <x v="0"/>
  </r>
  <r>
    <n v="442"/>
    <n v="85"/>
    <x v="8"/>
    <x v="318"/>
    <x v="6"/>
    <n v="5"/>
    <x v="0"/>
    <d v="2025-10-13T17:27:00"/>
    <x v="12"/>
    <x v="15"/>
    <n v="3347"/>
    <n v="3"/>
    <n v="10041"/>
    <x v="2"/>
  </r>
  <r>
    <n v="104"/>
    <n v="170"/>
    <x v="4"/>
    <x v="196"/>
    <x v="5"/>
    <n v="4"/>
    <x v="0"/>
    <d v="2025-10-13T17:30:00"/>
    <x v="12"/>
    <x v="15"/>
    <n v="1315"/>
    <n v="2"/>
    <n v="2630"/>
    <x v="2"/>
  </r>
  <r>
    <n v="568"/>
    <n v="277"/>
    <x v="2"/>
    <x v="69"/>
    <x v="3"/>
    <n v="1"/>
    <x v="1"/>
    <d v="2025-10-13T17:55:00"/>
    <x v="12"/>
    <x v="15"/>
    <n v="2580"/>
    <n v="0"/>
    <n v="0"/>
    <x v="2"/>
  </r>
  <r>
    <n v="244"/>
    <n v="50"/>
    <x v="7"/>
    <x v="181"/>
    <x v="5"/>
    <n v="4"/>
    <x v="0"/>
    <d v="2025-10-13T18:04:00"/>
    <x v="12"/>
    <x v="16"/>
    <n v="731"/>
    <n v="2"/>
    <n v="1462"/>
    <x v="3"/>
  </r>
  <r>
    <n v="503"/>
    <n v="79"/>
    <x v="9"/>
    <x v="55"/>
    <x v="6"/>
    <n v="5"/>
    <x v="0"/>
    <d v="2025-10-13T18:27:00"/>
    <x v="12"/>
    <x v="16"/>
    <n v="1004"/>
    <n v="2"/>
    <n v="2008"/>
    <x v="2"/>
  </r>
  <r>
    <n v="90"/>
    <n v="151"/>
    <x v="0"/>
    <x v="319"/>
    <x v="1"/>
    <n v="6"/>
    <x v="0"/>
    <d v="2025-10-13T18:32:00"/>
    <x v="12"/>
    <x v="16"/>
    <n v="2877"/>
    <n v="2"/>
    <n v="5754"/>
    <x v="2"/>
  </r>
  <r>
    <n v="205"/>
    <n v="50"/>
    <x v="9"/>
    <x v="182"/>
    <x v="5"/>
    <n v="4"/>
    <x v="1"/>
    <d v="2025-10-13T18:49:00"/>
    <x v="12"/>
    <x v="16"/>
    <n v="1500"/>
    <n v="0"/>
    <n v="0"/>
    <x v="2"/>
  </r>
  <r>
    <n v="84"/>
    <n v="243"/>
    <x v="4"/>
    <x v="277"/>
    <x v="5"/>
    <n v="4"/>
    <x v="0"/>
    <d v="2025-10-13T19:09:00"/>
    <x v="12"/>
    <x v="22"/>
    <n v="50"/>
    <n v="2"/>
    <n v="100"/>
    <x v="3"/>
  </r>
  <r>
    <n v="501"/>
    <n v="136"/>
    <x v="2"/>
    <x v="99"/>
    <x v="0"/>
    <n v="2"/>
    <x v="1"/>
    <d v="2025-10-13T19:11:00"/>
    <x v="12"/>
    <x v="22"/>
    <n v="5849"/>
    <n v="0"/>
    <n v="0"/>
    <x v="1"/>
  </r>
  <r>
    <n v="190"/>
    <n v="190"/>
    <x v="3"/>
    <x v="138"/>
    <x v="6"/>
    <n v="5"/>
    <x v="0"/>
    <d v="2025-10-13T19:22:00"/>
    <x v="12"/>
    <x v="22"/>
    <n v="1301"/>
    <n v="2"/>
    <n v="2602"/>
    <x v="2"/>
  </r>
  <r>
    <n v="46"/>
    <n v="135"/>
    <x v="4"/>
    <x v="66"/>
    <x v="3"/>
    <n v="1"/>
    <x v="0"/>
    <d v="2025-10-13T19:26:00"/>
    <x v="12"/>
    <x v="22"/>
    <n v="4113"/>
    <n v="4"/>
    <n v="16452"/>
    <x v="2"/>
  </r>
  <r>
    <n v="276"/>
    <n v="289"/>
    <x v="7"/>
    <x v="209"/>
    <x v="0"/>
    <n v="2"/>
    <x v="0"/>
    <d v="2025-10-13T19:27:00"/>
    <x v="12"/>
    <x v="22"/>
    <n v="11242"/>
    <n v="2"/>
    <n v="22484"/>
    <x v="0"/>
  </r>
  <r>
    <n v="685"/>
    <n v="177"/>
    <x v="1"/>
    <x v="320"/>
    <x v="4"/>
    <n v="7"/>
    <x v="0"/>
    <d v="2025-10-13T21:29:00"/>
    <x v="12"/>
    <x v="23"/>
    <n v="1881"/>
    <n v="4"/>
    <n v="7524"/>
    <x v="2"/>
  </r>
  <r>
    <n v="567"/>
    <n v="32"/>
    <x v="9"/>
    <x v="321"/>
    <x v="4"/>
    <n v="7"/>
    <x v="0"/>
    <d v="2025-10-13T21:39:00"/>
    <x v="12"/>
    <x v="23"/>
    <n v="5946"/>
    <n v="3"/>
    <n v="17838"/>
    <x v="1"/>
  </r>
  <r>
    <n v="549"/>
    <n v="244"/>
    <x v="3"/>
    <x v="232"/>
    <x v="3"/>
    <n v="1"/>
    <x v="0"/>
    <d v="2025-10-13T22:23:00"/>
    <x v="12"/>
    <x v="18"/>
    <n v="7885"/>
    <n v="3"/>
    <n v="23655"/>
    <x v="1"/>
  </r>
  <r>
    <n v="81"/>
    <n v="203"/>
    <x v="8"/>
    <x v="103"/>
    <x v="3"/>
    <n v="1"/>
    <x v="0"/>
    <d v="2025-10-13T22:31:00"/>
    <x v="12"/>
    <x v="18"/>
    <n v="5611"/>
    <n v="2"/>
    <n v="11222"/>
    <x v="1"/>
  </r>
  <r>
    <n v="586"/>
    <n v="76"/>
    <x v="9"/>
    <x v="100"/>
    <x v="5"/>
    <n v="4"/>
    <x v="1"/>
    <d v="2025-10-13T23:02:00"/>
    <x v="12"/>
    <x v="19"/>
    <n v="178"/>
    <n v="0"/>
    <n v="0"/>
    <x v="3"/>
  </r>
  <r>
    <n v="172"/>
    <n v="109"/>
    <x v="8"/>
    <x v="166"/>
    <x v="3"/>
    <n v="1"/>
    <x v="0"/>
    <d v="2025-10-13T23:39:00"/>
    <x v="12"/>
    <x v="19"/>
    <n v="2172"/>
    <n v="1"/>
    <n v="2172"/>
    <x v="2"/>
  </r>
  <r>
    <n v="81"/>
    <n v="223"/>
    <x v="0"/>
    <x v="322"/>
    <x v="5"/>
    <n v="4"/>
    <x v="0"/>
    <d v="2025-10-14T00:03:00"/>
    <x v="13"/>
    <x v="0"/>
    <n v="308"/>
    <n v="2"/>
    <n v="616"/>
    <x v="3"/>
  </r>
  <r>
    <n v="265"/>
    <n v="164"/>
    <x v="4"/>
    <x v="131"/>
    <x v="2"/>
    <n v="3"/>
    <x v="0"/>
    <d v="2025-10-14T00:20:00"/>
    <x v="13"/>
    <x v="0"/>
    <n v="3275"/>
    <n v="1"/>
    <n v="3275"/>
    <x v="2"/>
  </r>
  <r>
    <n v="570"/>
    <n v="204"/>
    <x v="1"/>
    <x v="70"/>
    <x v="6"/>
    <n v="5"/>
    <x v="0"/>
    <d v="2025-10-14T00:34:00"/>
    <x v="13"/>
    <x v="0"/>
    <n v="3612"/>
    <n v="2"/>
    <n v="7224"/>
    <x v="2"/>
  </r>
  <r>
    <n v="470"/>
    <n v="7"/>
    <x v="7"/>
    <x v="94"/>
    <x v="5"/>
    <n v="4"/>
    <x v="0"/>
    <d v="2025-10-14T00:46:00"/>
    <x v="13"/>
    <x v="0"/>
    <n v="1146"/>
    <n v="2"/>
    <n v="2292"/>
    <x v="2"/>
  </r>
  <r>
    <n v="430"/>
    <n v="58"/>
    <x v="9"/>
    <x v="55"/>
    <x v="6"/>
    <n v="5"/>
    <x v="0"/>
    <d v="2025-10-14T01:56:00"/>
    <x v="13"/>
    <x v="1"/>
    <n v="3787"/>
    <n v="3"/>
    <n v="11361"/>
    <x v="2"/>
  </r>
  <r>
    <n v="603"/>
    <n v="299"/>
    <x v="4"/>
    <x v="19"/>
    <x v="5"/>
    <n v="4"/>
    <x v="0"/>
    <d v="2025-10-14T02:43:00"/>
    <x v="13"/>
    <x v="2"/>
    <n v="774"/>
    <n v="2"/>
    <n v="1548"/>
    <x v="3"/>
  </r>
  <r>
    <n v="293"/>
    <n v="275"/>
    <x v="9"/>
    <x v="151"/>
    <x v="5"/>
    <n v="4"/>
    <x v="0"/>
    <d v="2025-10-14T04:12:00"/>
    <x v="13"/>
    <x v="4"/>
    <n v="109"/>
    <n v="1"/>
    <n v="109"/>
    <x v="3"/>
  </r>
  <r>
    <n v="671"/>
    <n v="249"/>
    <x v="7"/>
    <x v="156"/>
    <x v="0"/>
    <n v="2"/>
    <x v="0"/>
    <d v="2025-10-14T04:15:00"/>
    <x v="13"/>
    <x v="4"/>
    <n v="9643"/>
    <n v="3"/>
    <n v="28929"/>
    <x v="1"/>
  </r>
  <r>
    <n v="177"/>
    <n v="142"/>
    <x v="8"/>
    <x v="30"/>
    <x v="3"/>
    <n v="1"/>
    <x v="0"/>
    <d v="2025-10-14T04:50:00"/>
    <x v="13"/>
    <x v="4"/>
    <n v="5797"/>
    <n v="2"/>
    <n v="11594"/>
    <x v="1"/>
  </r>
  <r>
    <n v="698"/>
    <n v="206"/>
    <x v="9"/>
    <x v="52"/>
    <x v="0"/>
    <n v="2"/>
    <x v="0"/>
    <d v="2025-10-14T06:04:00"/>
    <x v="13"/>
    <x v="5"/>
    <n v="10475"/>
    <n v="3"/>
    <n v="31425"/>
    <x v="0"/>
  </r>
  <r>
    <n v="244"/>
    <n v="26"/>
    <x v="6"/>
    <x v="203"/>
    <x v="3"/>
    <n v="1"/>
    <x v="1"/>
    <d v="2025-10-14T06:09:00"/>
    <x v="13"/>
    <x v="5"/>
    <n v="1319"/>
    <n v="0"/>
    <n v="0"/>
    <x v="2"/>
  </r>
  <r>
    <n v="21"/>
    <n v="173"/>
    <x v="7"/>
    <x v="83"/>
    <x v="3"/>
    <n v="1"/>
    <x v="1"/>
    <d v="2025-10-14T06:11:00"/>
    <x v="13"/>
    <x v="5"/>
    <n v="7152"/>
    <n v="0"/>
    <n v="0"/>
    <x v="1"/>
  </r>
  <r>
    <n v="713"/>
    <n v="51"/>
    <x v="7"/>
    <x v="240"/>
    <x v="2"/>
    <n v="3"/>
    <x v="0"/>
    <d v="2025-10-14T06:47:00"/>
    <x v="13"/>
    <x v="5"/>
    <n v="3941"/>
    <n v="2"/>
    <n v="7882"/>
    <x v="2"/>
  </r>
  <r>
    <n v="793"/>
    <n v="165"/>
    <x v="7"/>
    <x v="236"/>
    <x v="5"/>
    <n v="4"/>
    <x v="0"/>
    <d v="2025-10-14T07:10:00"/>
    <x v="13"/>
    <x v="6"/>
    <n v="384"/>
    <n v="1"/>
    <n v="384"/>
    <x v="3"/>
  </r>
  <r>
    <n v="662"/>
    <n v="46"/>
    <x v="2"/>
    <x v="169"/>
    <x v="2"/>
    <n v="3"/>
    <x v="0"/>
    <d v="2025-10-14T07:58:00"/>
    <x v="13"/>
    <x v="6"/>
    <n v="3880"/>
    <n v="2"/>
    <n v="7760"/>
    <x v="2"/>
  </r>
  <r>
    <n v="759"/>
    <n v="249"/>
    <x v="5"/>
    <x v="81"/>
    <x v="4"/>
    <n v="7"/>
    <x v="0"/>
    <d v="2025-10-14T08:02:00"/>
    <x v="13"/>
    <x v="7"/>
    <n v="3065"/>
    <n v="1"/>
    <n v="3065"/>
    <x v="2"/>
  </r>
  <r>
    <n v="163"/>
    <n v="34"/>
    <x v="0"/>
    <x v="323"/>
    <x v="0"/>
    <n v="2"/>
    <x v="0"/>
    <d v="2025-10-14T08:44:00"/>
    <x v="13"/>
    <x v="7"/>
    <n v="12453"/>
    <n v="1"/>
    <n v="12453"/>
    <x v="0"/>
  </r>
  <r>
    <n v="139"/>
    <n v="269"/>
    <x v="3"/>
    <x v="324"/>
    <x v="4"/>
    <n v="7"/>
    <x v="0"/>
    <d v="2025-10-14T08:50:00"/>
    <x v="13"/>
    <x v="7"/>
    <n v="4211"/>
    <n v="1"/>
    <n v="4211"/>
    <x v="2"/>
  </r>
  <r>
    <n v="206"/>
    <n v="30"/>
    <x v="4"/>
    <x v="6"/>
    <x v="3"/>
    <n v="1"/>
    <x v="0"/>
    <d v="2025-10-14T08:55:00"/>
    <x v="13"/>
    <x v="7"/>
    <n v="5472"/>
    <n v="2"/>
    <n v="10944"/>
    <x v="1"/>
  </r>
  <r>
    <n v="370"/>
    <n v="102"/>
    <x v="8"/>
    <x v="30"/>
    <x v="3"/>
    <n v="1"/>
    <x v="0"/>
    <d v="2025-10-14T09:00:00"/>
    <x v="13"/>
    <x v="8"/>
    <n v="2859"/>
    <n v="1"/>
    <n v="2859"/>
    <x v="2"/>
  </r>
  <r>
    <n v="407"/>
    <n v="64"/>
    <x v="8"/>
    <x v="272"/>
    <x v="3"/>
    <n v="1"/>
    <x v="0"/>
    <d v="2025-10-14T09:45:00"/>
    <x v="13"/>
    <x v="8"/>
    <n v="3232"/>
    <n v="1"/>
    <n v="3232"/>
    <x v="2"/>
  </r>
  <r>
    <n v="501"/>
    <n v="229"/>
    <x v="5"/>
    <x v="78"/>
    <x v="5"/>
    <n v="4"/>
    <x v="0"/>
    <d v="2025-10-14T10:14:00"/>
    <x v="13"/>
    <x v="9"/>
    <n v="1260"/>
    <n v="4"/>
    <n v="5040"/>
    <x v="2"/>
  </r>
  <r>
    <n v="359"/>
    <n v="177"/>
    <x v="9"/>
    <x v="52"/>
    <x v="0"/>
    <n v="2"/>
    <x v="0"/>
    <d v="2025-10-14T10:33:00"/>
    <x v="13"/>
    <x v="9"/>
    <n v="6951"/>
    <n v="3"/>
    <n v="20853"/>
    <x v="1"/>
  </r>
  <r>
    <n v="29"/>
    <n v="198"/>
    <x v="1"/>
    <x v="276"/>
    <x v="4"/>
    <n v="7"/>
    <x v="0"/>
    <d v="2025-10-14T10:45:00"/>
    <x v="13"/>
    <x v="9"/>
    <n v="2771"/>
    <n v="2"/>
    <n v="5542"/>
    <x v="2"/>
  </r>
  <r>
    <n v="227"/>
    <n v="116"/>
    <x v="9"/>
    <x v="106"/>
    <x v="3"/>
    <n v="1"/>
    <x v="0"/>
    <d v="2025-10-14T11:41:00"/>
    <x v="13"/>
    <x v="10"/>
    <n v="1289"/>
    <n v="1"/>
    <n v="1289"/>
    <x v="2"/>
  </r>
  <r>
    <n v="21"/>
    <n v="5"/>
    <x v="2"/>
    <x v="325"/>
    <x v="1"/>
    <n v="6"/>
    <x v="0"/>
    <d v="2025-10-14T11:54:00"/>
    <x v="13"/>
    <x v="10"/>
    <n v="5324"/>
    <n v="2"/>
    <n v="10648"/>
    <x v="1"/>
  </r>
  <r>
    <n v="9"/>
    <n v="115"/>
    <x v="4"/>
    <x v="19"/>
    <x v="5"/>
    <n v="4"/>
    <x v="0"/>
    <d v="2025-10-14T12:39:00"/>
    <x v="13"/>
    <x v="11"/>
    <n v="887"/>
    <n v="3"/>
    <n v="2661"/>
    <x v="3"/>
  </r>
  <r>
    <n v="727"/>
    <n v="141"/>
    <x v="7"/>
    <x v="117"/>
    <x v="3"/>
    <n v="1"/>
    <x v="0"/>
    <d v="2025-10-14T12:54:00"/>
    <x v="13"/>
    <x v="11"/>
    <n v="3178"/>
    <n v="4"/>
    <n v="12712"/>
    <x v="2"/>
  </r>
  <r>
    <n v="259"/>
    <n v="112"/>
    <x v="6"/>
    <x v="317"/>
    <x v="3"/>
    <n v="1"/>
    <x v="0"/>
    <d v="2025-10-14T13:07:00"/>
    <x v="13"/>
    <x v="21"/>
    <n v="4463"/>
    <n v="2"/>
    <n v="8926"/>
    <x v="2"/>
  </r>
  <r>
    <n v="407"/>
    <n v="300"/>
    <x v="3"/>
    <x v="326"/>
    <x v="6"/>
    <n v="5"/>
    <x v="0"/>
    <d v="2025-10-14T13:23:00"/>
    <x v="13"/>
    <x v="21"/>
    <n v="2665"/>
    <n v="2"/>
    <n v="5330"/>
    <x v="2"/>
  </r>
  <r>
    <n v="575"/>
    <n v="145"/>
    <x v="3"/>
    <x v="59"/>
    <x v="2"/>
    <n v="3"/>
    <x v="0"/>
    <d v="2025-10-14T13:32:00"/>
    <x v="13"/>
    <x v="21"/>
    <n v="2141"/>
    <n v="1"/>
    <n v="2141"/>
    <x v="2"/>
  </r>
  <r>
    <n v="66"/>
    <n v="173"/>
    <x v="1"/>
    <x v="77"/>
    <x v="3"/>
    <n v="1"/>
    <x v="0"/>
    <d v="2025-10-14T14:09:00"/>
    <x v="13"/>
    <x v="12"/>
    <n v="3595"/>
    <n v="1"/>
    <n v="3595"/>
    <x v="2"/>
  </r>
  <r>
    <n v="268"/>
    <n v="153"/>
    <x v="6"/>
    <x v="219"/>
    <x v="3"/>
    <n v="1"/>
    <x v="0"/>
    <d v="2025-10-14T14:27:00"/>
    <x v="13"/>
    <x v="12"/>
    <n v="3391"/>
    <n v="3"/>
    <n v="10173"/>
    <x v="2"/>
  </r>
  <r>
    <n v="59"/>
    <n v="207"/>
    <x v="3"/>
    <x v="248"/>
    <x v="0"/>
    <n v="2"/>
    <x v="0"/>
    <d v="2025-10-14T14:34:00"/>
    <x v="13"/>
    <x v="12"/>
    <n v="6962"/>
    <n v="1"/>
    <n v="6962"/>
    <x v="1"/>
  </r>
  <r>
    <n v="27"/>
    <n v="255"/>
    <x v="4"/>
    <x v="252"/>
    <x v="1"/>
    <n v="6"/>
    <x v="0"/>
    <d v="2025-10-14T15:35:00"/>
    <x v="13"/>
    <x v="13"/>
    <n v="7384"/>
    <n v="4"/>
    <n v="29536"/>
    <x v="1"/>
  </r>
  <r>
    <n v="398"/>
    <n v="19"/>
    <x v="2"/>
    <x v="108"/>
    <x v="5"/>
    <n v="4"/>
    <x v="0"/>
    <d v="2025-10-14T15:48:00"/>
    <x v="13"/>
    <x v="13"/>
    <n v="587"/>
    <n v="2"/>
    <n v="1174"/>
    <x v="3"/>
  </r>
  <r>
    <n v="352"/>
    <n v="114"/>
    <x v="9"/>
    <x v="106"/>
    <x v="3"/>
    <n v="1"/>
    <x v="0"/>
    <d v="2025-10-14T16:09:00"/>
    <x v="13"/>
    <x v="14"/>
    <n v="5938"/>
    <n v="3"/>
    <n v="17814"/>
    <x v="1"/>
  </r>
  <r>
    <n v="368"/>
    <n v="260"/>
    <x v="8"/>
    <x v="213"/>
    <x v="1"/>
    <n v="6"/>
    <x v="0"/>
    <d v="2025-10-14T17:12:00"/>
    <x v="13"/>
    <x v="15"/>
    <n v="10885"/>
    <n v="2"/>
    <n v="21770"/>
    <x v="0"/>
  </r>
  <r>
    <n v="301"/>
    <n v="50"/>
    <x v="3"/>
    <x v="311"/>
    <x v="2"/>
    <n v="3"/>
    <x v="0"/>
    <d v="2025-10-14T17:38:00"/>
    <x v="13"/>
    <x v="15"/>
    <n v="3846"/>
    <n v="3"/>
    <n v="11538"/>
    <x v="2"/>
  </r>
  <r>
    <n v="782"/>
    <n v="94"/>
    <x v="7"/>
    <x v="58"/>
    <x v="2"/>
    <n v="3"/>
    <x v="0"/>
    <d v="2025-10-14T17:41:00"/>
    <x v="13"/>
    <x v="15"/>
    <n v="5221"/>
    <n v="3"/>
    <n v="15663"/>
    <x v="1"/>
  </r>
  <r>
    <n v="364"/>
    <n v="115"/>
    <x v="1"/>
    <x v="327"/>
    <x v="1"/>
    <n v="6"/>
    <x v="0"/>
    <d v="2025-10-14T18:55:00"/>
    <x v="13"/>
    <x v="16"/>
    <n v="7634"/>
    <n v="1"/>
    <n v="7634"/>
    <x v="1"/>
  </r>
  <r>
    <n v="267"/>
    <n v="300"/>
    <x v="6"/>
    <x v="57"/>
    <x v="0"/>
    <n v="2"/>
    <x v="0"/>
    <d v="2025-10-14T19:22:00"/>
    <x v="13"/>
    <x v="22"/>
    <n v="9046"/>
    <n v="1"/>
    <n v="9046"/>
    <x v="1"/>
  </r>
  <r>
    <n v="55"/>
    <n v="299"/>
    <x v="1"/>
    <x v="178"/>
    <x v="4"/>
    <n v="7"/>
    <x v="0"/>
    <d v="2025-10-14T19:32:00"/>
    <x v="13"/>
    <x v="22"/>
    <n v="3945"/>
    <n v="3"/>
    <n v="11835"/>
    <x v="2"/>
  </r>
  <r>
    <n v="200"/>
    <n v="257"/>
    <x v="1"/>
    <x v="328"/>
    <x v="1"/>
    <n v="6"/>
    <x v="0"/>
    <d v="2025-10-14T19:36:00"/>
    <x v="13"/>
    <x v="22"/>
    <n v="11624"/>
    <n v="2"/>
    <n v="23248"/>
    <x v="0"/>
  </r>
  <r>
    <n v="306"/>
    <n v="212"/>
    <x v="2"/>
    <x v="21"/>
    <x v="3"/>
    <n v="1"/>
    <x v="0"/>
    <d v="2025-10-14T20:18:00"/>
    <x v="13"/>
    <x v="17"/>
    <n v="2129"/>
    <n v="2"/>
    <n v="4258"/>
    <x v="2"/>
  </r>
  <r>
    <n v="351"/>
    <n v="210"/>
    <x v="4"/>
    <x v="6"/>
    <x v="3"/>
    <n v="1"/>
    <x v="0"/>
    <d v="2025-10-14T20:44:00"/>
    <x v="13"/>
    <x v="17"/>
    <n v="1319"/>
    <n v="3"/>
    <n v="3957"/>
    <x v="2"/>
  </r>
  <r>
    <n v="733"/>
    <n v="93"/>
    <x v="4"/>
    <x v="190"/>
    <x v="3"/>
    <n v="1"/>
    <x v="1"/>
    <d v="2025-10-14T21:04:00"/>
    <x v="13"/>
    <x v="23"/>
    <n v="5698"/>
    <n v="0"/>
    <n v="0"/>
    <x v="1"/>
  </r>
  <r>
    <n v="182"/>
    <n v="161"/>
    <x v="6"/>
    <x v="76"/>
    <x v="0"/>
    <n v="2"/>
    <x v="1"/>
    <d v="2025-10-14T22:04:00"/>
    <x v="13"/>
    <x v="18"/>
    <n v="5373"/>
    <n v="0"/>
    <n v="0"/>
    <x v="1"/>
  </r>
  <r>
    <n v="215"/>
    <n v="87"/>
    <x v="8"/>
    <x v="243"/>
    <x v="1"/>
    <n v="6"/>
    <x v="0"/>
    <d v="2025-10-14T22:45:00"/>
    <x v="13"/>
    <x v="18"/>
    <n v="2752"/>
    <n v="1"/>
    <n v="2752"/>
    <x v="2"/>
  </r>
  <r>
    <n v="782"/>
    <n v="46"/>
    <x v="4"/>
    <x v="329"/>
    <x v="1"/>
    <n v="6"/>
    <x v="0"/>
    <d v="2025-10-14T22:49:00"/>
    <x v="13"/>
    <x v="18"/>
    <n v="11632"/>
    <n v="2"/>
    <n v="23264"/>
    <x v="0"/>
  </r>
  <r>
    <n v="440"/>
    <n v="207"/>
    <x v="2"/>
    <x v="46"/>
    <x v="0"/>
    <n v="2"/>
    <x v="0"/>
    <d v="2025-10-14T22:59:00"/>
    <x v="13"/>
    <x v="18"/>
    <n v="6234"/>
    <n v="2"/>
    <n v="12468"/>
    <x v="1"/>
  </r>
  <r>
    <n v="39"/>
    <n v="274"/>
    <x v="2"/>
    <x v="7"/>
    <x v="0"/>
    <n v="2"/>
    <x v="0"/>
    <d v="2025-10-14T23:07:00"/>
    <x v="13"/>
    <x v="19"/>
    <n v="11073"/>
    <n v="2"/>
    <n v="22146"/>
    <x v="0"/>
  </r>
  <r>
    <n v="330"/>
    <n v="272"/>
    <x v="6"/>
    <x v="296"/>
    <x v="4"/>
    <n v="7"/>
    <x v="0"/>
    <d v="2025-10-14T23:43:00"/>
    <x v="13"/>
    <x v="19"/>
    <n v="3307"/>
    <n v="2"/>
    <n v="6614"/>
    <x v="2"/>
  </r>
  <r>
    <n v="232"/>
    <n v="177"/>
    <x v="0"/>
    <x v="87"/>
    <x v="5"/>
    <n v="4"/>
    <x v="0"/>
    <d v="2025-10-14T23:44:00"/>
    <x v="13"/>
    <x v="19"/>
    <n v="249"/>
    <n v="2"/>
    <n v="498"/>
    <x v="3"/>
  </r>
  <r>
    <n v="516"/>
    <n v="157"/>
    <x v="1"/>
    <x v="178"/>
    <x v="4"/>
    <n v="7"/>
    <x v="0"/>
    <d v="2025-10-15T00:06:00"/>
    <x v="14"/>
    <x v="0"/>
    <n v="3922"/>
    <n v="2"/>
    <n v="7844"/>
    <x v="2"/>
  </r>
  <r>
    <n v="298"/>
    <n v="234"/>
    <x v="0"/>
    <x v="192"/>
    <x v="1"/>
    <n v="6"/>
    <x v="0"/>
    <d v="2025-10-15T00:44:00"/>
    <x v="14"/>
    <x v="0"/>
    <n v="4569"/>
    <n v="3"/>
    <n v="13707"/>
    <x v="2"/>
  </r>
  <r>
    <n v="346"/>
    <n v="223"/>
    <x v="9"/>
    <x v="112"/>
    <x v="3"/>
    <n v="1"/>
    <x v="1"/>
    <d v="2025-10-15T01:39:00"/>
    <x v="14"/>
    <x v="1"/>
    <n v="7028"/>
    <n v="0"/>
    <n v="0"/>
    <x v="1"/>
  </r>
  <r>
    <n v="769"/>
    <n v="97"/>
    <x v="8"/>
    <x v="155"/>
    <x v="0"/>
    <n v="2"/>
    <x v="0"/>
    <d v="2025-10-15T01:51:00"/>
    <x v="14"/>
    <x v="1"/>
    <n v="6167"/>
    <n v="2"/>
    <n v="12334"/>
    <x v="1"/>
  </r>
  <r>
    <n v="230"/>
    <n v="68"/>
    <x v="0"/>
    <x v="15"/>
    <x v="3"/>
    <n v="1"/>
    <x v="0"/>
    <d v="2025-10-15T02:36:00"/>
    <x v="14"/>
    <x v="2"/>
    <n v="2356"/>
    <n v="1"/>
    <n v="2356"/>
    <x v="2"/>
  </r>
  <r>
    <n v="517"/>
    <n v="87"/>
    <x v="0"/>
    <x v="249"/>
    <x v="2"/>
    <n v="3"/>
    <x v="1"/>
    <d v="2025-10-15T02:39:00"/>
    <x v="14"/>
    <x v="2"/>
    <n v="3405"/>
    <n v="0"/>
    <n v="0"/>
    <x v="2"/>
  </r>
  <r>
    <n v="656"/>
    <n v="131"/>
    <x v="0"/>
    <x v="254"/>
    <x v="4"/>
    <n v="7"/>
    <x v="0"/>
    <d v="2025-10-15T03:29:00"/>
    <x v="14"/>
    <x v="3"/>
    <n v="2495"/>
    <n v="1"/>
    <n v="2495"/>
    <x v="2"/>
  </r>
  <r>
    <n v="609"/>
    <n v="25"/>
    <x v="9"/>
    <x v="330"/>
    <x v="4"/>
    <n v="7"/>
    <x v="0"/>
    <d v="2025-10-15T03:33:00"/>
    <x v="14"/>
    <x v="3"/>
    <n v="7891"/>
    <n v="1"/>
    <n v="7891"/>
    <x v="1"/>
  </r>
  <r>
    <n v="707"/>
    <n v="60"/>
    <x v="0"/>
    <x v="208"/>
    <x v="4"/>
    <n v="7"/>
    <x v="0"/>
    <d v="2025-10-15T03:46:00"/>
    <x v="14"/>
    <x v="3"/>
    <n v="6777"/>
    <n v="3"/>
    <n v="20331"/>
    <x v="1"/>
  </r>
  <r>
    <n v="561"/>
    <n v="130"/>
    <x v="2"/>
    <x v="45"/>
    <x v="3"/>
    <n v="1"/>
    <x v="0"/>
    <d v="2025-10-15T04:28:00"/>
    <x v="14"/>
    <x v="4"/>
    <n v="4441"/>
    <n v="1"/>
    <n v="4441"/>
    <x v="2"/>
  </r>
  <r>
    <n v="712"/>
    <n v="5"/>
    <x v="4"/>
    <x v="331"/>
    <x v="2"/>
    <n v="3"/>
    <x v="0"/>
    <d v="2025-10-15T04:33:00"/>
    <x v="14"/>
    <x v="4"/>
    <n v="5545"/>
    <n v="3"/>
    <n v="16635"/>
    <x v="1"/>
  </r>
  <r>
    <n v="533"/>
    <n v="139"/>
    <x v="1"/>
    <x v="1"/>
    <x v="1"/>
    <n v="6"/>
    <x v="0"/>
    <d v="2025-10-15T04:39:00"/>
    <x v="14"/>
    <x v="4"/>
    <n v="6948"/>
    <n v="1"/>
    <n v="6948"/>
    <x v="1"/>
  </r>
  <r>
    <n v="108"/>
    <n v="262"/>
    <x v="4"/>
    <x v="142"/>
    <x v="0"/>
    <n v="2"/>
    <x v="0"/>
    <d v="2025-10-15T05:13:00"/>
    <x v="14"/>
    <x v="20"/>
    <n v="14313"/>
    <n v="1"/>
    <n v="14313"/>
    <x v="0"/>
  </r>
  <r>
    <n v="109"/>
    <n v="255"/>
    <x v="7"/>
    <x v="158"/>
    <x v="0"/>
    <n v="2"/>
    <x v="0"/>
    <d v="2025-10-15T05:47:00"/>
    <x v="14"/>
    <x v="20"/>
    <n v="13980"/>
    <n v="3"/>
    <n v="41940"/>
    <x v="0"/>
  </r>
  <r>
    <n v="536"/>
    <n v="104"/>
    <x v="5"/>
    <x v="313"/>
    <x v="6"/>
    <n v="5"/>
    <x v="0"/>
    <d v="2025-10-15T06:14:00"/>
    <x v="14"/>
    <x v="5"/>
    <n v="1724"/>
    <n v="1"/>
    <n v="1724"/>
    <x v="2"/>
  </r>
  <r>
    <n v="165"/>
    <n v="21"/>
    <x v="2"/>
    <x v="62"/>
    <x v="4"/>
    <n v="7"/>
    <x v="0"/>
    <d v="2025-10-15T06:46:00"/>
    <x v="14"/>
    <x v="5"/>
    <n v="4592"/>
    <n v="2"/>
    <n v="9184"/>
    <x v="2"/>
  </r>
  <r>
    <n v="493"/>
    <n v="170"/>
    <x v="5"/>
    <x v="222"/>
    <x v="0"/>
    <n v="2"/>
    <x v="0"/>
    <d v="2025-10-15T07:06:00"/>
    <x v="14"/>
    <x v="6"/>
    <n v="13034"/>
    <n v="1"/>
    <n v="13034"/>
    <x v="0"/>
  </r>
  <r>
    <n v="92"/>
    <n v="57"/>
    <x v="0"/>
    <x v="211"/>
    <x v="1"/>
    <n v="6"/>
    <x v="0"/>
    <d v="2025-10-15T07:14:00"/>
    <x v="14"/>
    <x v="6"/>
    <n v="5643"/>
    <n v="2"/>
    <n v="11286"/>
    <x v="1"/>
  </r>
  <r>
    <n v="93"/>
    <n v="262"/>
    <x v="8"/>
    <x v="47"/>
    <x v="5"/>
    <n v="4"/>
    <x v="0"/>
    <d v="2025-10-15T07:25:00"/>
    <x v="14"/>
    <x v="6"/>
    <n v="1367"/>
    <n v="2"/>
    <n v="2734"/>
    <x v="2"/>
  </r>
  <r>
    <n v="660"/>
    <n v="119"/>
    <x v="1"/>
    <x v="95"/>
    <x v="2"/>
    <n v="3"/>
    <x v="1"/>
    <d v="2025-10-15T07:31:00"/>
    <x v="14"/>
    <x v="6"/>
    <n v="2284"/>
    <n v="0"/>
    <n v="0"/>
    <x v="2"/>
  </r>
  <r>
    <n v="52"/>
    <n v="52"/>
    <x v="7"/>
    <x v="240"/>
    <x v="2"/>
    <n v="3"/>
    <x v="0"/>
    <d v="2025-10-15T08:34:00"/>
    <x v="14"/>
    <x v="7"/>
    <n v="5192"/>
    <n v="3"/>
    <n v="15576"/>
    <x v="1"/>
  </r>
  <r>
    <n v="694"/>
    <n v="161"/>
    <x v="7"/>
    <x v="73"/>
    <x v="2"/>
    <n v="3"/>
    <x v="0"/>
    <d v="2025-10-15T08:57:00"/>
    <x v="14"/>
    <x v="7"/>
    <n v="2751"/>
    <n v="1"/>
    <n v="2751"/>
    <x v="2"/>
  </r>
  <r>
    <n v="777"/>
    <n v="24"/>
    <x v="1"/>
    <x v="9"/>
    <x v="5"/>
    <n v="4"/>
    <x v="0"/>
    <d v="2025-10-15T09:11:00"/>
    <x v="14"/>
    <x v="8"/>
    <n v="1100"/>
    <n v="2"/>
    <n v="2200"/>
    <x v="2"/>
  </r>
  <r>
    <n v="367"/>
    <n v="225"/>
    <x v="4"/>
    <x v="190"/>
    <x v="3"/>
    <n v="1"/>
    <x v="0"/>
    <d v="2025-10-15T09:27:00"/>
    <x v="14"/>
    <x v="8"/>
    <n v="1000"/>
    <n v="2"/>
    <n v="2000"/>
    <x v="2"/>
  </r>
  <r>
    <n v="351"/>
    <n v="94"/>
    <x v="1"/>
    <x v="24"/>
    <x v="0"/>
    <n v="2"/>
    <x v="1"/>
    <d v="2025-10-15T10:45:00"/>
    <x v="14"/>
    <x v="9"/>
    <n v="14124"/>
    <n v="0"/>
    <n v="0"/>
    <x v="0"/>
  </r>
  <r>
    <n v="279"/>
    <n v="198"/>
    <x v="2"/>
    <x v="99"/>
    <x v="0"/>
    <n v="2"/>
    <x v="1"/>
    <d v="2025-10-15T10:50:00"/>
    <x v="14"/>
    <x v="9"/>
    <n v="5870"/>
    <n v="0"/>
    <n v="0"/>
    <x v="1"/>
  </r>
  <r>
    <n v="171"/>
    <n v="58"/>
    <x v="2"/>
    <x v="332"/>
    <x v="4"/>
    <n v="7"/>
    <x v="0"/>
    <d v="2025-10-15T11:13:00"/>
    <x v="14"/>
    <x v="10"/>
    <n v="7195"/>
    <n v="1"/>
    <n v="7195"/>
    <x v="1"/>
  </r>
  <r>
    <n v="107"/>
    <n v="214"/>
    <x v="0"/>
    <x v="168"/>
    <x v="6"/>
    <n v="5"/>
    <x v="0"/>
    <d v="2025-10-15T11:32:00"/>
    <x v="14"/>
    <x v="10"/>
    <n v="1498"/>
    <n v="1"/>
    <n v="1498"/>
    <x v="2"/>
  </r>
  <r>
    <n v="186"/>
    <n v="195"/>
    <x v="9"/>
    <x v="217"/>
    <x v="6"/>
    <n v="5"/>
    <x v="0"/>
    <d v="2025-10-15T11:57:00"/>
    <x v="14"/>
    <x v="10"/>
    <n v="3266"/>
    <n v="2"/>
    <n v="6532"/>
    <x v="2"/>
  </r>
  <r>
    <n v="701"/>
    <n v="67"/>
    <x v="9"/>
    <x v="51"/>
    <x v="3"/>
    <n v="1"/>
    <x v="0"/>
    <d v="2025-10-15T11:57:00"/>
    <x v="14"/>
    <x v="10"/>
    <n v="7365"/>
    <n v="4"/>
    <n v="29460"/>
    <x v="1"/>
  </r>
  <r>
    <n v="452"/>
    <n v="24"/>
    <x v="1"/>
    <x v="251"/>
    <x v="0"/>
    <n v="2"/>
    <x v="0"/>
    <d v="2025-10-15T12:52:00"/>
    <x v="14"/>
    <x v="11"/>
    <n v="11963"/>
    <n v="2"/>
    <n v="23926"/>
    <x v="0"/>
  </r>
  <r>
    <n v="722"/>
    <n v="269"/>
    <x v="6"/>
    <x v="40"/>
    <x v="5"/>
    <n v="4"/>
    <x v="0"/>
    <d v="2025-10-15T14:03:00"/>
    <x v="14"/>
    <x v="12"/>
    <n v="112"/>
    <n v="2"/>
    <n v="224"/>
    <x v="3"/>
  </r>
  <r>
    <n v="579"/>
    <n v="115"/>
    <x v="9"/>
    <x v="92"/>
    <x v="4"/>
    <n v="7"/>
    <x v="0"/>
    <d v="2025-10-15T14:25:00"/>
    <x v="14"/>
    <x v="12"/>
    <n v="7967"/>
    <n v="2"/>
    <n v="15934"/>
    <x v="1"/>
  </r>
  <r>
    <n v="98"/>
    <n v="222"/>
    <x v="3"/>
    <x v="201"/>
    <x v="2"/>
    <n v="3"/>
    <x v="0"/>
    <d v="2025-10-15T14:57:00"/>
    <x v="14"/>
    <x v="12"/>
    <n v="4336"/>
    <n v="2"/>
    <n v="8672"/>
    <x v="2"/>
  </r>
  <r>
    <n v="355"/>
    <n v="198"/>
    <x v="5"/>
    <x v="72"/>
    <x v="6"/>
    <n v="5"/>
    <x v="0"/>
    <d v="2025-10-15T16:04:00"/>
    <x v="14"/>
    <x v="14"/>
    <n v="3682"/>
    <n v="2"/>
    <n v="7364"/>
    <x v="2"/>
  </r>
  <r>
    <n v="12"/>
    <n v="81"/>
    <x v="9"/>
    <x v="151"/>
    <x v="5"/>
    <n v="4"/>
    <x v="0"/>
    <d v="2025-10-15T16:37:00"/>
    <x v="14"/>
    <x v="14"/>
    <n v="439"/>
    <n v="2"/>
    <n v="878"/>
    <x v="3"/>
  </r>
  <r>
    <n v="77"/>
    <n v="252"/>
    <x v="8"/>
    <x v="41"/>
    <x v="0"/>
    <n v="2"/>
    <x v="0"/>
    <d v="2025-10-15T16:41:00"/>
    <x v="14"/>
    <x v="14"/>
    <n v="12323"/>
    <n v="1"/>
    <n v="12323"/>
    <x v="0"/>
  </r>
  <r>
    <n v="52"/>
    <n v="260"/>
    <x v="6"/>
    <x v="219"/>
    <x v="3"/>
    <n v="1"/>
    <x v="0"/>
    <d v="2025-10-15T17:04:00"/>
    <x v="14"/>
    <x v="15"/>
    <n v="3549"/>
    <n v="4"/>
    <n v="14196"/>
    <x v="2"/>
  </r>
  <r>
    <n v="241"/>
    <n v="41"/>
    <x v="2"/>
    <x v="197"/>
    <x v="1"/>
    <n v="6"/>
    <x v="1"/>
    <d v="2025-10-15T17:29:00"/>
    <x v="14"/>
    <x v="15"/>
    <n v="5729"/>
    <n v="0"/>
    <n v="0"/>
    <x v="1"/>
  </r>
  <r>
    <n v="91"/>
    <n v="256"/>
    <x v="9"/>
    <x v="188"/>
    <x v="2"/>
    <n v="3"/>
    <x v="0"/>
    <d v="2025-10-15T17:43:00"/>
    <x v="14"/>
    <x v="15"/>
    <n v="5287"/>
    <n v="4"/>
    <n v="21148"/>
    <x v="1"/>
  </r>
  <r>
    <n v="764"/>
    <n v="10"/>
    <x v="1"/>
    <x v="77"/>
    <x v="3"/>
    <n v="1"/>
    <x v="0"/>
    <d v="2025-10-15T18:19:00"/>
    <x v="14"/>
    <x v="16"/>
    <n v="4623"/>
    <n v="4"/>
    <n v="18492"/>
    <x v="2"/>
  </r>
  <r>
    <n v="571"/>
    <n v="282"/>
    <x v="2"/>
    <x v="45"/>
    <x v="3"/>
    <n v="1"/>
    <x v="0"/>
    <d v="2025-10-15T19:31:00"/>
    <x v="14"/>
    <x v="22"/>
    <n v="1846"/>
    <n v="2"/>
    <n v="3692"/>
    <x v="2"/>
  </r>
  <r>
    <n v="653"/>
    <n v="156"/>
    <x v="9"/>
    <x v="48"/>
    <x v="2"/>
    <n v="3"/>
    <x v="0"/>
    <d v="2025-10-15T20:40:00"/>
    <x v="14"/>
    <x v="17"/>
    <n v="1500"/>
    <n v="3"/>
    <n v="4500"/>
    <x v="2"/>
  </r>
  <r>
    <n v="688"/>
    <n v="234"/>
    <x v="5"/>
    <x v="298"/>
    <x v="4"/>
    <n v="7"/>
    <x v="0"/>
    <d v="2025-10-15T20:56:00"/>
    <x v="14"/>
    <x v="17"/>
    <n v="5751"/>
    <n v="2"/>
    <n v="11502"/>
    <x v="1"/>
  </r>
  <r>
    <n v="466"/>
    <n v="170"/>
    <x v="0"/>
    <x v="168"/>
    <x v="6"/>
    <n v="5"/>
    <x v="0"/>
    <d v="2025-10-15T20:59:00"/>
    <x v="14"/>
    <x v="17"/>
    <n v="2182"/>
    <n v="1"/>
    <n v="2182"/>
    <x v="2"/>
  </r>
  <r>
    <n v="485"/>
    <n v="187"/>
    <x v="9"/>
    <x v="100"/>
    <x v="5"/>
    <n v="4"/>
    <x v="0"/>
    <d v="2025-10-15T22:50:00"/>
    <x v="14"/>
    <x v="18"/>
    <n v="1389"/>
    <n v="2"/>
    <n v="2778"/>
    <x v="2"/>
  </r>
  <r>
    <n v="3"/>
    <n v="175"/>
    <x v="1"/>
    <x v="16"/>
    <x v="5"/>
    <n v="4"/>
    <x v="0"/>
    <d v="2025-10-15T23:38:00"/>
    <x v="14"/>
    <x v="19"/>
    <n v="834"/>
    <n v="1"/>
    <n v="834"/>
    <x v="3"/>
  </r>
  <r>
    <n v="535"/>
    <n v="192"/>
    <x v="7"/>
    <x v="163"/>
    <x v="3"/>
    <n v="1"/>
    <x v="1"/>
    <d v="2025-10-15T23:42:00"/>
    <x v="14"/>
    <x v="19"/>
    <n v="4033"/>
    <n v="0"/>
    <n v="0"/>
    <x v="2"/>
  </r>
  <r>
    <n v="144"/>
    <n v="210"/>
    <x v="4"/>
    <x v="329"/>
    <x v="1"/>
    <n v="6"/>
    <x v="0"/>
    <d v="2025-10-16T00:49:00"/>
    <x v="15"/>
    <x v="0"/>
    <n v="3564"/>
    <n v="4"/>
    <n v="14256"/>
    <x v="2"/>
  </r>
  <r>
    <n v="193"/>
    <n v="62"/>
    <x v="9"/>
    <x v="312"/>
    <x v="5"/>
    <n v="4"/>
    <x v="0"/>
    <d v="2025-10-16T01:43:00"/>
    <x v="15"/>
    <x v="1"/>
    <n v="199"/>
    <n v="3"/>
    <n v="597"/>
    <x v="3"/>
  </r>
  <r>
    <n v="734"/>
    <n v="174"/>
    <x v="8"/>
    <x v="41"/>
    <x v="0"/>
    <n v="2"/>
    <x v="0"/>
    <d v="2025-10-16T02:02:00"/>
    <x v="15"/>
    <x v="2"/>
    <n v="10347"/>
    <n v="3"/>
    <n v="31041"/>
    <x v="0"/>
  </r>
  <r>
    <n v="649"/>
    <n v="64"/>
    <x v="2"/>
    <x v="333"/>
    <x v="4"/>
    <n v="7"/>
    <x v="0"/>
    <d v="2025-10-16T02:26:00"/>
    <x v="15"/>
    <x v="2"/>
    <n v="2569"/>
    <n v="2"/>
    <n v="5138"/>
    <x v="2"/>
  </r>
  <r>
    <n v="138"/>
    <n v="256"/>
    <x v="9"/>
    <x v="52"/>
    <x v="0"/>
    <n v="2"/>
    <x v="0"/>
    <d v="2025-10-16T02:40:00"/>
    <x v="15"/>
    <x v="2"/>
    <n v="11415"/>
    <n v="3"/>
    <n v="34245"/>
    <x v="0"/>
  </r>
  <r>
    <n v="444"/>
    <n v="300"/>
    <x v="0"/>
    <x v="334"/>
    <x v="4"/>
    <n v="7"/>
    <x v="0"/>
    <d v="2025-10-16T02:41:00"/>
    <x v="15"/>
    <x v="2"/>
    <n v="1606"/>
    <n v="1"/>
    <n v="1606"/>
    <x v="2"/>
  </r>
  <r>
    <n v="178"/>
    <n v="66"/>
    <x v="4"/>
    <x v="335"/>
    <x v="6"/>
    <n v="5"/>
    <x v="0"/>
    <d v="2025-10-16T02:52:00"/>
    <x v="15"/>
    <x v="2"/>
    <n v="2838"/>
    <n v="4"/>
    <n v="11352"/>
    <x v="2"/>
  </r>
  <r>
    <n v="330"/>
    <n v="259"/>
    <x v="9"/>
    <x v="48"/>
    <x v="2"/>
    <n v="3"/>
    <x v="0"/>
    <d v="2025-10-16T03:35:00"/>
    <x v="15"/>
    <x v="3"/>
    <n v="2346"/>
    <n v="2"/>
    <n v="4692"/>
    <x v="2"/>
  </r>
  <r>
    <n v="781"/>
    <n v="128"/>
    <x v="9"/>
    <x v="180"/>
    <x v="3"/>
    <n v="1"/>
    <x v="0"/>
    <d v="2025-10-16T03:35:00"/>
    <x v="15"/>
    <x v="3"/>
    <n v="4165"/>
    <n v="2"/>
    <n v="8330"/>
    <x v="2"/>
  </r>
  <r>
    <n v="464"/>
    <n v="69"/>
    <x v="6"/>
    <x v="336"/>
    <x v="1"/>
    <n v="6"/>
    <x v="0"/>
    <d v="2025-10-16T03:46:00"/>
    <x v="15"/>
    <x v="3"/>
    <n v="6485"/>
    <n v="2"/>
    <n v="12970"/>
    <x v="1"/>
  </r>
  <r>
    <n v="307"/>
    <n v="281"/>
    <x v="9"/>
    <x v="100"/>
    <x v="5"/>
    <n v="4"/>
    <x v="0"/>
    <d v="2025-10-16T03:59:00"/>
    <x v="15"/>
    <x v="3"/>
    <n v="343"/>
    <n v="1"/>
    <n v="343"/>
    <x v="3"/>
  </r>
  <r>
    <n v="206"/>
    <n v="108"/>
    <x v="3"/>
    <x v="238"/>
    <x v="6"/>
    <n v="5"/>
    <x v="0"/>
    <d v="2025-10-16T04:20:00"/>
    <x v="15"/>
    <x v="4"/>
    <n v="2249"/>
    <n v="1"/>
    <n v="2249"/>
    <x v="2"/>
  </r>
  <r>
    <n v="354"/>
    <n v="68"/>
    <x v="7"/>
    <x v="117"/>
    <x v="3"/>
    <n v="1"/>
    <x v="0"/>
    <d v="2025-10-16T05:26:00"/>
    <x v="15"/>
    <x v="20"/>
    <n v="6278"/>
    <n v="1"/>
    <n v="6278"/>
    <x v="1"/>
  </r>
  <r>
    <n v="556"/>
    <n v="166"/>
    <x v="4"/>
    <x v="223"/>
    <x v="4"/>
    <n v="7"/>
    <x v="0"/>
    <d v="2025-10-16T05:38:00"/>
    <x v="15"/>
    <x v="20"/>
    <n v="7451"/>
    <n v="1"/>
    <n v="7451"/>
    <x v="1"/>
  </r>
  <r>
    <n v="492"/>
    <n v="299"/>
    <x v="6"/>
    <x v="135"/>
    <x v="3"/>
    <n v="1"/>
    <x v="1"/>
    <d v="2025-10-16T05:49:00"/>
    <x v="15"/>
    <x v="20"/>
    <n v="6678"/>
    <n v="0"/>
    <n v="0"/>
    <x v="1"/>
  </r>
  <r>
    <n v="293"/>
    <n v="217"/>
    <x v="2"/>
    <x v="226"/>
    <x v="5"/>
    <n v="4"/>
    <x v="0"/>
    <d v="2025-10-16T06:24:00"/>
    <x v="15"/>
    <x v="5"/>
    <n v="1359"/>
    <n v="3"/>
    <n v="4077"/>
    <x v="2"/>
  </r>
  <r>
    <n v="26"/>
    <n v="196"/>
    <x v="3"/>
    <x v="49"/>
    <x v="3"/>
    <n v="1"/>
    <x v="0"/>
    <d v="2025-10-16T06:40:00"/>
    <x v="15"/>
    <x v="5"/>
    <n v="7427"/>
    <n v="2"/>
    <n v="14854"/>
    <x v="1"/>
  </r>
  <r>
    <n v="274"/>
    <n v="83"/>
    <x v="0"/>
    <x v="269"/>
    <x v="0"/>
    <n v="2"/>
    <x v="0"/>
    <d v="2025-10-16T06:47:00"/>
    <x v="15"/>
    <x v="5"/>
    <n v="6208"/>
    <n v="1"/>
    <n v="6208"/>
    <x v="1"/>
  </r>
  <r>
    <n v="64"/>
    <n v="152"/>
    <x v="7"/>
    <x v="337"/>
    <x v="3"/>
    <n v="1"/>
    <x v="0"/>
    <d v="2025-10-16T07:03:00"/>
    <x v="15"/>
    <x v="6"/>
    <n v="3496"/>
    <n v="3"/>
    <n v="10488"/>
    <x v="2"/>
  </r>
  <r>
    <n v="368"/>
    <n v="232"/>
    <x v="3"/>
    <x v="264"/>
    <x v="0"/>
    <n v="2"/>
    <x v="0"/>
    <d v="2025-10-16T07:07:00"/>
    <x v="15"/>
    <x v="6"/>
    <n v="7527"/>
    <n v="1"/>
    <n v="7527"/>
    <x v="1"/>
  </r>
  <r>
    <n v="761"/>
    <n v="288"/>
    <x v="3"/>
    <x v="248"/>
    <x v="0"/>
    <n v="2"/>
    <x v="0"/>
    <d v="2025-10-16T07:12:00"/>
    <x v="15"/>
    <x v="6"/>
    <n v="5794"/>
    <n v="1"/>
    <n v="5794"/>
    <x v="1"/>
  </r>
  <r>
    <n v="710"/>
    <n v="25"/>
    <x v="3"/>
    <x v="234"/>
    <x v="6"/>
    <n v="5"/>
    <x v="0"/>
    <d v="2025-10-16T07:31:00"/>
    <x v="15"/>
    <x v="6"/>
    <n v="2313"/>
    <n v="2"/>
    <n v="4626"/>
    <x v="2"/>
  </r>
  <r>
    <n v="566"/>
    <n v="28"/>
    <x v="2"/>
    <x v="104"/>
    <x v="5"/>
    <n v="4"/>
    <x v="0"/>
    <d v="2025-10-16T07:45:00"/>
    <x v="15"/>
    <x v="6"/>
    <n v="829"/>
    <n v="2"/>
    <n v="1658"/>
    <x v="3"/>
  </r>
  <r>
    <n v="636"/>
    <n v="227"/>
    <x v="7"/>
    <x v="281"/>
    <x v="6"/>
    <n v="5"/>
    <x v="1"/>
    <d v="2025-10-16T08:50:00"/>
    <x v="15"/>
    <x v="7"/>
    <n v="1033"/>
    <n v="0"/>
    <n v="0"/>
    <x v="2"/>
  </r>
  <r>
    <n v="560"/>
    <n v="101"/>
    <x v="6"/>
    <x v="135"/>
    <x v="3"/>
    <n v="1"/>
    <x v="0"/>
    <d v="2025-10-16T09:02:00"/>
    <x v="15"/>
    <x v="8"/>
    <n v="7714"/>
    <n v="3"/>
    <n v="23142"/>
    <x v="1"/>
  </r>
  <r>
    <n v="700"/>
    <n v="39"/>
    <x v="8"/>
    <x v="41"/>
    <x v="0"/>
    <n v="2"/>
    <x v="0"/>
    <d v="2025-10-16T09:25:00"/>
    <x v="15"/>
    <x v="8"/>
    <n v="7120"/>
    <n v="3"/>
    <n v="21360"/>
    <x v="1"/>
  </r>
  <r>
    <n v="387"/>
    <n v="21"/>
    <x v="3"/>
    <x v="177"/>
    <x v="2"/>
    <n v="3"/>
    <x v="0"/>
    <d v="2025-10-16T09:52:00"/>
    <x v="15"/>
    <x v="8"/>
    <n v="2919"/>
    <n v="2"/>
    <n v="5838"/>
    <x v="2"/>
  </r>
  <r>
    <n v="134"/>
    <n v="83"/>
    <x v="3"/>
    <x v="56"/>
    <x v="5"/>
    <n v="4"/>
    <x v="0"/>
    <d v="2025-10-16T09:52:00"/>
    <x v="15"/>
    <x v="8"/>
    <n v="869"/>
    <n v="3"/>
    <n v="2607"/>
    <x v="3"/>
  </r>
  <r>
    <n v="478"/>
    <n v="80"/>
    <x v="0"/>
    <x v="300"/>
    <x v="6"/>
    <n v="5"/>
    <x v="0"/>
    <d v="2025-10-16T10:21:00"/>
    <x v="15"/>
    <x v="9"/>
    <n v="3122"/>
    <n v="1"/>
    <n v="3122"/>
    <x v="2"/>
  </r>
  <r>
    <n v="53"/>
    <n v="155"/>
    <x v="6"/>
    <x v="139"/>
    <x v="2"/>
    <n v="3"/>
    <x v="0"/>
    <d v="2025-10-16T10:26:00"/>
    <x v="15"/>
    <x v="9"/>
    <n v="1705"/>
    <n v="2"/>
    <n v="3410"/>
    <x v="2"/>
  </r>
  <r>
    <n v="75"/>
    <n v="163"/>
    <x v="3"/>
    <x v="56"/>
    <x v="5"/>
    <n v="4"/>
    <x v="1"/>
    <d v="2025-10-16T11:52:00"/>
    <x v="15"/>
    <x v="10"/>
    <n v="1147"/>
    <n v="0"/>
    <n v="0"/>
    <x v="2"/>
  </r>
  <r>
    <n v="70"/>
    <n v="259"/>
    <x v="4"/>
    <x v="335"/>
    <x v="6"/>
    <n v="5"/>
    <x v="1"/>
    <d v="2025-10-16T11:56:00"/>
    <x v="15"/>
    <x v="10"/>
    <n v="2864"/>
    <n v="0"/>
    <n v="0"/>
    <x v="2"/>
  </r>
  <r>
    <n v="414"/>
    <n v="48"/>
    <x v="3"/>
    <x v="338"/>
    <x v="4"/>
    <n v="7"/>
    <x v="0"/>
    <d v="2025-10-16T12:11:00"/>
    <x v="15"/>
    <x v="11"/>
    <n v="2817"/>
    <n v="2"/>
    <n v="5634"/>
    <x v="2"/>
  </r>
  <r>
    <n v="340"/>
    <n v="170"/>
    <x v="5"/>
    <x v="339"/>
    <x v="1"/>
    <n v="6"/>
    <x v="0"/>
    <d v="2025-10-16T12:13:00"/>
    <x v="15"/>
    <x v="11"/>
    <n v="7637"/>
    <n v="4"/>
    <n v="30548"/>
    <x v="1"/>
  </r>
  <r>
    <n v="544"/>
    <n v="244"/>
    <x v="5"/>
    <x v="183"/>
    <x v="3"/>
    <n v="1"/>
    <x v="0"/>
    <d v="2025-10-16T14:46:00"/>
    <x v="15"/>
    <x v="12"/>
    <n v="3905"/>
    <n v="1"/>
    <n v="3905"/>
    <x v="2"/>
  </r>
  <r>
    <n v="685"/>
    <n v="178"/>
    <x v="0"/>
    <x v="101"/>
    <x v="1"/>
    <n v="6"/>
    <x v="0"/>
    <d v="2025-10-16T15:04:00"/>
    <x v="15"/>
    <x v="13"/>
    <n v="11381"/>
    <n v="2"/>
    <n v="22762"/>
    <x v="0"/>
  </r>
  <r>
    <n v="250"/>
    <n v="21"/>
    <x v="9"/>
    <x v="100"/>
    <x v="5"/>
    <n v="4"/>
    <x v="0"/>
    <d v="2025-10-16T15:28:00"/>
    <x v="15"/>
    <x v="13"/>
    <n v="885"/>
    <n v="2"/>
    <n v="1770"/>
    <x v="3"/>
  </r>
  <r>
    <n v="396"/>
    <n v="132"/>
    <x v="2"/>
    <x v="45"/>
    <x v="3"/>
    <n v="1"/>
    <x v="0"/>
    <d v="2025-10-16T15:30:00"/>
    <x v="15"/>
    <x v="13"/>
    <n v="6555"/>
    <n v="3"/>
    <n v="19665"/>
    <x v="1"/>
  </r>
  <r>
    <n v="530"/>
    <n v="192"/>
    <x v="7"/>
    <x v="144"/>
    <x v="2"/>
    <n v="3"/>
    <x v="0"/>
    <d v="2025-10-16T16:07:00"/>
    <x v="15"/>
    <x v="14"/>
    <n v="6000"/>
    <n v="1"/>
    <n v="6000"/>
    <x v="1"/>
  </r>
  <r>
    <n v="45"/>
    <n v="152"/>
    <x v="8"/>
    <x v="134"/>
    <x v="0"/>
    <n v="2"/>
    <x v="1"/>
    <d v="2025-10-16T16:13:00"/>
    <x v="15"/>
    <x v="14"/>
    <n v="12486"/>
    <n v="0"/>
    <n v="0"/>
    <x v="0"/>
  </r>
  <r>
    <n v="99"/>
    <n v="86"/>
    <x v="3"/>
    <x v="304"/>
    <x v="1"/>
    <n v="6"/>
    <x v="0"/>
    <d v="2025-10-16T17:13:00"/>
    <x v="15"/>
    <x v="15"/>
    <n v="5118"/>
    <n v="3"/>
    <n v="15354"/>
    <x v="1"/>
  </r>
  <r>
    <n v="642"/>
    <n v="34"/>
    <x v="3"/>
    <x v="49"/>
    <x v="3"/>
    <n v="1"/>
    <x v="0"/>
    <d v="2025-10-16T17:20:00"/>
    <x v="15"/>
    <x v="15"/>
    <n v="7410"/>
    <n v="4"/>
    <n v="29640"/>
    <x v="1"/>
  </r>
  <r>
    <n v="435"/>
    <n v="54"/>
    <x v="5"/>
    <x v="164"/>
    <x v="3"/>
    <n v="1"/>
    <x v="0"/>
    <d v="2025-10-16T17:25:00"/>
    <x v="15"/>
    <x v="15"/>
    <n v="2869"/>
    <n v="4"/>
    <n v="11476"/>
    <x v="2"/>
  </r>
  <r>
    <n v="74"/>
    <n v="79"/>
    <x v="2"/>
    <x v="340"/>
    <x v="1"/>
    <n v="6"/>
    <x v="0"/>
    <d v="2025-10-16T17:26:00"/>
    <x v="15"/>
    <x v="15"/>
    <n v="5443"/>
    <n v="1"/>
    <n v="5443"/>
    <x v="1"/>
  </r>
  <r>
    <n v="90"/>
    <n v="38"/>
    <x v="6"/>
    <x v="110"/>
    <x v="6"/>
    <n v="5"/>
    <x v="0"/>
    <d v="2025-10-16T17:43:00"/>
    <x v="15"/>
    <x v="15"/>
    <n v="932"/>
    <n v="1"/>
    <n v="932"/>
    <x v="3"/>
  </r>
  <r>
    <n v="73"/>
    <n v="295"/>
    <x v="7"/>
    <x v="163"/>
    <x v="3"/>
    <n v="1"/>
    <x v="0"/>
    <d v="2025-10-16T18:05:00"/>
    <x v="15"/>
    <x v="16"/>
    <n v="1335"/>
    <n v="2"/>
    <n v="2670"/>
    <x v="2"/>
  </r>
  <r>
    <n v="462"/>
    <n v="208"/>
    <x v="2"/>
    <x v="108"/>
    <x v="5"/>
    <n v="4"/>
    <x v="0"/>
    <d v="2025-10-16T18:07:00"/>
    <x v="15"/>
    <x v="16"/>
    <n v="448"/>
    <n v="1"/>
    <n v="448"/>
    <x v="3"/>
  </r>
  <r>
    <n v="690"/>
    <n v="61"/>
    <x v="0"/>
    <x v="154"/>
    <x v="3"/>
    <n v="1"/>
    <x v="0"/>
    <d v="2025-10-16T18:47:00"/>
    <x v="15"/>
    <x v="16"/>
    <n v="4508"/>
    <n v="2"/>
    <n v="9016"/>
    <x v="2"/>
  </r>
  <r>
    <n v="775"/>
    <n v="300"/>
    <x v="9"/>
    <x v="130"/>
    <x v="1"/>
    <n v="6"/>
    <x v="0"/>
    <d v="2025-10-16T19:03:00"/>
    <x v="15"/>
    <x v="22"/>
    <n v="10565"/>
    <n v="3"/>
    <n v="31695"/>
    <x v="0"/>
  </r>
  <r>
    <n v="515"/>
    <n v="55"/>
    <x v="1"/>
    <x v="199"/>
    <x v="5"/>
    <n v="4"/>
    <x v="0"/>
    <d v="2025-10-16T19:22:00"/>
    <x v="15"/>
    <x v="22"/>
    <n v="301"/>
    <n v="2"/>
    <n v="602"/>
    <x v="3"/>
  </r>
  <r>
    <n v="89"/>
    <n v="145"/>
    <x v="7"/>
    <x v="61"/>
    <x v="1"/>
    <n v="6"/>
    <x v="0"/>
    <d v="2025-10-16T19:38:00"/>
    <x v="15"/>
    <x v="22"/>
    <n v="6899"/>
    <n v="4"/>
    <n v="27596"/>
    <x v="1"/>
  </r>
  <r>
    <n v="486"/>
    <n v="81"/>
    <x v="2"/>
    <x v="341"/>
    <x v="5"/>
    <n v="4"/>
    <x v="0"/>
    <d v="2025-10-16T19:51:00"/>
    <x v="15"/>
    <x v="22"/>
    <n v="941"/>
    <n v="3"/>
    <n v="2823"/>
    <x v="3"/>
  </r>
  <r>
    <n v="401"/>
    <n v="280"/>
    <x v="4"/>
    <x v="159"/>
    <x v="4"/>
    <n v="7"/>
    <x v="0"/>
    <d v="2025-10-16T20:13:00"/>
    <x v="15"/>
    <x v="17"/>
    <n v="5782"/>
    <n v="3"/>
    <n v="17346"/>
    <x v="1"/>
  </r>
  <r>
    <n v="694"/>
    <n v="192"/>
    <x v="4"/>
    <x v="277"/>
    <x v="5"/>
    <n v="4"/>
    <x v="0"/>
    <d v="2025-10-16T20:17:00"/>
    <x v="15"/>
    <x v="17"/>
    <n v="778"/>
    <n v="4"/>
    <n v="3112"/>
    <x v="3"/>
  </r>
  <r>
    <n v="127"/>
    <n v="22"/>
    <x v="3"/>
    <x v="91"/>
    <x v="3"/>
    <n v="1"/>
    <x v="0"/>
    <d v="2025-10-16T20:23:00"/>
    <x v="15"/>
    <x v="17"/>
    <n v="1174"/>
    <n v="3"/>
    <n v="3522"/>
    <x v="2"/>
  </r>
  <r>
    <n v="551"/>
    <n v="281"/>
    <x v="9"/>
    <x v="342"/>
    <x v="1"/>
    <n v="6"/>
    <x v="0"/>
    <d v="2025-10-16T21:15:00"/>
    <x v="15"/>
    <x v="23"/>
    <n v="2175"/>
    <n v="1"/>
    <n v="2175"/>
    <x v="2"/>
  </r>
  <r>
    <n v="760"/>
    <n v="177"/>
    <x v="5"/>
    <x v="222"/>
    <x v="0"/>
    <n v="2"/>
    <x v="0"/>
    <d v="2025-10-16T22:33:00"/>
    <x v="15"/>
    <x v="18"/>
    <n v="5350"/>
    <n v="2"/>
    <n v="10700"/>
    <x v="1"/>
  </r>
  <r>
    <n v="165"/>
    <n v="95"/>
    <x v="3"/>
    <x v="91"/>
    <x v="3"/>
    <n v="1"/>
    <x v="0"/>
    <d v="2025-10-16T22:45:00"/>
    <x v="15"/>
    <x v="18"/>
    <n v="2745"/>
    <n v="1"/>
    <n v="2745"/>
    <x v="2"/>
  </r>
  <r>
    <n v="118"/>
    <n v="93"/>
    <x v="7"/>
    <x v="337"/>
    <x v="3"/>
    <n v="1"/>
    <x v="0"/>
    <d v="2025-10-16T22:53:00"/>
    <x v="15"/>
    <x v="18"/>
    <n v="2923"/>
    <n v="3"/>
    <n v="8769"/>
    <x v="2"/>
  </r>
  <r>
    <n v="473"/>
    <n v="282"/>
    <x v="0"/>
    <x v="292"/>
    <x v="6"/>
    <n v="5"/>
    <x v="0"/>
    <d v="2025-10-16T23:21:00"/>
    <x v="15"/>
    <x v="19"/>
    <n v="3638"/>
    <n v="1"/>
    <n v="3638"/>
    <x v="2"/>
  </r>
  <r>
    <n v="101"/>
    <n v="102"/>
    <x v="1"/>
    <x v="116"/>
    <x v="3"/>
    <n v="1"/>
    <x v="0"/>
    <d v="2025-10-16T23:35:00"/>
    <x v="15"/>
    <x v="19"/>
    <n v="1547"/>
    <n v="2"/>
    <n v="3094"/>
    <x v="2"/>
  </r>
  <r>
    <n v="132"/>
    <n v="121"/>
    <x v="6"/>
    <x v="262"/>
    <x v="5"/>
    <n v="4"/>
    <x v="0"/>
    <d v="2025-10-16T23:35:00"/>
    <x v="15"/>
    <x v="19"/>
    <n v="1288"/>
    <n v="1"/>
    <n v="1288"/>
    <x v="2"/>
  </r>
  <r>
    <n v="199"/>
    <n v="163"/>
    <x v="9"/>
    <x v="51"/>
    <x v="3"/>
    <n v="1"/>
    <x v="0"/>
    <d v="2025-10-16T23:40:00"/>
    <x v="15"/>
    <x v="19"/>
    <n v="1764"/>
    <n v="2"/>
    <n v="3528"/>
    <x v="2"/>
  </r>
  <r>
    <n v="676"/>
    <n v="157"/>
    <x v="6"/>
    <x v="135"/>
    <x v="3"/>
    <n v="1"/>
    <x v="0"/>
    <d v="2025-10-17T00:13:00"/>
    <x v="16"/>
    <x v="0"/>
    <n v="5010"/>
    <n v="2"/>
    <n v="10020"/>
    <x v="1"/>
  </r>
  <r>
    <n v="324"/>
    <n v="220"/>
    <x v="9"/>
    <x v="274"/>
    <x v="2"/>
    <n v="3"/>
    <x v="1"/>
    <d v="2025-10-17T00:42:00"/>
    <x v="16"/>
    <x v="0"/>
    <n v="2837"/>
    <n v="0"/>
    <n v="0"/>
    <x v="2"/>
  </r>
  <r>
    <n v="227"/>
    <n v="224"/>
    <x v="6"/>
    <x v="310"/>
    <x v="0"/>
    <n v="2"/>
    <x v="0"/>
    <d v="2025-10-17T00:42:00"/>
    <x v="16"/>
    <x v="0"/>
    <n v="6564"/>
    <n v="1"/>
    <n v="6564"/>
    <x v="1"/>
  </r>
  <r>
    <n v="492"/>
    <n v="237"/>
    <x v="4"/>
    <x v="277"/>
    <x v="5"/>
    <n v="4"/>
    <x v="0"/>
    <d v="2025-10-17T00:49:00"/>
    <x v="16"/>
    <x v="0"/>
    <n v="600"/>
    <n v="5"/>
    <n v="3000"/>
    <x v="3"/>
  </r>
  <r>
    <n v="565"/>
    <n v="56"/>
    <x v="7"/>
    <x v="240"/>
    <x v="2"/>
    <n v="3"/>
    <x v="1"/>
    <d v="2025-10-17T00:56:00"/>
    <x v="16"/>
    <x v="0"/>
    <n v="5131"/>
    <n v="0"/>
    <n v="0"/>
    <x v="1"/>
  </r>
  <r>
    <n v="288"/>
    <n v="72"/>
    <x v="9"/>
    <x v="330"/>
    <x v="4"/>
    <n v="7"/>
    <x v="0"/>
    <d v="2025-10-17T01:25:00"/>
    <x v="16"/>
    <x v="1"/>
    <n v="3069"/>
    <n v="3"/>
    <n v="9207"/>
    <x v="2"/>
  </r>
  <r>
    <n v="745"/>
    <n v="39"/>
    <x v="7"/>
    <x v="144"/>
    <x v="2"/>
    <n v="3"/>
    <x v="0"/>
    <d v="2025-10-17T01:26:00"/>
    <x v="16"/>
    <x v="1"/>
    <n v="5812"/>
    <n v="1"/>
    <n v="5812"/>
    <x v="1"/>
  </r>
  <r>
    <n v="593"/>
    <n v="208"/>
    <x v="0"/>
    <x v="160"/>
    <x v="3"/>
    <n v="1"/>
    <x v="0"/>
    <d v="2025-10-17T01:29:00"/>
    <x v="16"/>
    <x v="1"/>
    <n v="1211"/>
    <n v="2"/>
    <n v="2422"/>
    <x v="2"/>
  </r>
  <r>
    <n v="565"/>
    <n v="134"/>
    <x v="5"/>
    <x v="42"/>
    <x v="4"/>
    <n v="7"/>
    <x v="0"/>
    <d v="2025-10-17T02:12:00"/>
    <x v="16"/>
    <x v="2"/>
    <n v="7903"/>
    <n v="2"/>
    <n v="15806"/>
    <x v="1"/>
  </r>
  <r>
    <n v="794"/>
    <n v="77"/>
    <x v="8"/>
    <x v="343"/>
    <x v="3"/>
    <n v="1"/>
    <x v="0"/>
    <d v="2025-10-17T02:17:00"/>
    <x v="16"/>
    <x v="2"/>
    <n v="5528"/>
    <n v="3"/>
    <n v="16584"/>
    <x v="1"/>
  </r>
  <r>
    <n v="751"/>
    <n v="149"/>
    <x v="5"/>
    <x v="186"/>
    <x v="5"/>
    <n v="4"/>
    <x v="0"/>
    <d v="2025-10-17T02:45:00"/>
    <x v="16"/>
    <x v="2"/>
    <n v="799"/>
    <n v="1"/>
    <n v="799"/>
    <x v="3"/>
  </r>
  <r>
    <n v="93"/>
    <n v="204"/>
    <x v="3"/>
    <x v="3"/>
    <x v="3"/>
    <n v="1"/>
    <x v="0"/>
    <d v="2025-10-17T02:52:00"/>
    <x v="16"/>
    <x v="2"/>
    <n v="2133"/>
    <n v="2"/>
    <n v="4266"/>
    <x v="2"/>
  </r>
  <r>
    <n v="245"/>
    <n v="85"/>
    <x v="0"/>
    <x v="344"/>
    <x v="4"/>
    <n v="7"/>
    <x v="0"/>
    <d v="2025-10-17T02:55:00"/>
    <x v="16"/>
    <x v="2"/>
    <n v="4537"/>
    <n v="1"/>
    <n v="4537"/>
    <x v="2"/>
  </r>
  <r>
    <n v="164"/>
    <n v="92"/>
    <x v="4"/>
    <x v="66"/>
    <x v="3"/>
    <n v="1"/>
    <x v="0"/>
    <d v="2025-10-17T03:02:00"/>
    <x v="16"/>
    <x v="3"/>
    <n v="7266"/>
    <n v="1"/>
    <n v="7266"/>
    <x v="1"/>
  </r>
  <r>
    <n v="750"/>
    <n v="248"/>
    <x v="4"/>
    <x v="252"/>
    <x v="1"/>
    <n v="6"/>
    <x v="1"/>
    <d v="2025-10-17T03:36:00"/>
    <x v="16"/>
    <x v="3"/>
    <n v="11368"/>
    <n v="0"/>
    <n v="0"/>
    <x v="0"/>
  </r>
  <r>
    <n v="238"/>
    <n v="33"/>
    <x v="5"/>
    <x v="147"/>
    <x v="3"/>
    <n v="1"/>
    <x v="0"/>
    <d v="2025-10-17T04:27:00"/>
    <x v="16"/>
    <x v="4"/>
    <n v="3759"/>
    <n v="1"/>
    <n v="3759"/>
    <x v="2"/>
  </r>
  <r>
    <n v="685"/>
    <n v="106"/>
    <x v="5"/>
    <x v="29"/>
    <x v="5"/>
    <n v="4"/>
    <x v="0"/>
    <d v="2025-10-17T05:14:00"/>
    <x v="16"/>
    <x v="20"/>
    <n v="580"/>
    <n v="1"/>
    <n v="580"/>
    <x v="3"/>
  </r>
  <r>
    <n v="466"/>
    <n v="24"/>
    <x v="2"/>
    <x v="148"/>
    <x v="3"/>
    <n v="1"/>
    <x v="0"/>
    <d v="2025-10-17T05:28:00"/>
    <x v="16"/>
    <x v="20"/>
    <n v="5226"/>
    <n v="2"/>
    <n v="10452"/>
    <x v="1"/>
  </r>
  <r>
    <n v="721"/>
    <n v="267"/>
    <x v="6"/>
    <x v="40"/>
    <x v="5"/>
    <n v="4"/>
    <x v="0"/>
    <d v="2025-10-17T05:57:00"/>
    <x v="16"/>
    <x v="20"/>
    <n v="263"/>
    <n v="2"/>
    <n v="526"/>
    <x v="3"/>
  </r>
  <r>
    <n v="558"/>
    <n v="292"/>
    <x v="7"/>
    <x v="26"/>
    <x v="6"/>
    <n v="5"/>
    <x v="0"/>
    <d v="2025-10-17T06:03:00"/>
    <x v="16"/>
    <x v="5"/>
    <n v="3335"/>
    <n v="1"/>
    <n v="3335"/>
    <x v="2"/>
  </r>
  <r>
    <n v="602"/>
    <n v="40"/>
    <x v="2"/>
    <x v="104"/>
    <x v="5"/>
    <n v="4"/>
    <x v="0"/>
    <d v="2025-10-17T06:12:00"/>
    <x v="16"/>
    <x v="5"/>
    <n v="398"/>
    <n v="2"/>
    <n v="796"/>
    <x v="3"/>
  </r>
  <r>
    <n v="529"/>
    <n v="208"/>
    <x v="2"/>
    <x v="32"/>
    <x v="5"/>
    <n v="4"/>
    <x v="0"/>
    <d v="2025-10-17T07:12:00"/>
    <x v="16"/>
    <x v="6"/>
    <n v="1036"/>
    <n v="4"/>
    <n v="4144"/>
    <x v="2"/>
  </r>
  <r>
    <n v="619"/>
    <n v="4"/>
    <x v="8"/>
    <x v="134"/>
    <x v="0"/>
    <n v="2"/>
    <x v="0"/>
    <d v="2025-10-17T07:13:00"/>
    <x v="16"/>
    <x v="6"/>
    <n v="9757"/>
    <n v="2"/>
    <n v="19514"/>
    <x v="1"/>
  </r>
  <r>
    <n v="236"/>
    <n v="40"/>
    <x v="8"/>
    <x v="114"/>
    <x v="2"/>
    <n v="3"/>
    <x v="0"/>
    <d v="2025-10-17T07:15:00"/>
    <x v="16"/>
    <x v="6"/>
    <n v="5482"/>
    <n v="1"/>
    <n v="5482"/>
    <x v="1"/>
  </r>
  <r>
    <n v="154"/>
    <n v="96"/>
    <x v="7"/>
    <x v="337"/>
    <x v="3"/>
    <n v="1"/>
    <x v="0"/>
    <d v="2025-10-17T07:21:00"/>
    <x v="16"/>
    <x v="6"/>
    <n v="5344"/>
    <n v="1"/>
    <n v="5344"/>
    <x v="1"/>
  </r>
  <r>
    <n v="677"/>
    <n v="118"/>
    <x v="9"/>
    <x v="303"/>
    <x v="2"/>
    <n v="3"/>
    <x v="0"/>
    <d v="2025-10-17T07:22:00"/>
    <x v="16"/>
    <x v="6"/>
    <n v="2774"/>
    <n v="3"/>
    <n v="8322"/>
    <x v="2"/>
  </r>
  <r>
    <n v="692"/>
    <n v="246"/>
    <x v="1"/>
    <x v="173"/>
    <x v="5"/>
    <n v="4"/>
    <x v="0"/>
    <d v="2025-10-17T07:27:00"/>
    <x v="16"/>
    <x v="6"/>
    <n v="868"/>
    <n v="2"/>
    <n v="1736"/>
    <x v="3"/>
  </r>
  <r>
    <n v="663"/>
    <n v="211"/>
    <x v="9"/>
    <x v="106"/>
    <x v="3"/>
    <n v="1"/>
    <x v="1"/>
    <d v="2025-10-17T07:50:00"/>
    <x v="16"/>
    <x v="6"/>
    <n v="4831"/>
    <n v="0"/>
    <n v="0"/>
    <x v="2"/>
  </r>
  <r>
    <n v="588"/>
    <n v="83"/>
    <x v="0"/>
    <x v="5"/>
    <x v="4"/>
    <n v="7"/>
    <x v="0"/>
    <d v="2025-10-17T08:05:00"/>
    <x v="16"/>
    <x v="7"/>
    <n v="1607"/>
    <n v="2"/>
    <n v="3214"/>
    <x v="2"/>
  </r>
  <r>
    <n v="587"/>
    <n v="76"/>
    <x v="3"/>
    <x v="290"/>
    <x v="5"/>
    <n v="4"/>
    <x v="0"/>
    <d v="2025-10-17T09:04:00"/>
    <x v="16"/>
    <x v="8"/>
    <n v="447"/>
    <n v="1"/>
    <n v="447"/>
    <x v="3"/>
  </r>
  <r>
    <n v="530"/>
    <n v="208"/>
    <x v="7"/>
    <x v="289"/>
    <x v="1"/>
    <n v="6"/>
    <x v="0"/>
    <d v="2025-10-17T09:49:00"/>
    <x v="16"/>
    <x v="8"/>
    <n v="2801"/>
    <n v="3"/>
    <n v="8403"/>
    <x v="2"/>
  </r>
  <r>
    <n v="746"/>
    <n v="146"/>
    <x v="0"/>
    <x v="344"/>
    <x v="4"/>
    <n v="7"/>
    <x v="1"/>
    <d v="2025-10-17T10:00:00"/>
    <x v="16"/>
    <x v="9"/>
    <n v="6497"/>
    <n v="0"/>
    <n v="0"/>
    <x v="1"/>
  </r>
  <r>
    <n v="483"/>
    <n v="247"/>
    <x v="8"/>
    <x v="132"/>
    <x v="5"/>
    <n v="4"/>
    <x v="0"/>
    <d v="2025-10-17T10:08:00"/>
    <x v="16"/>
    <x v="9"/>
    <n v="135"/>
    <n v="2"/>
    <n v="270"/>
    <x v="3"/>
  </r>
  <r>
    <n v="147"/>
    <n v="299"/>
    <x v="2"/>
    <x v="64"/>
    <x v="0"/>
    <n v="2"/>
    <x v="0"/>
    <d v="2025-10-17T10:21:00"/>
    <x v="16"/>
    <x v="9"/>
    <n v="6706"/>
    <n v="2"/>
    <n v="13412"/>
    <x v="1"/>
  </r>
  <r>
    <n v="271"/>
    <n v="86"/>
    <x v="9"/>
    <x v="55"/>
    <x v="6"/>
    <n v="5"/>
    <x v="0"/>
    <d v="2025-10-17T10:44:00"/>
    <x v="16"/>
    <x v="9"/>
    <n v="3836"/>
    <n v="3"/>
    <n v="11508"/>
    <x v="2"/>
  </r>
  <r>
    <n v="611"/>
    <n v="36"/>
    <x v="6"/>
    <x v="317"/>
    <x v="3"/>
    <n v="1"/>
    <x v="0"/>
    <d v="2025-10-17T10:53:00"/>
    <x v="16"/>
    <x v="9"/>
    <n v="7083"/>
    <n v="3"/>
    <n v="21249"/>
    <x v="1"/>
  </r>
  <r>
    <n v="112"/>
    <n v="9"/>
    <x v="2"/>
    <x v="90"/>
    <x v="0"/>
    <n v="2"/>
    <x v="1"/>
    <d v="2025-10-17T11:19:00"/>
    <x v="16"/>
    <x v="10"/>
    <n v="7758"/>
    <n v="0"/>
    <n v="0"/>
    <x v="1"/>
  </r>
  <r>
    <n v="430"/>
    <n v="77"/>
    <x v="3"/>
    <x v="175"/>
    <x v="4"/>
    <n v="7"/>
    <x v="0"/>
    <d v="2025-10-17T11:33:00"/>
    <x v="16"/>
    <x v="10"/>
    <n v="3224"/>
    <n v="3"/>
    <n v="9672"/>
    <x v="2"/>
  </r>
  <r>
    <n v="630"/>
    <n v="20"/>
    <x v="4"/>
    <x v="66"/>
    <x v="3"/>
    <n v="1"/>
    <x v="0"/>
    <d v="2025-10-17T11:54:00"/>
    <x v="16"/>
    <x v="10"/>
    <n v="5809"/>
    <n v="2"/>
    <n v="11618"/>
    <x v="1"/>
  </r>
  <r>
    <n v="494"/>
    <n v="67"/>
    <x v="1"/>
    <x v="253"/>
    <x v="2"/>
    <n v="3"/>
    <x v="0"/>
    <d v="2025-10-17T12:09:00"/>
    <x v="16"/>
    <x v="11"/>
    <n v="5910"/>
    <n v="4"/>
    <n v="23640"/>
    <x v="1"/>
  </r>
  <r>
    <n v="535"/>
    <n v="216"/>
    <x v="0"/>
    <x v="322"/>
    <x v="5"/>
    <n v="4"/>
    <x v="0"/>
    <d v="2025-10-17T12:18:00"/>
    <x v="16"/>
    <x v="11"/>
    <n v="1361"/>
    <n v="2"/>
    <n v="2722"/>
    <x v="2"/>
  </r>
  <r>
    <n v="235"/>
    <n v="247"/>
    <x v="3"/>
    <x v="232"/>
    <x v="3"/>
    <n v="1"/>
    <x v="1"/>
    <d v="2025-10-17T13:37:00"/>
    <x v="16"/>
    <x v="21"/>
    <n v="3856"/>
    <n v="0"/>
    <n v="0"/>
    <x v="2"/>
  </r>
  <r>
    <n v="101"/>
    <n v="218"/>
    <x v="9"/>
    <x v="48"/>
    <x v="2"/>
    <n v="3"/>
    <x v="1"/>
    <d v="2025-10-17T14:15:00"/>
    <x v="16"/>
    <x v="12"/>
    <n v="4602"/>
    <n v="0"/>
    <n v="0"/>
    <x v="2"/>
  </r>
  <r>
    <n v="86"/>
    <n v="146"/>
    <x v="8"/>
    <x v="47"/>
    <x v="5"/>
    <n v="4"/>
    <x v="0"/>
    <d v="2025-10-17T14:19:00"/>
    <x v="16"/>
    <x v="12"/>
    <n v="254"/>
    <n v="3"/>
    <n v="762"/>
    <x v="3"/>
  </r>
  <r>
    <n v="194"/>
    <n v="3"/>
    <x v="2"/>
    <x v="104"/>
    <x v="5"/>
    <n v="4"/>
    <x v="0"/>
    <d v="2025-10-17T15:13:00"/>
    <x v="16"/>
    <x v="13"/>
    <n v="1353"/>
    <n v="2"/>
    <n v="2706"/>
    <x v="2"/>
  </r>
  <r>
    <n v="536"/>
    <n v="61"/>
    <x v="0"/>
    <x v="160"/>
    <x v="3"/>
    <n v="1"/>
    <x v="1"/>
    <d v="2025-10-17T15:31:00"/>
    <x v="16"/>
    <x v="13"/>
    <n v="6989"/>
    <n v="0"/>
    <n v="0"/>
    <x v="1"/>
  </r>
  <r>
    <n v="211"/>
    <n v="162"/>
    <x v="2"/>
    <x v="69"/>
    <x v="3"/>
    <n v="1"/>
    <x v="0"/>
    <d v="2025-10-17T16:30:00"/>
    <x v="16"/>
    <x v="14"/>
    <n v="5060"/>
    <n v="2"/>
    <n v="10120"/>
    <x v="1"/>
  </r>
  <r>
    <n v="437"/>
    <n v="300"/>
    <x v="1"/>
    <x v="16"/>
    <x v="5"/>
    <n v="4"/>
    <x v="0"/>
    <d v="2025-10-17T17:13:00"/>
    <x v="16"/>
    <x v="15"/>
    <n v="872"/>
    <n v="4"/>
    <n v="3488"/>
    <x v="3"/>
  </r>
  <r>
    <n v="579"/>
    <n v="188"/>
    <x v="3"/>
    <x v="230"/>
    <x v="1"/>
    <n v="6"/>
    <x v="0"/>
    <d v="2025-10-17T17:27:00"/>
    <x v="16"/>
    <x v="15"/>
    <n v="6088"/>
    <n v="3"/>
    <n v="18264"/>
    <x v="1"/>
  </r>
  <r>
    <n v="424"/>
    <n v="283"/>
    <x v="2"/>
    <x v="256"/>
    <x v="4"/>
    <n v="7"/>
    <x v="1"/>
    <d v="2025-10-17T17:28:00"/>
    <x v="16"/>
    <x v="15"/>
    <n v="6453"/>
    <n v="0"/>
    <n v="0"/>
    <x v="1"/>
  </r>
  <r>
    <n v="569"/>
    <n v="248"/>
    <x v="6"/>
    <x v="139"/>
    <x v="2"/>
    <n v="3"/>
    <x v="0"/>
    <d v="2025-10-17T17:36:00"/>
    <x v="16"/>
    <x v="15"/>
    <n v="5343"/>
    <n v="2"/>
    <n v="10686"/>
    <x v="1"/>
  </r>
  <r>
    <n v="793"/>
    <n v="204"/>
    <x v="9"/>
    <x v="75"/>
    <x v="0"/>
    <n v="2"/>
    <x v="0"/>
    <d v="2025-10-17T17:57:00"/>
    <x v="16"/>
    <x v="15"/>
    <n v="8114"/>
    <n v="2"/>
    <n v="16228"/>
    <x v="1"/>
  </r>
  <r>
    <n v="458"/>
    <n v="83"/>
    <x v="1"/>
    <x v="16"/>
    <x v="5"/>
    <n v="4"/>
    <x v="0"/>
    <d v="2025-10-17T18:24:00"/>
    <x v="16"/>
    <x v="16"/>
    <n v="469"/>
    <n v="2"/>
    <n v="938"/>
    <x v="3"/>
  </r>
  <r>
    <n v="347"/>
    <n v="282"/>
    <x v="3"/>
    <x v="4"/>
    <x v="0"/>
    <n v="2"/>
    <x v="0"/>
    <d v="2025-10-17T18:31:00"/>
    <x v="16"/>
    <x v="16"/>
    <n v="5551"/>
    <n v="2"/>
    <n v="11102"/>
    <x v="1"/>
  </r>
  <r>
    <n v="94"/>
    <n v="75"/>
    <x v="2"/>
    <x v="2"/>
    <x v="2"/>
    <n v="3"/>
    <x v="0"/>
    <d v="2025-10-17T18:35:00"/>
    <x v="16"/>
    <x v="16"/>
    <n v="1808"/>
    <n v="4"/>
    <n v="7232"/>
    <x v="2"/>
  </r>
  <r>
    <n v="66"/>
    <n v="135"/>
    <x v="2"/>
    <x v="165"/>
    <x v="1"/>
    <n v="6"/>
    <x v="0"/>
    <d v="2025-10-17T19:23:00"/>
    <x v="16"/>
    <x v="22"/>
    <n v="9834"/>
    <n v="3"/>
    <n v="29502"/>
    <x v="1"/>
  </r>
  <r>
    <n v="39"/>
    <n v="197"/>
    <x v="1"/>
    <x v="23"/>
    <x v="5"/>
    <n v="4"/>
    <x v="0"/>
    <d v="2025-10-17T21:13:00"/>
    <x v="16"/>
    <x v="23"/>
    <n v="493"/>
    <n v="2"/>
    <n v="986"/>
    <x v="3"/>
  </r>
  <r>
    <n v="729"/>
    <n v="30"/>
    <x v="3"/>
    <x v="56"/>
    <x v="5"/>
    <n v="4"/>
    <x v="0"/>
    <d v="2025-10-17T21:33:00"/>
    <x v="16"/>
    <x v="23"/>
    <n v="984"/>
    <n v="3"/>
    <n v="2952"/>
    <x v="3"/>
  </r>
  <r>
    <n v="11"/>
    <n v="104"/>
    <x v="8"/>
    <x v="17"/>
    <x v="2"/>
    <n v="3"/>
    <x v="0"/>
    <d v="2025-10-17T21:38:00"/>
    <x v="16"/>
    <x v="23"/>
    <n v="3062"/>
    <n v="2"/>
    <n v="6124"/>
    <x v="2"/>
  </r>
  <r>
    <n v="35"/>
    <n v="262"/>
    <x v="7"/>
    <x v="124"/>
    <x v="5"/>
    <n v="4"/>
    <x v="1"/>
    <d v="2025-10-17T21:47:00"/>
    <x v="16"/>
    <x v="23"/>
    <n v="1460"/>
    <n v="0"/>
    <n v="0"/>
    <x v="2"/>
  </r>
  <r>
    <n v="174"/>
    <n v="19"/>
    <x v="5"/>
    <x v="258"/>
    <x v="2"/>
    <n v="3"/>
    <x v="1"/>
    <d v="2025-10-17T21:47:00"/>
    <x v="16"/>
    <x v="23"/>
    <n v="5882"/>
    <n v="0"/>
    <n v="0"/>
    <x v="1"/>
  </r>
  <r>
    <n v="89"/>
    <n v="142"/>
    <x v="0"/>
    <x v="5"/>
    <x v="4"/>
    <n v="7"/>
    <x v="0"/>
    <d v="2025-10-17T22:52:00"/>
    <x v="16"/>
    <x v="18"/>
    <n v="4368"/>
    <n v="1"/>
    <n v="4368"/>
    <x v="2"/>
  </r>
  <r>
    <n v="405"/>
    <n v="208"/>
    <x v="6"/>
    <x v="345"/>
    <x v="4"/>
    <n v="7"/>
    <x v="1"/>
    <d v="2025-10-17T22:56:00"/>
    <x v="16"/>
    <x v="18"/>
    <n v="7891"/>
    <n v="0"/>
    <n v="0"/>
    <x v="1"/>
  </r>
  <r>
    <n v="755"/>
    <n v="36"/>
    <x v="3"/>
    <x v="49"/>
    <x v="3"/>
    <n v="1"/>
    <x v="0"/>
    <d v="2025-10-17T23:18:00"/>
    <x v="16"/>
    <x v="19"/>
    <n v="5703"/>
    <n v="1"/>
    <n v="5703"/>
    <x v="1"/>
  </r>
  <r>
    <n v="573"/>
    <n v="299"/>
    <x v="7"/>
    <x v="133"/>
    <x v="4"/>
    <n v="7"/>
    <x v="0"/>
    <d v="2025-10-17T23:27:00"/>
    <x v="16"/>
    <x v="19"/>
    <n v="2319"/>
    <n v="3"/>
    <n v="6957"/>
    <x v="2"/>
  </r>
  <r>
    <n v="621"/>
    <n v="100"/>
    <x v="7"/>
    <x v="124"/>
    <x v="5"/>
    <n v="4"/>
    <x v="0"/>
    <d v="2025-10-17T23:48:00"/>
    <x v="16"/>
    <x v="19"/>
    <n v="739"/>
    <n v="2"/>
    <n v="1478"/>
    <x v="3"/>
  </r>
  <r>
    <n v="268"/>
    <n v="90"/>
    <x v="9"/>
    <x v="151"/>
    <x v="5"/>
    <n v="4"/>
    <x v="0"/>
    <d v="2025-10-18T00:16:00"/>
    <x v="17"/>
    <x v="0"/>
    <n v="987"/>
    <n v="1"/>
    <n v="987"/>
    <x v="3"/>
  </r>
  <r>
    <n v="75"/>
    <n v="258"/>
    <x v="1"/>
    <x v="8"/>
    <x v="3"/>
    <n v="1"/>
    <x v="0"/>
    <d v="2025-10-18T01:03:00"/>
    <x v="17"/>
    <x v="1"/>
    <n v="4394"/>
    <n v="1"/>
    <n v="4394"/>
    <x v="2"/>
  </r>
  <r>
    <n v="264"/>
    <n v="276"/>
    <x v="1"/>
    <x v="346"/>
    <x v="1"/>
    <n v="6"/>
    <x v="0"/>
    <d v="2025-10-18T01:09:00"/>
    <x v="17"/>
    <x v="1"/>
    <n v="6795"/>
    <n v="2"/>
    <n v="13590"/>
    <x v="1"/>
  </r>
  <r>
    <n v="577"/>
    <n v="248"/>
    <x v="8"/>
    <x v="140"/>
    <x v="5"/>
    <n v="4"/>
    <x v="0"/>
    <d v="2025-10-18T01:09:00"/>
    <x v="17"/>
    <x v="1"/>
    <n v="1155"/>
    <n v="2"/>
    <n v="2310"/>
    <x v="2"/>
  </r>
  <r>
    <n v="698"/>
    <n v="236"/>
    <x v="6"/>
    <x v="28"/>
    <x v="0"/>
    <n v="2"/>
    <x v="0"/>
    <d v="2025-10-18T01:13:00"/>
    <x v="17"/>
    <x v="1"/>
    <n v="8172"/>
    <n v="2"/>
    <n v="16344"/>
    <x v="1"/>
  </r>
  <r>
    <n v="265"/>
    <n v="35"/>
    <x v="8"/>
    <x v="30"/>
    <x v="3"/>
    <n v="1"/>
    <x v="0"/>
    <d v="2025-10-18T02:14:00"/>
    <x v="17"/>
    <x v="2"/>
    <n v="5621"/>
    <n v="1"/>
    <n v="5621"/>
    <x v="1"/>
  </r>
  <r>
    <n v="719"/>
    <n v="118"/>
    <x v="5"/>
    <x v="164"/>
    <x v="3"/>
    <n v="1"/>
    <x v="0"/>
    <d v="2025-10-18T03:09:00"/>
    <x v="17"/>
    <x v="3"/>
    <n v="4258"/>
    <n v="1"/>
    <n v="4258"/>
    <x v="2"/>
  </r>
  <r>
    <n v="549"/>
    <n v="5"/>
    <x v="6"/>
    <x v="96"/>
    <x v="5"/>
    <n v="4"/>
    <x v="0"/>
    <d v="2025-10-18T03:33:00"/>
    <x v="17"/>
    <x v="3"/>
    <n v="707"/>
    <n v="2"/>
    <n v="1414"/>
    <x v="3"/>
  </r>
  <r>
    <n v="96"/>
    <n v="205"/>
    <x v="5"/>
    <x v="259"/>
    <x v="3"/>
    <n v="1"/>
    <x v="0"/>
    <d v="2025-10-18T03:58:00"/>
    <x v="17"/>
    <x v="3"/>
    <n v="6675"/>
    <n v="3"/>
    <n v="20025"/>
    <x v="1"/>
  </r>
  <r>
    <n v="568"/>
    <n v="92"/>
    <x v="6"/>
    <x v="278"/>
    <x v="3"/>
    <n v="1"/>
    <x v="0"/>
    <d v="2025-10-18T04:27:00"/>
    <x v="17"/>
    <x v="4"/>
    <n v="6701"/>
    <n v="3"/>
    <n v="20103"/>
    <x v="1"/>
  </r>
  <r>
    <n v="588"/>
    <n v="138"/>
    <x v="6"/>
    <x v="146"/>
    <x v="3"/>
    <n v="1"/>
    <x v="0"/>
    <d v="2025-10-18T04:32:00"/>
    <x v="17"/>
    <x v="4"/>
    <n v="4863"/>
    <n v="3"/>
    <n v="14589"/>
    <x v="2"/>
  </r>
  <r>
    <n v="755"/>
    <n v="103"/>
    <x v="5"/>
    <x v="297"/>
    <x v="2"/>
    <n v="3"/>
    <x v="0"/>
    <d v="2025-10-18T05:37:00"/>
    <x v="17"/>
    <x v="20"/>
    <n v="3179"/>
    <n v="1"/>
    <n v="3179"/>
    <x v="2"/>
  </r>
  <r>
    <n v="212"/>
    <n v="118"/>
    <x v="5"/>
    <x v="189"/>
    <x v="0"/>
    <n v="2"/>
    <x v="0"/>
    <d v="2025-10-18T05:51:00"/>
    <x v="17"/>
    <x v="20"/>
    <n v="8023"/>
    <n v="3"/>
    <n v="24069"/>
    <x v="1"/>
  </r>
  <r>
    <n v="160"/>
    <n v="55"/>
    <x v="9"/>
    <x v="231"/>
    <x v="3"/>
    <n v="1"/>
    <x v="0"/>
    <d v="2025-10-18T06:04:00"/>
    <x v="17"/>
    <x v="5"/>
    <n v="2588"/>
    <n v="1"/>
    <n v="2588"/>
    <x v="2"/>
  </r>
  <r>
    <n v="7"/>
    <n v="278"/>
    <x v="8"/>
    <x v="132"/>
    <x v="5"/>
    <n v="4"/>
    <x v="0"/>
    <d v="2025-10-18T06:23:00"/>
    <x v="17"/>
    <x v="5"/>
    <n v="135"/>
    <n v="2"/>
    <n v="270"/>
    <x v="3"/>
  </r>
  <r>
    <n v="323"/>
    <n v="253"/>
    <x v="6"/>
    <x v="135"/>
    <x v="3"/>
    <n v="1"/>
    <x v="0"/>
    <d v="2025-10-18T06:25:00"/>
    <x v="17"/>
    <x v="5"/>
    <n v="1392"/>
    <n v="1"/>
    <n v="1392"/>
    <x v="2"/>
  </r>
  <r>
    <n v="287"/>
    <n v="204"/>
    <x v="4"/>
    <x v="131"/>
    <x v="2"/>
    <n v="3"/>
    <x v="0"/>
    <d v="2025-10-18T06:29:00"/>
    <x v="17"/>
    <x v="5"/>
    <n v="3801"/>
    <n v="1"/>
    <n v="3801"/>
    <x v="2"/>
  </r>
  <r>
    <n v="56"/>
    <n v="270"/>
    <x v="9"/>
    <x v="106"/>
    <x v="3"/>
    <n v="1"/>
    <x v="0"/>
    <d v="2025-10-18T07:05:00"/>
    <x v="17"/>
    <x v="6"/>
    <n v="3003"/>
    <n v="4"/>
    <n v="12012"/>
    <x v="2"/>
  </r>
  <r>
    <n v="515"/>
    <n v="178"/>
    <x v="3"/>
    <x v="290"/>
    <x v="5"/>
    <n v="4"/>
    <x v="1"/>
    <d v="2025-10-18T07:07:00"/>
    <x v="17"/>
    <x v="6"/>
    <n v="960"/>
    <n v="0"/>
    <n v="0"/>
    <x v="3"/>
  </r>
  <r>
    <n v="124"/>
    <n v="266"/>
    <x v="4"/>
    <x v="329"/>
    <x v="1"/>
    <n v="6"/>
    <x v="0"/>
    <d v="2025-10-18T07:32:00"/>
    <x v="17"/>
    <x v="6"/>
    <n v="8601"/>
    <n v="1"/>
    <n v="8601"/>
    <x v="1"/>
  </r>
  <r>
    <n v="691"/>
    <n v="108"/>
    <x v="0"/>
    <x v="347"/>
    <x v="0"/>
    <n v="2"/>
    <x v="0"/>
    <d v="2025-10-18T07:39:00"/>
    <x v="17"/>
    <x v="6"/>
    <n v="11498"/>
    <n v="3"/>
    <n v="34494"/>
    <x v="0"/>
  </r>
  <r>
    <n v="371"/>
    <n v="133"/>
    <x v="1"/>
    <x v="206"/>
    <x v="6"/>
    <n v="5"/>
    <x v="0"/>
    <d v="2025-10-18T07:52:00"/>
    <x v="17"/>
    <x v="6"/>
    <n v="2451"/>
    <n v="1"/>
    <n v="2451"/>
    <x v="2"/>
  </r>
  <r>
    <n v="276"/>
    <n v="242"/>
    <x v="7"/>
    <x v="124"/>
    <x v="5"/>
    <n v="4"/>
    <x v="0"/>
    <d v="2025-10-18T08:01:00"/>
    <x v="17"/>
    <x v="7"/>
    <n v="513"/>
    <n v="4"/>
    <n v="2052"/>
    <x v="3"/>
  </r>
  <r>
    <n v="435"/>
    <n v="108"/>
    <x v="4"/>
    <x v="329"/>
    <x v="1"/>
    <n v="6"/>
    <x v="0"/>
    <d v="2025-10-18T08:13:00"/>
    <x v="17"/>
    <x v="7"/>
    <n v="7608"/>
    <n v="2"/>
    <n v="15216"/>
    <x v="1"/>
  </r>
  <r>
    <n v="411"/>
    <n v="144"/>
    <x v="6"/>
    <x v="219"/>
    <x v="3"/>
    <n v="1"/>
    <x v="0"/>
    <d v="2025-10-18T08:47:00"/>
    <x v="17"/>
    <x v="7"/>
    <n v="4591"/>
    <n v="3"/>
    <n v="13773"/>
    <x v="2"/>
  </r>
  <r>
    <n v="590"/>
    <n v="118"/>
    <x v="9"/>
    <x v="106"/>
    <x v="3"/>
    <n v="1"/>
    <x v="0"/>
    <d v="2025-10-18T08:56:00"/>
    <x v="17"/>
    <x v="7"/>
    <n v="4584"/>
    <n v="1"/>
    <n v="4584"/>
    <x v="2"/>
  </r>
  <r>
    <n v="569"/>
    <n v="222"/>
    <x v="7"/>
    <x v="337"/>
    <x v="3"/>
    <n v="1"/>
    <x v="0"/>
    <d v="2025-10-18T09:18:00"/>
    <x v="17"/>
    <x v="8"/>
    <n v="7520"/>
    <n v="1"/>
    <n v="7520"/>
    <x v="1"/>
  </r>
  <r>
    <n v="485"/>
    <n v="5"/>
    <x v="4"/>
    <x v="331"/>
    <x v="2"/>
    <n v="3"/>
    <x v="0"/>
    <d v="2025-10-18T09:35:00"/>
    <x v="17"/>
    <x v="8"/>
    <n v="4520"/>
    <n v="3"/>
    <n v="13560"/>
    <x v="2"/>
  </r>
  <r>
    <n v="646"/>
    <n v="265"/>
    <x v="8"/>
    <x v="166"/>
    <x v="3"/>
    <n v="1"/>
    <x v="0"/>
    <d v="2025-10-18T10:04:00"/>
    <x v="17"/>
    <x v="9"/>
    <n v="2461"/>
    <n v="2"/>
    <n v="4922"/>
    <x v="2"/>
  </r>
  <r>
    <n v="308"/>
    <n v="129"/>
    <x v="6"/>
    <x v="282"/>
    <x v="2"/>
    <n v="3"/>
    <x v="0"/>
    <d v="2025-10-18T11:17:00"/>
    <x v="17"/>
    <x v="10"/>
    <n v="6000"/>
    <n v="2"/>
    <n v="12000"/>
    <x v="1"/>
  </r>
  <r>
    <n v="102"/>
    <n v="84"/>
    <x v="0"/>
    <x v="154"/>
    <x v="3"/>
    <n v="1"/>
    <x v="0"/>
    <d v="2025-10-18T11:52:00"/>
    <x v="17"/>
    <x v="10"/>
    <n v="5695"/>
    <n v="1"/>
    <n v="5695"/>
    <x v="1"/>
  </r>
  <r>
    <n v="645"/>
    <n v="50"/>
    <x v="7"/>
    <x v="54"/>
    <x v="3"/>
    <n v="1"/>
    <x v="0"/>
    <d v="2025-10-18T11:59:00"/>
    <x v="17"/>
    <x v="10"/>
    <n v="1401"/>
    <n v="1"/>
    <n v="1401"/>
    <x v="2"/>
  </r>
  <r>
    <n v="370"/>
    <n v="185"/>
    <x v="6"/>
    <x v="57"/>
    <x v="0"/>
    <n v="2"/>
    <x v="0"/>
    <d v="2025-10-18T11:59:00"/>
    <x v="17"/>
    <x v="10"/>
    <n v="11551"/>
    <n v="3"/>
    <n v="34653"/>
    <x v="0"/>
  </r>
  <r>
    <n v="21"/>
    <n v="211"/>
    <x v="7"/>
    <x v="348"/>
    <x v="0"/>
    <n v="2"/>
    <x v="0"/>
    <d v="2025-10-18T12:08:00"/>
    <x v="17"/>
    <x v="11"/>
    <n v="13265"/>
    <n v="2"/>
    <n v="26530"/>
    <x v="0"/>
  </r>
  <r>
    <n v="591"/>
    <n v="295"/>
    <x v="9"/>
    <x v="312"/>
    <x v="5"/>
    <n v="4"/>
    <x v="0"/>
    <d v="2025-10-18T12:31:00"/>
    <x v="17"/>
    <x v="11"/>
    <n v="277"/>
    <n v="2"/>
    <n v="554"/>
    <x v="3"/>
  </r>
  <r>
    <n v="333"/>
    <n v="262"/>
    <x v="7"/>
    <x v="275"/>
    <x v="1"/>
    <n v="6"/>
    <x v="0"/>
    <d v="2025-10-18T12:33:00"/>
    <x v="17"/>
    <x v="11"/>
    <n v="10710"/>
    <n v="1"/>
    <n v="10710"/>
    <x v="0"/>
  </r>
  <r>
    <n v="391"/>
    <n v="147"/>
    <x v="8"/>
    <x v="193"/>
    <x v="0"/>
    <n v="2"/>
    <x v="0"/>
    <d v="2025-10-18T12:51:00"/>
    <x v="17"/>
    <x v="11"/>
    <n v="12183"/>
    <n v="1"/>
    <n v="12183"/>
    <x v="0"/>
  </r>
  <r>
    <n v="656"/>
    <n v="173"/>
    <x v="4"/>
    <x v="316"/>
    <x v="0"/>
    <n v="2"/>
    <x v="0"/>
    <d v="2025-10-18T13:15:00"/>
    <x v="17"/>
    <x v="21"/>
    <n v="11721"/>
    <n v="3"/>
    <n v="35163"/>
    <x v="0"/>
  </r>
  <r>
    <n v="415"/>
    <n v="37"/>
    <x v="9"/>
    <x v="121"/>
    <x v="4"/>
    <n v="7"/>
    <x v="0"/>
    <d v="2025-10-18T13:26:00"/>
    <x v="17"/>
    <x v="21"/>
    <n v="5078"/>
    <n v="2"/>
    <n v="10156"/>
    <x v="1"/>
  </r>
  <r>
    <n v="322"/>
    <n v="163"/>
    <x v="6"/>
    <x v="146"/>
    <x v="3"/>
    <n v="1"/>
    <x v="1"/>
    <d v="2025-10-18T14:05:00"/>
    <x v="17"/>
    <x v="12"/>
    <n v="1530"/>
    <n v="0"/>
    <n v="0"/>
    <x v="2"/>
  </r>
  <r>
    <n v="661"/>
    <n v="203"/>
    <x v="7"/>
    <x v="25"/>
    <x v="0"/>
    <n v="2"/>
    <x v="0"/>
    <d v="2025-10-18T14:08:00"/>
    <x v="17"/>
    <x v="12"/>
    <n v="14647"/>
    <n v="2"/>
    <n v="29294"/>
    <x v="0"/>
  </r>
  <r>
    <n v="534"/>
    <n v="231"/>
    <x v="6"/>
    <x v="139"/>
    <x v="2"/>
    <n v="3"/>
    <x v="0"/>
    <d v="2025-10-18T14:10:00"/>
    <x v="17"/>
    <x v="12"/>
    <n v="3749"/>
    <n v="1"/>
    <n v="3749"/>
    <x v="2"/>
  </r>
  <r>
    <n v="129"/>
    <n v="121"/>
    <x v="4"/>
    <x v="196"/>
    <x v="5"/>
    <n v="4"/>
    <x v="1"/>
    <d v="2025-10-18T14:45:00"/>
    <x v="17"/>
    <x v="12"/>
    <n v="782"/>
    <n v="0"/>
    <n v="0"/>
    <x v="3"/>
  </r>
  <r>
    <n v="171"/>
    <n v="204"/>
    <x v="1"/>
    <x v="20"/>
    <x v="3"/>
    <n v="1"/>
    <x v="0"/>
    <d v="2025-10-18T15:03:00"/>
    <x v="17"/>
    <x v="13"/>
    <n v="6351"/>
    <n v="3"/>
    <n v="19053"/>
    <x v="1"/>
  </r>
  <r>
    <n v="562"/>
    <n v="28"/>
    <x v="1"/>
    <x v="77"/>
    <x v="3"/>
    <n v="1"/>
    <x v="0"/>
    <d v="2025-10-18T15:34:00"/>
    <x v="17"/>
    <x v="13"/>
    <n v="1691"/>
    <n v="1"/>
    <n v="1691"/>
    <x v="2"/>
  </r>
  <r>
    <n v="784"/>
    <n v="43"/>
    <x v="2"/>
    <x v="169"/>
    <x v="2"/>
    <n v="3"/>
    <x v="0"/>
    <d v="2025-10-18T15:49:00"/>
    <x v="17"/>
    <x v="13"/>
    <n v="1909"/>
    <n v="1"/>
    <n v="1909"/>
    <x v="2"/>
  </r>
  <r>
    <n v="87"/>
    <n v="200"/>
    <x v="9"/>
    <x v="349"/>
    <x v="2"/>
    <n v="3"/>
    <x v="1"/>
    <d v="2025-10-18T15:56:00"/>
    <x v="17"/>
    <x v="13"/>
    <n v="2285"/>
    <n v="0"/>
    <n v="0"/>
    <x v="2"/>
  </r>
  <r>
    <n v="454"/>
    <n v="65"/>
    <x v="5"/>
    <x v="78"/>
    <x v="5"/>
    <n v="4"/>
    <x v="0"/>
    <d v="2025-10-18T16:41:00"/>
    <x v="17"/>
    <x v="14"/>
    <n v="600"/>
    <n v="3"/>
    <n v="1800"/>
    <x v="3"/>
  </r>
  <r>
    <n v="36"/>
    <n v="183"/>
    <x v="4"/>
    <x v="102"/>
    <x v="3"/>
    <n v="1"/>
    <x v="0"/>
    <d v="2025-10-18T17:24:00"/>
    <x v="17"/>
    <x v="15"/>
    <n v="2144"/>
    <n v="3"/>
    <n v="6432"/>
    <x v="2"/>
  </r>
  <r>
    <n v="279"/>
    <n v="281"/>
    <x v="8"/>
    <x v="132"/>
    <x v="5"/>
    <n v="4"/>
    <x v="0"/>
    <d v="2025-10-18T17:55:00"/>
    <x v="17"/>
    <x v="15"/>
    <n v="759"/>
    <n v="2"/>
    <n v="1518"/>
    <x v="3"/>
  </r>
  <r>
    <n v="606"/>
    <n v="234"/>
    <x v="3"/>
    <x v="35"/>
    <x v="5"/>
    <n v="4"/>
    <x v="0"/>
    <d v="2025-10-18T18:04:00"/>
    <x v="17"/>
    <x v="16"/>
    <n v="830"/>
    <n v="1"/>
    <n v="830"/>
    <x v="3"/>
  </r>
  <r>
    <n v="537"/>
    <n v="274"/>
    <x v="9"/>
    <x v="287"/>
    <x v="4"/>
    <n v="7"/>
    <x v="0"/>
    <d v="2025-10-18T18:28:00"/>
    <x v="17"/>
    <x v="16"/>
    <n v="6852"/>
    <n v="1"/>
    <n v="6852"/>
    <x v="1"/>
  </r>
  <r>
    <n v="233"/>
    <n v="46"/>
    <x v="8"/>
    <x v="350"/>
    <x v="1"/>
    <n v="6"/>
    <x v="0"/>
    <d v="2025-10-18T18:39:00"/>
    <x v="17"/>
    <x v="16"/>
    <n v="7050"/>
    <n v="2"/>
    <n v="14100"/>
    <x v="1"/>
  </r>
  <r>
    <n v="267"/>
    <n v="80"/>
    <x v="6"/>
    <x v="28"/>
    <x v="0"/>
    <n v="2"/>
    <x v="0"/>
    <d v="2025-10-18T18:42:00"/>
    <x v="17"/>
    <x v="16"/>
    <n v="11196"/>
    <n v="2"/>
    <n v="22392"/>
    <x v="0"/>
  </r>
  <r>
    <n v="777"/>
    <n v="70"/>
    <x v="0"/>
    <x v="292"/>
    <x v="6"/>
    <n v="5"/>
    <x v="0"/>
    <d v="2025-10-18T19:48:00"/>
    <x v="17"/>
    <x v="22"/>
    <n v="1848"/>
    <n v="2"/>
    <n v="3696"/>
    <x v="2"/>
  </r>
  <r>
    <n v="9"/>
    <n v="252"/>
    <x v="8"/>
    <x v="132"/>
    <x v="5"/>
    <n v="4"/>
    <x v="0"/>
    <d v="2025-10-18T19:52:00"/>
    <x v="17"/>
    <x v="22"/>
    <n v="700"/>
    <n v="2"/>
    <n v="1400"/>
    <x v="3"/>
  </r>
  <r>
    <n v="300"/>
    <n v="119"/>
    <x v="0"/>
    <x v="322"/>
    <x v="5"/>
    <n v="4"/>
    <x v="1"/>
    <d v="2025-10-18T21:11:00"/>
    <x v="17"/>
    <x v="23"/>
    <n v="980"/>
    <n v="0"/>
    <n v="0"/>
    <x v="3"/>
  </r>
  <r>
    <n v="194"/>
    <n v="211"/>
    <x v="3"/>
    <x v="118"/>
    <x v="3"/>
    <n v="1"/>
    <x v="1"/>
    <d v="2025-10-18T21:27:00"/>
    <x v="17"/>
    <x v="23"/>
    <n v="7330"/>
    <n v="0"/>
    <n v="0"/>
    <x v="1"/>
  </r>
  <r>
    <n v="168"/>
    <n v="200"/>
    <x v="2"/>
    <x v="185"/>
    <x v="3"/>
    <n v="1"/>
    <x v="0"/>
    <d v="2025-10-18T21:32:00"/>
    <x v="17"/>
    <x v="23"/>
    <n v="5615"/>
    <n v="3"/>
    <n v="16845"/>
    <x v="1"/>
  </r>
  <r>
    <n v="82"/>
    <n v="217"/>
    <x v="5"/>
    <x v="259"/>
    <x v="3"/>
    <n v="1"/>
    <x v="1"/>
    <d v="2025-10-18T21:53:00"/>
    <x v="17"/>
    <x v="23"/>
    <n v="7779"/>
    <n v="0"/>
    <n v="0"/>
    <x v="1"/>
  </r>
  <r>
    <n v="292"/>
    <n v="273"/>
    <x v="9"/>
    <x v="274"/>
    <x v="2"/>
    <n v="3"/>
    <x v="0"/>
    <d v="2025-10-18T22:48:00"/>
    <x v="17"/>
    <x v="18"/>
    <n v="3526"/>
    <n v="3"/>
    <n v="10578"/>
    <x v="2"/>
  </r>
  <r>
    <n v="71"/>
    <n v="94"/>
    <x v="2"/>
    <x v="185"/>
    <x v="3"/>
    <n v="1"/>
    <x v="0"/>
    <d v="2025-10-18T23:23:00"/>
    <x v="17"/>
    <x v="19"/>
    <n v="7562"/>
    <n v="3"/>
    <n v="22686"/>
    <x v="1"/>
  </r>
  <r>
    <n v="467"/>
    <n v="232"/>
    <x v="1"/>
    <x v="1"/>
    <x v="1"/>
    <n v="6"/>
    <x v="1"/>
    <d v="2025-10-19T00:06:00"/>
    <x v="18"/>
    <x v="0"/>
    <n v="4186"/>
    <n v="0"/>
    <n v="0"/>
    <x v="2"/>
  </r>
  <r>
    <n v="193"/>
    <n v="165"/>
    <x v="9"/>
    <x v="182"/>
    <x v="5"/>
    <n v="4"/>
    <x v="0"/>
    <d v="2025-10-19T00:35:00"/>
    <x v="18"/>
    <x v="0"/>
    <n v="765"/>
    <n v="2"/>
    <n v="1530"/>
    <x v="3"/>
  </r>
  <r>
    <n v="23"/>
    <n v="96"/>
    <x v="0"/>
    <x v="265"/>
    <x v="5"/>
    <n v="4"/>
    <x v="0"/>
    <d v="2025-10-19T01:06:00"/>
    <x v="18"/>
    <x v="1"/>
    <n v="50"/>
    <n v="3"/>
    <n v="150"/>
    <x v="3"/>
  </r>
  <r>
    <n v="733"/>
    <n v="225"/>
    <x v="7"/>
    <x v="124"/>
    <x v="5"/>
    <n v="4"/>
    <x v="0"/>
    <d v="2025-10-19T01:56:00"/>
    <x v="18"/>
    <x v="1"/>
    <n v="203"/>
    <n v="2"/>
    <n v="406"/>
    <x v="3"/>
  </r>
  <r>
    <n v="155"/>
    <n v="8"/>
    <x v="5"/>
    <x v="257"/>
    <x v="3"/>
    <n v="1"/>
    <x v="0"/>
    <d v="2025-10-19T02:04:00"/>
    <x v="18"/>
    <x v="2"/>
    <n v="6760"/>
    <n v="2"/>
    <n v="13520"/>
    <x v="1"/>
  </r>
  <r>
    <n v="320"/>
    <n v="256"/>
    <x v="6"/>
    <x v="33"/>
    <x v="5"/>
    <n v="4"/>
    <x v="0"/>
    <d v="2025-10-19T02:21:00"/>
    <x v="18"/>
    <x v="2"/>
    <n v="971"/>
    <n v="1"/>
    <n v="971"/>
    <x v="3"/>
  </r>
  <r>
    <n v="83"/>
    <n v="75"/>
    <x v="0"/>
    <x v="212"/>
    <x v="0"/>
    <n v="2"/>
    <x v="0"/>
    <d v="2025-10-19T02:28:00"/>
    <x v="18"/>
    <x v="2"/>
    <n v="10121"/>
    <n v="4"/>
    <n v="40484"/>
    <x v="0"/>
  </r>
  <r>
    <n v="557"/>
    <n v="241"/>
    <x v="2"/>
    <x v="45"/>
    <x v="3"/>
    <n v="1"/>
    <x v="0"/>
    <d v="2025-10-19T04:25:00"/>
    <x v="18"/>
    <x v="4"/>
    <n v="1395"/>
    <n v="4"/>
    <n v="5580"/>
    <x v="2"/>
  </r>
  <r>
    <n v="13"/>
    <n v="63"/>
    <x v="7"/>
    <x v="54"/>
    <x v="3"/>
    <n v="1"/>
    <x v="0"/>
    <d v="2025-10-19T05:41:00"/>
    <x v="18"/>
    <x v="20"/>
    <n v="2385"/>
    <n v="2"/>
    <n v="4770"/>
    <x v="2"/>
  </r>
  <r>
    <n v="790"/>
    <n v="227"/>
    <x v="5"/>
    <x v="81"/>
    <x v="4"/>
    <n v="7"/>
    <x v="0"/>
    <d v="2025-10-19T05:42:00"/>
    <x v="18"/>
    <x v="20"/>
    <n v="7957"/>
    <n v="5"/>
    <n v="39785"/>
    <x v="1"/>
  </r>
  <r>
    <n v="472"/>
    <n v="49"/>
    <x v="0"/>
    <x v="87"/>
    <x v="5"/>
    <n v="4"/>
    <x v="0"/>
    <d v="2025-10-19T06:14:00"/>
    <x v="18"/>
    <x v="5"/>
    <n v="733"/>
    <n v="5"/>
    <n v="3665"/>
    <x v="3"/>
  </r>
  <r>
    <n v="399"/>
    <n v="160"/>
    <x v="5"/>
    <x v="147"/>
    <x v="3"/>
    <n v="1"/>
    <x v="0"/>
    <d v="2025-10-19T07:23:00"/>
    <x v="18"/>
    <x v="6"/>
    <n v="5409"/>
    <n v="2"/>
    <n v="10818"/>
    <x v="1"/>
  </r>
  <r>
    <n v="563"/>
    <n v="267"/>
    <x v="0"/>
    <x v="211"/>
    <x v="1"/>
    <n v="6"/>
    <x v="0"/>
    <d v="2025-10-19T07:28:00"/>
    <x v="18"/>
    <x v="6"/>
    <n v="7174"/>
    <n v="2"/>
    <n v="14348"/>
    <x v="1"/>
  </r>
  <r>
    <n v="306"/>
    <n v="102"/>
    <x v="8"/>
    <x v="343"/>
    <x v="3"/>
    <n v="1"/>
    <x v="0"/>
    <d v="2025-10-19T07:51:00"/>
    <x v="18"/>
    <x v="6"/>
    <n v="1929"/>
    <n v="2"/>
    <n v="3858"/>
    <x v="2"/>
  </r>
  <r>
    <n v="242"/>
    <n v="223"/>
    <x v="5"/>
    <x v="29"/>
    <x v="5"/>
    <n v="4"/>
    <x v="0"/>
    <d v="2025-10-19T08:56:00"/>
    <x v="18"/>
    <x v="7"/>
    <n v="614"/>
    <n v="1"/>
    <n v="614"/>
    <x v="3"/>
  </r>
  <r>
    <n v="599"/>
    <n v="62"/>
    <x v="4"/>
    <x v="190"/>
    <x v="3"/>
    <n v="1"/>
    <x v="1"/>
    <d v="2025-10-19T08:57:00"/>
    <x v="18"/>
    <x v="7"/>
    <n v="3465"/>
    <n v="0"/>
    <n v="0"/>
    <x v="2"/>
  </r>
  <r>
    <n v="596"/>
    <n v="244"/>
    <x v="0"/>
    <x v="347"/>
    <x v="0"/>
    <n v="2"/>
    <x v="0"/>
    <d v="2025-10-19T09:29:00"/>
    <x v="18"/>
    <x v="8"/>
    <n v="10408"/>
    <n v="1"/>
    <n v="10408"/>
    <x v="0"/>
  </r>
  <r>
    <n v="790"/>
    <n v="46"/>
    <x v="4"/>
    <x v="277"/>
    <x v="5"/>
    <n v="4"/>
    <x v="0"/>
    <d v="2025-10-19T09:38:00"/>
    <x v="18"/>
    <x v="8"/>
    <n v="1500"/>
    <n v="2"/>
    <n v="3000"/>
    <x v="2"/>
  </r>
  <r>
    <n v="703"/>
    <n v="174"/>
    <x v="8"/>
    <x v="293"/>
    <x v="1"/>
    <n v="6"/>
    <x v="0"/>
    <d v="2025-10-19T10:47:00"/>
    <x v="18"/>
    <x v="9"/>
    <n v="5955"/>
    <n v="2"/>
    <n v="11910"/>
    <x v="1"/>
  </r>
  <r>
    <n v="661"/>
    <n v="79"/>
    <x v="0"/>
    <x v="212"/>
    <x v="0"/>
    <n v="2"/>
    <x v="1"/>
    <d v="2025-10-19T12:20:00"/>
    <x v="18"/>
    <x v="11"/>
    <n v="14072"/>
    <n v="0"/>
    <n v="0"/>
    <x v="0"/>
  </r>
  <r>
    <n v="500"/>
    <n v="120"/>
    <x v="1"/>
    <x v="157"/>
    <x v="4"/>
    <n v="7"/>
    <x v="0"/>
    <d v="2025-10-19T13:37:00"/>
    <x v="18"/>
    <x v="21"/>
    <n v="7319"/>
    <n v="4"/>
    <n v="29276"/>
    <x v="1"/>
  </r>
  <r>
    <n v="751"/>
    <n v="99"/>
    <x v="6"/>
    <x v="33"/>
    <x v="5"/>
    <n v="4"/>
    <x v="0"/>
    <d v="2025-10-19T13:54:00"/>
    <x v="18"/>
    <x v="21"/>
    <n v="783"/>
    <n v="2"/>
    <n v="1566"/>
    <x v="3"/>
  </r>
  <r>
    <n v="742"/>
    <n v="69"/>
    <x v="2"/>
    <x v="104"/>
    <x v="5"/>
    <n v="4"/>
    <x v="0"/>
    <d v="2025-10-19T14:46:00"/>
    <x v="18"/>
    <x v="12"/>
    <n v="245"/>
    <n v="2"/>
    <n v="490"/>
    <x v="3"/>
  </r>
  <r>
    <n v="449"/>
    <n v="287"/>
    <x v="8"/>
    <x v="213"/>
    <x v="1"/>
    <n v="6"/>
    <x v="0"/>
    <d v="2025-10-19T15:36:00"/>
    <x v="18"/>
    <x v="13"/>
    <n v="5927"/>
    <n v="2"/>
    <n v="11854"/>
    <x v="1"/>
  </r>
  <r>
    <n v="581"/>
    <n v="96"/>
    <x v="8"/>
    <x v="47"/>
    <x v="5"/>
    <n v="4"/>
    <x v="0"/>
    <d v="2025-10-19T15:46:00"/>
    <x v="18"/>
    <x v="13"/>
    <n v="730"/>
    <n v="1"/>
    <n v="730"/>
    <x v="3"/>
  </r>
  <r>
    <n v="282"/>
    <n v="284"/>
    <x v="6"/>
    <x v="33"/>
    <x v="5"/>
    <n v="4"/>
    <x v="0"/>
    <d v="2025-10-19T16:33:00"/>
    <x v="18"/>
    <x v="14"/>
    <n v="1141"/>
    <n v="3"/>
    <n v="3423"/>
    <x v="2"/>
  </r>
  <r>
    <n v="461"/>
    <n v="152"/>
    <x v="3"/>
    <x v="91"/>
    <x v="3"/>
    <n v="1"/>
    <x v="0"/>
    <d v="2025-10-19T16:34:00"/>
    <x v="18"/>
    <x v="14"/>
    <n v="2148"/>
    <n v="2"/>
    <n v="4296"/>
    <x v="2"/>
  </r>
  <r>
    <n v="465"/>
    <n v="1"/>
    <x v="3"/>
    <x v="118"/>
    <x v="3"/>
    <n v="1"/>
    <x v="0"/>
    <d v="2025-10-19T16:58:00"/>
    <x v="18"/>
    <x v="14"/>
    <n v="7646"/>
    <n v="2"/>
    <n v="15292"/>
    <x v="1"/>
  </r>
  <r>
    <n v="752"/>
    <n v="95"/>
    <x v="3"/>
    <x v="138"/>
    <x v="6"/>
    <n v="5"/>
    <x v="0"/>
    <d v="2025-10-19T17:05:00"/>
    <x v="18"/>
    <x v="15"/>
    <n v="4000"/>
    <n v="2"/>
    <n v="8000"/>
    <x v="2"/>
  </r>
  <r>
    <n v="245"/>
    <n v="165"/>
    <x v="6"/>
    <x v="96"/>
    <x v="5"/>
    <n v="4"/>
    <x v="0"/>
    <d v="2025-10-19T17:08:00"/>
    <x v="18"/>
    <x v="15"/>
    <n v="205"/>
    <n v="2"/>
    <n v="410"/>
    <x v="3"/>
  </r>
  <r>
    <n v="195"/>
    <n v="269"/>
    <x v="3"/>
    <x v="84"/>
    <x v="5"/>
    <n v="4"/>
    <x v="0"/>
    <d v="2025-10-19T17:10:00"/>
    <x v="18"/>
    <x v="15"/>
    <n v="316"/>
    <n v="4"/>
    <n v="1264"/>
    <x v="3"/>
  </r>
  <r>
    <n v="628"/>
    <n v="145"/>
    <x v="3"/>
    <x v="91"/>
    <x v="3"/>
    <n v="1"/>
    <x v="0"/>
    <d v="2025-10-19T17:42:00"/>
    <x v="18"/>
    <x v="15"/>
    <n v="6650"/>
    <n v="2"/>
    <n v="13300"/>
    <x v="1"/>
  </r>
  <r>
    <n v="99"/>
    <n v="268"/>
    <x v="6"/>
    <x v="40"/>
    <x v="5"/>
    <n v="4"/>
    <x v="0"/>
    <d v="2025-10-19T17:53:00"/>
    <x v="18"/>
    <x v="15"/>
    <n v="719"/>
    <n v="2"/>
    <n v="1438"/>
    <x v="3"/>
  </r>
  <r>
    <n v="183"/>
    <n v="17"/>
    <x v="0"/>
    <x v="5"/>
    <x v="4"/>
    <n v="7"/>
    <x v="1"/>
    <d v="2025-10-19T18:27:00"/>
    <x v="18"/>
    <x v="16"/>
    <n v="6731"/>
    <n v="0"/>
    <n v="0"/>
    <x v="1"/>
  </r>
  <r>
    <n v="102"/>
    <n v="17"/>
    <x v="8"/>
    <x v="47"/>
    <x v="5"/>
    <n v="4"/>
    <x v="0"/>
    <d v="2025-10-19T18:29:00"/>
    <x v="18"/>
    <x v="16"/>
    <n v="317"/>
    <n v="2"/>
    <n v="634"/>
    <x v="3"/>
  </r>
  <r>
    <n v="502"/>
    <n v="270"/>
    <x v="2"/>
    <x v="46"/>
    <x v="0"/>
    <n v="2"/>
    <x v="0"/>
    <d v="2025-10-19T18:39:00"/>
    <x v="18"/>
    <x v="16"/>
    <n v="13483"/>
    <n v="2"/>
    <n v="26966"/>
    <x v="0"/>
  </r>
  <r>
    <n v="51"/>
    <n v="188"/>
    <x v="9"/>
    <x v="113"/>
    <x v="5"/>
    <n v="4"/>
    <x v="0"/>
    <d v="2025-10-19T18:59:00"/>
    <x v="18"/>
    <x v="16"/>
    <n v="1486"/>
    <n v="2"/>
    <n v="2972"/>
    <x v="2"/>
  </r>
  <r>
    <n v="214"/>
    <n v="252"/>
    <x v="1"/>
    <x v="60"/>
    <x v="3"/>
    <n v="1"/>
    <x v="0"/>
    <d v="2025-10-19T19:41:00"/>
    <x v="18"/>
    <x v="22"/>
    <n v="2918"/>
    <n v="1"/>
    <n v="2918"/>
    <x v="2"/>
  </r>
  <r>
    <n v="63"/>
    <n v="185"/>
    <x v="8"/>
    <x v="343"/>
    <x v="3"/>
    <n v="1"/>
    <x v="0"/>
    <d v="2025-10-19T19:51:00"/>
    <x v="18"/>
    <x v="22"/>
    <n v="7656"/>
    <n v="1"/>
    <n v="7656"/>
    <x v="1"/>
  </r>
  <r>
    <n v="726"/>
    <n v="30"/>
    <x v="2"/>
    <x v="104"/>
    <x v="5"/>
    <n v="4"/>
    <x v="0"/>
    <d v="2025-10-19T20:17:00"/>
    <x v="18"/>
    <x v="17"/>
    <n v="1372"/>
    <n v="3"/>
    <n v="4116"/>
    <x v="2"/>
  </r>
  <r>
    <n v="752"/>
    <n v="37"/>
    <x v="3"/>
    <x v="290"/>
    <x v="5"/>
    <n v="4"/>
    <x v="0"/>
    <d v="2025-10-19T21:14:00"/>
    <x v="18"/>
    <x v="23"/>
    <n v="1249"/>
    <n v="2"/>
    <n v="2498"/>
    <x v="2"/>
  </r>
  <r>
    <n v="100"/>
    <n v="52"/>
    <x v="5"/>
    <x v="171"/>
    <x v="4"/>
    <n v="7"/>
    <x v="0"/>
    <d v="2025-10-19T21:40:00"/>
    <x v="18"/>
    <x v="23"/>
    <n v="3828"/>
    <n v="2"/>
    <n v="7656"/>
    <x v="2"/>
  </r>
  <r>
    <n v="198"/>
    <n v="270"/>
    <x v="2"/>
    <x v="90"/>
    <x v="0"/>
    <n v="2"/>
    <x v="0"/>
    <d v="2025-10-19T21:47:00"/>
    <x v="18"/>
    <x v="23"/>
    <n v="7856"/>
    <n v="3"/>
    <n v="23568"/>
    <x v="1"/>
  </r>
  <r>
    <n v="768"/>
    <n v="286"/>
    <x v="4"/>
    <x v="241"/>
    <x v="1"/>
    <n v="6"/>
    <x v="0"/>
    <d v="2025-10-19T21:48:00"/>
    <x v="18"/>
    <x v="23"/>
    <n v="6166"/>
    <n v="1"/>
    <n v="6166"/>
    <x v="1"/>
  </r>
  <r>
    <n v="591"/>
    <n v="184"/>
    <x v="1"/>
    <x v="194"/>
    <x v="3"/>
    <n v="1"/>
    <x v="0"/>
    <d v="2025-10-19T22:42:00"/>
    <x v="18"/>
    <x v="18"/>
    <n v="4583"/>
    <n v="2"/>
    <n v="9166"/>
    <x v="2"/>
  </r>
  <r>
    <n v="171"/>
    <n v="93"/>
    <x v="2"/>
    <x v="2"/>
    <x v="2"/>
    <n v="3"/>
    <x v="0"/>
    <d v="2025-10-19T22:42:00"/>
    <x v="18"/>
    <x v="18"/>
    <n v="5416"/>
    <n v="2"/>
    <n v="10832"/>
    <x v="1"/>
  </r>
  <r>
    <n v="674"/>
    <n v="81"/>
    <x v="3"/>
    <x v="267"/>
    <x v="4"/>
    <n v="7"/>
    <x v="0"/>
    <d v="2025-10-19T23:37:00"/>
    <x v="18"/>
    <x v="19"/>
    <n v="6010"/>
    <n v="3"/>
    <n v="18030"/>
    <x v="1"/>
  </r>
  <r>
    <n v="323"/>
    <n v="282"/>
    <x v="8"/>
    <x v="155"/>
    <x v="0"/>
    <n v="2"/>
    <x v="0"/>
    <d v="2025-10-19T23:57:00"/>
    <x v="18"/>
    <x v="19"/>
    <n v="12854"/>
    <n v="3"/>
    <n v="38562"/>
    <x v="0"/>
  </r>
  <r>
    <n v="441"/>
    <n v="166"/>
    <x v="2"/>
    <x v="69"/>
    <x v="3"/>
    <n v="1"/>
    <x v="0"/>
    <d v="2025-10-20T01:11:00"/>
    <x v="19"/>
    <x v="1"/>
    <n v="3649"/>
    <n v="4"/>
    <n v="14596"/>
    <x v="2"/>
  </r>
  <r>
    <n v="220"/>
    <n v="193"/>
    <x v="9"/>
    <x v="100"/>
    <x v="5"/>
    <n v="4"/>
    <x v="0"/>
    <d v="2025-10-20T01:54:00"/>
    <x v="19"/>
    <x v="1"/>
    <n v="1219"/>
    <n v="1"/>
    <n v="1219"/>
    <x v="2"/>
  </r>
  <r>
    <n v="464"/>
    <n v="230"/>
    <x v="7"/>
    <x v="181"/>
    <x v="5"/>
    <n v="4"/>
    <x v="0"/>
    <d v="2025-10-20T04:38:00"/>
    <x v="19"/>
    <x v="4"/>
    <n v="1357"/>
    <n v="1"/>
    <n v="1357"/>
    <x v="2"/>
  </r>
  <r>
    <n v="611"/>
    <n v="9"/>
    <x v="0"/>
    <x v="192"/>
    <x v="1"/>
    <n v="6"/>
    <x v="0"/>
    <d v="2025-10-20T04:49:00"/>
    <x v="19"/>
    <x v="4"/>
    <n v="8305"/>
    <n v="2"/>
    <n v="16610"/>
    <x v="1"/>
  </r>
  <r>
    <n v="308"/>
    <n v="114"/>
    <x v="7"/>
    <x v="158"/>
    <x v="0"/>
    <n v="2"/>
    <x v="0"/>
    <d v="2025-10-20T05:28:00"/>
    <x v="19"/>
    <x v="20"/>
    <n v="12349"/>
    <n v="4"/>
    <n v="49396"/>
    <x v="0"/>
  </r>
  <r>
    <n v="283"/>
    <n v="284"/>
    <x v="0"/>
    <x v="0"/>
    <x v="0"/>
    <n v="2"/>
    <x v="0"/>
    <d v="2025-10-20T05:41:00"/>
    <x v="19"/>
    <x v="20"/>
    <n v="7480"/>
    <n v="2"/>
    <n v="14960"/>
    <x v="1"/>
  </r>
  <r>
    <n v="159"/>
    <n v="49"/>
    <x v="9"/>
    <x v="52"/>
    <x v="0"/>
    <n v="2"/>
    <x v="0"/>
    <d v="2025-10-20T05:59:00"/>
    <x v="19"/>
    <x v="20"/>
    <n v="12460"/>
    <n v="3"/>
    <n v="37380"/>
    <x v="0"/>
  </r>
  <r>
    <n v="142"/>
    <n v="136"/>
    <x v="6"/>
    <x v="53"/>
    <x v="5"/>
    <n v="4"/>
    <x v="0"/>
    <d v="2025-10-20T06:25:00"/>
    <x v="19"/>
    <x v="5"/>
    <n v="162"/>
    <n v="1"/>
    <n v="162"/>
    <x v="3"/>
  </r>
  <r>
    <n v="263"/>
    <n v="154"/>
    <x v="5"/>
    <x v="89"/>
    <x v="2"/>
    <n v="3"/>
    <x v="0"/>
    <d v="2025-10-20T07:20:00"/>
    <x v="19"/>
    <x v="6"/>
    <n v="4605"/>
    <n v="3"/>
    <n v="13815"/>
    <x v="2"/>
  </r>
  <r>
    <n v="223"/>
    <n v="40"/>
    <x v="2"/>
    <x v="21"/>
    <x v="3"/>
    <n v="1"/>
    <x v="1"/>
    <d v="2025-10-20T09:09:00"/>
    <x v="19"/>
    <x v="8"/>
    <n v="1844"/>
    <n v="0"/>
    <n v="0"/>
    <x v="2"/>
  </r>
  <r>
    <n v="707"/>
    <n v="296"/>
    <x v="4"/>
    <x v="142"/>
    <x v="0"/>
    <n v="2"/>
    <x v="0"/>
    <d v="2025-10-20T09:48:00"/>
    <x v="19"/>
    <x v="8"/>
    <n v="9366"/>
    <n v="2"/>
    <n v="18732"/>
    <x v="1"/>
  </r>
  <r>
    <n v="749"/>
    <n v="296"/>
    <x v="7"/>
    <x v="107"/>
    <x v="6"/>
    <n v="5"/>
    <x v="0"/>
    <d v="2025-10-20T10:02:00"/>
    <x v="19"/>
    <x v="9"/>
    <n v="1294"/>
    <n v="1"/>
    <n v="1294"/>
    <x v="2"/>
  </r>
  <r>
    <n v="357"/>
    <n v="223"/>
    <x v="0"/>
    <x v="67"/>
    <x v="3"/>
    <n v="1"/>
    <x v="0"/>
    <d v="2025-10-20T10:17:00"/>
    <x v="19"/>
    <x v="9"/>
    <n v="3965"/>
    <n v="1"/>
    <n v="3965"/>
    <x v="2"/>
  </r>
  <r>
    <n v="12"/>
    <n v="196"/>
    <x v="5"/>
    <x v="284"/>
    <x v="6"/>
    <n v="5"/>
    <x v="1"/>
    <d v="2025-10-20T10:52:00"/>
    <x v="19"/>
    <x v="9"/>
    <n v="2367"/>
    <n v="0"/>
    <n v="0"/>
    <x v="2"/>
  </r>
  <r>
    <n v="327"/>
    <n v="277"/>
    <x v="3"/>
    <x v="290"/>
    <x v="5"/>
    <n v="4"/>
    <x v="0"/>
    <d v="2025-10-20T10:59:00"/>
    <x v="19"/>
    <x v="9"/>
    <n v="116"/>
    <n v="2"/>
    <n v="232"/>
    <x v="3"/>
  </r>
  <r>
    <n v="157"/>
    <n v="26"/>
    <x v="3"/>
    <x v="311"/>
    <x v="2"/>
    <n v="3"/>
    <x v="0"/>
    <d v="2025-10-20T11:03:00"/>
    <x v="19"/>
    <x v="10"/>
    <n v="2692"/>
    <n v="5"/>
    <n v="13460"/>
    <x v="2"/>
  </r>
  <r>
    <n v="517"/>
    <n v="47"/>
    <x v="9"/>
    <x v="351"/>
    <x v="1"/>
    <n v="6"/>
    <x v="0"/>
    <d v="2025-10-20T11:14:00"/>
    <x v="19"/>
    <x v="10"/>
    <n v="8464"/>
    <n v="3"/>
    <n v="25392"/>
    <x v="1"/>
  </r>
  <r>
    <n v="152"/>
    <n v="68"/>
    <x v="7"/>
    <x v="255"/>
    <x v="6"/>
    <n v="5"/>
    <x v="1"/>
    <d v="2025-10-20T11:23:00"/>
    <x v="19"/>
    <x v="10"/>
    <n v="1730"/>
    <n v="0"/>
    <n v="0"/>
    <x v="2"/>
  </r>
  <r>
    <n v="764"/>
    <n v="26"/>
    <x v="8"/>
    <x v="272"/>
    <x v="3"/>
    <n v="1"/>
    <x v="0"/>
    <d v="2025-10-20T11:32:00"/>
    <x v="19"/>
    <x v="10"/>
    <n v="3595"/>
    <n v="2"/>
    <n v="7190"/>
    <x v="2"/>
  </r>
  <r>
    <n v="409"/>
    <n v="257"/>
    <x v="7"/>
    <x v="107"/>
    <x v="6"/>
    <n v="5"/>
    <x v="0"/>
    <d v="2025-10-20T11:40:00"/>
    <x v="19"/>
    <x v="10"/>
    <n v="3049"/>
    <n v="2"/>
    <n v="6098"/>
    <x v="2"/>
  </r>
  <r>
    <n v="493"/>
    <n v="287"/>
    <x v="4"/>
    <x v="331"/>
    <x v="2"/>
    <n v="3"/>
    <x v="0"/>
    <d v="2025-10-20T11:41:00"/>
    <x v="19"/>
    <x v="10"/>
    <n v="5255"/>
    <n v="2"/>
    <n v="10510"/>
    <x v="1"/>
  </r>
  <r>
    <n v="586"/>
    <n v="101"/>
    <x v="2"/>
    <x v="332"/>
    <x v="4"/>
    <n v="7"/>
    <x v="0"/>
    <d v="2025-10-20T11:41:00"/>
    <x v="19"/>
    <x v="10"/>
    <n v="3171"/>
    <n v="3"/>
    <n v="9513"/>
    <x v="2"/>
  </r>
  <r>
    <n v="273"/>
    <n v="221"/>
    <x v="5"/>
    <x v="352"/>
    <x v="2"/>
    <n v="3"/>
    <x v="0"/>
    <d v="2025-10-20T13:38:00"/>
    <x v="19"/>
    <x v="21"/>
    <n v="5720"/>
    <n v="2"/>
    <n v="11440"/>
    <x v="1"/>
  </r>
  <r>
    <n v="116"/>
    <n v="212"/>
    <x v="9"/>
    <x v="303"/>
    <x v="2"/>
    <n v="3"/>
    <x v="0"/>
    <d v="2025-10-20T13:53:00"/>
    <x v="19"/>
    <x v="21"/>
    <n v="4299"/>
    <n v="2"/>
    <n v="8598"/>
    <x v="2"/>
  </r>
  <r>
    <n v="329"/>
    <n v="177"/>
    <x v="6"/>
    <x v="146"/>
    <x v="3"/>
    <n v="1"/>
    <x v="1"/>
    <d v="2025-10-20T14:05:00"/>
    <x v="19"/>
    <x v="12"/>
    <n v="4456"/>
    <n v="0"/>
    <n v="0"/>
    <x v="2"/>
  </r>
  <r>
    <n v="174"/>
    <n v="180"/>
    <x v="0"/>
    <x v="218"/>
    <x v="5"/>
    <n v="4"/>
    <x v="0"/>
    <d v="2025-10-20T14:36:00"/>
    <x v="19"/>
    <x v="12"/>
    <n v="1401"/>
    <n v="3"/>
    <n v="4203"/>
    <x v="2"/>
  </r>
  <r>
    <n v="452"/>
    <n v="23"/>
    <x v="9"/>
    <x v="88"/>
    <x v="6"/>
    <n v="5"/>
    <x v="0"/>
    <d v="2025-10-20T14:42:00"/>
    <x v="19"/>
    <x v="12"/>
    <n v="3350"/>
    <n v="4"/>
    <n v="13400"/>
    <x v="2"/>
  </r>
  <r>
    <n v="776"/>
    <n v="44"/>
    <x v="6"/>
    <x v="310"/>
    <x v="0"/>
    <n v="2"/>
    <x v="0"/>
    <d v="2025-10-20T16:01:00"/>
    <x v="19"/>
    <x v="14"/>
    <n v="7727"/>
    <n v="1"/>
    <n v="7727"/>
    <x v="1"/>
  </r>
  <r>
    <n v="636"/>
    <n v="76"/>
    <x v="0"/>
    <x v="353"/>
    <x v="1"/>
    <n v="6"/>
    <x v="0"/>
    <d v="2025-10-20T16:42:00"/>
    <x v="19"/>
    <x v="14"/>
    <n v="4019"/>
    <n v="1"/>
    <n v="4019"/>
    <x v="2"/>
  </r>
  <r>
    <n v="114"/>
    <n v="157"/>
    <x v="6"/>
    <x v="76"/>
    <x v="0"/>
    <n v="2"/>
    <x v="0"/>
    <d v="2025-10-20T16:45:00"/>
    <x v="19"/>
    <x v="14"/>
    <n v="8520"/>
    <n v="1"/>
    <n v="8520"/>
    <x v="1"/>
  </r>
  <r>
    <n v="215"/>
    <n v="276"/>
    <x v="0"/>
    <x v="300"/>
    <x v="6"/>
    <n v="5"/>
    <x v="0"/>
    <d v="2025-10-20T16:59:00"/>
    <x v="19"/>
    <x v="14"/>
    <n v="2684"/>
    <n v="1"/>
    <n v="2684"/>
    <x v="2"/>
  </r>
  <r>
    <n v="769"/>
    <n v="133"/>
    <x v="3"/>
    <x v="201"/>
    <x v="2"/>
    <n v="3"/>
    <x v="0"/>
    <d v="2025-10-20T17:55:00"/>
    <x v="19"/>
    <x v="15"/>
    <n v="3139"/>
    <n v="1"/>
    <n v="3139"/>
    <x v="2"/>
  </r>
  <r>
    <n v="712"/>
    <n v="10"/>
    <x v="9"/>
    <x v="312"/>
    <x v="5"/>
    <n v="4"/>
    <x v="0"/>
    <d v="2025-10-20T19:12:00"/>
    <x v="19"/>
    <x v="22"/>
    <n v="1220"/>
    <n v="3"/>
    <n v="3660"/>
    <x v="2"/>
  </r>
  <r>
    <n v="262"/>
    <n v="88"/>
    <x v="3"/>
    <x v="43"/>
    <x v="4"/>
    <n v="7"/>
    <x v="0"/>
    <d v="2025-10-20T19:29:00"/>
    <x v="19"/>
    <x v="22"/>
    <n v="4683"/>
    <n v="2"/>
    <n v="9366"/>
    <x v="2"/>
  </r>
  <r>
    <n v="633"/>
    <n v="139"/>
    <x v="5"/>
    <x v="298"/>
    <x v="4"/>
    <n v="7"/>
    <x v="0"/>
    <d v="2025-10-20T19:54:00"/>
    <x v="19"/>
    <x v="22"/>
    <n v="1937"/>
    <n v="2"/>
    <n v="3874"/>
    <x v="2"/>
  </r>
  <r>
    <n v="398"/>
    <n v="139"/>
    <x v="0"/>
    <x v="229"/>
    <x v="6"/>
    <n v="5"/>
    <x v="1"/>
    <d v="2025-10-20T19:59:00"/>
    <x v="19"/>
    <x v="22"/>
    <n v="1055"/>
    <n v="0"/>
    <n v="0"/>
    <x v="2"/>
  </r>
  <r>
    <n v="20"/>
    <n v="150"/>
    <x v="6"/>
    <x v="40"/>
    <x v="5"/>
    <n v="4"/>
    <x v="0"/>
    <d v="2025-10-20T22:04:00"/>
    <x v="19"/>
    <x v="18"/>
    <n v="1500"/>
    <n v="3"/>
    <n v="4500"/>
    <x v="2"/>
  </r>
  <r>
    <n v="727"/>
    <n v="51"/>
    <x v="2"/>
    <x v="169"/>
    <x v="2"/>
    <n v="3"/>
    <x v="1"/>
    <d v="2025-10-20T22:11:00"/>
    <x v="19"/>
    <x v="18"/>
    <n v="4584"/>
    <n v="0"/>
    <n v="0"/>
    <x v="2"/>
  </r>
  <r>
    <n v="91"/>
    <n v="96"/>
    <x v="9"/>
    <x v="112"/>
    <x v="3"/>
    <n v="1"/>
    <x v="0"/>
    <d v="2025-10-20T23:27:00"/>
    <x v="19"/>
    <x v="19"/>
    <n v="3632"/>
    <n v="4"/>
    <n v="14528"/>
    <x v="2"/>
  </r>
  <r>
    <n v="730"/>
    <n v="12"/>
    <x v="8"/>
    <x v="221"/>
    <x v="4"/>
    <n v="7"/>
    <x v="0"/>
    <d v="2025-10-20T23:54:00"/>
    <x v="19"/>
    <x v="19"/>
    <n v="3185"/>
    <n v="2"/>
    <n v="6370"/>
    <x v="2"/>
  </r>
  <r>
    <n v="342"/>
    <n v="251"/>
    <x v="3"/>
    <x v="354"/>
    <x v="0"/>
    <n v="2"/>
    <x v="0"/>
    <d v="2025-10-21T00:19:00"/>
    <x v="20"/>
    <x v="0"/>
    <n v="4577"/>
    <n v="3"/>
    <n v="13731"/>
    <x v="2"/>
  </r>
  <r>
    <n v="356"/>
    <n v="181"/>
    <x v="4"/>
    <x v="102"/>
    <x v="3"/>
    <n v="1"/>
    <x v="0"/>
    <d v="2025-10-21T00:38:00"/>
    <x v="20"/>
    <x v="0"/>
    <n v="4403"/>
    <n v="2"/>
    <n v="8806"/>
    <x v="2"/>
  </r>
  <r>
    <n v="514"/>
    <n v="142"/>
    <x v="7"/>
    <x v="289"/>
    <x v="1"/>
    <n v="6"/>
    <x v="1"/>
    <d v="2025-10-21T00:45:00"/>
    <x v="20"/>
    <x v="0"/>
    <n v="7942"/>
    <n v="0"/>
    <n v="0"/>
    <x v="1"/>
  </r>
  <r>
    <n v="31"/>
    <n v="285"/>
    <x v="7"/>
    <x v="240"/>
    <x v="2"/>
    <n v="3"/>
    <x v="1"/>
    <d v="2025-10-21T00:50:00"/>
    <x v="20"/>
    <x v="0"/>
    <n v="2127"/>
    <n v="0"/>
    <n v="0"/>
    <x v="2"/>
  </r>
  <r>
    <n v="403"/>
    <n v="71"/>
    <x v="4"/>
    <x v="198"/>
    <x v="0"/>
    <n v="2"/>
    <x v="0"/>
    <d v="2025-10-21T00:57:00"/>
    <x v="20"/>
    <x v="0"/>
    <n v="8505"/>
    <n v="2"/>
    <n v="17010"/>
    <x v="1"/>
  </r>
  <r>
    <n v="695"/>
    <n v="117"/>
    <x v="2"/>
    <x v="263"/>
    <x v="4"/>
    <n v="7"/>
    <x v="0"/>
    <d v="2025-10-21T01:02:00"/>
    <x v="20"/>
    <x v="1"/>
    <n v="2392"/>
    <n v="2"/>
    <n v="4784"/>
    <x v="2"/>
  </r>
  <r>
    <n v="437"/>
    <n v="160"/>
    <x v="9"/>
    <x v="106"/>
    <x v="3"/>
    <n v="1"/>
    <x v="0"/>
    <d v="2025-10-21T01:42:00"/>
    <x v="20"/>
    <x v="1"/>
    <n v="4341"/>
    <n v="3"/>
    <n v="13023"/>
    <x v="2"/>
  </r>
  <r>
    <n v="135"/>
    <n v="106"/>
    <x v="8"/>
    <x v="132"/>
    <x v="5"/>
    <n v="4"/>
    <x v="0"/>
    <d v="2025-10-21T01:54:00"/>
    <x v="20"/>
    <x v="1"/>
    <n v="1257"/>
    <n v="4"/>
    <n v="5028"/>
    <x v="2"/>
  </r>
  <r>
    <n v="142"/>
    <n v="159"/>
    <x v="3"/>
    <x v="311"/>
    <x v="2"/>
    <n v="3"/>
    <x v="0"/>
    <d v="2025-10-21T01:55:00"/>
    <x v="20"/>
    <x v="1"/>
    <n v="2732"/>
    <n v="2"/>
    <n v="5464"/>
    <x v="2"/>
  </r>
  <r>
    <n v="441"/>
    <n v="75"/>
    <x v="3"/>
    <x v="35"/>
    <x v="5"/>
    <n v="4"/>
    <x v="0"/>
    <d v="2025-10-21T03:28:00"/>
    <x v="20"/>
    <x v="3"/>
    <n v="1500"/>
    <n v="2"/>
    <n v="3000"/>
    <x v="2"/>
  </r>
  <r>
    <n v="70"/>
    <n v="286"/>
    <x v="4"/>
    <x v="198"/>
    <x v="0"/>
    <n v="2"/>
    <x v="0"/>
    <d v="2025-10-21T04:25:00"/>
    <x v="20"/>
    <x v="4"/>
    <n v="14840"/>
    <n v="1"/>
    <n v="14840"/>
    <x v="0"/>
  </r>
  <r>
    <n v="326"/>
    <n v="75"/>
    <x v="1"/>
    <x v="355"/>
    <x v="6"/>
    <n v="5"/>
    <x v="0"/>
    <d v="2025-10-21T05:34:00"/>
    <x v="20"/>
    <x v="20"/>
    <n v="3151"/>
    <n v="2"/>
    <n v="6302"/>
    <x v="2"/>
  </r>
  <r>
    <n v="422"/>
    <n v="156"/>
    <x v="6"/>
    <x v="33"/>
    <x v="5"/>
    <n v="4"/>
    <x v="0"/>
    <d v="2025-10-21T07:54:00"/>
    <x v="20"/>
    <x v="6"/>
    <n v="301"/>
    <n v="2"/>
    <n v="602"/>
    <x v="3"/>
  </r>
  <r>
    <n v="798"/>
    <n v="97"/>
    <x v="7"/>
    <x v="209"/>
    <x v="0"/>
    <n v="2"/>
    <x v="0"/>
    <d v="2025-10-21T07:59:00"/>
    <x v="20"/>
    <x v="6"/>
    <n v="11439"/>
    <n v="1"/>
    <n v="11439"/>
    <x v="0"/>
  </r>
  <r>
    <n v="781"/>
    <n v="137"/>
    <x v="4"/>
    <x v="126"/>
    <x v="0"/>
    <n v="2"/>
    <x v="0"/>
    <d v="2025-10-21T08:13:00"/>
    <x v="20"/>
    <x v="7"/>
    <n v="5616"/>
    <n v="3"/>
    <n v="16848"/>
    <x v="1"/>
  </r>
  <r>
    <n v="611"/>
    <n v="119"/>
    <x v="9"/>
    <x v="88"/>
    <x v="6"/>
    <n v="5"/>
    <x v="0"/>
    <d v="2025-10-21T08:50:00"/>
    <x v="20"/>
    <x v="7"/>
    <n v="3370"/>
    <n v="1"/>
    <n v="3370"/>
    <x v="2"/>
  </r>
  <r>
    <n v="82"/>
    <n v="245"/>
    <x v="0"/>
    <x v="218"/>
    <x v="5"/>
    <n v="4"/>
    <x v="0"/>
    <d v="2025-10-21T09:22:00"/>
    <x v="20"/>
    <x v="8"/>
    <n v="673"/>
    <n v="1"/>
    <n v="673"/>
    <x v="3"/>
  </r>
  <r>
    <n v="730"/>
    <n v="192"/>
    <x v="9"/>
    <x v="188"/>
    <x v="2"/>
    <n v="3"/>
    <x v="1"/>
    <d v="2025-10-21T09:26:00"/>
    <x v="20"/>
    <x v="8"/>
    <n v="2655"/>
    <n v="0"/>
    <n v="0"/>
    <x v="2"/>
  </r>
  <r>
    <n v="141"/>
    <n v="84"/>
    <x v="8"/>
    <x v="44"/>
    <x v="6"/>
    <n v="5"/>
    <x v="0"/>
    <d v="2025-10-21T10:11:00"/>
    <x v="20"/>
    <x v="9"/>
    <n v="1551"/>
    <n v="5"/>
    <n v="7755"/>
    <x v="2"/>
  </r>
  <r>
    <n v="783"/>
    <n v="8"/>
    <x v="0"/>
    <x v="154"/>
    <x v="3"/>
    <n v="1"/>
    <x v="0"/>
    <d v="2025-10-21T10:18:00"/>
    <x v="20"/>
    <x v="9"/>
    <n v="2498"/>
    <n v="2"/>
    <n v="4996"/>
    <x v="2"/>
  </r>
  <r>
    <n v="776"/>
    <n v="105"/>
    <x v="5"/>
    <x v="141"/>
    <x v="5"/>
    <n v="4"/>
    <x v="1"/>
    <d v="2025-10-21T10:24:00"/>
    <x v="20"/>
    <x v="9"/>
    <n v="613"/>
    <n v="0"/>
    <n v="0"/>
    <x v="3"/>
  </r>
  <r>
    <n v="502"/>
    <n v="167"/>
    <x v="8"/>
    <x v="221"/>
    <x v="4"/>
    <n v="7"/>
    <x v="1"/>
    <d v="2025-10-21T10:45:00"/>
    <x v="20"/>
    <x v="9"/>
    <n v="1931"/>
    <n v="0"/>
    <n v="0"/>
    <x v="2"/>
  </r>
  <r>
    <n v="795"/>
    <n v="22"/>
    <x v="2"/>
    <x v="197"/>
    <x v="1"/>
    <n v="6"/>
    <x v="1"/>
    <d v="2025-10-21T11:09:00"/>
    <x v="20"/>
    <x v="10"/>
    <n v="9422"/>
    <n v="0"/>
    <n v="0"/>
    <x v="1"/>
  </r>
  <r>
    <n v="321"/>
    <n v="202"/>
    <x v="2"/>
    <x v="69"/>
    <x v="3"/>
    <n v="1"/>
    <x v="0"/>
    <d v="2025-10-21T11:32:00"/>
    <x v="20"/>
    <x v="10"/>
    <n v="6156"/>
    <n v="3"/>
    <n v="18468"/>
    <x v="1"/>
  </r>
  <r>
    <n v="550"/>
    <n v="269"/>
    <x v="9"/>
    <x v="55"/>
    <x v="6"/>
    <n v="5"/>
    <x v="0"/>
    <d v="2025-10-21T11:34:00"/>
    <x v="20"/>
    <x v="10"/>
    <n v="3484"/>
    <n v="1"/>
    <n v="3484"/>
    <x v="2"/>
  </r>
  <r>
    <n v="112"/>
    <n v="232"/>
    <x v="0"/>
    <x v="292"/>
    <x v="6"/>
    <n v="5"/>
    <x v="0"/>
    <d v="2025-10-21T12:30:00"/>
    <x v="20"/>
    <x v="11"/>
    <n v="3587"/>
    <n v="2"/>
    <n v="7174"/>
    <x v="2"/>
  </r>
  <r>
    <n v="551"/>
    <n v="203"/>
    <x v="5"/>
    <x v="34"/>
    <x v="0"/>
    <n v="2"/>
    <x v="0"/>
    <d v="2025-10-21T12:38:00"/>
    <x v="20"/>
    <x v="11"/>
    <n v="11306"/>
    <n v="2"/>
    <n v="22612"/>
    <x v="0"/>
  </r>
  <r>
    <n v="529"/>
    <n v="26"/>
    <x v="3"/>
    <x v="232"/>
    <x v="3"/>
    <n v="1"/>
    <x v="0"/>
    <d v="2025-10-21T12:42:00"/>
    <x v="20"/>
    <x v="11"/>
    <n v="6842"/>
    <n v="2"/>
    <n v="13684"/>
    <x v="1"/>
  </r>
  <r>
    <n v="312"/>
    <n v="147"/>
    <x v="8"/>
    <x v="44"/>
    <x v="6"/>
    <n v="5"/>
    <x v="0"/>
    <d v="2025-10-21T13:40:00"/>
    <x v="20"/>
    <x v="21"/>
    <n v="1526"/>
    <n v="3"/>
    <n v="4578"/>
    <x v="2"/>
  </r>
  <r>
    <n v="628"/>
    <n v="28"/>
    <x v="2"/>
    <x v="250"/>
    <x v="3"/>
    <n v="1"/>
    <x v="1"/>
    <d v="2025-10-21T15:02:00"/>
    <x v="20"/>
    <x v="13"/>
    <n v="4664"/>
    <n v="0"/>
    <n v="0"/>
    <x v="2"/>
  </r>
  <r>
    <n v="662"/>
    <n v="232"/>
    <x v="4"/>
    <x v="216"/>
    <x v="6"/>
    <n v="5"/>
    <x v="0"/>
    <d v="2025-10-21T15:55:00"/>
    <x v="20"/>
    <x v="13"/>
    <n v="3690"/>
    <n v="2"/>
    <n v="7380"/>
    <x v="2"/>
  </r>
  <r>
    <n v="185"/>
    <n v="300"/>
    <x v="3"/>
    <x v="290"/>
    <x v="5"/>
    <n v="4"/>
    <x v="0"/>
    <d v="2025-10-21T16:39:00"/>
    <x v="20"/>
    <x v="14"/>
    <n v="404"/>
    <n v="3"/>
    <n v="1212"/>
    <x v="3"/>
  </r>
  <r>
    <n v="424"/>
    <n v="166"/>
    <x v="4"/>
    <x v="66"/>
    <x v="3"/>
    <n v="1"/>
    <x v="0"/>
    <d v="2025-10-21T17:07:00"/>
    <x v="20"/>
    <x v="15"/>
    <n v="6781"/>
    <n v="3"/>
    <n v="20343"/>
    <x v="1"/>
  </r>
  <r>
    <n v="605"/>
    <n v="104"/>
    <x v="4"/>
    <x v="93"/>
    <x v="5"/>
    <n v="4"/>
    <x v="0"/>
    <d v="2025-10-21T17:28:00"/>
    <x v="20"/>
    <x v="15"/>
    <n v="785"/>
    <n v="3"/>
    <n v="2355"/>
    <x v="3"/>
  </r>
  <r>
    <n v="709"/>
    <n v="84"/>
    <x v="7"/>
    <x v="308"/>
    <x v="4"/>
    <n v="7"/>
    <x v="0"/>
    <d v="2025-10-21T17:31:00"/>
    <x v="20"/>
    <x v="15"/>
    <n v="5070"/>
    <n v="4"/>
    <n v="20280"/>
    <x v="1"/>
  </r>
  <r>
    <n v="461"/>
    <n v="186"/>
    <x v="1"/>
    <x v="356"/>
    <x v="0"/>
    <n v="2"/>
    <x v="1"/>
    <d v="2025-10-21T17:45:00"/>
    <x v="20"/>
    <x v="15"/>
    <n v="5870"/>
    <n v="0"/>
    <n v="0"/>
    <x v="1"/>
  </r>
  <r>
    <n v="524"/>
    <n v="82"/>
    <x v="2"/>
    <x v="69"/>
    <x v="3"/>
    <n v="1"/>
    <x v="0"/>
    <d v="2025-10-21T17:57:00"/>
    <x v="20"/>
    <x v="15"/>
    <n v="1766"/>
    <n v="3"/>
    <n v="5298"/>
    <x v="2"/>
  </r>
  <r>
    <n v="787"/>
    <n v="88"/>
    <x v="2"/>
    <x v="165"/>
    <x v="1"/>
    <n v="6"/>
    <x v="0"/>
    <d v="2025-10-21T18:05:00"/>
    <x v="20"/>
    <x v="16"/>
    <n v="8285"/>
    <n v="3"/>
    <n v="24855"/>
    <x v="1"/>
  </r>
  <r>
    <n v="149"/>
    <n v="92"/>
    <x v="4"/>
    <x v="6"/>
    <x v="3"/>
    <n v="1"/>
    <x v="0"/>
    <d v="2025-10-21T18:39:00"/>
    <x v="20"/>
    <x v="16"/>
    <n v="3834"/>
    <n v="2"/>
    <n v="7668"/>
    <x v="2"/>
  </r>
  <r>
    <n v="748"/>
    <n v="229"/>
    <x v="7"/>
    <x v="275"/>
    <x v="1"/>
    <n v="6"/>
    <x v="0"/>
    <d v="2025-10-21T18:57:00"/>
    <x v="20"/>
    <x v="16"/>
    <n v="2854"/>
    <n v="3"/>
    <n v="8562"/>
    <x v="2"/>
  </r>
  <r>
    <n v="135"/>
    <n v="104"/>
    <x v="4"/>
    <x v="102"/>
    <x v="3"/>
    <n v="1"/>
    <x v="1"/>
    <d v="2025-10-21T18:59:00"/>
    <x v="20"/>
    <x v="16"/>
    <n v="3485"/>
    <n v="0"/>
    <n v="0"/>
    <x v="2"/>
  </r>
  <r>
    <n v="470"/>
    <n v="255"/>
    <x v="7"/>
    <x v="357"/>
    <x v="3"/>
    <n v="1"/>
    <x v="0"/>
    <d v="2025-10-21T19:06:00"/>
    <x v="20"/>
    <x v="22"/>
    <n v="1146"/>
    <n v="2"/>
    <n v="2292"/>
    <x v="2"/>
  </r>
  <r>
    <n v="506"/>
    <n v="122"/>
    <x v="0"/>
    <x v="358"/>
    <x v="1"/>
    <n v="6"/>
    <x v="0"/>
    <d v="2025-10-21T19:36:00"/>
    <x v="20"/>
    <x v="22"/>
    <n v="10247"/>
    <n v="1"/>
    <n v="10247"/>
    <x v="0"/>
  </r>
  <r>
    <n v="420"/>
    <n v="227"/>
    <x v="8"/>
    <x v="134"/>
    <x v="0"/>
    <n v="2"/>
    <x v="0"/>
    <d v="2025-10-21T19:39:00"/>
    <x v="20"/>
    <x v="22"/>
    <n v="7654"/>
    <n v="2"/>
    <n v="15308"/>
    <x v="1"/>
  </r>
  <r>
    <n v="251"/>
    <n v="281"/>
    <x v="9"/>
    <x v="130"/>
    <x v="1"/>
    <n v="6"/>
    <x v="1"/>
    <d v="2025-10-21T20:29:00"/>
    <x v="20"/>
    <x v="17"/>
    <n v="3407"/>
    <n v="0"/>
    <n v="0"/>
    <x v="2"/>
  </r>
  <r>
    <n v="51"/>
    <n v="95"/>
    <x v="3"/>
    <x v="248"/>
    <x v="0"/>
    <n v="2"/>
    <x v="0"/>
    <d v="2025-10-21T20:47:00"/>
    <x v="20"/>
    <x v="17"/>
    <n v="8673"/>
    <n v="4"/>
    <n v="34692"/>
    <x v="1"/>
  </r>
  <r>
    <n v="149"/>
    <n v="17"/>
    <x v="6"/>
    <x v="110"/>
    <x v="6"/>
    <n v="5"/>
    <x v="0"/>
    <d v="2025-10-21T21:04:00"/>
    <x v="20"/>
    <x v="23"/>
    <n v="1235"/>
    <n v="1"/>
    <n v="1235"/>
    <x v="2"/>
  </r>
  <r>
    <n v="340"/>
    <n v="45"/>
    <x v="9"/>
    <x v="231"/>
    <x v="3"/>
    <n v="1"/>
    <x v="0"/>
    <d v="2025-10-21T21:28:00"/>
    <x v="20"/>
    <x v="23"/>
    <n v="6559"/>
    <n v="2"/>
    <n v="13118"/>
    <x v="1"/>
  </r>
  <r>
    <n v="166"/>
    <n v="146"/>
    <x v="2"/>
    <x v="32"/>
    <x v="5"/>
    <n v="4"/>
    <x v="0"/>
    <d v="2025-10-21T22:14:00"/>
    <x v="20"/>
    <x v="18"/>
    <n v="50"/>
    <n v="2"/>
    <n v="100"/>
    <x v="3"/>
  </r>
  <r>
    <n v="576"/>
    <n v="91"/>
    <x v="9"/>
    <x v="112"/>
    <x v="3"/>
    <n v="1"/>
    <x v="0"/>
    <d v="2025-10-21T22:26:00"/>
    <x v="20"/>
    <x v="18"/>
    <n v="6144"/>
    <n v="1"/>
    <n v="6144"/>
    <x v="1"/>
  </r>
  <r>
    <n v="37"/>
    <n v="48"/>
    <x v="9"/>
    <x v="113"/>
    <x v="5"/>
    <n v="4"/>
    <x v="0"/>
    <d v="2025-10-21T22:56:00"/>
    <x v="20"/>
    <x v="18"/>
    <n v="1165"/>
    <n v="2"/>
    <n v="2330"/>
    <x v="2"/>
  </r>
  <r>
    <n v="70"/>
    <n v="219"/>
    <x v="6"/>
    <x v="33"/>
    <x v="5"/>
    <n v="4"/>
    <x v="0"/>
    <d v="2025-10-21T23:18:00"/>
    <x v="20"/>
    <x v="19"/>
    <n v="627"/>
    <n v="1"/>
    <n v="627"/>
    <x v="3"/>
  </r>
  <r>
    <n v="125"/>
    <n v="141"/>
    <x v="8"/>
    <x v="114"/>
    <x v="2"/>
    <n v="3"/>
    <x v="0"/>
    <d v="2025-10-21T23:26:00"/>
    <x v="20"/>
    <x v="19"/>
    <n v="1980"/>
    <n v="2"/>
    <n v="3960"/>
    <x v="2"/>
  </r>
  <r>
    <n v="215"/>
    <n v="108"/>
    <x v="2"/>
    <x v="226"/>
    <x v="5"/>
    <n v="4"/>
    <x v="0"/>
    <d v="2025-10-22T00:22:00"/>
    <x v="21"/>
    <x v="0"/>
    <n v="793"/>
    <n v="3"/>
    <n v="2379"/>
    <x v="3"/>
  </r>
  <r>
    <n v="90"/>
    <n v="248"/>
    <x v="9"/>
    <x v="48"/>
    <x v="2"/>
    <n v="3"/>
    <x v="1"/>
    <d v="2025-10-22T01:04:00"/>
    <x v="21"/>
    <x v="1"/>
    <n v="1831"/>
    <n v="0"/>
    <n v="0"/>
    <x v="2"/>
  </r>
  <r>
    <n v="438"/>
    <n v="163"/>
    <x v="9"/>
    <x v="191"/>
    <x v="6"/>
    <n v="5"/>
    <x v="0"/>
    <d v="2025-10-22T01:33:00"/>
    <x v="21"/>
    <x v="1"/>
    <n v="3917"/>
    <n v="4"/>
    <n v="15668"/>
    <x v="2"/>
  </r>
  <r>
    <n v="363"/>
    <n v="67"/>
    <x v="9"/>
    <x v="112"/>
    <x v="3"/>
    <n v="1"/>
    <x v="0"/>
    <d v="2025-10-22T02:23:00"/>
    <x v="21"/>
    <x v="2"/>
    <n v="3196"/>
    <n v="1"/>
    <n v="3196"/>
    <x v="2"/>
  </r>
  <r>
    <n v="747"/>
    <n v="255"/>
    <x v="8"/>
    <x v="31"/>
    <x v="0"/>
    <n v="2"/>
    <x v="0"/>
    <d v="2025-10-22T03:17:00"/>
    <x v="21"/>
    <x v="3"/>
    <n v="14152"/>
    <n v="2"/>
    <n v="28304"/>
    <x v="0"/>
  </r>
  <r>
    <n v="726"/>
    <n v="149"/>
    <x v="9"/>
    <x v="106"/>
    <x v="3"/>
    <n v="1"/>
    <x v="0"/>
    <d v="2025-10-22T03:49:00"/>
    <x v="21"/>
    <x v="3"/>
    <n v="4926"/>
    <n v="1"/>
    <n v="4926"/>
    <x v="2"/>
  </r>
  <r>
    <n v="477"/>
    <n v="61"/>
    <x v="1"/>
    <x v="60"/>
    <x v="3"/>
    <n v="1"/>
    <x v="0"/>
    <d v="2025-10-22T04:37:00"/>
    <x v="21"/>
    <x v="4"/>
    <n v="2385"/>
    <n v="2"/>
    <n v="4770"/>
    <x v="2"/>
  </r>
  <r>
    <n v="424"/>
    <n v="24"/>
    <x v="9"/>
    <x v="18"/>
    <x v="3"/>
    <n v="1"/>
    <x v="1"/>
    <d v="2025-10-22T05:09:00"/>
    <x v="21"/>
    <x v="20"/>
    <n v="6947"/>
    <n v="0"/>
    <n v="0"/>
    <x v="1"/>
  </r>
  <r>
    <n v="12"/>
    <n v="104"/>
    <x v="3"/>
    <x v="238"/>
    <x v="6"/>
    <n v="5"/>
    <x v="0"/>
    <d v="2025-10-22T05:39:00"/>
    <x v="21"/>
    <x v="20"/>
    <n v="2146"/>
    <n v="2"/>
    <n v="4292"/>
    <x v="2"/>
  </r>
  <r>
    <n v="316"/>
    <n v="154"/>
    <x v="7"/>
    <x v="12"/>
    <x v="5"/>
    <n v="4"/>
    <x v="0"/>
    <d v="2025-10-22T06:05:00"/>
    <x v="21"/>
    <x v="5"/>
    <n v="1407"/>
    <n v="1"/>
    <n v="1407"/>
    <x v="2"/>
  </r>
  <r>
    <n v="117"/>
    <n v="171"/>
    <x v="6"/>
    <x v="167"/>
    <x v="1"/>
    <n v="6"/>
    <x v="0"/>
    <d v="2025-10-22T06:42:00"/>
    <x v="21"/>
    <x v="5"/>
    <n v="10382"/>
    <n v="3"/>
    <n v="31146"/>
    <x v="0"/>
  </r>
  <r>
    <n v="30"/>
    <n v="90"/>
    <x v="9"/>
    <x v="52"/>
    <x v="0"/>
    <n v="2"/>
    <x v="0"/>
    <d v="2025-10-22T06:46:00"/>
    <x v="21"/>
    <x v="5"/>
    <n v="9594"/>
    <n v="1"/>
    <n v="9594"/>
    <x v="1"/>
  </r>
  <r>
    <n v="486"/>
    <n v="19"/>
    <x v="6"/>
    <x v="136"/>
    <x v="6"/>
    <n v="5"/>
    <x v="0"/>
    <d v="2025-10-22T07:43:00"/>
    <x v="21"/>
    <x v="6"/>
    <n v="1563"/>
    <n v="5"/>
    <n v="7815"/>
    <x v="2"/>
  </r>
  <r>
    <n v="550"/>
    <n v="172"/>
    <x v="4"/>
    <x v="270"/>
    <x v="2"/>
    <n v="3"/>
    <x v="0"/>
    <d v="2025-10-22T08:37:00"/>
    <x v="21"/>
    <x v="7"/>
    <n v="2658"/>
    <n v="2"/>
    <n v="5316"/>
    <x v="2"/>
  </r>
  <r>
    <n v="307"/>
    <n v="290"/>
    <x v="0"/>
    <x v="334"/>
    <x v="4"/>
    <n v="7"/>
    <x v="0"/>
    <d v="2025-10-22T08:38:00"/>
    <x v="21"/>
    <x v="7"/>
    <n v="5299"/>
    <n v="3"/>
    <n v="15897"/>
    <x v="1"/>
  </r>
  <r>
    <n v="549"/>
    <n v="10"/>
    <x v="6"/>
    <x v="135"/>
    <x v="3"/>
    <n v="1"/>
    <x v="0"/>
    <d v="2025-10-22T09:24:00"/>
    <x v="21"/>
    <x v="8"/>
    <n v="7085"/>
    <n v="1"/>
    <n v="7085"/>
    <x v="1"/>
  </r>
  <r>
    <n v="68"/>
    <n v="77"/>
    <x v="6"/>
    <x v="262"/>
    <x v="5"/>
    <n v="4"/>
    <x v="0"/>
    <d v="2025-10-22T09:28:00"/>
    <x v="21"/>
    <x v="8"/>
    <n v="571"/>
    <n v="3"/>
    <n v="1713"/>
    <x v="3"/>
  </r>
  <r>
    <n v="642"/>
    <n v="274"/>
    <x v="6"/>
    <x v="317"/>
    <x v="3"/>
    <n v="1"/>
    <x v="0"/>
    <d v="2025-10-22T09:39:00"/>
    <x v="21"/>
    <x v="8"/>
    <n v="3112"/>
    <n v="2"/>
    <n v="6224"/>
    <x v="2"/>
  </r>
  <r>
    <n v="399"/>
    <n v="96"/>
    <x v="9"/>
    <x v="112"/>
    <x v="3"/>
    <n v="1"/>
    <x v="0"/>
    <d v="2025-10-22T10:15:00"/>
    <x v="21"/>
    <x v="9"/>
    <n v="7784"/>
    <n v="1"/>
    <n v="7784"/>
    <x v="1"/>
  </r>
  <r>
    <n v="727"/>
    <n v="17"/>
    <x v="7"/>
    <x v="181"/>
    <x v="5"/>
    <n v="4"/>
    <x v="0"/>
    <d v="2025-10-22T10:19:00"/>
    <x v="21"/>
    <x v="9"/>
    <n v="1127"/>
    <n v="2"/>
    <n v="2254"/>
    <x v="2"/>
  </r>
  <r>
    <n v="244"/>
    <n v="191"/>
    <x v="1"/>
    <x v="178"/>
    <x v="4"/>
    <n v="7"/>
    <x v="0"/>
    <d v="2025-10-22T11:05:00"/>
    <x v="21"/>
    <x v="10"/>
    <n v="3735"/>
    <n v="3"/>
    <n v="11205"/>
    <x v="2"/>
  </r>
  <r>
    <n v="310"/>
    <n v="90"/>
    <x v="5"/>
    <x v="171"/>
    <x v="4"/>
    <n v="7"/>
    <x v="0"/>
    <d v="2025-10-22T11:52:00"/>
    <x v="21"/>
    <x v="10"/>
    <n v="5156"/>
    <n v="2"/>
    <n v="10312"/>
    <x v="1"/>
  </r>
  <r>
    <n v="95"/>
    <n v="228"/>
    <x v="0"/>
    <x v="87"/>
    <x v="5"/>
    <n v="4"/>
    <x v="0"/>
    <d v="2025-10-22T12:11:00"/>
    <x v="21"/>
    <x v="11"/>
    <n v="270"/>
    <n v="1"/>
    <n v="270"/>
    <x v="3"/>
  </r>
  <r>
    <n v="158"/>
    <n v="98"/>
    <x v="8"/>
    <x v="132"/>
    <x v="5"/>
    <n v="4"/>
    <x v="0"/>
    <d v="2025-10-22T12:11:00"/>
    <x v="21"/>
    <x v="11"/>
    <n v="898"/>
    <n v="1"/>
    <n v="898"/>
    <x v="3"/>
  </r>
  <r>
    <n v="795"/>
    <n v="168"/>
    <x v="3"/>
    <x v="56"/>
    <x v="5"/>
    <n v="4"/>
    <x v="0"/>
    <d v="2025-10-22T12:20:00"/>
    <x v="21"/>
    <x v="11"/>
    <n v="793"/>
    <n v="1"/>
    <n v="793"/>
    <x v="3"/>
  </r>
  <r>
    <n v="693"/>
    <n v="68"/>
    <x v="1"/>
    <x v="359"/>
    <x v="2"/>
    <n v="3"/>
    <x v="0"/>
    <d v="2025-10-22T12:45:00"/>
    <x v="21"/>
    <x v="11"/>
    <n v="2866"/>
    <n v="2"/>
    <n v="5732"/>
    <x v="2"/>
  </r>
  <r>
    <n v="397"/>
    <n v="268"/>
    <x v="0"/>
    <x v="283"/>
    <x v="0"/>
    <n v="2"/>
    <x v="0"/>
    <d v="2025-10-22T14:30:00"/>
    <x v="21"/>
    <x v="12"/>
    <n v="7531"/>
    <n v="3"/>
    <n v="22593"/>
    <x v="1"/>
  </r>
  <r>
    <n v="704"/>
    <n v="45"/>
    <x v="7"/>
    <x v="144"/>
    <x v="2"/>
    <n v="3"/>
    <x v="1"/>
    <d v="2025-10-22T14:57:00"/>
    <x v="21"/>
    <x v="12"/>
    <n v="2250"/>
    <n v="0"/>
    <n v="0"/>
    <x v="2"/>
  </r>
  <r>
    <n v="534"/>
    <n v="160"/>
    <x v="0"/>
    <x v="105"/>
    <x v="3"/>
    <n v="1"/>
    <x v="1"/>
    <d v="2025-10-22T15:05:00"/>
    <x v="21"/>
    <x v="13"/>
    <n v="3769"/>
    <n v="0"/>
    <n v="0"/>
    <x v="2"/>
  </r>
  <r>
    <n v="215"/>
    <n v="165"/>
    <x v="7"/>
    <x v="133"/>
    <x v="4"/>
    <n v="7"/>
    <x v="0"/>
    <d v="2025-10-22T15:31:00"/>
    <x v="21"/>
    <x v="13"/>
    <n v="1779"/>
    <n v="3"/>
    <n v="5337"/>
    <x v="2"/>
  </r>
  <r>
    <n v="546"/>
    <n v="164"/>
    <x v="7"/>
    <x v="73"/>
    <x v="2"/>
    <n v="3"/>
    <x v="0"/>
    <d v="2025-10-22T15:52:00"/>
    <x v="21"/>
    <x v="13"/>
    <n v="3040"/>
    <n v="3"/>
    <n v="9120"/>
    <x v="2"/>
  </r>
  <r>
    <n v="153"/>
    <n v="81"/>
    <x v="1"/>
    <x v="199"/>
    <x v="5"/>
    <n v="4"/>
    <x v="0"/>
    <d v="2025-10-22T16:32:00"/>
    <x v="21"/>
    <x v="14"/>
    <n v="1096"/>
    <n v="2"/>
    <n v="2192"/>
    <x v="2"/>
  </r>
  <r>
    <n v="574"/>
    <n v="264"/>
    <x v="0"/>
    <x v="249"/>
    <x v="2"/>
    <n v="3"/>
    <x v="0"/>
    <d v="2025-10-22T16:35:00"/>
    <x v="21"/>
    <x v="14"/>
    <n v="3599"/>
    <n v="1"/>
    <n v="3599"/>
    <x v="2"/>
  </r>
  <r>
    <n v="563"/>
    <n v="164"/>
    <x v="3"/>
    <x v="118"/>
    <x v="3"/>
    <n v="1"/>
    <x v="0"/>
    <d v="2025-10-22T17:13:00"/>
    <x v="21"/>
    <x v="15"/>
    <n v="1743"/>
    <n v="3"/>
    <n v="5229"/>
    <x v="2"/>
  </r>
  <r>
    <n v="251"/>
    <n v="88"/>
    <x v="7"/>
    <x v="85"/>
    <x v="4"/>
    <n v="7"/>
    <x v="0"/>
    <d v="2025-10-22T17:34:00"/>
    <x v="21"/>
    <x v="15"/>
    <n v="3592"/>
    <n v="4"/>
    <n v="14368"/>
    <x v="2"/>
  </r>
  <r>
    <n v="554"/>
    <n v="228"/>
    <x v="9"/>
    <x v="113"/>
    <x v="5"/>
    <n v="4"/>
    <x v="0"/>
    <d v="2025-10-22T19:01:00"/>
    <x v="21"/>
    <x v="22"/>
    <n v="154"/>
    <n v="3"/>
    <n v="462"/>
    <x v="3"/>
  </r>
  <r>
    <n v="692"/>
    <n v="26"/>
    <x v="0"/>
    <x v="322"/>
    <x v="5"/>
    <n v="4"/>
    <x v="0"/>
    <d v="2025-10-22T19:12:00"/>
    <x v="21"/>
    <x v="22"/>
    <n v="50"/>
    <n v="2"/>
    <n v="100"/>
    <x v="3"/>
  </r>
  <r>
    <n v="437"/>
    <n v="201"/>
    <x v="0"/>
    <x v="172"/>
    <x v="5"/>
    <n v="4"/>
    <x v="1"/>
    <d v="2025-10-22T19:39:00"/>
    <x v="21"/>
    <x v="22"/>
    <n v="262"/>
    <n v="0"/>
    <n v="0"/>
    <x v="3"/>
  </r>
  <r>
    <n v="645"/>
    <n v="229"/>
    <x v="9"/>
    <x v="48"/>
    <x v="2"/>
    <n v="3"/>
    <x v="0"/>
    <d v="2025-10-22T20:50:00"/>
    <x v="21"/>
    <x v="17"/>
    <n v="3126"/>
    <n v="2"/>
    <n v="6252"/>
    <x v="2"/>
  </r>
  <r>
    <n v="203"/>
    <n v="274"/>
    <x v="7"/>
    <x v="83"/>
    <x v="3"/>
    <n v="1"/>
    <x v="0"/>
    <d v="2025-10-22T20:53:00"/>
    <x v="21"/>
    <x v="17"/>
    <n v="6030"/>
    <n v="2"/>
    <n v="12060"/>
    <x v="1"/>
  </r>
  <r>
    <n v="135"/>
    <n v="48"/>
    <x v="8"/>
    <x v="210"/>
    <x v="6"/>
    <n v="5"/>
    <x v="0"/>
    <d v="2025-10-22T22:06:00"/>
    <x v="21"/>
    <x v="18"/>
    <n v="1307"/>
    <n v="1"/>
    <n v="1307"/>
    <x v="2"/>
  </r>
  <r>
    <n v="467"/>
    <n v="159"/>
    <x v="8"/>
    <x v="30"/>
    <x v="3"/>
    <n v="1"/>
    <x v="0"/>
    <d v="2025-10-22T22:37:00"/>
    <x v="21"/>
    <x v="18"/>
    <n v="7815"/>
    <n v="2"/>
    <n v="15630"/>
    <x v="1"/>
  </r>
  <r>
    <n v="238"/>
    <n v="115"/>
    <x v="8"/>
    <x v="37"/>
    <x v="3"/>
    <n v="1"/>
    <x v="1"/>
    <d v="2025-10-22T22:39:00"/>
    <x v="21"/>
    <x v="18"/>
    <n v="6736"/>
    <n v="0"/>
    <n v="0"/>
    <x v="1"/>
  </r>
  <r>
    <n v="402"/>
    <n v="94"/>
    <x v="7"/>
    <x v="275"/>
    <x v="1"/>
    <n v="6"/>
    <x v="0"/>
    <d v="2025-10-22T22:48:00"/>
    <x v="21"/>
    <x v="18"/>
    <n v="4469"/>
    <n v="2"/>
    <n v="8938"/>
    <x v="2"/>
  </r>
  <r>
    <n v="465"/>
    <n v="250"/>
    <x v="6"/>
    <x v="360"/>
    <x v="6"/>
    <n v="5"/>
    <x v="0"/>
    <d v="2025-10-22T23:21:00"/>
    <x v="21"/>
    <x v="19"/>
    <n v="3805"/>
    <n v="1"/>
    <n v="3805"/>
    <x v="2"/>
  </r>
  <r>
    <n v="360"/>
    <n v="246"/>
    <x v="8"/>
    <x v="318"/>
    <x v="6"/>
    <n v="5"/>
    <x v="0"/>
    <d v="2025-10-22T23:23:00"/>
    <x v="21"/>
    <x v="19"/>
    <n v="800"/>
    <n v="1"/>
    <n v="800"/>
    <x v="3"/>
  </r>
  <r>
    <n v="619"/>
    <n v="295"/>
    <x v="7"/>
    <x v="348"/>
    <x v="0"/>
    <n v="2"/>
    <x v="0"/>
    <d v="2025-10-22T23:46:00"/>
    <x v="21"/>
    <x v="19"/>
    <n v="11443"/>
    <n v="2"/>
    <n v="22886"/>
    <x v="0"/>
  </r>
  <r>
    <n v="732"/>
    <n v="55"/>
    <x v="1"/>
    <x v="251"/>
    <x v="0"/>
    <n v="2"/>
    <x v="0"/>
    <d v="2025-10-22T23:57:00"/>
    <x v="21"/>
    <x v="19"/>
    <n v="6147"/>
    <n v="2"/>
    <n v="12294"/>
    <x v="1"/>
  </r>
  <r>
    <n v="546"/>
    <n v="237"/>
    <x v="1"/>
    <x v="116"/>
    <x v="3"/>
    <n v="1"/>
    <x v="0"/>
    <d v="2025-10-23T00:23:00"/>
    <x v="22"/>
    <x v="0"/>
    <n v="3753"/>
    <n v="4"/>
    <n v="15012"/>
    <x v="2"/>
  </r>
  <r>
    <n v="636"/>
    <n v="125"/>
    <x v="2"/>
    <x v="361"/>
    <x v="6"/>
    <n v="5"/>
    <x v="0"/>
    <d v="2025-10-23T00:24:00"/>
    <x v="22"/>
    <x v="0"/>
    <n v="2543"/>
    <n v="1"/>
    <n v="2543"/>
    <x v="2"/>
  </r>
  <r>
    <n v="68"/>
    <n v="175"/>
    <x v="8"/>
    <x v="225"/>
    <x v="4"/>
    <n v="7"/>
    <x v="0"/>
    <d v="2025-10-23T01:18:00"/>
    <x v="22"/>
    <x v="1"/>
    <n v="5869"/>
    <n v="5"/>
    <n v="29345"/>
    <x v="1"/>
  </r>
  <r>
    <n v="446"/>
    <n v="291"/>
    <x v="9"/>
    <x v="188"/>
    <x v="2"/>
    <n v="3"/>
    <x v="0"/>
    <d v="2025-10-23T02:55:00"/>
    <x v="22"/>
    <x v="2"/>
    <n v="3360"/>
    <n v="2"/>
    <n v="6720"/>
    <x v="2"/>
  </r>
  <r>
    <n v="679"/>
    <n v="40"/>
    <x v="5"/>
    <x v="179"/>
    <x v="0"/>
    <n v="2"/>
    <x v="0"/>
    <d v="2025-10-23T04:27:00"/>
    <x v="22"/>
    <x v="4"/>
    <n v="9684"/>
    <n v="3"/>
    <n v="29052"/>
    <x v="1"/>
  </r>
  <r>
    <n v="611"/>
    <n v="238"/>
    <x v="1"/>
    <x v="149"/>
    <x v="0"/>
    <n v="2"/>
    <x v="0"/>
    <d v="2025-10-23T05:03:00"/>
    <x v="22"/>
    <x v="20"/>
    <n v="13456"/>
    <n v="2"/>
    <n v="26912"/>
    <x v="0"/>
  </r>
  <r>
    <n v="181"/>
    <n v="158"/>
    <x v="1"/>
    <x v="173"/>
    <x v="5"/>
    <n v="4"/>
    <x v="0"/>
    <d v="2025-10-23T05:07:00"/>
    <x v="22"/>
    <x v="20"/>
    <n v="800"/>
    <n v="1"/>
    <n v="800"/>
    <x v="3"/>
  </r>
  <r>
    <n v="702"/>
    <n v="195"/>
    <x v="9"/>
    <x v="330"/>
    <x v="4"/>
    <n v="7"/>
    <x v="0"/>
    <d v="2025-10-23T05:45:00"/>
    <x v="22"/>
    <x v="20"/>
    <n v="4659"/>
    <n v="2"/>
    <n v="9318"/>
    <x v="2"/>
  </r>
  <r>
    <n v="223"/>
    <n v="72"/>
    <x v="0"/>
    <x v="273"/>
    <x v="2"/>
    <n v="3"/>
    <x v="0"/>
    <d v="2025-10-23T05:45:00"/>
    <x v="22"/>
    <x v="20"/>
    <n v="4235"/>
    <n v="2"/>
    <n v="8470"/>
    <x v="2"/>
  </r>
  <r>
    <n v="677"/>
    <n v="77"/>
    <x v="0"/>
    <x v="269"/>
    <x v="0"/>
    <n v="2"/>
    <x v="0"/>
    <d v="2025-10-23T05:46:00"/>
    <x v="22"/>
    <x v="20"/>
    <n v="13701"/>
    <n v="3"/>
    <n v="41103"/>
    <x v="0"/>
  </r>
  <r>
    <n v="631"/>
    <n v="296"/>
    <x v="7"/>
    <x v="54"/>
    <x v="3"/>
    <n v="1"/>
    <x v="0"/>
    <d v="2025-10-23T05:56:00"/>
    <x v="22"/>
    <x v="20"/>
    <n v="4782"/>
    <n v="1"/>
    <n v="4782"/>
    <x v="2"/>
  </r>
  <r>
    <n v="325"/>
    <n v="154"/>
    <x v="5"/>
    <x v="164"/>
    <x v="3"/>
    <n v="1"/>
    <x v="0"/>
    <d v="2025-10-23T06:14:00"/>
    <x v="22"/>
    <x v="5"/>
    <n v="4563"/>
    <n v="2"/>
    <n v="9126"/>
    <x v="2"/>
  </r>
  <r>
    <n v="736"/>
    <n v="177"/>
    <x v="7"/>
    <x v="143"/>
    <x v="4"/>
    <n v="7"/>
    <x v="0"/>
    <d v="2025-10-23T06:53:00"/>
    <x v="22"/>
    <x v="5"/>
    <n v="6318"/>
    <n v="3"/>
    <n v="18954"/>
    <x v="1"/>
  </r>
  <r>
    <n v="523"/>
    <n v="207"/>
    <x v="0"/>
    <x v="323"/>
    <x v="0"/>
    <n v="2"/>
    <x v="0"/>
    <d v="2025-10-23T07:23:00"/>
    <x v="22"/>
    <x v="6"/>
    <n v="5560"/>
    <n v="1"/>
    <n v="5560"/>
    <x v="1"/>
  </r>
  <r>
    <n v="563"/>
    <n v="28"/>
    <x v="0"/>
    <x v="212"/>
    <x v="0"/>
    <n v="2"/>
    <x v="0"/>
    <d v="2025-10-23T07:39:00"/>
    <x v="22"/>
    <x v="6"/>
    <n v="6039"/>
    <n v="1"/>
    <n v="6039"/>
    <x v="1"/>
  </r>
  <r>
    <n v="113"/>
    <n v="145"/>
    <x v="3"/>
    <x v="118"/>
    <x v="3"/>
    <n v="1"/>
    <x v="0"/>
    <d v="2025-10-23T07:48:00"/>
    <x v="22"/>
    <x v="6"/>
    <n v="1166"/>
    <n v="3"/>
    <n v="3498"/>
    <x v="2"/>
  </r>
  <r>
    <n v="605"/>
    <n v="202"/>
    <x v="2"/>
    <x v="46"/>
    <x v="0"/>
    <n v="2"/>
    <x v="0"/>
    <d v="2025-10-23T10:23:00"/>
    <x v="22"/>
    <x v="9"/>
    <n v="4430"/>
    <n v="2"/>
    <n v="8860"/>
    <x v="2"/>
  </r>
  <r>
    <n v="391"/>
    <n v="223"/>
    <x v="2"/>
    <x v="362"/>
    <x v="4"/>
    <n v="7"/>
    <x v="0"/>
    <d v="2025-10-23T10:37:00"/>
    <x v="22"/>
    <x v="9"/>
    <n v="6583"/>
    <n v="2"/>
    <n v="13166"/>
    <x v="1"/>
  </r>
  <r>
    <n v="143"/>
    <n v="97"/>
    <x v="4"/>
    <x v="93"/>
    <x v="5"/>
    <n v="4"/>
    <x v="0"/>
    <d v="2025-10-23T10:53:00"/>
    <x v="22"/>
    <x v="9"/>
    <n v="1074"/>
    <n v="2"/>
    <n v="2148"/>
    <x v="2"/>
  </r>
  <r>
    <n v="158"/>
    <n v="148"/>
    <x v="6"/>
    <x v="33"/>
    <x v="5"/>
    <n v="4"/>
    <x v="0"/>
    <d v="2025-10-23T10:58:00"/>
    <x v="22"/>
    <x v="9"/>
    <n v="1183"/>
    <n v="1"/>
    <n v="1183"/>
    <x v="2"/>
  </r>
  <r>
    <n v="74"/>
    <n v="9"/>
    <x v="4"/>
    <x v="126"/>
    <x v="0"/>
    <n v="2"/>
    <x v="0"/>
    <d v="2025-10-23T11:40:00"/>
    <x v="22"/>
    <x v="10"/>
    <n v="14842"/>
    <n v="4"/>
    <n v="59368"/>
    <x v="0"/>
  </r>
  <r>
    <n v="448"/>
    <n v="70"/>
    <x v="8"/>
    <x v="213"/>
    <x v="1"/>
    <n v="6"/>
    <x v="0"/>
    <d v="2025-10-23T12:11:00"/>
    <x v="22"/>
    <x v="11"/>
    <n v="4528"/>
    <n v="2"/>
    <n v="9056"/>
    <x v="2"/>
  </r>
  <r>
    <n v="713"/>
    <n v="218"/>
    <x v="2"/>
    <x v="97"/>
    <x v="6"/>
    <n v="5"/>
    <x v="0"/>
    <d v="2025-10-23T12:18:00"/>
    <x v="22"/>
    <x v="11"/>
    <n v="1016"/>
    <n v="3"/>
    <n v="3048"/>
    <x v="2"/>
  </r>
  <r>
    <n v="435"/>
    <n v="283"/>
    <x v="8"/>
    <x v="210"/>
    <x v="6"/>
    <n v="5"/>
    <x v="0"/>
    <d v="2025-10-23T12:20:00"/>
    <x v="22"/>
    <x v="11"/>
    <n v="3244"/>
    <n v="2"/>
    <n v="6488"/>
    <x v="2"/>
  </r>
  <r>
    <n v="232"/>
    <n v="96"/>
    <x v="2"/>
    <x v="250"/>
    <x v="3"/>
    <n v="1"/>
    <x v="0"/>
    <d v="2025-10-23T12:50:00"/>
    <x v="22"/>
    <x v="11"/>
    <n v="7748"/>
    <n v="2"/>
    <n v="15496"/>
    <x v="1"/>
  </r>
  <r>
    <n v="511"/>
    <n v="122"/>
    <x v="0"/>
    <x v="160"/>
    <x v="3"/>
    <n v="1"/>
    <x v="1"/>
    <d v="2025-10-23T13:19:00"/>
    <x v="22"/>
    <x v="21"/>
    <n v="4588"/>
    <n v="0"/>
    <n v="0"/>
    <x v="2"/>
  </r>
  <r>
    <n v="591"/>
    <n v="188"/>
    <x v="2"/>
    <x v="64"/>
    <x v="0"/>
    <n v="2"/>
    <x v="0"/>
    <d v="2025-10-23T13:27:00"/>
    <x v="22"/>
    <x v="21"/>
    <n v="12157"/>
    <n v="2"/>
    <n v="24314"/>
    <x v="0"/>
  </r>
  <r>
    <n v="722"/>
    <n v="189"/>
    <x v="9"/>
    <x v="18"/>
    <x v="3"/>
    <n v="1"/>
    <x v="0"/>
    <d v="2025-10-23T14:47:00"/>
    <x v="22"/>
    <x v="12"/>
    <n v="1093"/>
    <n v="1"/>
    <n v="1093"/>
    <x v="2"/>
  </r>
  <r>
    <n v="146"/>
    <n v="270"/>
    <x v="8"/>
    <x v="318"/>
    <x v="6"/>
    <n v="5"/>
    <x v="0"/>
    <d v="2025-10-23T14:51:00"/>
    <x v="22"/>
    <x v="12"/>
    <n v="1360"/>
    <n v="3"/>
    <n v="4080"/>
    <x v="2"/>
  </r>
  <r>
    <n v="530"/>
    <n v="41"/>
    <x v="7"/>
    <x v="54"/>
    <x v="3"/>
    <n v="1"/>
    <x v="1"/>
    <d v="2025-10-23T15:06:00"/>
    <x v="22"/>
    <x v="13"/>
    <n v="7346"/>
    <n v="0"/>
    <n v="0"/>
    <x v="1"/>
  </r>
  <r>
    <n v="484"/>
    <n v="40"/>
    <x v="1"/>
    <x v="327"/>
    <x v="1"/>
    <n v="6"/>
    <x v="0"/>
    <d v="2025-10-23T16:22:00"/>
    <x v="22"/>
    <x v="14"/>
    <n v="10686"/>
    <n v="1"/>
    <n v="10686"/>
    <x v="0"/>
  </r>
  <r>
    <n v="320"/>
    <n v="28"/>
    <x v="3"/>
    <x v="3"/>
    <x v="3"/>
    <n v="1"/>
    <x v="0"/>
    <d v="2025-10-23T16:37:00"/>
    <x v="22"/>
    <x v="14"/>
    <n v="6727"/>
    <n v="3"/>
    <n v="20181"/>
    <x v="1"/>
  </r>
  <r>
    <n v="465"/>
    <n v="263"/>
    <x v="0"/>
    <x v="187"/>
    <x v="6"/>
    <n v="5"/>
    <x v="0"/>
    <d v="2025-10-23T17:04:00"/>
    <x v="22"/>
    <x v="15"/>
    <n v="2280"/>
    <n v="2"/>
    <n v="4560"/>
    <x v="2"/>
  </r>
  <r>
    <n v="362"/>
    <n v="151"/>
    <x v="6"/>
    <x v="28"/>
    <x v="0"/>
    <n v="2"/>
    <x v="0"/>
    <d v="2025-10-23T17:17:00"/>
    <x v="22"/>
    <x v="15"/>
    <n v="11780"/>
    <n v="1"/>
    <n v="11780"/>
    <x v="0"/>
  </r>
  <r>
    <n v="612"/>
    <n v="156"/>
    <x v="0"/>
    <x v="39"/>
    <x v="3"/>
    <n v="1"/>
    <x v="1"/>
    <d v="2025-10-23T17:26:00"/>
    <x v="22"/>
    <x v="15"/>
    <n v="3254"/>
    <n v="0"/>
    <n v="0"/>
    <x v="2"/>
  </r>
  <r>
    <n v="593"/>
    <n v="87"/>
    <x v="0"/>
    <x v="322"/>
    <x v="5"/>
    <n v="4"/>
    <x v="0"/>
    <d v="2025-10-23T19:15:00"/>
    <x v="22"/>
    <x v="22"/>
    <n v="1137"/>
    <n v="3"/>
    <n v="3411"/>
    <x v="2"/>
  </r>
  <r>
    <n v="640"/>
    <n v="14"/>
    <x v="7"/>
    <x v="117"/>
    <x v="3"/>
    <n v="1"/>
    <x v="1"/>
    <d v="2025-10-23T19:29:00"/>
    <x v="22"/>
    <x v="22"/>
    <n v="5518"/>
    <n v="0"/>
    <n v="0"/>
    <x v="1"/>
  </r>
  <r>
    <n v="518"/>
    <n v="40"/>
    <x v="1"/>
    <x v="161"/>
    <x v="0"/>
    <n v="2"/>
    <x v="0"/>
    <d v="2025-10-23T20:29:00"/>
    <x v="22"/>
    <x v="17"/>
    <n v="8747"/>
    <n v="3"/>
    <n v="26241"/>
    <x v="1"/>
  </r>
  <r>
    <n v="288"/>
    <n v="141"/>
    <x v="4"/>
    <x v="65"/>
    <x v="0"/>
    <n v="2"/>
    <x v="0"/>
    <d v="2025-10-23T20:36:00"/>
    <x v="22"/>
    <x v="17"/>
    <n v="8481"/>
    <n v="2"/>
    <n v="16962"/>
    <x v="1"/>
  </r>
  <r>
    <n v="179"/>
    <n v="78"/>
    <x v="1"/>
    <x v="23"/>
    <x v="5"/>
    <n v="4"/>
    <x v="1"/>
    <d v="2025-10-23T20:42:00"/>
    <x v="22"/>
    <x v="17"/>
    <n v="383"/>
    <n v="0"/>
    <n v="0"/>
    <x v="3"/>
  </r>
  <r>
    <n v="268"/>
    <n v="121"/>
    <x v="6"/>
    <x v="146"/>
    <x v="3"/>
    <n v="1"/>
    <x v="1"/>
    <d v="2025-10-23T20:43:00"/>
    <x v="22"/>
    <x v="17"/>
    <n v="6427"/>
    <n v="0"/>
    <n v="0"/>
    <x v="1"/>
  </r>
  <r>
    <n v="352"/>
    <n v="44"/>
    <x v="3"/>
    <x v="43"/>
    <x v="4"/>
    <n v="7"/>
    <x v="1"/>
    <d v="2025-10-23T21:11:00"/>
    <x v="22"/>
    <x v="23"/>
    <n v="5364"/>
    <n v="0"/>
    <n v="0"/>
    <x v="1"/>
  </r>
  <r>
    <n v="771"/>
    <n v="212"/>
    <x v="4"/>
    <x v="66"/>
    <x v="3"/>
    <n v="1"/>
    <x v="0"/>
    <d v="2025-10-23T21:23:00"/>
    <x v="22"/>
    <x v="23"/>
    <n v="2292"/>
    <n v="3"/>
    <n v="6876"/>
    <x v="2"/>
  </r>
  <r>
    <n v="744"/>
    <n v="86"/>
    <x v="5"/>
    <x v="72"/>
    <x v="6"/>
    <n v="5"/>
    <x v="0"/>
    <d v="2025-10-23T22:16:00"/>
    <x v="22"/>
    <x v="18"/>
    <n v="3951"/>
    <n v="1"/>
    <n v="3951"/>
    <x v="2"/>
  </r>
  <r>
    <n v="658"/>
    <n v="136"/>
    <x v="6"/>
    <x v="79"/>
    <x v="2"/>
    <n v="3"/>
    <x v="0"/>
    <d v="2025-10-23T22:33:00"/>
    <x v="22"/>
    <x v="18"/>
    <n v="3322"/>
    <n v="2"/>
    <n v="6644"/>
    <x v="2"/>
  </r>
  <r>
    <n v="476"/>
    <n v="205"/>
    <x v="0"/>
    <x v="5"/>
    <x v="4"/>
    <n v="7"/>
    <x v="0"/>
    <d v="2025-10-24T00:04:00"/>
    <x v="23"/>
    <x v="0"/>
    <n v="7547"/>
    <n v="2"/>
    <n v="15094"/>
    <x v="1"/>
  </r>
  <r>
    <n v="771"/>
    <n v="273"/>
    <x v="8"/>
    <x v="207"/>
    <x v="0"/>
    <n v="2"/>
    <x v="0"/>
    <d v="2025-10-24T00:10:00"/>
    <x v="23"/>
    <x v="0"/>
    <n v="11756"/>
    <n v="4"/>
    <n v="47024"/>
    <x v="0"/>
  </r>
  <r>
    <n v="269"/>
    <n v="75"/>
    <x v="2"/>
    <x v="148"/>
    <x v="3"/>
    <n v="1"/>
    <x v="0"/>
    <d v="2025-10-24T01:03:00"/>
    <x v="23"/>
    <x v="1"/>
    <n v="2908"/>
    <n v="1"/>
    <n v="2908"/>
    <x v="2"/>
  </r>
  <r>
    <n v="460"/>
    <n v="196"/>
    <x v="0"/>
    <x v="212"/>
    <x v="0"/>
    <n v="2"/>
    <x v="0"/>
    <d v="2025-10-24T01:43:00"/>
    <x v="23"/>
    <x v="1"/>
    <n v="12712"/>
    <n v="1"/>
    <n v="12712"/>
    <x v="0"/>
  </r>
  <r>
    <n v="545"/>
    <n v="182"/>
    <x v="0"/>
    <x v="347"/>
    <x v="0"/>
    <n v="2"/>
    <x v="0"/>
    <d v="2025-10-24T02:22:00"/>
    <x v="23"/>
    <x v="2"/>
    <n v="9243"/>
    <n v="4"/>
    <n v="36972"/>
    <x v="1"/>
  </r>
  <r>
    <n v="277"/>
    <n v="137"/>
    <x v="7"/>
    <x v="308"/>
    <x v="4"/>
    <n v="7"/>
    <x v="0"/>
    <d v="2025-10-24T03:12:00"/>
    <x v="23"/>
    <x v="3"/>
    <n v="5149"/>
    <n v="1"/>
    <n v="5149"/>
    <x v="1"/>
  </r>
  <r>
    <n v="599"/>
    <n v="201"/>
    <x v="7"/>
    <x v="117"/>
    <x v="3"/>
    <n v="1"/>
    <x v="0"/>
    <d v="2025-10-24T03:49:00"/>
    <x v="23"/>
    <x v="3"/>
    <n v="7422"/>
    <n v="4"/>
    <n v="29688"/>
    <x v="1"/>
  </r>
  <r>
    <n v="689"/>
    <n v="100"/>
    <x v="5"/>
    <x v="298"/>
    <x v="4"/>
    <n v="7"/>
    <x v="0"/>
    <d v="2025-10-24T04:16:00"/>
    <x v="23"/>
    <x v="4"/>
    <n v="5472"/>
    <n v="1"/>
    <n v="5472"/>
    <x v="1"/>
  </r>
  <r>
    <n v="561"/>
    <n v="6"/>
    <x v="4"/>
    <x v="363"/>
    <x v="1"/>
    <n v="6"/>
    <x v="0"/>
    <d v="2025-10-24T04:19:00"/>
    <x v="23"/>
    <x v="4"/>
    <n v="10490"/>
    <n v="5"/>
    <n v="52450"/>
    <x v="0"/>
  </r>
  <r>
    <n v="101"/>
    <n v="269"/>
    <x v="0"/>
    <x v="283"/>
    <x v="0"/>
    <n v="2"/>
    <x v="0"/>
    <d v="2025-10-24T04:20:00"/>
    <x v="23"/>
    <x v="4"/>
    <n v="4000"/>
    <n v="4"/>
    <n v="16000"/>
    <x v="2"/>
  </r>
  <r>
    <n v="225"/>
    <n v="146"/>
    <x v="8"/>
    <x v="71"/>
    <x v="2"/>
    <n v="3"/>
    <x v="0"/>
    <d v="2025-10-24T05:27:00"/>
    <x v="23"/>
    <x v="20"/>
    <n v="2501"/>
    <n v="2"/>
    <n v="5002"/>
    <x v="2"/>
  </r>
  <r>
    <n v="635"/>
    <n v="48"/>
    <x v="0"/>
    <x v="229"/>
    <x v="6"/>
    <n v="5"/>
    <x v="0"/>
    <d v="2025-10-24T05:53:00"/>
    <x v="23"/>
    <x v="20"/>
    <n v="1729"/>
    <n v="3"/>
    <n v="5187"/>
    <x v="2"/>
  </r>
  <r>
    <n v="654"/>
    <n v="63"/>
    <x v="5"/>
    <x v="171"/>
    <x v="4"/>
    <n v="7"/>
    <x v="0"/>
    <d v="2025-10-24T06:35:00"/>
    <x v="23"/>
    <x v="5"/>
    <n v="2069"/>
    <n v="1"/>
    <n v="2069"/>
    <x v="2"/>
  </r>
  <r>
    <n v="385"/>
    <n v="290"/>
    <x v="9"/>
    <x v="202"/>
    <x v="1"/>
    <n v="6"/>
    <x v="0"/>
    <d v="2025-10-24T06:52:00"/>
    <x v="23"/>
    <x v="5"/>
    <n v="3809"/>
    <n v="5"/>
    <n v="19045"/>
    <x v="2"/>
  </r>
  <r>
    <n v="302"/>
    <n v="240"/>
    <x v="4"/>
    <x v="137"/>
    <x v="6"/>
    <n v="5"/>
    <x v="0"/>
    <d v="2025-10-24T06:56:00"/>
    <x v="23"/>
    <x v="5"/>
    <n v="1412"/>
    <n v="3"/>
    <n v="4236"/>
    <x v="2"/>
  </r>
  <r>
    <n v="788"/>
    <n v="219"/>
    <x v="8"/>
    <x v="129"/>
    <x v="5"/>
    <n v="4"/>
    <x v="0"/>
    <d v="2025-10-24T06:59:00"/>
    <x v="23"/>
    <x v="5"/>
    <n v="1240"/>
    <n v="3"/>
    <n v="3720"/>
    <x v="2"/>
  </r>
  <r>
    <n v="166"/>
    <n v="38"/>
    <x v="6"/>
    <x v="262"/>
    <x v="5"/>
    <n v="4"/>
    <x v="1"/>
    <d v="2025-10-24T07:30:00"/>
    <x v="23"/>
    <x v="6"/>
    <n v="1500"/>
    <n v="0"/>
    <n v="0"/>
    <x v="2"/>
  </r>
  <r>
    <n v="398"/>
    <n v="171"/>
    <x v="0"/>
    <x v="227"/>
    <x v="2"/>
    <n v="3"/>
    <x v="0"/>
    <d v="2025-10-24T07:45:00"/>
    <x v="23"/>
    <x v="6"/>
    <n v="3968"/>
    <n v="2"/>
    <n v="7936"/>
    <x v="2"/>
  </r>
  <r>
    <n v="452"/>
    <n v="36"/>
    <x v="7"/>
    <x v="337"/>
    <x v="3"/>
    <n v="1"/>
    <x v="0"/>
    <d v="2025-10-24T07:51:00"/>
    <x v="23"/>
    <x v="6"/>
    <n v="1424"/>
    <n v="4"/>
    <n v="5696"/>
    <x v="2"/>
  </r>
  <r>
    <n v="183"/>
    <n v="252"/>
    <x v="9"/>
    <x v="18"/>
    <x v="3"/>
    <n v="1"/>
    <x v="0"/>
    <d v="2025-10-24T08:09:00"/>
    <x v="23"/>
    <x v="7"/>
    <n v="4930"/>
    <n v="1"/>
    <n v="4930"/>
    <x v="2"/>
  </r>
  <r>
    <n v="224"/>
    <n v="55"/>
    <x v="3"/>
    <x v="324"/>
    <x v="4"/>
    <n v="7"/>
    <x v="0"/>
    <d v="2025-10-24T08:10:00"/>
    <x v="23"/>
    <x v="7"/>
    <n v="2261"/>
    <n v="1"/>
    <n v="2261"/>
    <x v="2"/>
  </r>
  <r>
    <n v="36"/>
    <n v="38"/>
    <x v="7"/>
    <x v="12"/>
    <x v="5"/>
    <n v="4"/>
    <x v="0"/>
    <d v="2025-10-24T08:33:00"/>
    <x v="23"/>
    <x v="7"/>
    <n v="1120"/>
    <n v="1"/>
    <n v="1120"/>
    <x v="2"/>
  </r>
  <r>
    <n v="20"/>
    <n v="255"/>
    <x v="7"/>
    <x v="236"/>
    <x v="5"/>
    <n v="4"/>
    <x v="0"/>
    <d v="2025-10-24T08:42:00"/>
    <x v="23"/>
    <x v="7"/>
    <n v="286"/>
    <n v="1"/>
    <n v="286"/>
    <x v="3"/>
  </r>
  <r>
    <n v="681"/>
    <n v="200"/>
    <x v="0"/>
    <x v="347"/>
    <x v="0"/>
    <n v="2"/>
    <x v="0"/>
    <d v="2025-10-24T09:24:00"/>
    <x v="23"/>
    <x v="8"/>
    <n v="6572"/>
    <n v="2"/>
    <n v="13144"/>
    <x v="1"/>
  </r>
  <r>
    <n v="589"/>
    <n v="2"/>
    <x v="6"/>
    <x v="33"/>
    <x v="5"/>
    <n v="4"/>
    <x v="0"/>
    <d v="2025-10-24T09:34:00"/>
    <x v="23"/>
    <x v="8"/>
    <n v="472"/>
    <n v="2"/>
    <n v="944"/>
    <x v="3"/>
  </r>
  <r>
    <n v="447"/>
    <n v="207"/>
    <x v="8"/>
    <x v="140"/>
    <x v="5"/>
    <n v="4"/>
    <x v="1"/>
    <d v="2025-10-24T09:50:00"/>
    <x v="23"/>
    <x v="8"/>
    <n v="1267"/>
    <n v="0"/>
    <n v="0"/>
    <x v="2"/>
  </r>
  <r>
    <n v="394"/>
    <n v="247"/>
    <x v="5"/>
    <x v="10"/>
    <x v="1"/>
    <n v="6"/>
    <x v="0"/>
    <d v="2025-10-24T09:50:00"/>
    <x v="23"/>
    <x v="8"/>
    <n v="3224"/>
    <n v="1"/>
    <n v="3224"/>
    <x v="2"/>
  </r>
  <r>
    <n v="342"/>
    <n v="156"/>
    <x v="3"/>
    <x v="234"/>
    <x v="6"/>
    <n v="5"/>
    <x v="0"/>
    <d v="2025-10-24T09:52:00"/>
    <x v="23"/>
    <x v="8"/>
    <n v="1386"/>
    <n v="4"/>
    <n v="5544"/>
    <x v="2"/>
  </r>
  <r>
    <n v="548"/>
    <n v="175"/>
    <x v="1"/>
    <x v="206"/>
    <x v="6"/>
    <n v="5"/>
    <x v="0"/>
    <d v="2025-10-24T10:06:00"/>
    <x v="23"/>
    <x v="9"/>
    <n v="2268"/>
    <n v="2"/>
    <n v="4536"/>
    <x v="2"/>
  </r>
  <r>
    <n v="208"/>
    <n v="91"/>
    <x v="7"/>
    <x v="117"/>
    <x v="3"/>
    <n v="1"/>
    <x v="0"/>
    <d v="2025-10-24T10:23:00"/>
    <x v="23"/>
    <x v="9"/>
    <n v="1694"/>
    <n v="1"/>
    <n v="1694"/>
    <x v="2"/>
  </r>
  <r>
    <n v="307"/>
    <n v="200"/>
    <x v="2"/>
    <x v="32"/>
    <x v="5"/>
    <n v="4"/>
    <x v="1"/>
    <d v="2025-10-24T10:47:00"/>
    <x v="23"/>
    <x v="9"/>
    <n v="1005"/>
    <n v="0"/>
    <n v="0"/>
    <x v="2"/>
  </r>
  <r>
    <n v="87"/>
    <n v="225"/>
    <x v="6"/>
    <x v="28"/>
    <x v="0"/>
    <n v="2"/>
    <x v="0"/>
    <d v="2025-10-24T10:56:00"/>
    <x v="23"/>
    <x v="9"/>
    <n v="5871"/>
    <n v="1"/>
    <n v="5871"/>
    <x v="1"/>
  </r>
  <r>
    <n v="198"/>
    <n v="13"/>
    <x v="4"/>
    <x v="102"/>
    <x v="3"/>
    <n v="1"/>
    <x v="0"/>
    <d v="2025-10-24T11:28:00"/>
    <x v="23"/>
    <x v="10"/>
    <n v="6920"/>
    <n v="2"/>
    <n v="13840"/>
    <x v="1"/>
  </r>
  <r>
    <n v="399"/>
    <n v="33"/>
    <x v="5"/>
    <x v="147"/>
    <x v="3"/>
    <n v="1"/>
    <x v="0"/>
    <d v="2025-10-24T12:20:00"/>
    <x v="23"/>
    <x v="11"/>
    <n v="6999"/>
    <n v="3"/>
    <n v="20997"/>
    <x v="1"/>
  </r>
  <r>
    <n v="547"/>
    <n v="231"/>
    <x v="7"/>
    <x v="54"/>
    <x v="3"/>
    <n v="1"/>
    <x v="0"/>
    <d v="2025-10-24T13:00:00"/>
    <x v="23"/>
    <x v="21"/>
    <n v="7570"/>
    <n v="2"/>
    <n v="15140"/>
    <x v="1"/>
  </r>
  <r>
    <n v="346"/>
    <n v="22"/>
    <x v="6"/>
    <x v="167"/>
    <x v="1"/>
    <n v="6"/>
    <x v="0"/>
    <d v="2025-10-24T13:01:00"/>
    <x v="23"/>
    <x v="21"/>
    <n v="2086"/>
    <n v="3"/>
    <n v="6258"/>
    <x v="2"/>
  </r>
  <r>
    <n v="470"/>
    <n v="275"/>
    <x v="5"/>
    <x v="258"/>
    <x v="2"/>
    <n v="3"/>
    <x v="1"/>
    <d v="2025-10-24T13:18:00"/>
    <x v="23"/>
    <x v="21"/>
    <n v="4681"/>
    <n v="0"/>
    <n v="0"/>
    <x v="2"/>
  </r>
  <r>
    <n v="74"/>
    <n v="19"/>
    <x v="9"/>
    <x v="202"/>
    <x v="1"/>
    <n v="6"/>
    <x v="1"/>
    <d v="2025-10-24T13:21:00"/>
    <x v="23"/>
    <x v="21"/>
    <n v="4619"/>
    <n v="0"/>
    <n v="0"/>
    <x v="2"/>
  </r>
  <r>
    <n v="634"/>
    <n v="24"/>
    <x v="0"/>
    <x v="319"/>
    <x v="1"/>
    <n v="6"/>
    <x v="0"/>
    <d v="2025-10-24T13:29:00"/>
    <x v="23"/>
    <x v="21"/>
    <n v="4369"/>
    <n v="1"/>
    <n v="4369"/>
    <x v="2"/>
  </r>
  <r>
    <n v="177"/>
    <n v="26"/>
    <x v="4"/>
    <x v="102"/>
    <x v="3"/>
    <n v="1"/>
    <x v="0"/>
    <d v="2025-10-24T15:23:00"/>
    <x v="23"/>
    <x v="13"/>
    <n v="3147"/>
    <n v="1"/>
    <n v="3147"/>
    <x v="2"/>
  </r>
  <r>
    <n v="175"/>
    <n v="33"/>
    <x v="8"/>
    <x v="22"/>
    <x v="2"/>
    <n v="3"/>
    <x v="0"/>
    <d v="2025-10-24T15:27:00"/>
    <x v="23"/>
    <x v="13"/>
    <n v="3866"/>
    <n v="4"/>
    <n v="15464"/>
    <x v="2"/>
  </r>
  <r>
    <n v="610"/>
    <n v="113"/>
    <x v="1"/>
    <x v="77"/>
    <x v="3"/>
    <n v="1"/>
    <x v="0"/>
    <d v="2025-10-24T15:45:00"/>
    <x v="23"/>
    <x v="13"/>
    <n v="7553"/>
    <n v="1"/>
    <n v="7553"/>
    <x v="1"/>
  </r>
  <r>
    <n v="756"/>
    <n v="206"/>
    <x v="2"/>
    <x v="80"/>
    <x v="0"/>
    <n v="2"/>
    <x v="0"/>
    <d v="2025-10-24T16:11:00"/>
    <x v="23"/>
    <x v="14"/>
    <n v="4936"/>
    <n v="1"/>
    <n v="4936"/>
    <x v="2"/>
  </r>
  <r>
    <n v="141"/>
    <n v="165"/>
    <x v="9"/>
    <x v="100"/>
    <x v="5"/>
    <n v="4"/>
    <x v="0"/>
    <d v="2025-10-24T16:43:00"/>
    <x v="23"/>
    <x v="14"/>
    <n v="575"/>
    <n v="3"/>
    <n v="1725"/>
    <x v="3"/>
  </r>
  <r>
    <n v="178"/>
    <n v="172"/>
    <x v="0"/>
    <x v="323"/>
    <x v="0"/>
    <n v="2"/>
    <x v="0"/>
    <d v="2025-10-24T17:05:00"/>
    <x v="23"/>
    <x v="15"/>
    <n v="7684"/>
    <n v="2"/>
    <n v="15368"/>
    <x v="1"/>
  </r>
  <r>
    <n v="776"/>
    <n v="213"/>
    <x v="7"/>
    <x v="281"/>
    <x v="6"/>
    <n v="5"/>
    <x v="0"/>
    <d v="2025-10-24T17:05:00"/>
    <x v="23"/>
    <x v="15"/>
    <n v="919"/>
    <n v="1"/>
    <n v="919"/>
    <x v="3"/>
  </r>
  <r>
    <n v="169"/>
    <n v="225"/>
    <x v="6"/>
    <x v="96"/>
    <x v="5"/>
    <n v="4"/>
    <x v="0"/>
    <d v="2025-10-24T17:15:00"/>
    <x v="23"/>
    <x v="15"/>
    <n v="550"/>
    <n v="2"/>
    <n v="1100"/>
    <x v="3"/>
  </r>
  <r>
    <n v="103"/>
    <n v="193"/>
    <x v="0"/>
    <x v="301"/>
    <x v="2"/>
    <n v="3"/>
    <x v="0"/>
    <d v="2025-10-24T17:35:00"/>
    <x v="23"/>
    <x v="15"/>
    <n v="3592"/>
    <n v="2"/>
    <n v="7184"/>
    <x v="2"/>
  </r>
  <r>
    <n v="83"/>
    <n v="4"/>
    <x v="0"/>
    <x v="187"/>
    <x v="6"/>
    <n v="5"/>
    <x v="0"/>
    <d v="2025-10-24T17:37:00"/>
    <x v="23"/>
    <x v="15"/>
    <n v="3865"/>
    <n v="1"/>
    <n v="3865"/>
    <x v="2"/>
  </r>
  <r>
    <n v="668"/>
    <n v="146"/>
    <x v="1"/>
    <x v="268"/>
    <x v="4"/>
    <n v="7"/>
    <x v="1"/>
    <d v="2025-10-24T17:49:00"/>
    <x v="23"/>
    <x v="15"/>
    <n v="1500"/>
    <n v="0"/>
    <n v="0"/>
    <x v="2"/>
  </r>
  <r>
    <n v="130"/>
    <n v="106"/>
    <x v="8"/>
    <x v="343"/>
    <x v="3"/>
    <n v="1"/>
    <x v="0"/>
    <d v="2025-10-24T17:50:00"/>
    <x v="23"/>
    <x v="15"/>
    <n v="4564"/>
    <n v="1"/>
    <n v="4564"/>
    <x v="2"/>
  </r>
  <r>
    <n v="462"/>
    <n v="211"/>
    <x v="7"/>
    <x v="58"/>
    <x v="2"/>
    <n v="3"/>
    <x v="0"/>
    <d v="2025-10-24T17:52:00"/>
    <x v="23"/>
    <x v="15"/>
    <n v="2799"/>
    <n v="3"/>
    <n v="8397"/>
    <x v="2"/>
  </r>
  <r>
    <n v="611"/>
    <n v="93"/>
    <x v="9"/>
    <x v="151"/>
    <x v="5"/>
    <n v="4"/>
    <x v="0"/>
    <d v="2025-10-24T18:05:00"/>
    <x v="23"/>
    <x v="16"/>
    <n v="428"/>
    <n v="4"/>
    <n v="1712"/>
    <x v="3"/>
  </r>
  <r>
    <n v="309"/>
    <n v="179"/>
    <x v="1"/>
    <x v="356"/>
    <x v="0"/>
    <n v="2"/>
    <x v="0"/>
    <d v="2025-10-24T18:09:00"/>
    <x v="23"/>
    <x v="16"/>
    <n v="12303"/>
    <n v="3"/>
    <n v="36909"/>
    <x v="0"/>
  </r>
  <r>
    <n v="197"/>
    <n v="61"/>
    <x v="3"/>
    <x v="311"/>
    <x v="2"/>
    <n v="3"/>
    <x v="0"/>
    <d v="2025-10-24T18:31:00"/>
    <x v="23"/>
    <x v="16"/>
    <n v="4732"/>
    <n v="1"/>
    <n v="4732"/>
    <x v="2"/>
  </r>
  <r>
    <n v="780"/>
    <n v="277"/>
    <x v="9"/>
    <x v="82"/>
    <x v="1"/>
    <n v="6"/>
    <x v="1"/>
    <d v="2025-10-24T19:02:00"/>
    <x v="23"/>
    <x v="22"/>
    <n v="10534"/>
    <n v="0"/>
    <n v="0"/>
    <x v="0"/>
  </r>
  <r>
    <n v="676"/>
    <n v="107"/>
    <x v="8"/>
    <x v="364"/>
    <x v="4"/>
    <n v="7"/>
    <x v="0"/>
    <d v="2025-10-24T19:45:00"/>
    <x v="23"/>
    <x v="22"/>
    <n v="5569"/>
    <n v="1"/>
    <n v="5569"/>
    <x v="1"/>
  </r>
  <r>
    <n v="153"/>
    <n v="243"/>
    <x v="5"/>
    <x v="109"/>
    <x v="0"/>
    <n v="2"/>
    <x v="0"/>
    <d v="2025-10-24T19:51:00"/>
    <x v="23"/>
    <x v="22"/>
    <n v="8355"/>
    <n v="1"/>
    <n v="8355"/>
    <x v="1"/>
  </r>
  <r>
    <n v="56"/>
    <n v="187"/>
    <x v="4"/>
    <x v="196"/>
    <x v="5"/>
    <n v="4"/>
    <x v="0"/>
    <d v="2025-10-24T19:56:00"/>
    <x v="23"/>
    <x v="22"/>
    <n v="958"/>
    <n v="2"/>
    <n v="1916"/>
    <x v="3"/>
  </r>
  <r>
    <n v="343"/>
    <n v="233"/>
    <x v="2"/>
    <x v="104"/>
    <x v="5"/>
    <n v="4"/>
    <x v="0"/>
    <d v="2025-10-24T19:59:00"/>
    <x v="23"/>
    <x v="22"/>
    <n v="540"/>
    <n v="5"/>
    <n v="2700"/>
    <x v="3"/>
  </r>
  <r>
    <n v="181"/>
    <n v="81"/>
    <x v="0"/>
    <x v="265"/>
    <x v="5"/>
    <n v="4"/>
    <x v="0"/>
    <d v="2025-10-24T20:25:00"/>
    <x v="23"/>
    <x v="17"/>
    <n v="50"/>
    <n v="1"/>
    <n v="50"/>
    <x v="3"/>
  </r>
  <r>
    <n v="119"/>
    <n v="37"/>
    <x v="8"/>
    <x v="272"/>
    <x v="3"/>
    <n v="1"/>
    <x v="0"/>
    <d v="2025-10-24T20:58:00"/>
    <x v="23"/>
    <x v="17"/>
    <n v="7248"/>
    <n v="1"/>
    <n v="7248"/>
    <x v="1"/>
  </r>
  <r>
    <n v="594"/>
    <n v="167"/>
    <x v="8"/>
    <x v="272"/>
    <x v="3"/>
    <n v="1"/>
    <x v="0"/>
    <d v="2025-10-24T20:59:00"/>
    <x v="23"/>
    <x v="17"/>
    <n v="3096"/>
    <n v="2"/>
    <n v="6192"/>
    <x v="2"/>
  </r>
  <r>
    <n v="798"/>
    <n v="57"/>
    <x v="6"/>
    <x v="294"/>
    <x v="6"/>
    <n v="5"/>
    <x v="0"/>
    <d v="2025-10-24T22:12:00"/>
    <x v="23"/>
    <x v="18"/>
    <n v="2417"/>
    <n v="5"/>
    <n v="12085"/>
    <x v="2"/>
  </r>
  <r>
    <n v="756"/>
    <n v="212"/>
    <x v="1"/>
    <x v="157"/>
    <x v="4"/>
    <n v="7"/>
    <x v="1"/>
    <d v="2025-10-24T22:13:00"/>
    <x v="23"/>
    <x v="18"/>
    <n v="4087"/>
    <n v="0"/>
    <n v="0"/>
    <x v="2"/>
  </r>
  <r>
    <n v="483"/>
    <n v="300"/>
    <x v="5"/>
    <x v="10"/>
    <x v="1"/>
    <n v="6"/>
    <x v="0"/>
    <d v="2025-10-24T22:34:00"/>
    <x v="23"/>
    <x v="18"/>
    <n v="5268"/>
    <n v="3"/>
    <n v="15804"/>
    <x v="1"/>
  </r>
  <r>
    <n v="222"/>
    <n v="233"/>
    <x v="2"/>
    <x v="32"/>
    <x v="5"/>
    <n v="4"/>
    <x v="0"/>
    <d v="2025-10-24T23:06:00"/>
    <x v="23"/>
    <x v="19"/>
    <n v="869"/>
    <n v="2"/>
    <n v="1738"/>
    <x v="3"/>
  </r>
  <r>
    <n v="469"/>
    <n v="100"/>
    <x v="6"/>
    <x v="146"/>
    <x v="3"/>
    <n v="1"/>
    <x v="0"/>
    <d v="2025-10-25T00:01:00"/>
    <x v="24"/>
    <x v="0"/>
    <n v="2456"/>
    <n v="3"/>
    <n v="7368"/>
    <x v="2"/>
  </r>
  <r>
    <n v="344"/>
    <n v="66"/>
    <x v="7"/>
    <x v="337"/>
    <x v="3"/>
    <n v="1"/>
    <x v="0"/>
    <d v="2025-10-25T00:34:00"/>
    <x v="24"/>
    <x v="0"/>
    <n v="6160"/>
    <n v="5"/>
    <n v="30800"/>
    <x v="1"/>
  </r>
  <r>
    <n v="288"/>
    <n v="70"/>
    <x v="9"/>
    <x v="151"/>
    <x v="5"/>
    <n v="4"/>
    <x v="0"/>
    <d v="2025-10-25T01:17:00"/>
    <x v="24"/>
    <x v="1"/>
    <n v="269"/>
    <n v="3"/>
    <n v="807"/>
    <x v="3"/>
  </r>
  <r>
    <n v="176"/>
    <n v="176"/>
    <x v="8"/>
    <x v="134"/>
    <x v="0"/>
    <n v="2"/>
    <x v="0"/>
    <d v="2025-10-25T01:28:00"/>
    <x v="24"/>
    <x v="1"/>
    <n v="5858"/>
    <n v="1"/>
    <n v="5858"/>
    <x v="1"/>
  </r>
  <r>
    <n v="654"/>
    <n v="88"/>
    <x v="9"/>
    <x v="312"/>
    <x v="5"/>
    <n v="4"/>
    <x v="0"/>
    <d v="2025-10-25T02:12:00"/>
    <x v="24"/>
    <x v="2"/>
    <n v="451"/>
    <n v="1"/>
    <n v="451"/>
    <x v="3"/>
  </r>
  <r>
    <n v="422"/>
    <n v="268"/>
    <x v="5"/>
    <x v="29"/>
    <x v="5"/>
    <n v="4"/>
    <x v="0"/>
    <d v="2025-10-25T02:15:00"/>
    <x v="24"/>
    <x v="2"/>
    <n v="1316"/>
    <n v="5"/>
    <n v="6580"/>
    <x v="2"/>
  </r>
  <r>
    <n v="474"/>
    <n v="143"/>
    <x v="9"/>
    <x v="182"/>
    <x v="5"/>
    <n v="4"/>
    <x v="0"/>
    <d v="2025-10-25T03:14:00"/>
    <x v="24"/>
    <x v="3"/>
    <n v="961"/>
    <n v="2"/>
    <n v="1922"/>
    <x v="3"/>
  </r>
  <r>
    <n v="253"/>
    <n v="127"/>
    <x v="2"/>
    <x v="69"/>
    <x v="3"/>
    <n v="1"/>
    <x v="0"/>
    <d v="2025-10-25T03:35:00"/>
    <x v="24"/>
    <x v="3"/>
    <n v="1291"/>
    <n v="1"/>
    <n v="1291"/>
    <x v="2"/>
  </r>
  <r>
    <n v="606"/>
    <n v="77"/>
    <x v="9"/>
    <x v="321"/>
    <x v="4"/>
    <n v="7"/>
    <x v="0"/>
    <d v="2025-10-25T04:20:00"/>
    <x v="24"/>
    <x v="4"/>
    <n v="4203"/>
    <n v="3"/>
    <n v="12609"/>
    <x v="2"/>
  </r>
  <r>
    <n v="42"/>
    <n v="241"/>
    <x v="2"/>
    <x v="45"/>
    <x v="3"/>
    <n v="1"/>
    <x v="0"/>
    <d v="2025-10-25T04:36:00"/>
    <x v="24"/>
    <x v="4"/>
    <n v="5501"/>
    <n v="2"/>
    <n v="11002"/>
    <x v="1"/>
  </r>
  <r>
    <n v="436"/>
    <n v="272"/>
    <x v="3"/>
    <x v="365"/>
    <x v="6"/>
    <n v="5"/>
    <x v="0"/>
    <d v="2025-10-25T05:04:00"/>
    <x v="24"/>
    <x v="20"/>
    <n v="3997"/>
    <n v="1"/>
    <n v="3997"/>
    <x v="2"/>
  </r>
  <r>
    <n v="508"/>
    <n v="124"/>
    <x v="1"/>
    <x v="77"/>
    <x v="3"/>
    <n v="1"/>
    <x v="0"/>
    <d v="2025-10-25T05:23:00"/>
    <x v="24"/>
    <x v="20"/>
    <n v="4275"/>
    <n v="3"/>
    <n v="12825"/>
    <x v="2"/>
  </r>
  <r>
    <n v="224"/>
    <n v="68"/>
    <x v="0"/>
    <x v="322"/>
    <x v="5"/>
    <n v="4"/>
    <x v="0"/>
    <d v="2025-10-25T05:58:00"/>
    <x v="24"/>
    <x v="20"/>
    <n v="305"/>
    <n v="1"/>
    <n v="305"/>
    <x v="3"/>
  </r>
  <r>
    <n v="93"/>
    <n v="9"/>
    <x v="5"/>
    <x v="164"/>
    <x v="3"/>
    <n v="1"/>
    <x v="1"/>
    <d v="2025-10-25T06:00:00"/>
    <x v="24"/>
    <x v="5"/>
    <n v="3887"/>
    <n v="0"/>
    <n v="0"/>
    <x v="2"/>
  </r>
  <r>
    <n v="721"/>
    <n v="236"/>
    <x v="7"/>
    <x v="124"/>
    <x v="5"/>
    <n v="4"/>
    <x v="1"/>
    <d v="2025-10-25T06:02:00"/>
    <x v="24"/>
    <x v="5"/>
    <n v="1174"/>
    <n v="0"/>
    <n v="0"/>
    <x v="2"/>
  </r>
  <r>
    <n v="466"/>
    <n v="238"/>
    <x v="9"/>
    <x v="286"/>
    <x v="0"/>
    <n v="2"/>
    <x v="0"/>
    <d v="2025-10-25T06:10:00"/>
    <x v="24"/>
    <x v="5"/>
    <n v="13527"/>
    <n v="1"/>
    <n v="13527"/>
    <x v="0"/>
  </r>
  <r>
    <n v="380"/>
    <n v="238"/>
    <x v="2"/>
    <x v="90"/>
    <x v="0"/>
    <n v="2"/>
    <x v="0"/>
    <d v="2025-10-25T06:14:00"/>
    <x v="24"/>
    <x v="5"/>
    <n v="6431"/>
    <n v="2"/>
    <n v="12862"/>
    <x v="1"/>
  </r>
  <r>
    <n v="708"/>
    <n v="171"/>
    <x v="1"/>
    <x v="251"/>
    <x v="0"/>
    <n v="2"/>
    <x v="0"/>
    <d v="2025-10-25T07:09:00"/>
    <x v="24"/>
    <x v="6"/>
    <n v="14177"/>
    <n v="3"/>
    <n v="42531"/>
    <x v="0"/>
  </r>
  <r>
    <n v="771"/>
    <n v="139"/>
    <x v="7"/>
    <x v="54"/>
    <x v="3"/>
    <n v="1"/>
    <x v="0"/>
    <d v="2025-10-25T07:15:00"/>
    <x v="24"/>
    <x v="6"/>
    <n v="5165"/>
    <n v="2"/>
    <n v="10330"/>
    <x v="1"/>
  </r>
  <r>
    <n v="213"/>
    <n v="42"/>
    <x v="3"/>
    <x v="326"/>
    <x v="6"/>
    <n v="5"/>
    <x v="0"/>
    <d v="2025-10-25T08:54:00"/>
    <x v="24"/>
    <x v="7"/>
    <n v="3772"/>
    <n v="1"/>
    <n v="3772"/>
    <x v="2"/>
  </r>
  <r>
    <n v="691"/>
    <n v="187"/>
    <x v="0"/>
    <x v="358"/>
    <x v="1"/>
    <n v="6"/>
    <x v="0"/>
    <d v="2025-10-25T09:05:00"/>
    <x v="24"/>
    <x v="8"/>
    <n v="7676"/>
    <n v="1"/>
    <n v="7676"/>
    <x v="1"/>
  </r>
  <r>
    <n v="477"/>
    <n v="21"/>
    <x v="2"/>
    <x v="280"/>
    <x v="1"/>
    <n v="6"/>
    <x v="0"/>
    <d v="2025-10-25T09:10:00"/>
    <x v="24"/>
    <x v="8"/>
    <n v="2700"/>
    <n v="5"/>
    <n v="13500"/>
    <x v="2"/>
  </r>
  <r>
    <n v="722"/>
    <n v="35"/>
    <x v="4"/>
    <x v="19"/>
    <x v="5"/>
    <n v="4"/>
    <x v="0"/>
    <d v="2025-10-25T09:51:00"/>
    <x v="24"/>
    <x v="8"/>
    <n v="785"/>
    <n v="1"/>
    <n v="785"/>
    <x v="3"/>
  </r>
  <r>
    <n v="343"/>
    <n v="123"/>
    <x v="5"/>
    <x v="246"/>
    <x v="3"/>
    <n v="1"/>
    <x v="0"/>
    <d v="2025-10-25T10:20:00"/>
    <x v="24"/>
    <x v="9"/>
    <n v="5756"/>
    <n v="3"/>
    <n v="17268"/>
    <x v="1"/>
  </r>
  <r>
    <n v="771"/>
    <n v="298"/>
    <x v="8"/>
    <x v="343"/>
    <x v="3"/>
    <n v="1"/>
    <x v="0"/>
    <d v="2025-10-25T10:38:00"/>
    <x v="24"/>
    <x v="9"/>
    <n v="5278"/>
    <n v="3"/>
    <n v="15834"/>
    <x v="1"/>
  </r>
  <r>
    <n v="362"/>
    <n v="137"/>
    <x v="5"/>
    <x v="313"/>
    <x v="6"/>
    <n v="5"/>
    <x v="0"/>
    <d v="2025-10-25T11:00:00"/>
    <x v="24"/>
    <x v="10"/>
    <n v="3585"/>
    <n v="3"/>
    <n v="10755"/>
    <x v="2"/>
  </r>
  <r>
    <n v="56"/>
    <n v="33"/>
    <x v="2"/>
    <x v="280"/>
    <x v="1"/>
    <n v="6"/>
    <x v="0"/>
    <d v="2025-10-25T11:33:00"/>
    <x v="24"/>
    <x v="10"/>
    <n v="10398"/>
    <n v="1"/>
    <n v="10398"/>
    <x v="0"/>
  </r>
  <r>
    <n v="514"/>
    <n v="270"/>
    <x v="8"/>
    <x v="37"/>
    <x v="3"/>
    <n v="1"/>
    <x v="0"/>
    <d v="2025-10-25T11:40:00"/>
    <x v="24"/>
    <x v="10"/>
    <n v="4030"/>
    <n v="2"/>
    <n v="8060"/>
    <x v="2"/>
  </r>
  <r>
    <n v="545"/>
    <n v="273"/>
    <x v="8"/>
    <x v="343"/>
    <x v="3"/>
    <n v="1"/>
    <x v="1"/>
    <d v="2025-10-25T14:09:00"/>
    <x v="24"/>
    <x v="12"/>
    <n v="7657"/>
    <n v="0"/>
    <n v="0"/>
    <x v="1"/>
  </r>
  <r>
    <n v="690"/>
    <n v="34"/>
    <x v="9"/>
    <x v="82"/>
    <x v="1"/>
    <n v="6"/>
    <x v="0"/>
    <d v="2025-10-25T15:46:00"/>
    <x v="24"/>
    <x v="13"/>
    <n v="6819"/>
    <n v="2"/>
    <n v="13638"/>
    <x v="1"/>
  </r>
  <r>
    <n v="401"/>
    <n v="92"/>
    <x v="1"/>
    <x v="366"/>
    <x v="0"/>
    <n v="2"/>
    <x v="1"/>
    <d v="2025-10-25T16:14:00"/>
    <x v="24"/>
    <x v="14"/>
    <n v="7119"/>
    <n v="0"/>
    <n v="0"/>
    <x v="1"/>
  </r>
  <r>
    <n v="283"/>
    <n v="58"/>
    <x v="1"/>
    <x v="20"/>
    <x v="3"/>
    <n v="1"/>
    <x v="0"/>
    <d v="2025-10-25T16:20:00"/>
    <x v="24"/>
    <x v="14"/>
    <n v="3201"/>
    <n v="2"/>
    <n v="6402"/>
    <x v="2"/>
  </r>
  <r>
    <n v="534"/>
    <n v="12"/>
    <x v="4"/>
    <x v="331"/>
    <x v="2"/>
    <n v="3"/>
    <x v="0"/>
    <d v="2025-10-25T16:50:00"/>
    <x v="24"/>
    <x v="14"/>
    <n v="2766"/>
    <n v="1"/>
    <n v="2766"/>
    <x v="2"/>
  </r>
  <r>
    <n v="486"/>
    <n v="178"/>
    <x v="3"/>
    <x v="35"/>
    <x v="5"/>
    <n v="4"/>
    <x v="0"/>
    <d v="2025-10-25T16:52:00"/>
    <x v="24"/>
    <x v="14"/>
    <n v="663"/>
    <n v="1"/>
    <n v="663"/>
    <x v="3"/>
  </r>
  <r>
    <n v="194"/>
    <n v="33"/>
    <x v="0"/>
    <x v="67"/>
    <x v="3"/>
    <n v="1"/>
    <x v="0"/>
    <d v="2025-10-25T16:53:00"/>
    <x v="24"/>
    <x v="14"/>
    <n v="4468"/>
    <n v="2"/>
    <n v="8936"/>
    <x v="2"/>
  </r>
  <r>
    <n v="422"/>
    <n v="297"/>
    <x v="3"/>
    <x v="234"/>
    <x v="6"/>
    <n v="5"/>
    <x v="0"/>
    <d v="2025-10-25T17:01:00"/>
    <x v="24"/>
    <x v="15"/>
    <n v="808"/>
    <n v="2"/>
    <n v="1616"/>
    <x v="3"/>
  </r>
  <r>
    <n v="608"/>
    <n v="272"/>
    <x v="6"/>
    <x v="28"/>
    <x v="0"/>
    <n v="2"/>
    <x v="0"/>
    <d v="2025-10-25T17:17:00"/>
    <x v="24"/>
    <x v="15"/>
    <n v="9751"/>
    <n v="4"/>
    <n v="39004"/>
    <x v="1"/>
  </r>
  <r>
    <n v="312"/>
    <n v="291"/>
    <x v="8"/>
    <x v="37"/>
    <x v="3"/>
    <n v="1"/>
    <x v="0"/>
    <d v="2025-10-25T18:11:00"/>
    <x v="24"/>
    <x v="16"/>
    <n v="7976"/>
    <n v="2"/>
    <n v="15952"/>
    <x v="1"/>
  </r>
  <r>
    <n v="233"/>
    <n v="248"/>
    <x v="4"/>
    <x v="363"/>
    <x v="1"/>
    <n v="6"/>
    <x v="0"/>
    <d v="2025-10-25T18:46:00"/>
    <x v="24"/>
    <x v="16"/>
    <n v="4117"/>
    <n v="4"/>
    <n v="16468"/>
    <x v="2"/>
  </r>
  <r>
    <n v="362"/>
    <n v="146"/>
    <x v="0"/>
    <x v="15"/>
    <x v="3"/>
    <n v="1"/>
    <x v="0"/>
    <d v="2025-10-25T19:22:00"/>
    <x v="24"/>
    <x v="22"/>
    <n v="3993"/>
    <n v="1"/>
    <n v="3993"/>
    <x v="2"/>
  </r>
  <r>
    <n v="729"/>
    <n v="275"/>
    <x v="9"/>
    <x v="128"/>
    <x v="0"/>
    <n v="2"/>
    <x v="0"/>
    <d v="2025-10-25T19:36:00"/>
    <x v="24"/>
    <x v="22"/>
    <n v="11354"/>
    <n v="1"/>
    <n v="11354"/>
    <x v="0"/>
  </r>
  <r>
    <n v="710"/>
    <n v="79"/>
    <x v="4"/>
    <x v="36"/>
    <x v="3"/>
    <n v="1"/>
    <x v="0"/>
    <d v="2025-10-25T19:47:00"/>
    <x v="24"/>
    <x v="22"/>
    <n v="3229"/>
    <n v="1"/>
    <n v="3229"/>
    <x v="2"/>
  </r>
  <r>
    <n v="325"/>
    <n v="295"/>
    <x v="1"/>
    <x v="60"/>
    <x v="3"/>
    <n v="1"/>
    <x v="0"/>
    <d v="2025-10-25T20:00:00"/>
    <x v="24"/>
    <x v="17"/>
    <n v="2241"/>
    <n v="3"/>
    <n v="6723"/>
    <x v="2"/>
  </r>
  <r>
    <n v="189"/>
    <n v="106"/>
    <x v="7"/>
    <x v="181"/>
    <x v="5"/>
    <n v="4"/>
    <x v="1"/>
    <d v="2025-10-25T21:56:00"/>
    <x v="24"/>
    <x v="23"/>
    <n v="334"/>
    <n v="0"/>
    <n v="0"/>
    <x v="3"/>
  </r>
  <r>
    <n v="353"/>
    <n v="76"/>
    <x v="0"/>
    <x v="300"/>
    <x v="6"/>
    <n v="5"/>
    <x v="0"/>
    <d v="2025-10-25T21:57:00"/>
    <x v="24"/>
    <x v="23"/>
    <n v="3265"/>
    <n v="2"/>
    <n v="6530"/>
    <x v="2"/>
  </r>
  <r>
    <n v="547"/>
    <n v="155"/>
    <x v="3"/>
    <x v="91"/>
    <x v="3"/>
    <n v="1"/>
    <x v="0"/>
    <d v="2025-10-25T22:51:00"/>
    <x v="24"/>
    <x v="18"/>
    <n v="4083"/>
    <n v="3"/>
    <n v="12249"/>
    <x v="2"/>
  </r>
  <r>
    <n v="787"/>
    <n v="75"/>
    <x v="2"/>
    <x v="148"/>
    <x v="3"/>
    <n v="1"/>
    <x v="0"/>
    <d v="2025-10-25T23:14:00"/>
    <x v="24"/>
    <x v="19"/>
    <n v="1807"/>
    <n v="3"/>
    <n v="5421"/>
    <x v="2"/>
  </r>
  <r>
    <n v="757"/>
    <n v="280"/>
    <x v="4"/>
    <x v="126"/>
    <x v="0"/>
    <n v="2"/>
    <x v="0"/>
    <d v="2025-10-25T23:29:00"/>
    <x v="24"/>
    <x v="19"/>
    <n v="11467"/>
    <n v="2"/>
    <n v="22934"/>
    <x v="0"/>
  </r>
  <r>
    <n v="297"/>
    <n v="294"/>
    <x v="7"/>
    <x v="240"/>
    <x v="2"/>
    <n v="3"/>
    <x v="0"/>
    <d v="2025-10-26T00:03:00"/>
    <x v="25"/>
    <x v="0"/>
    <n v="5625"/>
    <n v="3"/>
    <n v="16875"/>
    <x v="1"/>
  </r>
  <r>
    <n v="706"/>
    <n v="58"/>
    <x v="8"/>
    <x v="243"/>
    <x v="1"/>
    <n v="6"/>
    <x v="0"/>
    <d v="2025-10-26T00:21:00"/>
    <x v="25"/>
    <x v="0"/>
    <n v="4498"/>
    <n v="2"/>
    <n v="8996"/>
    <x v="2"/>
  </r>
  <r>
    <n v="120"/>
    <n v="158"/>
    <x v="4"/>
    <x v="131"/>
    <x v="2"/>
    <n v="3"/>
    <x v="0"/>
    <d v="2025-10-26T01:16:00"/>
    <x v="25"/>
    <x v="1"/>
    <n v="5243"/>
    <n v="1"/>
    <n v="5243"/>
    <x v="1"/>
  </r>
  <r>
    <n v="457"/>
    <n v="183"/>
    <x v="9"/>
    <x v="321"/>
    <x v="4"/>
    <n v="7"/>
    <x v="0"/>
    <d v="2025-10-26T02:17:00"/>
    <x v="25"/>
    <x v="2"/>
    <n v="1708"/>
    <n v="3"/>
    <n v="5124"/>
    <x v="2"/>
  </r>
  <r>
    <n v="657"/>
    <n v="100"/>
    <x v="0"/>
    <x v="265"/>
    <x v="5"/>
    <n v="4"/>
    <x v="0"/>
    <d v="2025-10-26T02:31:00"/>
    <x v="25"/>
    <x v="2"/>
    <n v="206"/>
    <n v="1"/>
    <n v="206"/>
    <x v="3"/>
  </r>
  <r>
    <n v="24"/>
    <n v="43"/>
    <x v="7"/>
    <x v="288"/>
    <x v="2"/>
    <n v="3"/>
    <x v="1"/>
    <d v="2025-10-26T02:40:00"/>
    <x v="25"/>
    <x v="2"/>
    <n v="5725"/>
    <n v="0"/>
    <n v="0"/>
    <x v="1"/>
  </r>
  <r>
    <n v="404"/>
    <n v="100"/>
    <x v="1"/>
    <x v="8"/>
    <x v="3"/>
    <n v="1"/>
    <x v="0"/>
    <d v="2025-10-26T03:04:00"/>
    <x v="25"/>
    <x v="3"/>
    <n v="5438"/>
    <n v="3"/>
    <n v="16314"/>
    <x v="1"/>
  </r>
  <r>
    <n v="524"/>
    <n v="29"/>
    <x v="9"/>
    <x v="100"/>
    <x v="5"/>
    <n v="4"/>
    <x v="0"/>
    <d v="2025-10-26T04:08:00"/>
    <x v="25"/>
    <x v="4"/>
    <n v="1016"/>
    <n v="4"/>
    <n v="4064"/>
    <x v="2"/>
  </r>
  <r>
    <n v="379"/>
    <n v="198"/>
    <x v="4"/>
    <x v="270"/>
    <x v="2"/>
    <n v="3"/>
    <x v="0"/>
    <d v="2025-10-26T04:14:00"/>
    <x v="25"/>
    <x v="4"/>
    <n v="4460"/>
    <n v="2"/>
    <n v="8920"/>
    <x v="2"/>
  </r>
  <r>
    <n v="360"/>
    <n v="158"/>
    <x v="7"/>
    <x v="348"/>
    <x v="0"/>
    <n v="2"/>
    <x v="0"/>
    <d v="2025-10-26T04:40:00"/>
    <x v="25"/>
    <x v="4"/>
    <n v="9914"/>
    <n v="2"/>
    <n v="19828"/>
    <x v="1"/>
  </r>
  <r>
    <n v="746"/>
    <n v="228"/>
    <x v="1"/>
    <x v="157"/>
    <x v="4"/>
    <n v="7"/>
    <x v="0"/>
    <d v="2025-10-26T05:07:00"/>
    <x v="25"/>
    <x v="20"/>
    <n v="5237"/>
    <n v="3"/>
    <n v="15711"/>
    <x v="1"/>
  </r>
  <r>
    <n v="746"/>
    <n v="218"/>
    <x v="7"/>
    <x v="288"/>
    <x v="2"/>
    <n v="3"/>
    <x v="0"/>
    <d v="2025-10-26T05:42:00"/>
    <x v="25"/>
    <x v="20"/>
    <n v="4930"/>
    <n v="3"/>
    <n v="14790"/>
    <x v="2"/>
  </r>
  <r>
    <n v="613"/>
    <n v="45"/>
    <x v="4"/>
    <x v="27"/>
    <x v="3"/>
    <n v="1"/>
    <x v="0"/>
    <d v="2025-10-26T05:45:00"/>
    <x v="25"/>
    <x v="20"/>
    <n v="6980"/>
    <n v="2"/>
    <n v="13960"/>
    <x v="1"/>
  </r>
  <r>
    <n v="538"/>
    <n v="172"/>
    <x v="7"/>
    <x v="236"/>
    <x v="5"/>
    <n v="4"/>
    <x v="0"/>
    <d v="2025-10-26T06:19:00"/>
    <x v="25"/>
    <x v="5"/>
    <n v="250"/>
    <n v="2"/>
    <n v="500"/>
    <x v="3"/>
  </r>
  <r>
    <n v="7"/>
    <n v="210"/>
    <x v="2"/>
    <x v="7"/>
    <x v="0"/>
    <n v="2"/>
    <x v="0"/>
    <d v="2025-10-26T07:22:00"/>
    <x v="25"/>
    <x v="6"/>
    <n v="5185"/>
    <n v="4"/>
    <n v="20740"/>
    <x v="1"/>
  </r>
  <r>
    <n v="570"/>
    <n v="237"/>
    <x v="2"/>
    <x v="185"/>
    <x v="3"/>
    <n v="1"/>
    <x v="0"/>
    <d v="2025-10-26T07:28:00"/>
    <x v="25"/>
    <x v="6"/>
    <n v="6172"/>
    <n v="3"/>
    <n v="18516"/>
    <x v="1"/>
  </r>
  <r>
    <n v="191"/>
    <n v="196"/>
    <x v="4"/>
    <x v="367"/>
    <x v="4"/>
    <n v="7"/>
    <x v="0"/>
    <d v="2025-10-26T07:35:00"/>
    <x v="25"/>
    <x v="6"/>
    <n v="7408"/>
    <n v="3"/>
    <n v="22224"/>
    <x v="1"/>
  </r>
  <r>
    <n v="310"/>
    <n v="300"/>
    <x v="8"/>
    <x v="368"/>
    <x v="4"/>
    <n v="7"/>
    <x v="0"/>
    <d v="2025-10-26T09:09:00"/>
    <x v="25"/>
    <x v="8"/>
    <n v="3954"/>
    <n v="2"/>
    <n v="7908"/>
    <x v="2"/>
  </r>
  <r>
    <n v="475"/>
    <n v="115"/>
    <x v="3"/>
    <x v="175"/>
    <x v="4"/>
    <n v="7"/>
    <x v="0"/>
    <d v="2025-10-26T09:14:00"/>
    <x v="25"/>
    <x v="8"/>
    <n v="4041"/>
    <n v="3"/>
    <n v="12123"/>
    <x v="2"/>
  </r>
  <r>
    <n v="308"/>
    <n v="242"/>
    <x v="4"/>
    <x v="190"/>
    <x v="3"/>
    <n v="1"/>
    <x v="0"/>
    <d v="2025-10-26T10:05:00"/>
    <x v="25"/>
    <x v="9"/>
    <n v="1020"/>
    <n v="1"/>
    <n v="1020"/>
    <x v="2"/>
  </r>
  <r>
    <n v="184"/>
    <n v="252"/>
    <x v="7"/>
    <x v="236"/>
    <x v="5"/>
    <n v="4"/>
    <x v="0"/>
    <d v="2025-10-26T10:23:00"/>
    <x v="25"/>
    <x v="9"/>
    <n v="438"/>
    <n v="2"/>
    <n v="876"/>
    <x v="3"/>
  </r>
  <r>
    <n v="123"/>
    <n v="142"/>
    <x v="5"/>
    <x v="257"/>
    <x v="3"/>
    <n v="1"/>
    <x v="0"/>
    <d v="2025-10-26T10:31:00"/>
    <x v="25"/>
    <x v="9"/>
    <n v="6764"/>
    <n v="2"/>
    <n v="13528"/>
    <x v="1"/>
  </r>
  <r>
    <n v="596"/>
    <n v="247"/>
    <x v="9"/>
    <x v="274"/>
    <x v="2"/>
    <n v="3"/>
    <x v="1"/>
    <d v="2025-10-26T11:25:00"/>
    <x v="25"/>
    <x v="10"/>
    <n v="5373"/>
    <n v="0"/>
    <n v="0"/>
    <x v="1"/>
  </r>
  <r>
    <n v="711"/>
    <n v="62"/>
    <x v="7"/>
    <x v="255"/>
    <x v="6"/>
    <n v="5"/>
    <x v="0"/>
    <d v="2025-10-26T11:41:00"/>
    <x v="25"/>
    <x v="10"/>
    <n v="3139"/>
    <n v="1"/>
    <n v="3139"/>
    <x v="2"/>
  </r>
  <r>
    <n v="266"/>
    <n v="84"/>
    <x v="9"/>
    <x v="151"/>
    <x v="5"/>
    <n v="4"/>
    <x v="0"/>
    <d v="2025-10-26T12:00:00"/>
    <x v="25"/>
    <x v="11"/>
    <n v="876"/>
    <n v="2"/>
    <n v="1752"/>
    <x v="3"/>
  </r>
  <r>
    <n v="710"/>
    <n v="70"/>
    <x v="6"/>
    <x v="282"/>
    <x v="2"/>
    <n v="3"/>
    <x v="0"/>
    <d v="2025-10-26T12:12:00"/>
    <x v="25"/>
    <x v="11"/>
    <n v="1853"/>
    <n v="2"/>
    <n v="3706"/>
    <x v="2"/>
  </r>
  <r>
    <n v="370"/>
    <n v="215"/>
    <x v="0"/>
    <x v="218"/>
    <x v="5"/>
    <n v="4"/>
    <x v="0"/>
    <d v="2025-10-26T12:35:00"/>
    <x v="25"/>
    <x v="11"/>
    <n v="664"/>
    <n v="3"/>
    <n v="1992"/>
    <x v="3"/>
  </r>
  <r>
    <n v="543"/>
    <n v="40"/>
    <x v="7"/>
    <x v="73"/>
    <x v="2"/>
    <n v="3"/>
    <x v="1"/>
    <d v="2025-10-26T12:40:00"/>
    <x v="25"/>
    <x v="11"/>
    <n v="4240"/>
    <n v="0"/>
    <n v="0"/>
    <x v="2"/>
  </r>
  <r>
    <n v="614"/>
    <n v="86"/>
    <x v="4"/>
    <x v="196"/>
    <x v="5"/>
    <n v="4"/>
    <x v="0"/>
    <d v="2025-10-26T12:53:00"/>
    <x v="25"/>
    <x v="11"/>
    <n v="1001"/>
    <n v="3"/>
    <n v="3003"/>
    <x v="2"/>
  </r>
  <r>
    <n v="309"/>
    <n v="139"/>
    <x v="6"/>
    <x v="369"/>
    <x v="1"/>
    <n v="6"/>
    <x v="0"/>
    <d v="2025-10-26T14:26:00"/>
    <x v="25"/>
    <x v="12"/>
    <n v="10873"/>
    <n v="1"/>
    <n v="10873"/>
    <x v="0"/>
  </r>
  <r>
    <n v="548"/>
    <n v="297"/>
    <x v="6"/>
    <x v="110"/>
    <x v="6"/>
    <n v="5"/>
    <x v="0"/>
    <d v="2025-10-26T14:34:00"/>
    <x v="25"/>
    <x v="12"/>
    <n v="3764"/>
    <n v="1"/>
    <n v="3764"/>
    <x v="2"/>
  </r>
  <r>
    <n v="531"/>
    <n v="145"/>
    <x v="0"/>
    <x v="87"/>
    <x v="5"/>
    <n v="4"/>
    <x v="1"/>
    <d v="2025-10-26T15:02:00"/>
    <x v="25"/>
    <x v="13"/>
    <n v="643"/>
    <n v="0"/>
    <n v="0"/>
    <x v="3"/>
  </r>
  <r>
    <n v="349"/>
    <n v="84"/>
    <x v="8"/>
    <x v="239"/>
    <x v="1"/>
    <n v="6"/>
    <x v="1"/>
    <d v="2025-10-26T15:12:00"/>
    <x v="25"/>
    <x v="13"/>
    <n v="8309"/>
    <n v="0"/>
    <n v="0"/>
    <x v="1"/>
  </r>
  <r>
    <n v="227"/>
    <n v="97"/>
    <x v="4"/>
    <x v="241"/>
    <x v="1"/>
    <n v="6"/>
    <x v="0"/>
    <d v="2025-10-26T15:52:00"/>
    <x v="25"/>
    <x v="13"/>
    <n v="3589"/>
    <n v="3"/>
    <n v="10767"/>
    <x v="2"/>
  </r>
  <r>
    <n v="730"/>
    <n v="283"/>
    <x v="3"/>
    <x v="370"/>
    <x v="5"/>
    <n v="4"/>
    <x v="0"/>
    <d v="2025-10-26T15:55:00"/>
    <x v="25"/>
    <x v="13"/>
    <n v="1308"/>
    <n v="3"/>
    <n v="3924"/>
    <x v="2"/>
  </r>
  <r>
    <n v="120"/>
    <n v="68"/>
    <x v="8"/>
    <x v="111"/>
    <x v="2"/>
    <n v="3"/>
    <x v="1"/>
    <d v="2025-10-26T17:28:00"/>
    <x v="25"/>
    <x v="15"/>
    <n v="2446"/>
    <n v="0"/>
    <n v="0"/>
    <x v="2"/>
  </r>
  <r>
    <n v="708"/>
    <n v="186"/>
    <x v="6"/>
    <x v="371"/>
    <x v="2"/>
    <n v="3"/>
    <x v="0"/>
    <d v="2025-10-26T17:44:00"/>
    <x v="25"/>
    <x v="15"/>
    <n v="1687"/>
    <n v="4"/>
    <n v="6748"/>
    <x v="2"/>
  </r>
  <r>
    <n v="782"/>
    <n v="176"/>
    <x v="9"/>
    <x v="55"/>
    <x v="6"/>
    <n v="5"/>
    <x v="0"/>
    <d v="2025-10-26T17:51:00"/>
    <x v="25"/>
    <x v="15"/>
    <n v="1395"/>
    <n v="3"/>
    <n v="4185"/>
    <x v="2"/>
  </r>
  <r>
    <n v="763"/>
    <n v="61"/>
    <x v="7"/>
    <x v="357"/>
    <x v="3"/>
    <n v="1"/>
    <x v="1"/>
    <d v="2025-10-26T17:53:00"/>
    <x v="25"/>
    <x v="15"/>
    <n v="2573"/>
    <n v="0"/>
    <n v="0"/>
    <x v="2"/>
  </r>
  <r>
    <n v="233"/>
    <n v="158"/>
    <x v="4"/>
    <x v="252"/>
    <x v="1"/>
    <n v="6"/>
    <x v="1"/>
    <d v="2025-10-26T17:58:00"/>
    <x v="25"/>
    <x v="15"/>
    <n v="5508"/>
    <n v="0"/>
    <n v="0"/>
    <x v="1"/>
  </r>
  <r>
    <n v="436"/>
    <n v="58"/>
    <x v="4"/>
    <x v="150"/>
    <x v="1"/>
    <n v="6"/>
    <x v="0"/>
    <d v="2025-10-26T18:18:00"/>
    <x v="25"/>
    <x v="16"/>
    <n v="3960"/>
    <n v="3"/>
    <n v="11880"/>
    <x v="2"/>
  </r>
  <r>
    <n v="44"/>
    <n v="101"/>
    <x v="8"/>
    <x v="44"/>
    <x v="6"/>
    <n v="5"/>
    <x v="0"/>
    <d v="2025-10-26T18:29:00"/>
    <x v="25"/>
    <x v="16"/>
    <n v="927"/>
    <n v="3"/>
    <n v="2781"/>
    <x v="3"/>
  </r>
  <r>
    <n v="61"/>
    <n v="241"/>
    <x v="3"/>
    <x v="3"/>
    <x v="3"/>
    <n v="1"/>
    <x v="0"/>
    <d v="2025-10-26T19:15:00"/>
    <x v="25"/>
    <x v="22"/>
    <n v="1699"/>
    <n v="1"/>
    <n v="1699"/>
    <x v="2"/>
  </r>
  <r>
    <n v="309"/>
    <n v="6"/>
    <x v="0"/>
    <x v="105"/>
    <x v="3"/>
    <n v="1"/>
    <x v="1"/>
    <d v="2025-10-26T19:30:00"/>
    <x v="25"/>
    <x v="22"/>
    <n v="1903"/>
    <n v="0"/>
    <n v="0"/>
    <x v="2"/>
  </r>
  <r>
    <n v="211"/>
    <n v="103"/>
    <x v="1"/>
    <x v="8"/>
    <x v="3"/>
    <n v="1"/>
    <x v="0"/>
    <d v="2025-10-26T19:38:00"/>
    <x v="25"/>
    <x v="22"/>
    <n v="7030"/>
    <n v="3"/>
    <n v="21090"/>
    <x v="1"/>
  </r>
  <r>
    <n v="93"/>
    <n v="75"/>
    <x v="6"/>
    <x v="110"/>
    <x v="6"/>
    <n v="5"/>
    <x v="0"/>
    <d v="2025-10-26T20:03:00"/>
    <x v="25"/>
    <x v="17"/>
    <n v="1699"/>
    <n v="1"/>
    <n v="1699"/>
    <x v="2"/>
  </r>
  <r>
    <n v="165"/>
    <n v="257"/>
    <x v="6"/>
    <x v="57"/>
    <x v="0"/>
    <n v="2"/>
    <x v="1"/>
    <d v="2025-10-26T20:36:00"/>
    <x v="25"/>
    <x v="17"/>
    <n v="8640"/>
    <n v="0"/>
    <n v="0"/>
    <x v="1"/>
  </r>
  <r>
    <n v="102"/>
    <n v="297"/>
    <x v="9"/>
    <x v="130"/>
    <x v="1"/>
    <n v="6"/>
    <x v="0"/>
    <d v="2025-10-26T20:41:00"/>
    <x v="25"/>
    <x v="17"/>
    <n v="6020"/>
    <n v="1"/>
    <n v="6020"/>
    <x v="1"/>
  </r>
  <r>
    <n v="289"/>
    <n v="88"/>
    <x v="5"/>
    <x v="89"/>
    <x v="2"/>
    <n v="3"/>
    <x v="0"/>
    <d v="2025-10-26T20:45:00"/>
    <x v="25"/>
    <x v="17"/>
    <n v="1684"/>
    <n v="1"/>
    <n v="1684"/>
    <x v="2"/>
  </r>
  <r>
    <n v="517"/>
    <n v="244"/>
    <x v="1"/>
    <x v="115"/>
    <x v="2"/>
    <n v="3"/>
    <x v="0"/>
    <d v="2025-10-26T20:46:00"/>
    <x v="25"/>
    <x v="17"/>
    <n v="5702"/>
    <n v="2"/>
    <n v="11404"/>
    <x v="1"/>
  </r>
  <r>
    <n v="451"/>
    <n v="55"/>
    <x v="9"/>
    <x v="202"/>
    <x v="1"/>
    <n v="6"/>
    <x v="0"/>
    <d v="2025-10-26T21:22:00"/>
    <x v="25"/>
    <x v="23"/>
    <n v="8161"/>
    <n v="2"/>
    <n v="16322"/>
    <x v="1"/>
  </r>
  <r>
    <n v="220"/>
    <n v="264"/>
    <x v="2"/>
    <x v="197"/>
    <x v="1"/>
    <n v="6"/>
    <x v="0"/>
    <d v="2025-10-26T21:51:00"/>
    <x v="25"/>
    <x v="23"/>
    <n v="4944"/>
    <n v="1"/>
    <n v="4944"/>
    <x v="2"/>
  </r>
  <r>
    <n v="127"/>
    <n v="239"/>
    <x v="1"/>
    <x v="199"/>
    <x v="5"/>
    <n v="4"/>
    <x v="0"/>
    <d v="2025-10-26T22:08:00"/>
    <x v="25"/>
    <x v="18"/>
    <n v="524"/>
    <n v="3"/>
    <n v="1572"/>
    <x v="3"/>
  </r>
  <r>
    <n v="781"/>
    <n v="185"/>
    <x v="4"/>
    <x v="93"/>
    <x v="5"/>
    <n v="4"/>
    <x v="0"/>
    <d v="2025-10-26T22:57:00"/>
    <x v="25"/>
    <x v="18"/>
    <n v="341"/>
    <n v="2"/>
    <n v="682"/>
    <x v="3"/>
  </r>
  <r>
    <n v="85"/>
    <n v="168"/>
    <x v="3"/>
    <x v="365"/>
    <x v="6"/>
    <n v="5"/>
    <x v="1"/>
    <d v="2025-10-26T23:40:00"/>
    <x v="25"/>
    <x v="19"/>
    <n v="3633"/>
    <n v="0"/>
    <n v="0"/>
    <x v="2"/>
  </r>
  <r>
    <n v="468"/>
    <n v="160"/>
    <x v="2"/>
    <x v="62"/>
    <x v="4"/>
    <n v="7"/>
    <x v="0"/>
    <d v="2025-10-27T00:04:00"/>
    <x v="26"/>
    <x v="0"/>
    <n v="5403"/>
    <n v="2"/>
    <n v="10806"/>
    <x v="1"/>
  </r>
  <r>
    <n v="418"/>
    <n v="149"/>
    <x v="5"/>
    <x v="186"/>
    <x v="5"/>
    <n v="4"/>
    <x v="0"/>
    <d v="2025-10-27T00:57:00"/>
    <x v="26"/>
    <x v="0"/>
    <n v="1484"/>
    <n v="5"/>
    <n v="7420"/>
    <x v="2"/>
  </r>
  <r>
    <n v="696"/>
    <n v="189"/>
    <x v="1"/>
    <x v="251"/>
    <x v="0"/>
    <n v="2"/>
    <x v="0"/>
    <d v="2025-10-27T01:04:00"/>
    <x v="26"/>
    <x v="1"/>
    <n v="10907"/>
    <n v="1"/>
    <n v="10907"/>
    <x v="0"/>
  </r>
  <r>
    <n v="406"/>
    <n v="225"/>
    <x v="8"/>
    <x v="214"/>
    <x v="5"/>
    <n v="4"/>
    <x v="0"/>
    <d v="2025-10-27T01:07:00"/>
    <x v="26"/>
    <x v="1"/>
    <n v="223"/>
    <n v="4"/>
    <n v="892"/>
    <x v="3"/>
  </r>
  <r>
    <n v="147"/>
    <n v="203"/>
    <x v="1"/>
    <x v="366"/>
    <x v="0"/>
    <n v="2"/>
    <x v="0"/>
    <d v="2025-10-27T01:15:00"/>
    <x v="26"/>
    <x v="1"/>
    <n v="12700"/>
    <n v="2"/>
    <n v="25400"/>
    <x v="0"/>
  </r>
  <r>
    <n v="760"/>
    <n v="87"/>
    <x v="9"/>
    <x v="151"/>
    <x v="5"/>
    <n v="4"/>
    <x v="0"/>
    <d v="2025-10-27T01:17:00"/>
    <x v="26"/>
    <x v="1"/>
    <n v="1025"/>
    <n v="3"/>
    <n v="3075"/>
    <x v="2"/>
  </r>
  <r>
    <n v="206"/>
    <n v="207"/>
    <x v="5"/>
    <x v="313"/>
    <x v="6"/>
    <n v="5"/>
    <x v="0"/>
    <d v="2025-10-27T01:37:00"/>
    <x v="26"/>
    <x v="1"/>
    <n v="1051"/>
    <n v="1"/>
    <n v="1051"/>
    <x v="2"/>
  </r>
  <r>
    <n v="512"/>
    <n v="143"/>
    <x v="2"/>
    <x v="69"/>
    <x v="3"/>
    <n v="1"/>
    <x v="0"/>
    <d v="2025-10-27T02:50:00"/>
    <x v="26"/>
    <x v="2"/>
    <n v="1924"/>
    <n v="2"/>
    <n v="3848"/>
    <x v="2"/>
  </r>
  <r>
    <n v="365"/>
    <n v="244"/>
    <x v="7"/>
    <x v="236"/>
    <x v="5"/>
    <n v="4"/>
    <x v="0"/>
    <d v="2025-10-27T02:51:00"/>
    <x v="26"/>
    <x v="2"/>
    <n v="1344"/>
    <n v="1"/>
    <n v="1344"/>
    <x v="2"/>
  </r>
  <r>
    <n v="524"/>
    <n v="143"/>
    <x v="2"/>
    <x v="148"/>
    <x v="3"/>
    <n v="1"/>
    <x v="0"/>
    <d v="2025-10-27T02:54:00"/>
    <x v="26"/>
    <x v="2"/>
    <n v="6569"/>
    <n v="1"/>
    <n v="6569"/>
    <x v="1"/>
  </r>
  <r>
    <n v="126"/>
    <n v="129"/>
    <x v="8"/>
    <x v="368"/>
    <x v="4"/>
    <n v="7"/>
    <x v="0"/>
    <d v="2025-10-27T03:10:00"/>
    <x v="26"/>
    <x v="3"/>
    <n v="2900"/>
    <n v="2"/>
    <n v="5800"/>
    <x v="2"/>
  </r>
  <r>
    <n v="138"/>
    <n v="16"/>
    <x v="5"/>
    <x v="164"/>
    <x v="3"/>
    <n v="1"/>
    <x v="0"/>
    <d v="2025-10-27T04:22:00"/>
    <x v="26"/>
    <x v="4"/>
    <n v="5062"/>
    <n v="1"/>
    <n v="5062"/>
    <x v="1"/>
  </r>
  <r>
    <n v="511"/>
    <n v="14"/>
    <x v="0"/>
    <x v="172"/>
    <x v="5"/>
    <n v="4"/>
    <x v="0"/>
    <d v="2025-10-27T04:32:00"/>
    <x v="26"/>
    <x v="4"/>
    <n v="430"/>
    <n v="3"/>
    <n v="1290"/>
    <x v="3"/>
  </r>
  <r>
    <n v="335"/>
    <n v="79"/>
    <x v="9"/>
    <x v="180"/>
    <x v="3"/>
    <n v="1"/>
    <x v="0"/>
    <d v="2025-10-27T04:51:00"/>
    <x v="26"/>
    <x v="4"/>
    <n v="2462"/>
    <n v="1"/>
    <n v="2462"/>
    <x v="2"/>
  </r>
  <r>
    <n v="779"/>
    <n v="40"/>
    <x v="9"/>
    <x v="372"/>
    <x v="6"/>
    <n v="5"/>
    <x v="0"/>
    <d v="2025-10-27T04:52:00"/>
    <x v="26"/>
    <x v="4"/>
    <n v="2158"/>
    <n v="3"/>
    <n v="6474"/>
    <x v="2"/>
  </r>
  <r>
    <n v="478"/>
    <n v="104"/>
    <x v="3"/>
    <x v="84"/>
    <x v="5"/>
    <n v="4"/>
    <x v="0"/>
    <d v="2025-10-27T04:56:00"/>
    <x v="26"/>
    <x v="4"/>
    <n v="1500"/>
    <n v="1"/>
    <n v="1500"/>
    <x v="2"/>
  </r>
  <r>
    <n v="517"/>
    <n v="134"/>
    <x v="8"/>
    <x v="37"/>
    <x v="3"/>
    <n v="1"/>
    <x v="0"/>
    <d v="2025-10-27T06:51:00"/>
    <x v="26"/>
    <x v="5"/>
    <n v="3542"/>
    <n v="2"/>
    <n v="7084"/>
    <x v="2"/>
  </r>
  <r>
    <n v="19"/>
    <n v="17"/>
    <x v="3"/>
    <x v="370"/>
    <x v="5"/>
    <n v="4"/>
    <x v="0"/>
    <d v="2025-10-27T08:20:00"/>
    <x v="26"/>
    <x v="7"/>
    <n v="1135"/>
    <n v="3"/>
    <n v="3405"/>
    <x v="2"/>
  </r>
  <r>
    <n v="323"/>
    <n v="193"/>
    <x v="2"/>
    <x v="97"/>
    <x v="6"/>
    <n v="5"/>
    <x v="0"/>
    <d v="2025-10-27T08:20:00"/>
    <x v="26"/>
    <x v="7"/>
    <n v="2422"/>
    <n v="3"/>
    <n v="7266"/>
    <x v="2"/>
  </r>
  <r>
    <n v="182"/>
    <n v="286"/>
    <x v="0"/>
    <x v="273"/>
    <x v="2"/>
    <n v="3"/>
    <x v="0"/>
    <d v="2025-10-27T09:40:00"/>
    <x v="26"/>
    <x v="8"/>
    <n v="5160"/>
    <n v="2"/>
    <n v="10320"/>
    <x v="1"/>
  </r>
  <r>
    <n v="442"/>
    <n v="69"/>
    <x v="4"/>
    <x v="329"/>
    <x v="1"/>
    <n v="6"/>
    <x v="0"/>
    <d v="2025-10-27T10:07:00"/>
    <x v="26"/>
    <x v="9"/>
    <n v="7126"/>
    <n v="4"/>
    <n v="28504"/>
    <x v="1"/>
  </r>
  <r>
    <n v="783"/>
    <n v="57"/>
    <x v="2"/>
    <x v="108"/>
    <x v="5"/>
    <n v="4"/>
    <x v="0"/>
    <d v="2025-10-27T11:01:00"/>
    <x v="26"/>
    <x v="10"/>
    <n v="855"/>
    <n v="2"/>
    <n v="1710"/>
    <x v="3"/>
  </r>
  <r>
    <n v="702"/>
    <n v="277"/>
    <x v="8"/>
    <x v="132"/>
    <x v="5"/>
    <n v="4"/>
    <x v="0"/>
    <d v="2025-10-27T11:17:00"/>
    <x v="26"/>
    <x v="10"/>
    <n v="1360"/>
    <n v="1"/>
    <n v="1360"/>
    <x v="2"/>
  </r>
  <r>
    <n v="161"/>
    <n v="260"/>
    <x v="8"/>
    <x v="132"/>
    <x v="5"/>
    <n v="4"/>
    <x v="0"/>
    <d v="2025-10-27T11:36:00"/>
    <x v="26"/>
    <x v="10"/>
    <n v="1261"/>
    <n v="3"/>
    <n v="3783"/>
    <x v="2"/>
  </r>
  <r>
    <n v="606"/>
    <n v="194"/>
    <x v="7"/>
    <x v="143"/>
    <x v="4"/>
    <n v="7"/>
    <x v="1"/>
    <d v="2025-10-27T11:54:00"/>
    <x v="26"/>
    <x v="10"/>
    <n v="1956"/>
    <n v="0"/>
    <n v="0"/>
    <x v="2"/>
  </r>
  <r>
    <n v="329"/>
    <n v="32"/>
    <x v="6"/>
    <x v="57"/>
    <x v="0"/>
    <n v="2"/>
    <x v="0"/>
    <d v="2025-10-27T12:23:00"/>
    <x v="26"/>
    <x v="11"/>
    <n v="14253"/>
    <n v="2"/>
    <n v="28506"/>
    <x v="0"/>
  </r>
  <r>
    <n v="376"/>
    <n v="179"/>
    <x v="0"/>
    <x v="87"/>
    <x v="5"/>
    <n v="4"/>
    <x v="0"/>
    <d v="2025-10-27T12:27:00"/>
    <x v="26"/>
    <x v="11"/>
    <n v="209"/>
    <n v="3"/>
    <n v="627"/>
    <x v="3"/>
  </r>
  <r>
    <n v="100"/>
    <n v="220"/>
    <x v="6"/>
    <x v="373"/>
    <x v="1"/>
    <n v="6"/>
    <x v="0"/>
    <d v="2025-10-27T12:28:00"/>
    <x v="26"/>
    <x v="11"/>
    <n v="11380"/>
    <n v="2"/>
    <n v="22760"/>
    <x v="0"/>
  </r>
  <r>
    <n v="58"/>
    <n v="126"/>
    <x v="2"/>
    <x v="62"/>
    <x v="4"/>
    <n v="7"/>
    <x v="0"/>
    <d v="2025-10-27T12:37:00"/>
    <x v="26"/>
    <x v="11"/>
    <n v="4309"/>
    <n v="1"/>
    <n v="4309"/>
    <x v="2"/>
  </r>
  <r>
    <n v="87"/>
    <n v="34"/>
    <x v="7"/>
    <x v="163"/>
    <x v="3"/>
    <n v="1"/>
    <x v="0"/>
    <d v="2025-10-27T13:10:00"/>
    <x v="26"/>
    <x v="21"/>
    <n v="2948"/>
    <n v="4"/>
    <n v="11792"/>
    <x v="2"/>
  </r>
  <r>
    <n v="21"/>
    <n v="276"/>
    <x v="6"/>
    <x v="53"/>
    <x v="5"/>
    <n v="4"/>
    <x v="0"/>
    <d v="2025-10-27T13:16:00"/>
    <x v="26"/>
    <x v="21"/>
    <n v="532"/>
    <n v="1"/>
    <n v="532"/>
    <x v="3"/>
  </r>
  <r>
    <n v="433"/>
    <n v="291"/>
    <x v="8"/>
    <x v="207"/>
    <x v="0"/>
    <n v="2"/>
    <x v="1"/>
    <d v="2025-10-27T13:45:00"/>
    <x v="26"/>
    <x v="21"/>
    <n v="9162"/>
    <n v="0"/>
    <n v="0"/>
    <x v="1"/>
  </r>
  <r>
    <n v="713"/>
    <n v="241"/>
    <x v="7"/>
    <x v="152"/>
    <x v="4"/>
    <n v="7"/>
    <x v="1"/>
    <d v="2025-10-27T15:18:00"/>
    <x v="26"/>
    <x v="13"/>
    <n v="5731"/>
    <n v="0"/>
    <n v="0"/>
    <x v="1"/>
  </r>
  <r>
    <n v="585"/>
    <n v="200"/>
    <x v="6"/>
    <x v="224"/>
    <x v="4"/>
    <n v="7"/>
    <x v="0"/>
    <d v="2025-10-27T15:21:00"/>
    <x v="26"/>
    <x v="13"/>
    <n v="6127"/>
    <n v="4"/>
    <n v="24508"/>
    <x v="1"/>
  </r>
  <r>
    <n v="103"/>
    <n v="106"/>
    <x v="1"/>
    <x v="173"/>
    <x v="5"/>
    <n v="4"/>
    <x v="0"/>
    <d v="2025-10-27T15:50:00"/>
    <x v="26"/>
    <x v="13"/>
    <n v="803"/>
    <n v="2"/>
    <n v="1606"/>
    <x v="3"/>
  </r>
  <r>
    <n v="348"/>
    <n v="86"/>
    <x v="3"/>
    <x v="247"/>
    <x v="1"/>
    <n v="6"/>
    <x v="0"/>
    <d v="2025-10-27T16:06:00"/>
    <x v="26"/>
    <x v="14"/>
    <n v="7558"/>
    <n v="1"/>
    <n v="7558"/>
    <x v="1"/>
  </r>
  <r>
    <n v="207"/>
    <n v="255"/>
    <x v="6"/>
    <x v="136"/>
    <x v="6"/>
    <n v="5"/>
    <x v="0"/>
    <d v="2025-10-27T17:00:00"/>
    <x v="26"/>
    <x v="15"/>
    <n v="3271"/>
    <n v="2"/>
    <n v="6542"/>
    <x v="2"/>
  </r>
  <r>
    <n v="272"/>
    <n v="25"/>
    <x v="5"/>
    <x v="119"/>
    <x v="1"/>
    <n v="6"/>
    <x v="0"/>
    <d v="2025-10-27T17:05:00"/>
    <x v="26"/>
    <x v="15"/>
    <n v="3308"/>
    <n v="3"/>
    <n v="9924"/>
    <x v="2"/>
  </r>
  <r>
    <n v="640"/>
    <n v="48"/>
    <x v="2"/>
    <x v="374"/>
    <x v="2"/>
    <n v="3"/>
    <x v="0"/>
    <d v="2025-10-27T17:36:00"/>
    <x v="26"/>
    <x v="15"/>
    <n v="4028"/>
    <n v="1"/>
    <n v="4028"/>
    <x v="2"/>
  </r>
  <r>
    <n v="280"/>
    <n v="35"/>
    <x v="9"/>
    <x v="113"/>
    <x v="5"/>
    <n v="4"/>
    <x v="1"/>
    <d v="2025-10-27T18:24:00"/>
    <x v="26"/>
    <x v="16"/>
    <n v="1082"/>
    <n v="0"/>
    <n v="0"/>
    <x v="2"/>
  </r>
  <r>
    <n v="356"/>
    <n v="40"/>
    <x v="2"/>
    <x v="374"/>
    <x v="2"/>
    <n v="3"/>
    <x v="0"/>
    <d v="2025-10-27T19:41:00"/>
    <x v="26"/>
    <x v="22"/>
    <n v="5893"/>
    <n v="5"/>
    <n v="29465"/>
    <x v="1"/>
  </r>
  <r>
    <n v="444"/>
    <n v="277"/>
    <x v="3"/>
    <x v="234"/>
    <x v="6"/>
    <n v="5"/>
    <x v="0"/>
    <d v="2025-10-27T20:11:00"/>
    <x v="26"/>
    <x v="17"/>
    <n v="3422"/>
    <n v="2"/>
    <n v="6844"/>
    <x v="2"/>
  </r>
  <r>
    <n v="258"/>
    <n v="264"/>
    <x v="2"/>
    <x v="108"/>
    <x v="5"/>
    <n v="4"/>
    <x v="1"/>
    <d v="2025-10-27T20:30:00"/>
    <x v="26"/>
    <x v="17"/>
    <n v="593"/>
    <n v="0"/>
    <n v="0"/>
    <x v="3"/>
  </r>
  <r>
    <n v="20"/>
    <n v="265"/>
    <x v="3"/>
    <x v="123"/>
    <x v="1"/>
    <n v="6"/>
    <x v="0"/>
    <d v="2025-10-27T20:55:00"/>
    <x v="26"/>
    <x v="17"/>
    <n v="9568"/>
    <n v="1"/>
    <n v="9568"/>
    <x v="1"/>
  </r>
  <r>
    <n v="677"/>
    <n v="240"/>
    <x v="8"/>
    <x v="41"/>
    <x v="0"/>
    <n v="2"/>
    <x v="0"/>
    <d v="2025-10-27T21:49:00"/>
    <x v="26"/>
    <x v="23"/>
    <n v="7151"/>
    <n v="5"/>
    <n v="35755"/>
    <x v="1"/>
  </r>
  <r>
    <n v="788"/>
    <n v="223"/>
    <x v="3"/>
    <x v="370"/>
    <x v="5"/>
    <n v="4"/>
    <x v="0"/>
    <d v="2025-10-27T22:11:00"/>
    <x v="26"/>
    <x v="18"/>
    <n v="724"/>
    <n v="2"/>
    <n v="1448"/>
    <x v="3"/>
  </r>
  <r>
    <n v="206"/>
    <n v="187"/>
    <x v="0"/>
    <x v="292"/>
    <x v="6"/>
    <n v="5"/>
    <x v="0"/>
    <d v="2025-10-27T22:12:00"/>
    <x v="26"/>
    <x v="18"/>
    <n v="3290"/>
    <n v="2"/>
    <n v="6580"/>
    <x v="2"/>
  </r>
  <r>
    <n v="765"/>
    <n v="154"/>
    <x v="5"/>
    <x v="375"/>
    <x v="4"/>
    <n v="7"/>
    <x v="0"/>
    <d v="2025-10-27T23:23:00"/>
    <x v="26"/>
    <x v="19"/>
    <n v="5163"/>
    <n v="3"/>
    <n v="15489"/>
    <x v="1"/>
  </r>
  <r>
    <n v="650"/>
    <n v="105"/>
    <x v="6"/>
    <x v="40"/>
    <x v="5"/>
    <n v="4"/>
    <x v="1"/>
    <d v="2025-10-27T23:54:00"/>
    <x v="26"/>
    <x v="19"/>
    <n v="951"/>
    <n v="0"/>
    <n v="0"/>
    <x v="3"/>
  </r>
  <r>
    <n v="263"/>
    <n v="121"/>
    <x v="7"/>
    <x v="288"/>
    <x v="2"/>
    <n v="3"/>
    <x v="1"/>
    <d v="2025-10-28T00:24:00"/>
    <x v="27"/>
    <x v="0"/>
    <n v="4814"/>
    <n v="0"/>
    <n v="0"/>
    <x v="2"/>
  </r>
  <r>
    <n v="197"/>
    <n v="15"/>
    <x v="1"/>
    <x v="20"/>
    <x v="3"/>
    <n v="1"/>
    <x v="0"/>
    <d v="2025-10-28T00:30:00"/>
    <x v="27"/>
    <x v="0"/>
    <n v="4246"/>
    <n v="5"/>
    <n v="21230"/>
    <x v="2"/>
  </r>
  <r>
    <n v="574"/>
    <n v="224"/>
    <x v="8"/>
    <x v="134"/>
    <x v="0"/>
    <n v="2"/>
    <x v="1"/>
    <d v="2025-10-28T00:59:00"/>
    <x v="27"/>
    <x v="0"/>
    <n v="7981"/>
    <n v="0"/>
    <n v="0"/>
    <x v="1"/>
  </r>
  <r>
    <n v="164"/>
    <n v="140"/>
    <x v="0"/>
    <x v="301"/>
    <x v="2"/>
    <n v="3"/>
    <x v="0"/>
    <d v="2025-10-28T01:12:00"/>
    <x v="27"/>
    <x v="1"/>
    <n v="5088"/>
    <n v="2"/>
    <n v="10176"/>
    <x v="1"/>
  </r>
  <r>
    <n v="675"/>
    <n v="282"/>
    <x v="7"/>
    <x v="73"/>
    <x v="2"/>
    <n v="3"/>
    <x v="0"/>
    <d v="2025-10-28T01:40:00"/>
    <x v="27"/>
    <x v="1"/>
    <n v="2431"/>
    <n v="3"/>
    <n v="7293"/>
    <x v="2"/>
  </r>
  <r>
    <n v="498"/>
    <n v="11"/>
    <x v="0"/>
    <x v="39"/>
    <x v="3"/>
    <n v="1"/>
    <x v="0"/>
    <d v="2025-10-28T01:43:00"/>
    <x v="27"/>
    <x v="1"/>
    <n v="2570"/>
    <n v="1"/>
    <n v="2570"/>
    <x v="2"/>
  </r>
  <r>
    <n v="306"/>
    <n v="33"/>
    <x v="6"/>
    <x v="170"/>
    <x v="6"/>
    <n v="5"/>
    <x v="0"/>
    <d v="2025-10-28T02:11:00"/>
    <x v="27"/>
    <x v="2"/>
    <n v="868"/>
    <n v="2"/>
    <n v="1736"/>
    <x v="3"/>
  </r>
  <r>
    <n v="742"/>
    <n v="72"/>
    <x v="1"/>
    <x v="77"/>
    <x v="3"/>
    <n v="1"/>
    <x v="0"/>
    <d v="2025-10-28T05:29:00"/>
    <x v="27"/>
    <x v="20"/>
    <n v="4320"/>
    <n v="1"/>
    <n v="4320"/>
    <x v="2"/>
  </r>
  <r>
    <n v="124"/>
    <n v="268"/>
    <x v="9"/>
    <x v="55"/>
    <x v="6"/>
    <n v="5"/>
    <x v="1"/>
    <d v="2025-10-28T05:30:00"/>
    <x v="27"/>
    <x v="20"/>
    <n v="1623"/>
    <n v="0"/>
    <n v="0"/>
    <x v="2"/>
  </r>
  <r>
    <n v="509"/>
    <n v="47"/>
    <x v="3"/>
    <x v="56"/>
    <x v="5"/>
    <n v="4"/>
    <x v="0"/>
    <d v="2025-10-28T07:10:00"/>
    <x v="27"/>
    <x v="6"/>
    <n v="1500"/>
    <n v="1"/>
    <n v="1500"/>
    <x v="2"/>
  </r>
  <r>
    <n v="338"/>
    <n v="300"/>
    <x v="1"/>
    <x v="95"/>
    <x v="2"/>
    <n v="3"/>
    <x v="1"/>
    <d v="2025-10-28T07:24:00"/>
    <x v="27"/>
    <x v="6"/>
    <n v="3557"/>
    <n v="0"/>
    <n v="0"/>
    <x v="2"/>
  </r>
  <r>
    <n v="224"/>
    <n v="74"/>
    <x v="5"/>
    <x v="147"/>
    <x v="3"/>
    <n v="1"/>
    <x v="0"/>
    <d v="2025-10-28T08:18:00"/>
    <x v="27"/>
    <x v="7"/>
    <n v="7038"/>
    <n v="2"/>
    <n v="14076"/>
    <x v="1"/>
  </r>
  <r>
    <n v="451"/>
    <n v="210"/>
    <x v="5"/>
    <x v="86"/>
    <x v="2"/>
    <n v="3"/>
    <x v="0"/>
    <d v="2025-10-28T08:59:00"/>
    <x v="27"/>
    <x v="7"/>
    <n v="2264"/>
    <n v="2"/>
    <n v="4528"/>
    <x v="2"/>
  </r>
  <r>
    <n v="547"/>
    <n v="192"/>
    <x v="0"/>
    <x v="187"/>
    <x v="6"/>
    <n v="5"/>
    <x v="0"/>
    <d v="2025-10-28T09:21:00"/>
    <x v="27"/>
    <x v="8"/>
    <n v="1942"/>
    <n v="2"/>
    <n v="3884"/>
    <x v="2"/>
  </r>
  <r>
    <n v="487"/>
    <n v="127"/>
    <x v="3"/>
    <x v="230"/>
    <x v="1"/>
    <n v="6"/>
    <x v="0"/>
    <d v="2025-10-28T09:56:00"/>
    <x v="27"/>
    <x v="8"/>
    <n v="3812"/>
    <n v="4"/>
    <n v="15248"/>
    <x v="2"/>
  </r>
  <r>
    <n v="733"/>
    <n v="189"/>
    <x v="6"/>
    <x v="317"/>
    <x v="3"/>
    <n v="1"/>
    <x v="0"/>
    <d v="2025-10-28T10:52:00"/>
    <x v="27"/>
    <x v="9"/>
    <n v="3149"/>
    <n v="1"/>
    <n v="3149"/>
    <x v="2"/>
  </r>
  <r>
    <n v="758"/>
    <n v="28"/>
    <x v="9"/>
    <x v="330"/>
    <x v="4"/>
    <n v="7"/>
    <x v="0"/>
    <d v="2025-10-28T11:06:00"/>
    <x v="27"/>
    <x v="10"/>
    <n v="3834"/>
    <n v="3"/>
    <n v="11502"/>
    <x v="2"/>
  </r>
  <r>
    <n v="566"/>
    <n v="197"/>
    <x v="5"/>
    <x v="78"/>
    <x v="5"/>
    <n v="4"/>
    <x v="0"/>
    <d v="2025-10-28T11:16:00"/>
    <x v="27"/>
    <x v="10"/>
    <n v="1500"/>
    <n v="2"/>
    <n v="3000"/>
    <x v="2"/>
  </r>
  <r>
    <n v="125"/>
    <n v="274"/>
    <x v="6"/>
    <x v="345"/>
    <x v="4"/>
    <n v="7"/>
    <x v="0"/>
    <d v="2025-10-28T11:45:00"/>
    <x v="27"/>
    <x v="10"/>
    <n v="4160"/>
    <n v="2"/>
    <n v="8320"/>
    <x v="2"/>
  </r>
  <r>
    <n v="403"/>
    <n v="131"/>
    <x v="2"/>
    <x v="7"/>
    <x v="0"/>
    <n v="2"/>
    <x v="0"/>
    <d v="2025-10-28T12:29:00"/>
    <x v="27"/>
    <x v="11"/>
    <n v="7898"/>
    <n v="1"/>
    <n v="7898"/>
    <x v="1"/>
  </r>
  <r>
    <n v="216"/>
    <n v="83"/>
    <x v="5"/>
    <x v="259"/>
    <x v="3"/>
    <n v="1"/>
    <x v="0"/>
    <d v="2025-10-28T13:07:00"/>
    <x v="27"/>
    <x v="21"/>
    <n v="3310"/>
    <n v="1"/>
    <n v="3310"/>
    <x v="2"/>
  </r>
  <r>
    <n v="35"/>
    <n v="141"/>
    <x v="6"/>
    <x v="33"/>
    <x v="5"/>
    <n v="4"/>
    <x v="1"/>
    <d v="2025-10-28T13:50:00"/>
    <x v="27"/>
    <x v="21"/>
    <n v="1071"/>
    <n v="0"/>
    <n v="0"/>
    <x v="2"/>
  </r>
  <r>
    <n v="755"/>
    <n v="212"/>
    <x v="8"/>
    <x v="140"/>
    <x v="5"/>
    <n v="4"/>
    <x v="0"/>
    <d v="2025-10-28T14:05:00"/>
    <x v="27"/>
    <x v="12"/>
    <n v="413"/>
    <n v="2"/>
    <n v="826"/>
    <x v="3"/>
  </r>
  <r>
    <n v="165"/>
    <n v="134"/>
    <x v="2"/>
    <x v="45"/>
    <x v="3"/>
    <n v="1"/>
    <x v="0"/>
    <d v="2025-10-28T14:50:00"/>
    <x v="27"/>
    <x v="12"/>
    <n v="7860"/>
    <n v="3"/>
    <n v="23580"/>
    <x v="1"/>
  </r>
  <r>
    <n v="617"/>
    <n v="281"/>
    <x v="6"/>
    <x v="33"/>
    <x v="5"/>
    <n v="4"/>
    <x v="0"/>
    <d v="2025-10-28T14:53:00"/>
    <x v="27"/>
    <x v="12"/>
    <n v="919"/>
    <n v="1"/>
    <n v="919"/>
    <x v="3"/>
  </r>
  <r>
    <n v="781"/>
    <n v="27"/>
    <x v="8"/>
    <x v="318"/>
    <x v="6"/>
    <n v="5"/>
    <x v="0"/>
    <d v="2025-10-28T15:14:00"/>
    <x v="27"/>
    <x v="13"/>
    <n v="3788"/>
    <n v="1"/>
    <n v="3788"/>
    <x v="2"/>
  </r>
  <r>
    <n v="455"/>
    <n v="70"/>
    <x v="4"/>
    <x v="36"/>
    <x v="3"/>
    <n v="1"/>
    <x v="0"/>
    <d v="2025-10-28T15:14:00"/>
    <x v="27"/>
    <x v="13"/>
    <n v="6382"/>
    <n v="2"/>
    <n v="12764"/>
    <x v="1"/>
  </r>
  <r>
    <n v="322"/>
    <n v="295"/>
    <x v="5"/>
    <x v="78"/>
    <x v="5"/>
    <n v="4"/>
    <x v="0"/>
    <d v="2025-10-28T15:25:00"/>
    <x v="27"/>
    <x v="13"/>
    <n v="61"/>
    <n v="4"/>
    <n v="244"/>
    <x v="3"/>
  </r>
  <r>
    <n v="529"/>
    <n v="67"/>
    <x v="4"/>
    <x v="6"/>
    <x v="3"/>
    <n v="1"/>
    <x v="0"/>
    <d v="2025-10-28T15:37:00"/>
    <x v="27"/>
    <x v="13"/>
    <n v="1529"/>
    <n v="3"/>
    <n v="4587"/>
    <x v="2"/>
  </r>
  <r>
    <n v="463"/>
    <n v="245"/>
    <x v="2"/>
    <x v="250"/>
    <x v="3"/>
    <n v="1"/>
    <x v="0"/>
    <d v="2025-10-28T15:50:00"/>
    <x v="27"/>
    <x v="13"/>
    <n v="8000"/>
    <n v="1"/>
    <n v="8000"/>
    <x v="1"/>
  </r>
  <r>
    <n v="704"/>
    <n v="168"/>
    <x v="7"/>
    <x v="281"/>
    <x v="6"/>
    <n v="5"/>
    <x v="0"/>
    <d v="2025-10-28T16:22:00"/>
    <x v="27"/>
    <x v="14"/>
    <n v="3679"/>
    <n v="2"/>
    <n v="7358"/>
    <x v="2"/>
  </r>
  <r>
    <n v="377"/>
    <n v="94"/>
    <x v="1"/>
    <x v="376"/>
    <x v="2"/>
    <n v="3"/>
    <x v="0"/>
    <d v="2025-10-28T16:35:00"/>
    <x v="27"/>
    <x v="14"/>
    <n v="3709"/>
    <n v="1"/>
    <n v="3709"/>
    <x v="2"/>
  </r>
  <r>
    <n v="22"/>
    <n v="12"/>
    <x v="9"/>
    <x v="88"/>
    <x v="6"/>
    <n v="5"/>
    <x v="0"/>
    <d v="2025-10-28T16:50:00"/>
    <x v="27"/>
    <x v="14"/>
    <n v="2404"/>
    <n v="2"/>
    <n v="4808"/>
    <x v="2"/>
  </r>
  <r>
    <n v="269"/>
    <n v="87"/>
    <x v="8"/>
    <x v="114"/>
    <x v="2"/>
    <n v="3"/>
    <x v="0"/>
    <d v="2025-10-28T16:58:00"/>
    <x v="27"/>
    <x v="14"/>
    <n v="3218"/>
    <n v="3"/>
    <n v="9654"/>
    <x v="2"/>
  </r>
  <r>
    <n v="615"/>
    <n v="134"/>
    <x v="9"/>
    <x v="18"/>
    <x v="3"/>
    <n v="1"/>
    <x v="0"/>
    <d v="2025-10-28T17:10:00"/>
    <x v="27"/>
    <x v="15"/>
    <n v="1412"/>
    <n v="1"/>
    <n v="1412"/>
    <x v="2"/>
  </r>
  <r>
    <n v="581"/>
    <n v="61"/>
    <x v="6"/>
    <x v="310"/>
    <x v="0"/>
    <n v="2"/>
    <x v="0"/>
    <d v="2025-10-28T17:17:00"/>
    <x v="27"/>
    <x v="15"/>
    <n v="6290"/>
    <n v="2"/>
    <n v="12580"/>
    <x v="1"/>
  </r>
  <r>
    <n v="792"/>
    <n v="233"/>
    <x v="3"/>
    <x v="324"/>
    <x v="4"/>
    <n v="7"/>
    <x v="0"/>
    <d v="2025-10-28T17:19:00"/>
    <x v="27"/>
    <x v="15"/>
    <n v="1782"/>
    <n v="4"/>
    <n v="7128"/>
    <x v="2"/>
  </r>
  <r>
    <n v="230"/>
    <n v="105"/>
    <x v="8"/>
    <x v="30"/>
    <x v="3"/>
    <n v="1"/>
    <x v="0"/>
    <d v="2025-10-28T17:43:00"/>
    <x v="27"/>
    <x v="15"/>
    <n v="7920"/>
    <n v="2"/>
    <n v="15840"/>
    <x v="1"/>
  </r>
  <r>
    <n v="765"/>
    <n v="254"/>
    <x v="7"/>
    <x v="184"/>
    <x v="6"/>
    <n v="5"/>
    <x v="0"/>
    <d v="2025-10-28T18:13:00"/>
    <x v="27"/>
    <x v="16"/>
    <n v="1780"/>
    <n v="2"/>
    <n v="3560"/>
    <x v="2"/>
  </r>
  <r>
    <n v="615"/>
    <n v="111"/>
    <x v="2"/>
    <x v="185"/>
    <x v="3"/>
    <n v="1"/>
    <x v="0"/>
    <d v="2025-10-28T18:38:00"/>
    <x v="27"/>
    <x v="16"/>
    <n v="3995"/>
    <n v="2"/>
    <n v="7990"/>
    <x v="2"/>
  </r>
  <r>
    <n v="185"/>
    <n v="210"/>
    <x v="5"/>
    <x v="72"/>
    <x v="6"/>
    <n v="5"/>
    <x v="0"/>
    <d v="2025-10-28T18:55:00"/>
    <x v="27"/>
    <x v="16"/>
    <n v="2131"/>
    <n v="2"/>
    <n v="4262"/>
    <x v="2"/>
  </r>
  <r>
    <n v="269"/>
    <n v="121"/>
    <x v="0"/>
    <x v="67"/>
    <x v="3"/>
    <n v="1"/>
    <x v="1"/>
    <d v="2025-10-28T19:07:00"/>
    <x v="27"/>
    <x v="22"/>
    <n v="7365"/>
    <n v="0"/>
    <n v="0"/>
    <x v="1"/>
  </r>
  <r>
    <n v="597"/>
    <n v="235"/>
    <x v="5"/>
    <x v="195"/>
    <x v="4"/>
    <n v="7"/>
    <x v="0"/>
    <d v="2025-10-28T20:00:00"/>
    <x v="27"/>
    <x v="17"/>
    <n v="6590"/>
    <n v="1"/>
    <n v="6590"/>
    <x v="1"/>
  </r>
  <r>
    <n v="332"/>
    <n v="204"/>
    <x v="8"/>
    <x v="41"/>
    <x v="0"/>
    <n v="2"/>
    <x v="0"/>
    <d v="2025-10-28T20:19:00"/>
    <x v="27"/>
    <x v="17"/>
    <n v="5209"/>
    <n v="3"/>
    <n v="15627"/>
    <x v="1"/>
  </r>
  <r>
    <n v="434"/>
    <n v="132"/>
    <x v="2"/>
    <x v="69"/>
    <x v="3"/>
    <n v="1"/>
    <x v="0"/>
    <d v="2025-10-28T20:37:00"/>
    <x v="27"/>
    <x v="17"/>
    <n v="6534"/>
    <n v="4"/>
    <n v="26136"/>
    <x v="1"/>
  </r>
  <r>
    <n v="54"/>
    <n v="171"/>
    <x v="3"/>
    <x v="49"/>
    <x v="3"/>
    <n v="1"/>
    <x v="0"/>
    <d v="2025-10-28T20:37:00"/>
    <x v="27"/>
    <x v="17"/>
    <n v="1446"/>
    <n v="2"/>
    <n v="2892"/>
    <x v="2"/>
  </r>
  <r>
    <n v="687"/>
    <n v="24"/>
    <x v="6"/>
    <x v="302"/>
    <x v="4"/>
    <n v="7"/>
    <x v="0"/>
    <d v="2025-10-28T20:48:00"/>
    <x v="27"/>
    <x v="17"/>
    <n v="3464"/>
    <n v="3"/>
    <n v="10392"/>
    <x v="2"/>
  </r>
  <r>
    <n v="391"/>
    <n v="155"/>
    <x v="3"/>
    <x v="338"/>
    <x v="4"/>
    <n v="7"/>
    <x v="1"/>
    <d v="2025-10-28T21:01:00"/>
    <x v="27"/>
    <x v="23"/>
    <n v="1500"/>
    <n v="0"/>
    <n v="0"/>
    <x v="2"/>
  </r>
  <r>
    <n v="573"/>
    <n v="22"/>
    <x v="6"/>
    <x v="53"/>
    <x v="5"/>
    <n v="4"/>
    <x v="0"/>
    <d v="2025-10-28T21:15:00"/>
    <x v="27"/>
    <x v="23"/>
    <n v="1001"/>
    <n v="1"/>
    <n v="1001"/>
    <x v="2"/>
  </r>
  <r>
    <n v="516"/>
    <n v="253"/>
    <x v="7"/>
    <x v="209"/>
    <x v="0"/>
    <n v="2"/>
    <x v="0"/>
    <d v="2025-10-28T21:38:00"/>
    <x v="27"/>
    <x v="23"/>
    <n v="13401"/>
    <n v="3"/>
    <n v="40203"/>
    <x v="0"/>
  </r>
  <r>
    <n v="325"/>
    <n v="272"/>
    <x v="4"/>
    <x v="150"/>
    <x v="1"/>
    <n v="6"/>
    <x v="0"/>
    <d v="2025-10-28T21:58:00"/>
    <x v="27"/>
    <x v="23"/>
    <n v="7596"/>
    <n v="3"/>
    <n v="22788"/>
    <x v="1"/>
  </r>
  <r>
    <n v="321"/>
    <n v="23"/>
    <x v="7"/>
    <x v="377"/>
    <x v="1"/>
    <n v="6"/>
    <x v="0"/>
    <d v="2025-10-28T22:23:00"/>
    <x v="27"/>
    <x v="18"/>
    <n v="8965"/>
    <n v="1"/>
    <n v="8965"/>
    <x v="1"/>
  </r>
  <r>
    <n v="370"/>
    <n v="221"/>
    <x v="7"/>
    <x v="245"/>
    <x v="1"/>
    <n v="6"/>
    <x v="0"/>
    <d v="2025-10-28T23:01:00"/>
    <x v="27"/>
    <x v="19"/>
    <n v="4150"/>
    <n v="3"/>
    <n v="12450"/>
    <x v="2"/>
  </r>
  <r>
    <n v="530"/>
    <n v="161"/>
    <x v="9"/>
    <x v="113"/>
    <x v="5"/>
    <n v="4"/>
    <x v="0"/>
    <d v="2025-10-28T23:45:00"/>
    <x v="27"/>
    <x v="19"/>
    <n v="563"/>
    <n v="3"/>
    <n v="1689"/>
    <x v="3"/>
  </r>
  <r>
    <n v="783"/>
    <n v="78"/>
    <x v="6"/>
    <x v="33"/>
    <x v="5"/>
    <n v="4"/>
    <x v="0"/>
    <d v="2025-10-29T00:19:00"/>
    <x v="28"/>
    <x v="0"/>
    <n v="826"/>
    <n v="1"/>
    <n v="826"/>
    <x v="3"/>
  </r>
  <r>
    <n v="194"/>
    <n v="77"/>
    <x v="8"/>
    <x v="293"/>
    <x v="1"/>
    <n v="6"/>
    <x v="0"/>
    <d v="2025-10-29T01:41:00"/>
    <x v="28"/>
    <x v="1"/>
    <n v="11240"/>
    <n v="3"/>
    <n v="33720"/>
    <x v="0"/>
  </r>
  <r>
    <n v="482"/>
    <n v="134"/>
    <x v="4"/>
    <x v="196"/>
    <x v="5"/>
    <n v="4"/>
    <x v="0"/>
    <d v="2025-10-29T01:42:00"/>
    <x v="28"/>
    <x v="1"/>
    <n v="78"/>
    <n v="2"/>
    <n v="156"/>
    <x v="3"/>
  </r>
  <r>
    <n v="119"/>
    <n v="254"/>
    <x v="8"/>
    <x v="44"/>
    <x v="6"/>
    <n v="5"/>
    <x v="0"/>
    <d v="2025-10-29T01:48:00"/>
    <x v="28"/>
    <x v="1"/>
    <n v="1630"/>
    <n v="2"/>
    <n v="3260"/>
    <x v="2"/>
  </r>
  <r>
    <n v="497"/>
    <n v="235"/>
    <x v="6"/>
    <x v="96"/>
    <x v="5"/>
    <n v="4"/>
    <x v="0"/>
    <d v="2025-10-29T01:48:00"/>
    <x v="28"/>
    <x v="1"/>
    <n v="159"/>
    <n v="1"/>
    <n v="159"/>
    <x v="3"/>
  </r>
  <r>
    <n v="358"/>
    <n v="48"/>
    <x v="4"/>
    <x v="242"/>
    <x v="4"/>
    <n v="7"/>
    <x v="0"/>
    <d v="2025-10-29T02:16:00"/>
    <x v="28"/>
    <x v="2"/>
    <n v="5395"/>
    <n v="2"/>
    <n v="10790"/>
    <x v="1"/>
  </r>
  <r>
    <n v="768"/>
    <n v="261"/>
    <x v="4"/>
    <x v="6"/>
    <x v="3"/>
    <n v="1"/>
    <x v="1"/>
    <d v="2025-10-29T03:16:00"/>
    <x v="28"/>
    <x v="3"/>
    <n v="2613"/>
    <n v="0"/>
    <n v="0"/>
    <x v="2"/>
  </r>
  <r>
    <n v="598"/>
    <n v="3"/>
    <x v="9"/>
    <x v="128"/>
    <x v="0"/>
    <n v="2"/>
    <x v="0"/>
    <d v="2025-10-29T03:23:00"/>
    <x v="28"/>
    <x v="3"/>
    <n v="8557"/>
    <n v="2"/>
    <n v="17114"/>
    <x v="1"/>
  </r>
  <r>
    <n v="427"/>
    <n v="40"/>
    <x v="9"/>
    <x v="312"/>
    <x v="5"/>
    <n v="4"/>
    <x v="0"/>
    <d v="2025-10-29T04:33:00"/>
    <x v="28"/>
    <x v="4"/>
    <n v="1319"/>
    <n v="1"/>
    <n v="1319"/>
    <x v="2"/>
  </r>
  <r>
    <n v="97"/>
    <n v="169"/>
    <x v="8"/>
    <x v="207"/>
    <x v="0"/>
    <n v="2"/>
    <x v="0"/>
    <d v="2025-10-29T04:34:00"/>
    <x v="28"/>
    <x v="4"/>
    <n v="8226"/>
    <n v="1"/>
    <n v="8226"/>
    <x v="1"/>
  </r>
  <r>
    <n v="383"/>
    <n v="55"/>
    <x v="1"/>
    <x v="328"/>
    <x v="1"/>
    <n v="6"/>
    <x v="0"/>
    <d v="2025-10-29T05:47:00"/>
    <x v="28"/>
    <x v="20"/>
    <n v="2370"/>
    <n v="2"/>
    <n v="4740"/>
    <x v="2"/>
  </r>
  <r>
    <n v="472"/>
    <n v="246"/>
    <x v="0"/>
    <x v="172"/>
    <x v="5"/>
    <n v="4"/>
    <x v="0"/>
    <d v="2025-10-29T05:58:00"/>
    <x v="28"/>
    <x v="20"/>
    <n v="590"/>
    <n v="1"/>
    <n v="590"/>
    <x v="3"/>
  </r>
  <r>
    <n v="674"/>
    <n v="3"/>
    <x v="7"/>
    <x v="163"/>
    <x v="3"/>
    <n v="1"/>
    <x v="0"/>
    <d v="2025-10-29T06:01:00"/>
    <x v="28"/>
    <x v="5"/>
    <n v="4840"/>
    <n v="2"/>
    <n v="9680"/>
    <x v="2"/>
  </r>
  <r>
    <n v="333"/>
    <n v="292"/>
    <x v="9"/>
    <x v="182"/>
    <x v="5"/>
    <n v="4"/>
    <x v="0"/>
    <d v="2025-10-29T06:19:00"/>
    <x v="28"/>
    <x v="5"/>
    <n v="546"/>
    <n v="3"/>
    <n v="1638"/>
    <x v="3"/>
  </r>
  <r>
    <n v="331"/>
    <n v="29"/>
    <x v="0"/>
    <x v="215"/>
    <x v="2"/>
    <n v="3"/>
    <x v="0"/>
    <d v="2025-10-29T06:26:00"/>
    <x v="28"/>
    <x v="5"/>
    <n v="2467"/>
    <n v="2"/>
    <n v="4934"/>
    <x v="2"/>
  </r>
  <r>
    <n v="391"/>
    <n v="48"/>
    <x v="3"/>
    <x v="3"/>
    <x v="3"/>
    <n v="1"/>
    <x v="0"/>
    <d v="2025-10-29T06:35:00"/>
    <x v="28"/>
    <x v="5"/>
    <n v="6929"/>
    <n v="1"/>
    <n v="6929"/>
    <x v="1"/>
  </r>
  <r>
    <n v="790"/>
    <n v="205"/>
    <x v="4"/>
    <x v="200"/>
    <x v="1"/>
    <n v="6"/>
    <x v="1"/>
    <d v="2025-10-29T06:45:00"/>
    <x v="28"/>
    <x v="5"/>
    <n v="8464"/>
    <n v="0"/>
    <n v="0"/>
    <x v="1"/>
  </r>
  <r>
    <n v="398"/>
    <n v="207"/>
    <x v="5"/>
    <x v="246"/>
    <x v="3"/>
    <n v="1"/>
    <x v="0"/>
    <d v="2025-10-29T07:28:00"/>
    <x v="28"/>
    <x v="6"/>
    <n v="1540"/>
    <n v="3"/>
    <n v="4620"/>
    <x v="2"/>
  </r>
  <r>
    <n v="306"/>
    <n v="252"/>
    <x v="4"/>
    <x v="378"/>
    <x v="6"/>
    <n v="5"/>
    <x v="0"/>
    <d v="2025-10-29T07:49:00"/>
    <x v="28"/>
    <x v="6"/>
    <n v="2098"/>
    <n v="2"/>
    <n v="4196"/>
    <x v="2"/>
  </r>
  <r>
    <n v="135"/>
    <n v="184"/>
    <x v="7"/>
    <x v="26"/>
    <x v="6"/>
    <n v="5"/>
    <x v="0"/>
    <d v="2025-10-29T07:59:00"/>
    <x v="28"/>
    <x v="6"/>
    <n v="2746"/>
    <n v="3"/>
    <n v="8238"/>
    <x v="2"/>
  </r>
  <r>
    <n v="502"/>
    <n v="229"/>
    <x v="3"/>
    <x v="123"/>
    <x v="1"/>
    <n v="6"/>
    <x v="1"/>
    <d v="2025-10-29T08:23:00"/>
    <x v="28"/>
    <x v="7"/>
    <n v="3562"/>
    <n v="0"/>
    <n v="0"/>
    <x v="2"/>
  </r>
  <r>
    <n v="615"/>
    <n v="217"/>
    <x v="7"/>
    <x v="25"/>
    <x v="0"/>
    <n v="2"/>
    <x v="0"/>
    <d v="2025-10-29T08:57:00"/>
    <x v="28"/>
    <x v="7"/>
    <n v="10401"/>
    <n v="3"/>
    <n v="31203"/>
    <x v="0"/>
  </r>
  <r>
    <n v="629"/>
    <n v="96"/>
    <x v="2"/>
    <x v="62"/>
    <x v="4"/>
    <n v="7"/>
    <x v="0"/>
    <d v="2025-10-29T09:05:00"/>
    <x v="28"/>
    <x v="8"/>
    <n v="2426"/>
    <n v="1"/>
    <n v="2426"/>
    <x v="2"/>
  </r>
  <r>
    <n v="42"/>
    <n v="263"/>
    <x v="2"/>
    <x v="45"/>
    <x v="3"/>
    <n v="1"/>
    <x v="0"/>
    <d v="2025-10-29T09:19:00"/>
    <x v="28"/>
    <x v="8"/>
    <n v="4678"/>
    <n v="2"/>
    <n v="9356"/>
    <x v="2"/>
  </r>
  <r>
    <n v="703"/>
    <n v="80"/>
    <x v="5"/>
    <x v="222"/>
    <x v="0"/>
    <n v="2"/>
    <x v="0"/>
    <d v="2025-10-29T09:23:00"/>
    <x v="28"/>
    <x v="8"/>
    <n v="9636"/>
    <n v="2"/>
    <n v="19272"/>
    <x v="1"/>
  </r>
  <r>
    <n v="298"/>
    <n v="240"/>
    <x v="3"/>
    <x v="43"/>
    <x v="4"/>
    <n v="7"/>
    <x v="0"/>
    <d v="2025-10-29T09:28:00"/>
    <x v="28"/>
    <x v="8"/>
    <n v="5626"/>
    <n v="2"/>
    <n v="11252"/>
    <x v="1"/>
  </r>
  <r>
    <n v="153"/>
    <n v="66"/>
    <x v="8"/>
    <x v="379"/>
    <x v="6"/>
    <n v="5"/>
    <x v="0"/>
    <d v="2025-10-29T09:58:00"/>
    <x v="28"/>
    <x v="8"/>
    <n v="2431"/>
    <n v="1"/>
    <n v="2431"/>
    <x v="2"/>
  </r>
  <r>
    <n v="303"/>
    <n v="292"/>
    <x v="3"/>
    <x v="230"/>
    <x v="1"/>
    <n v="6"/>
    <x v="1"/>
    <d v="2025-10-29T10:04:00"/>
    <x v="28"/>
    <x v="9"/>
    <n v="6848"/>
    <n v="0"/>
    <n v="0"/>
    <x v="1"/>
  </r>
  <r>
    <n v="526"/>
    <n v="56"/>
    <x v="1"/>
    <x v="253"/>
    <x v="2"/>
    <n v="3"/>
    <x v="0"/>
    <d v="2025-10-29T10:23:00"/>
    <x v="28"/>
    <x v="9"/>
    <n v="1972"/>
    <n v="3"/>
    <n v="5916"/>
    <x v="2"/>
  </r>
  <r>
    <n v="476"/>
    <n v="292"/>
    <x v="2"/>
    <x v="341"/>
    <x v="5"/>
    <n v="4"/>
    <x v="0"/>
    <d v="2025-10-29T10:56:00"/>
    <x v="28"/>
    <x v="9"/>
    <n v="1112"/>
    <n v="3"/>
    <n v="3336"/>
    <x v="2"/>
  </r>
  <r>
    <n v="600"/>
    <n v="42"/>
    <x v="6"/>
    <x v="219"/>
    <x v="3"/>
    <n v="1"/>
    <x v="0"/>
    <d v="2025-10-29T10:59:00"/>
    <x v="28"/>
    <x v="9"/>
    <n v="7587"/>
    <n v="2"/>
    <n v="15174"/>
    <x v="1"/>
  </r>
  <r>
    <n v="678"/>
    <n v="237"/>
    <x v="1"/>
    <x v="356"/>
    <x v="0"/>
    <n v="2"/>
    <x v="1"/>
    <d v="2025-10-29T11:21:00"/>
    <x v="28"/>
    <x v="10"/>
    <n v="12056"/>
    <n v="0"/>
    <n v="0"/>
    <x v="0"/>
  </r>
  <r>
    <n v="86"/>
    <n v="214"/>
    <x v="2"/>
    <x v="45"/>
    <x v="3"/>
    <n v="1"/>
    <x v="0"/>
    <d v="2025-10-29T11:29:00"/>
    <x v="28"/>
    <x v="10"/>
    <n v="2363"/>
    <n v="4"/>
    <n v="9452"/>
    <x v="2"/>
  </r>
  <r>
    <n v="776"/>
    <n v="231"/>
    <x v="9"/>
    <x v="188"/>
    <x v="2"/>
    <n v="3"/>
    <x v="0"/>
    <d v="2025-10-29T12:57:00"/>
    <x v="28"/>
    <x v="11"/>
    <n v="3898"/>
    <n v="4"/>
    <n v="15592"/>
    <x v="2"/>
  </r>
  <r>
    <n v="217"/>
    <n v="95"/>
    <x v="6"/>
    <x v="310"/>
    <x v="0"/>
    <n v="2"/>
    <x v="0"/>
    <d v="2025-10-29T13:14:00"/>
    <x v="28"/>
    <x v="21"/>
    <n v="14155"/>
    <n v="1"/>
    <n v="14155"/>
    <x v="0"/>
  </r>
  <r>
    <n v="690"/>
    <n v="55"/>
    <x v="9"/>
    <x v="231"/>
    <x v="3"/>
    <n v="1"/>
    <x v="1"/>
    <d v="2025-10-29T13:58:00"/>
    <x v="28"/>
    <x v="21"/>
    <n v="1822"/>
    <n v="0"/>
    <n v="0"/>
    <x v="2"/>
  </r>
  <r>
    <n v="405"/>
    <n v="60"/>
    <x v="0"/>
    <x v="172"/>
    <x v="5"/>
    <n v="4"/>
    <x v="0"/>
    <d v="2025-10-29T14:19:00"/>
    <x v="28"/>
    <x v="12"/>
    <n v="1011"/>
    <n v="3"/>
    <n v="3033"/>
    <x v="2"/>
  </r>
  <r>
    <n v="709"/>
    <n v="208"/>
    <x v="8"/>
    <x v="239"/>
    <x v="1"/>
    <n v="6"/>
    <x v="0"/>
    <d v="2025-10-29T14:20:00"/>
    <x v="28"/>
    <x v="12"/>
    <n v="2104"/>
    <n v="3"/>
    <n v="6312"/>
    <x v="2"/>
  </r>
  <r>
    <n v="311"/>
    <n v="185"/>
    <x v="9"/>
    <x v="182"/>
    <x v="5"/>
    <n v="4"/>
    <x v="0"/>
    <d v="2025-10-29T14:46:00"/>
    <x v="28"/>
    <x v="12"/>
    <n v="1500"/>
    <n v="1"/>
    <n v="1500"/>
    <x v="2"/>
  </r>
  <r>
    <n v="90"/>
    <n v="65"/>
    <x v="2"/>
    <x v="104"/>
    <x v="5"/>
    <n v="4"/>
    <x v="0"/>
    <d v="2025-10-29T16:07:00"/>
    <x v="28"/>
    <x v="14"/>
    <n v="1500"/>
    <n v="1"/>
    <n v="1500"/>
    <x v="2"/>
  </r>
  <r>
    <n v="17"/>
    <n v="97"/>
    <x v="5"/>
    <x v="42"/>
    <x v="4"/>
    <n v="7"/>
    <x v="0"/>
    <d v="2025-10-29T16:31:00"/>
    <x v="28"/>
    <x v="14"/>
    <n v="2413"/>
    <n v="3"/>
    <n v="7239"/>
    <x v="2"/>
  </r>
  <r>
    <n v="666"/>
    <n v="124"/>
    <x v="8"/>
    <x v="47"/>
    <x v="5"/>
    <n v="4"/>
    <x v="0"/>
    <d v="2025-10-29T17:16:00"/>
    <x v="28"/>
    <x v="15"/>
    <n v="50"/>
    <n v="2"/>
    <n v="100"/>
    <x v="3"/>
  </r>
  <r>
    <n v="89"/>
    <n v="155"/>
    <x v="3"/>
    <x v="123"/>
    <x v="1"/>
    <n v="6"/>
    <x v="1"/>
    <d v="2025-10-29T18:13:00"/>
    <x v="28"/>
    <x v="16"/>
    <n v="9259"/>
    <n v="0"/>
    <n v="0"/>
    <x v="1"/>
  </r>
  <r>
    <n v="23"/>
    <n v="60"/>
    <x v="8"/>
    <x v="140"/>
    <x v="5"/>
    <n v="4"/>
    <x v="1"/>
    <d v="2025-10-29T18:20:00"/>
    <x v="28"/>
    <x v="16"/>
    <n v="874"/>
    <n v="0"/>
    <n v="0"/>
    <x v="3"/>
  </r>
  <r>
    <n v="483"/>
    <n v="11"/>
    <x v="8"/>
    <x v="134"/>
    <x v="0"/>
    <n v="2"/>
    <x v="1"/>
    <d v="2025-10-29T18:27:00"/>
    <x v="28"/>
    <x v="16"/>
    <n v="6599"/>
    <n v="0"/>
    <n v="0"/>
    <x v="1"/>
  </r>
  <r>
    <n v="302"/>
    <n v="292"/>
    <x v="5"/>
    <x v="13"/>
    <x v="6"/>
    <n v="5"/>
    <x v="0"/>
    <d v="2025-10-29T18:52:00"/>
    <x v="28"/>
    <x v="16"/>
    <n v="2740"/>
    <n v="3"/>
    <n v="8220"/>
    <x v="2"/>
  </r>
  <r>
    <n v="106"/>
    <n v="222"/>
    <x v="6"/>
    <x v="40"/>
    <x v="5"/>
    <n v="4"/>
    <x v="0"/>
    <d v="2025-10-29T19:06:00"/>
    <x v="28"/>
    <x v="22"/>
    <n v="678"/>
    <n v="3"/>
    <n v="2034"/>
    <x v="3"/>
  </r>
  <r>
    <n v="749"/>
    <n v="284"/>
    <x v="9"/>
    <x v="52"/>
    <x v="0"/>
    <n v="2"/>
    <x v="0"/>
    <d v="2025-10-29T19:54:00"/>
    <x v="28"/>
    <x v="22"/>
    <n v="10863"/>
    <n v="3"/>
    <n v="32589"/>
    <x v="0"/>
  </r>
  <r>
    <n v="498"/>
    <n v="263"/>
    <x v="8"/>
    <x v="225"/>
    <x v="4"/>
    <n v="7"/>
    <x v="0"/>
    <d v="2025-10-29T20:55:00"/>
    <x v="28"/>
    <x v="17"/>
    <n v="3700"/>
    <n v="1"/>
    <n v="3700"/>
    <x v="2"/>
  </r>
  <r>
    <n v="500"/>
    <n v="119"/>
    <x v="9"/>
    <x v="92"/>
    <x v="4"/>
    <n v="7"/>
    <x v="0"/>
    <d v="2025-10-29T21:07:00"/>
    <x v="28"/>
    <x v="23"/>
    <n v="6512"/>
    <n v="4"/>
    <n v="26048"/>
    <x v="1"/>
  </r>
  <r>
    <n v="591"/>
    <n v="162"/>
    <x v="0"/>
    <x v="283"/>
    <x v="0"/>
    <n v="2"/>
    <x v="0"/>
    <d v="2025-10-29T21:14:00"/>
    <x v="28"/>
    <x v="23"/>
    <n v="5064"/>
    <n v="1"/>
    <n v="5064"/>
    <x v="1"/>
  </r>
  <r>
    <n v="428"/>
    <n v="243"/>
    <x v="7"/>
    <x v="235"/>
    <x v="0"/>
    <n v="2"/>
    <x v="0"/>
    <d v="2025-10-29T21:54:00"/>
    <x v="28"/>
    <x v="23"/>
    <n v="12896"/>
    <n v="1"/>
    <n v="12896"/>
    <x v="0"/>
  </r>
  <r>
    <n v="356"/>
    <n v="230"/>
    <x v="9"/>
    <x v="180"/>
    <x v="3"/>
    <n v="1"/>
    <x v="0"/>
    <d v="2025-10-29T22:03:00"/>
    <x v="28"/>
    <x v="18"/>
    <n v="2010"/>
    <n v="4"/>
    <n v="8040"/>
    <x v="2"/>
  </r>
  <r>
    <n v="295"/>
    <n v="99"/>
    <x v="0"/>
    <x v="87"/>
    <x v="5"/>
    <n v="4"/>
    <x v="1"/>
    <d v="2025-10-29T22:48:00"/>
    <x v="28"/>
    <x v="18"/>
    <n v="1500"/>
    <n v="0"/>
    <n v="0"/>
    <x v="2"/>
  </r>
  <r>
    <n v="520"/>
    <n v="113"/>
    <x v="8"/>
    <x v="166"/>
    <x v="3"/>
    <n v="1"/>
    <x v="0"/>
    <d v="2025-10-29T23:03:00"/>
    <x v="28"/>
    <x v="19"/>
    <n v="4820"/>
    <n v="2"/>
    <n v="9640"/>
    <x v="2"/>
  </r>
  <r>
    <n v="733"/>
    <n v="240"/>
    <x v="6"/>
    <x v="174"/>
    <x v="1"/>
    <n v="6"/>
    <x v="0"/>
    <d v="2025-10-29T23:32:00"/>
    <x v="28"/>
    <x v="19"/>
    <n v="11778"/>
    <n v="1"/>
    <n v="11778"/>
    <x v="0"/>
  </r>
  <r>
    <n v="690"/>
    <n v="185"/>
    <x v="2"/>
    <x v="148"/>
    <x v="3"/>
    <n v="1"/>
    <x v="0"/>
    <d v="2025-10-29T23:35:00"/>
    <x v="28"/>
    <x v="19"/>
    <n v="2024"/>
    <n v="2"/>
    <n v="4048"/>
    <x v="2"/>
  </r>
  <r>
    <n v="290"/>
    <n v="45"/>
    <x v="9"/>
    <x v="312"/>
    <x v="5"/>
    <n v="4"/>
    <x v="0"/>
    <d v="2025-10-30T00:01:00"/>
    <x v="29"/>
    <x v="0"/>
    <n v="899"/>
    <n v="3"/>
    <n v="2697"/>
    <x v="3"/>
  </r>
  <r>
    <n v="205"/>
    <n v="81"/>
    <x v="4"/>
    <x v="316"/>
    <x v="0"/>
    <n v="2"/>
    <x v="0"/>
    <d v="2025-10-30T00:17:00"/>
    <x v="29"/>
    <x v="0"/>
    <n v="14976"/>
    <n v="2"/>
    <n v="29952"/>
    <x v="0"/>
  </r>
  <r>
    <n v="506"/>
    <n v="156"/>
    <x v="1"/>
    <x v="77"/>
    <x v="3"/>
    <n v="1"/>
    <x v="0"/>
    <d v="2025-10-30T00:40:00"/>
    <x v="29"/>
    <x v="0"/>
    <n v="6013"/>
    <n v="3"/>
    <n v="18039"/>
    <x v="1"/>
  </r>
  <r>
    <n v="19"/>
    <n v="184"/>
    <x v="3"/>
    <x v="290"/>
    <x v="5"/>
    <n v="4"/>
    <x v="0"/>
    <d v="2025-10-30T00:45:00"/>
    <x v="29"/>
    <x v="0"/>
    <n v="437"/>
    <n v="3"/>
    <n v="1311"/>
    <x v="3"/>
  </r>
  <r>
    <n v="516"/>
    <n v="17"/>
    <x v="4"/>
    <x v="331"/>
    <x v="2"/>
    <n v="3"/>
    <x v="0"/>
    <d v="2025-10-30T01:20:00"/>
    <x v="29"/>
    <x v="1"/>
    <n v="3618"/>
    <n v="3"/>
    <n v="10854"/>
    <x v="2"/>
  </r>
  <r>
    <n v="633"/>
    <n v="117"/>
    <x v="2"/>
    <x v="7"/>
    <x v="0"/>
    <n v="2"/>
    <x v="0"/>
    <d v="2025-10-30T02:13:00"/>
    <x v="29"/>
    <x v="2"/>
    <n v="5015"/>
    <n v="2"/>
    <n v="10030"/>
    <x v="1"/>
  </r>
  <r>
    <n v="265"/>
    <n v="175"/>
    <x v="5"/>
    <x v="244"/>
    <x v="1"/>
    <n v="6"/>
    <x v="0"/>
    <d v="2025-10-30T02:19:00"/>
    <x v="29"/>
    <x v="2"/>
    <n v="4064"/>
    <n v="2"/>
    <n v="8128"/>
    <x v="2"/>
  </r>
  <r>
    <n v="274"/>
    <n v="78"/>
    <x v="0"/>
    <x v="358"/>
    <x v="1"/>
    <n v="6"/>
    <x v="0"/>
    <d v="2025-10-30T02:22:00"/>
    <x v="29"/>
    <x v="2"/>
    <n v="8013"/>
    <n v="2"/>
    <n v="16026"/>
    <x v="1"/>
  </r>
  <r>
    <n v="686"/>
    <n v="54"/>
    <x v="3"/>
    <x v="3"/>
    <x v="3"/>
    <n v="1"/>
    <x v="0"/>
    <d v="2025-10-30T02:23:00"/>
    <x v="29"/>
    <x v="2"/>
    <n v="8000"/>
    <n v="2"/>
    <n v="16000"/>
    <x v="1"/>
  </r>
  <r>
    <n v="774"/>
    <n v="57"/>
    <x v="8"/>
    <x v="140"/>
    <x v="5"/>
    <n v="4"/>
    <x v="0"/>
    <d v="2025-10-30T02:50:00"/>
    <x v="29"/>
    <x v="2"/>
    <n v="1321"/>
    <n v="1"/>
    <n v="1321"/>
    <x v="2"/>
  </r>
  <r>
    <n v="105"/>
    <n v="288"/>
    <x v="9"/>
    <x v="112"/>
    <x v="3"/>
    <n v="1"/>
    <x v="0"/>
    <d v="2025-10-30T03:15:00"/>
    <x v="29"/>
    <x v="3"/>
    <n v="2067"/>
    <n v="4"/>
    <n v="8268"/>
    <x v="2"/>
  </r>
  <r>
    <n v="646"/>
    <n v="61"/>
    <x v="1"/>
    <x v="355"/>
    <x v="6"/>
    <n v="5"/>
    <x v="0"/>
    <d v="2025-10-30T03:36:00"/>
    <x v="29"/>
    <x v="3"/>
    <n v="1030"/>
    <n v="2"/>
    <n v="2060"/>
    <x v="2"/>
  </r>
  <r>
    <n v="300"/>
    <n v="227"/>
    <x v="4"/>
    <x v="380"/>
    <x v="0"/>
    <n v="2"/>
    <x v="0"/>
    <d v="2025-10-30T03:43:00"/>
    <x v="29"/>
    <x v="3"/>
    <n v="7350"/>
    <n v="1"/>
    <n v="7350"/>
    <x v="1"/>
  </r>
  <r>
    <n v="158"/>
    <n v="187"/>
    <x v="8"/>
    <x v="318"/>
    <x v="6"/>
    <n v="5"/>
    <x v="0"/>
    <d v="2025-10-30T03:56:00"/>
    <x v="29"/>
    <x v="3"/>
    <n v="3980"/>
    <n v="2"/>
    <n v="7960"/>
    <x v="2"/>
  </r>
  <r>
    <n v="450"/>
    <n v="213"/>
    <x v="1"/>
    <x v="327"/>
    <x v="1"/>
    <n v="6"/>
    <x v="0"/>
    <d v="2025-10-30T04:20:00"/>
    <x v="29"/>
    <x v="4"/>
    <n v="7352"/>
    <n v="1"/>
    <n v="7352"/>
    <x v="1"/>
  </r>
  <r>
    <n v="294"/>
    <n v="259"/>
    <x v="8"/>
    <x v="155"/>
    <x v="0"/>
    <n v="2"/>
    <x v="0"/>
    <d v="2025-10-30T04:38:00"/>
    <x v="29"/>
    <x v="4"/>
    <n v="4032"/>
    <n v="2"/>
    <n v="8064"/>
    <x v="2"/>
  </r>
  <r>
    <n v="733"/>
    <n v="213"/>
    <x v="7"/>
    <x v="348"/>
    <x v="0"/>
    <n v="2"/>
    <x v="1"/>
    <d v="2025-10-30T06:35:00"/>
    <x v="29"/>
    <x v="5"/>
    <n v="6648"/>
    <n v="0"/>
    <n v="0"/>
    <x v="1"/>
  </r>
  <r>
    <n v="772"/>
    <n v="272"/>
    <x v="5"/>
    <x v="141"/>
    <x v="5"/>
    <n v="4"/>
    <x v="1"/>
    <d v="2025-10-30T06:38:00"/>
    <x v="29"/>
    <x v="5"/>
    <n v="910"/>
    <n v="0"/>
    <n v="0"/>
    <x v="3"/>
  </r>
  <r>
    <n v="424"/>
    <n v="210"/>
    <x v="4"/>
    <x v="216"/>
    <x v="6"/>
    <n v="5"/>
    <x v="1"/>
    <d v="2025-10-30T07:10:00"/>
    <x v="29"/>
    <x v="6"/>
    <n v="2443"/>
    <n v="0"/>
    <n v="0"/>
    <x v="2"/>
  </r>
  <r>
    <n v="454"/>
    <n v="75"/>
    <x v="6"/>
    <x v="278"/>
    <x v="3"/>
    <n v="1"/>
    <x v="0"/>
    <d v="2025-10-30T07:24:00"/>
    <x v="29"/>
    <x v="6"/>
    <n v="4822"/>
    <n v="1"/>
    <n v="4822"/>
    <x v="2"/>
  </r>
  <r>
    <n v="87"/>
    <n v="174"/>
    <x v="3"/>
    <x v="290"/>
    <x v="5"/>
    <n v="4"/>
    <x v="0"/>
    <d v="2025-10-30T07:38:00"/>
    <x v="29"/>
    <x v="6"/>
    <n v="237"/>
    <n v="2"/>
    <n v="474"/>
    <x v="3"/>
  </r>
  <r>
    <n v="63"/>
    <n v="202"/>
    <x v="4"/>
    <x v="329"/>
    <x v="1"/>
    <n v="6"/>
    <x v="0"/>
    <d v="2025-10-30T08:12:00"/>
    <x v="29"/>
    <x v="7"/>
    <n v="7162"/>
    <n v="2"/>
    <n v="14324"/>
    <x v="1"/>
  </r>
  <r>
    <n v="60"/>
    <n v="267"/>
    <x v="4"/>
    <x v="131"/>
    <x v="2"/>
    <n v="3"/>
    <x v="0"/>
    <d v="2025-10-30T08:43:00"/>
    <x v="29"/>
    <x v="7"/>
    <n v="1941"/>
    <n v="2"/>
    <n v="3882"/>
    <x v="2"/>
  </r>
  <r>
    <n v="718"/>
    <n v="284"/>
    <x v="2"/>
    <x v="69"/>
    <x v="3"/>
    <n v="1"/>
    <x v="0"/>
    <d v="2025-10-30T10:49:00"/>
    <x v="29"/>
    <x v="9"/>
    <n v="3436"/>
    <n v="2"/>
    <n v="6872"/>
    <x v="2"/>
  </r>
  <r>
    <n v="9"/>
    <n v="144"/>
    <x v="6"/>
    <x v="57"/>
    <x v="0"/>
    <n v="2"/>
    <x v="0"/>
    <d v="2025-10-30T10:52:00"/>
    <x v="29"/>
    <x v="9"/>
    <n v="9155"/>
    <n v="2"/>
    <n v="18310"/>
    <x v="1"/>
  </r>
  <r>
    <n v="457"/>
    <n v="106"/>
    <x v="4"/>
    <x v="93"/>
    <x v="5"/>
    <n v="4"/>
    <x v="0"/>
    <d v="2025-10-30T10:55:00"/>
    <x v="29"/>
    <x v="9"/>
    <n v="1242"/>
    <n v="1"/>
    <n v="1242"/>
    <x v="2"/>
  </r>
  <r>
    <n v="715"/>
    <n v="177"/>
    <x v="9"/>
    <x v="188"/>
    <x v="2"/>
    <n v="3"/>
    <x v="0"/>
    <d v="2025-10-30T11:30:00"/>
    <x v="29"/>
    <x v="10"/>
    <n v="6000"/>
    <n v="5"/>
    <n v="30000"/>
    <x v="1"/>
  </r>
  <r>
    <n v="87"/>
    <n v="19"/>
    <x v="5"/>
    <x v="78"/>
    <x v="5"/>
    <n v="4"/>
    <x v="1"/>
    <d v="2025-10-30T11:52:00"/>
    <x v="29"/>
    <x v="10"/>
    <n v="1385"/>
    <n v="0"/>
    <n v="0"/>
    <x v="2"/>
  </r>
  <r>
    <n v="533"/>
    <n v="277"/>
    <x v="2"/>
    <x v="32"/>
    <x v="5"/>
    <n v="4"/>
    <x v="0"/>
    <d v="2025-10-30T12:01:00"/>
    <x v="29"/>
    <x v="11"/>
    <n v="1121"/>
    <n v="5"/>
    <n v="5605"/>
    <x v="2"/>
  </r>
  <r>
    <n v="566"/>
    <n v="160"/>
    <x v="1"/>
    <x v="220"/>
    <x v="4"/>
    <n v="7"/>
    <x v="0"/>
    <d v="2025-10-30T12:03:00"/>
    <x v="29"/>
    <x v="11"/>
    <n v="3734"/>
    <n v="2"/>
    <n v="7468"/>
    <x v="2"/>
  </r>
  <r>
    <n v="29"/>
    <n v="277"/>
    <x v="4"/>
    <x v="196"/>
    <x v="5"/>
    <n v="4"/>
    <x v="0"/>
    <d v="2025-10-30T12:05:00"/>
    <x v="29"/>
    <x v="11"/>
    <n v="1091"/>
    <n v="1"/>
    <n v="1091"/>
    <x v="2"/>
  </r>
  <r>
    <n v="744"/>
    <n v="217"/>
    <x v="5"/>
    <x v="259"/>
    <x v="3"/>
    <n v="1"/>
    <x v="0"/>
    <d v="2025-10-30T13:05:00"/>
    <x v="29"/>
    <x v="21"/>
    <n v="5785"/>
    <n v="1"/>
    <n v="5785"/>
    <x v="1"/>
  </r>
  <r>
    <n v="266"/>
    <n v="260"/>
    <x v="0"/>
    <x v="212"/>
    <x v="0"/>
    <n v="2"/>
    <x v="0"/>
    <d v="2025-10-30T13:11:00"/>
    <x v="29"/>
    <x v="21"/>
    <n v="12134"/>
    <n v="2"/>
    <n v="24268"/>
    <x v="0"/>
  </r>
  <r>
    <n v="128"/>
    <n v="230"/>
    <x v="0"/>
    <x v="344"/>
    <x v="4"/>
    <n v="7"/>
    <x v="0"/>
    <d v="2025-10-30T13:21:00"/>
    <x v="29"/>
    <x v="21"/>
    <n v="4266"/>
    <n v="2"/>
    <n v="8532"/>
    <x v="2"/>
  </r>
  <r>
    <n v="348"/>
    <n v="121"/>
    <x v="0"/>
    <x v="187"/>
    <x v="6"/>
    <n v="5"/>
    <x v="1"/>
    <d v="2025-10-30T13:28:00"/>
    <x v="29"/>
    <x v="21"/>
    <n v="2113"/>
    <n v="0"/>
    <n v="0"/>
    <x v="2"/>
  </r>
  <r>
    <n v="643"/>
    <n v="274"/>
    <x v="9"/>
    <x v="92"/>
    <x v="4"/>
    <n v="7"/>
    <x v="0"/>
    <d v="2025-10-30T13:39:00"/>
    <x v="29"/>
    <x v="21"/>
    <n v="7706"/>
    <n v="1"/>
    <n v="7706"/>
    <x v="1"/>
  </r>
  <r>
    <n v="307"/>
    <n v="146"/>
    <x v="5"/>
    <x v="259"/>
    <x v="3"/>
    <n v="1"/>
    <x v="0"/>
    <d v="2025-10-30T13:41:00"/>
    <x v="29"/>
    <x v="21"/>
    <n v="8000"/>
    <n v="1"/>
    <n v="8000"/>
    <x v="1"/>
  </r>
  <r>
    <n v="732"/>
    <n v="194"/>
    <x v="9"/>
    <x v="88"/>
    <x v="6"/>
    <n v="5"/>
    <x v="0"/>
    <d v="2025-10-30T14:01:00"/>
    <x v="29"/>
    <x v="12"/>
    <n v="3697"/>
    <n v="1"/>
    <n v="3697"/>
    <x v="2"/>
  </r>
  <r>
    <n v="336"/>
    <n v="265"/>
    <x v="5"/>
    <x v="10"/>
    <x v="1"/>
    <n v="6"/>
    <x v="0"/>
    <d v="2025-10-30T14:03:00"/>
    <x v="29"/>
    <x v="12"/>
    <n v="10691"/>
    <n v="2"/>
    <n v="21382"/>
    <x v="0"/>
  </r>
  <r>
    <n v="101"/>
    <n v="76"/>
    <x v="6"/>
    <x v="282"/>
    <x v="2"/>
    <n v="3"/>
    <x v="0"/>
    <d v="2025-10-30T14:45:00"/>
    <x v="29"/>
    <x v="12"/>
    <n v="3275"/>
    <n v="1"/>
    <n v="3275"/>
    <x v="2"/>
  </r>
  <r>
    <n v="64"/>
    <n v="218"/>
    <x v="1"/>
    <x v="253"/>
    <x v="2"/>
    <n v="3"/>
    <x v="0"/>
    <d v="2025-10-30T14:52:00"/>
    <x v="29"/>
    <x v="12"/>
    <n v="4997"/>
    <n v="3"/>
    <n v="14991"/>
    <x v="2"/>
  </r>
  <r>
    <n v="80"/>
    <n v="190"/>
    <x v="5"/>
    <x v="72"/>
    <x v="6"/>
    <n v="5"/>
    <x v="1"/>
    <d v="2025-10-30T15:13:00"/>
    <x v="29"/>
    <x v="13"/>
    <n v="1375"/>
    <n v="0"/>
    <n v="0"/>
    <x v="2"/>
  </r>
  <r>
    <n v="532"/>
    <n v="203"/>
    <x v="9"/>
    <x v="52"/>
    <x v="0"/>
    <n v="2"/>
    <x v="0"/>
    <d v="2025-10-30T16:09:00"/>
    <x v="29"/>
    <x v="14"/>
    <n v="12628"/>
    <n v="3"/>
    <n v="37884"/>
    <x v="0"/>
  </r>
  <r>
    <n v="451"/>
    <n v="251"/>
    <x v="8"/>
    <x v="140"/>
    <x v="5"/>
    <n v="4"/>
    <x v="0"/>
    <d v="2025-10-30T16:37:00"/>
    <x v="29"/>
    <x v="14"/>
    <n v="689"/>
    <n v="2"/>
    <n v="1378"/>
    <x v="3"/>
  </r>
  <r>
    <n v="131"/>
    <n v="249"/>
    <x v="4"/>
    <x v="241"/>
    <x v="1"/>
    <n v="6"/>
    <x v="0"/>
    <d v="2025-10-30T16:57:00"/>
    <x v="29"/>
    <x v="14"/>
    <n v="8713"/>
    <n v="1"/>
    <n v="8713"/>
    <x v="1"/>
  </r>
  <r>
    <n v="526"/>
    <n v="271"/>
    <x v="4"/>
    <x v="36"/>
    <x v="3"/>
    <n v="1"/>
    <x v="1"/>
    <d v="2025-10-30T17:07:00"/>
    <x v="29"/>
    <x v="15"/>
    <n v="6859"/>
    <n v="0"/>
    <n v="0"/>
    <x v="1"/>
  </r>
  <r>
    <n v="485"/>
    <n v="17"/>
    <x v="5"/>
    <x v="147"/>
    <x v="3"/>
    <n v="1"/>
    <x v="0"/>
    <d v="2025-10-30T17:18:00"/>
    <x v="29"/>
    <x v="15"/>
    <n v="2122"/>
    <n v="1"/>
    <n v="2122"/>
    <x v="2"/>
  </r>
  <r>
    <n v="122"/>
    <n v="210"/>
    <x v="3"/>
    <x v="234"/>
    <x v="6"/>
    <n v="5"/>
    <x v="0"/>
    <d v="2025-10-30T17:48:00"/>
    <x v="29"/>
    <x v="15"/>
    <n v="3737"/>
    <n v="2"/>
    <n v="7474"/>
    <x v="2"/>
  </r>
  <r>
    <n v="297"/>
    <n v="21"/>
    <x v="6"/>
    <x v="174"/>
    <x v="1"/>
    <n v="6"/>
    <x v="0"/>
    <d v="2025-10-30T20:04:00"/>
    <x v="29"/>
    <x v="17"/>
    <n v="3668"/>
    <n v="4"/>
    <n v="14672"/>
    <x v="2"/>
  </r>
  <r>
    <n v="313"/>
    <n v="192"/>
    <x v="1"/>
    <x v="276"/>
    <x v="4"/>
    <n v="7"/>
    <x v="0"/>
    <d v="2025-10-30T20:32:00"/>
    <x v="29"/>
    <x v="17"/>
    <n v="5660"/>
    <n v="3"/>
    <n v="16980"/>
    <x v="1"/>
  </r>
  <r>
    <n v="147"/>
    <n v="73"/>
    <x v="8"/>
    <x v="193"/>
    <x v="0"/>
    <n v="2"/>
    <x v="0"/>
    <d v="2025-10-30T20:54:00"/>
    <x v="29"/>
    <x v="17"/>
    <n v="8918"/>
    <n v="2"/>
    <n v="17836"/>
    <x v="1"/>
  </r>
  <r>
    <n v="291"/>
    <n v="111"/>
    <x v="0"/>
    <x v="300"/>
    <x v="6"/>
    <n v="5"/>
    <x v="1"/>
    <d v="2025-10-30T21:29:00"/>
    <x v="29"/>
    <x v="23"/>
    <n v="3230"/>
    <n v="0"/>
    <n v="0"/>
    <x v="2"/>
  </r>
  <r>
    <n v="126"/>
    <n v="281"/>
    <x v="8"/>
    <x v="214"/>
    <x v="5"/>
    <n v="4"/>
    <x v="0"/>
    <d v="2025-10-30T21:45:00"/>
    <x v="29"/>
    <x v="23"/>
    <n v="602"/>
    <n v="2"/>
    <n v="1204"/>
    <x v="3"/>
  </r>
  <r>
    <n v="493"/>
    <n v="294"/>
    <x v="0"/>
    <x v="154"/>
    <x v="3"/>
    <n v="1"/>
    <x v="0"/>
    <d v="2025-10-30T21:47:00"/>
    <x v="29"/>
    <x v="23"/>
    <n v="3690"/>
    <n v="2"/>
    <n v="7380"/>
    <x v="2"/>
  </r>
  <r>
    <n v="387"/>
    <n v="244"/>
    <x v="8"/>
    <x v="103"/>
    <x v="3"/>
    <n v="1"/>
    <x v="0"/>
    <d v="2025-10-30T22:09:00"/>
    <x v="29"/>
    <x v="18"/>
    <n v="3626"/>
    <n v="1"/>
    <n v="3626"/>
    <x v="2"/>
  </r>
  <r>
    <n v="652"/>
    <n v="236"/>
    <x v="4"/>
    <x v="19"/>
    <x v="5"/>
    <n v="4"/>
    <x v="0"/>
    <d v="2025-10-30T23:33:00"/>
    <x v="29"/>
    <x v="19"/>
    <n v="1157"/>
    <n v="2"/>
    <n v="2314"/>
    <x v="2"/>
  </r>
  <r>
    <n v="746"/>
    <n v="167"/>
    <x v="8"/>
    <x v="166"/>
    <x v="3"/>
    <n v="1"/>
    <x v="1"/>
    <d v="2025-10-30T23:38:00"/>
    <x v="29"/>
    <x v="19"/>
    <n v="7269"/>
    <n v="0"/>
    <n v="0"/>
    <x v="1"/>
  </r>
  <r>
    <n v="397"/>
    <n v="120"/>
    <x v="9"/>
    <x v="18"/>
    <x v="3"/>
    <n v="1"/>
    <x v="1"/>
    <d v="2025-10-31T00:09:00"/>
    <x v="30"/>
    <x v="0"/>
    <n v="1850"/>
    <n v="0"/>
    <n v="0"/>
    <x v="2"/>
  </r>
  <r>
    <n v="687"/>
    <n v="227"/>
    <x v="3"/>
    <x v="49"/>
    <x v="3"/>
    <n v="1"/>
    <x v="1"/>
    <d v="2025-10-31T00:15:00"/>
    <x v="30"/>
    <x v="0"/>
    <n v="4212"/>
    <n v="0"/>
    <n v="0"/>
    <x v="2"/>
  </r>
  <r>
    <n v="725"/>
    <n v="13"/>
    <x v="1"/>
    <x v="161"/>
    <x v="0"/>
    <n v="2"/>
    <x v="0"/>
    <d v="2025-10-31T00:35:00"/>
    <x v="30"/>
    <x v="0"/>
    <n v="8674"/>
    <n v="3"/>
    <n v="26022"/>
    <x v="1"/>
  </r>
  <r>
    <n v="661"/>
    <n v="64"/>
    <x v="7"/>
    <x v="94"/>
    <x v="5"/>
    <n v="4"/>
    <x v="0"/>
    <d v="2025-10-31T00:38:00"/>
    <x v="30"/>
    <x v="0"/>
    <n v="1343"/>
    <n v="1"/>
    <n v="1343"/>
    <x v="2"/>
  </r>
  <r>
    <n v="634"/>
    <n v="278"/>
    <x v="1"/>
    <x v="20"/>
    <x v="3"/>
    <n v="1"/>
    <x v="0"/>
    <d v="2025-10-31T00:54:00"/>
    <x v="30"/>
    <x v="0"/>
    <n v="6360"/>
    <n v="1"/>
    <n v="6360"/>
    <x v="1"/>
  </r>
  <r>
    <n v="535"/>
    <n v="97"/>
    <x v="0"/>
    <x v="265"/>
    <x v="5"/>
    <n v="4"/>
    <x v="0"/>
    <d v="2025-10-31T01:31:00"/>
    <x v="30"/>
    <x v="1"/>
    <n v="1418"/>
    <n v="2"/>
    <n v="2836"/>
    <x v="2"/>
  </r>
  <r>
    <n v="675"/>
    <n v="273"/>
    <x v="0"/>
    <x v="172"/>
    <x v="5"/>
    <n v="4"/>
    <x v="0"/>
    <d v="2025-10-31T01:42:00"/>
    <x v="30"/>
    <x v="1"/>
    <n v="1081"/>
    <n v="1"/>
    <n v="1081"/>
    <x v="2"/>
  </r>
  <r>
    <n v="252"/>
    <n v="297"/>
    <x v="7"/>
    <x v="337"/>
    <x v="3"/>
    <n v="1"/>
    <x v="1"/>
    <d v="2025-10-31T02:11:00"/>
    <x v="30"/>
    <x v="2"/>
    <n v="2281"/>
    <n v="0"/>
    <n v="0"/>
    <x v="2"/>
  </r>
  <r>
    <n v="329"/>
    <n v="206"/>
    <x v="3"/>
    <x v="3"/>
    <x v="3"/>
    <n v="1"/>
    <x v="0"/>
    <d v="2025-10-31T02:53:00"/>
    <x v="30"/>
    <x v="2"/>
    <n v="4482"/>
    <n v="1"/>
    <n v="4482"/>
    <x v="2"/>
  </r>
  <r>
    <n v="349"/>
    <n v="224"/>
    <x v="8"/>
    <x v="30"/>
    <x v="3"/>
    <n v="1"/>
    <x v="0"/>
    <d v="2025-10-31T04:03:00"/>
    <x v="30"/>
    <x v="4"/>
    <n v="5647"/>
    <n v="5"/>
    <n v="28235"/>
    <x v="1"/>
  </r>
  <r>
    <n v="325"/>
    <n v="196"/>
    <x v="0"/>
    <x v="249"/>
    <x v="2"/>
    <n v="3"/>
    <x v="0"/>
    <d v="2025-10-31T04:10:00"/>
    <x v="30"/>
    <x v="4"/>
    <n v="2990"/>
    <n v="4"/>
    <n v="11960"/>
    <x v="2"/>
  </r>
  <r>
    <n v="555"/>
    <n v="87"/>
    <x v="1"/>
    <x v="60"/>
    <x v="3"/>
    <n v="1"/>
    <x v="1"/>
    <d v="2025-10-31T04:23:00"/>
    <x v="30"/>
    <x v="4"/>
    <n v="2952"/>
    <n v="0"/>
    <n v="0"/>
    <x v="2"/>
  </r>
  <r>
    <n v="787"/>
    <n v="46"/>
    <x v="4"/>
    <x v="198"/>
    <x v="0"/>
    <n v="2"/>
    <x v="0"/>
    <d v="2025-10-31T04:28:00"/>
    <x v="30"/>
    <x v="4"/>
    <n v="8548"/>
    <n v="1"/>
    <n v="8548"/>
    <x v="1"/>
  </r>
  <r>
    <n v="174"/>
    <n v="31"/>
    <x v="2"/>
    <x v="340"/>
    <x v="1"/>
    <n v="6"/>
    <x v="0"/>
    <d v="2025-10-31T06:37:00"/>
    <x v="30"/>
    <x v="5"/>
    <n v="4483"/>
    <n v="2"/>
    <n v="8966"/>
    <x v="2"/>
  </r>
  <r>
    <n v="60"/>
    <n v="153"/>
    <x v="0"/>
    <x v="211"/>
    <x v="1"/>
    <n v="6"/>
    <x v="0"/>
    <d v="2025-10-31T07:47:00"/>
    <x v="30"/>
    <x v="6"/>
    <n v="7221"/>
    <n v="1"/>
    <n v="7221"/>
    <x v="1"/>
  </r>
  <r>
    <n v="423"/>
    <n v="166"/>
    <x v="6"/>
    <x v="53"/>
    <x v="5"/>
    <n v="4"/>
    <x v="0"/>
    <d v="2025-10-31T08:07:00"/>
    <x v="30"/>
    <x v="7"/>
    <n v="698"/>
    <n v="1"/>
    <n v="698"/>
    <x v="3"/>
  </r>
  <r>
    <n v="208"/>
    <n v="123"/>
    <x v="1"/>
    <x v="176"/>
    <x v="1"/>
    <n v="6"/>
    <x v="0"/>
    <d v="2025-10-31T08:56:00"/>
    <x v="30"/>
    <x v="7"/>
    <n v="6217"/>
    <n v="2"/>
    <n v="12434"/>
    <x v="1"/>
  </r>
  <r>
    <n v="521"/>
    <n v="259"/>
    <x v="5"/>
    <x v="306"/>
    <x v="0"/>
    <n v="2"/>
    <x v="1"/>
    <d v="2025-10-31T09:16:00"/>
    <x v="30"/>
    <x v="8"/>
    <n v="13881"/>
    <n v="0"/>
    <n v="0"/>
    <x v="0"/>
  </r>
  <r>
    <n v="326"/>
    <n v="238"/>
    <x v="7"/>
    <x v="158"/>
    <x v="0"/>
    <n v="2"/>
    <x v="1"/>
    <d v="2025-10-31T09:42:00"/>
    <x v="30"/>
    <x v="8"/>
    <n v="10166"/>
    <n v="0"/>
    <n v="0"/>
    <x v="0"/>
  </r>
  <r>
    <n v="30"/>
    <n v="209"/>
    <x v="1"/>
    <x v="178"/>
    <x v="4"/>
    <n v="7"/>
    <x v="0"/>
    <d v="2025-10-31T09:44:00"/>
    <x v="30"/>
    <x v="8"/>
    <n v="6039"/>
    <n v="1"/>
    <n v="6039"/>
    <x v="1"/>
  </r>
  <r>
    <n v="601"/>
    <n v="52"/>
    <x v="7"/>
    <x v="61"/>
    <x v="1"/>
    <n v="6"/>
    <x v="0"/>
    <d v="2025-10-31T10:21:00"/>
    <x v="30"/>
    <x v="9"/>
    <n v="5638"/>
    <n v="1"/>
    <n v="5638"/>
    <x v="1"/>
  </r>
  <r>
    <n v="129"/>
    <n v="156"/>
    <x v="3"/>
    <x v="295"/>
    <x v="0"/>
    <n v="2"/>
    <x v="0"/>
    <d v="2025-10-31T10:25:00"/>
    <x v="30"/>
    <x v="9"/>
    <n v="8225"/>
    <n v="2"/>
    <n v="16450"/>
    <x v="1"/>
  </r>
  <r>
    <n v="652"/>
    <n v="257"/>
    <x v="8"/>
    <x v="30"/>
    <x v="3"/>
    <n v="1"/>
    <x v="1"/>
    <d v="2025-10-31T11:11:00"/>
    <x v="30"/>
    <x v="10"/>
    <n v="5663"/>
    <n v="0"/>
    <n v="0"/>
    <x v="1"/>
  </r>
  <r>
    <n v="554"/>
    <n v="87"/>
    <x v="4"/>
    <x v="137"/>
    <x v="6"/>
    <n v="5"/>
    <x v="0"/>
    <d v="2025-10-31T11:52:00"/>
    <x v="30"/>
    <x v="10"/>
    <n v="1833"/>
    <n v="3"/>
    <n v="5499"/>
    <x v="2"/>
  </r>
  <r>
    <n v="463"/>
    <n v="22"/>
    <x v="2"/>
    <x v="64"/>
    <x v="0"/>
    <n v="2"/>
    <x v="0"/>
    <d v="2025-10-31T12:24:00"/>
    <x v="30"/>
    <x v="11"/>
    <n v="8091"/>
    <n v="3"/>
    <n v="24273"/>
    <x v="1"/>
  </r>
  <r>
    <n v="669"/>
    <n v="86"/>
    <x v="9"/>
    <x v="75"/>
    <x v="0"/>
    <n v="2"/>
    <x v="1"/>
    <d v="2025-10-31T12:25:00"/>
    <x v="30"/>
    <x v="11"/>
    <n v="4053"/>
    <n v="0"/>
    <n v="0"/>
    <x v="2"/>
  </r>
  <r>
    <n v="613"/>
    <n v="129"/>
    <x v="8"/>
    <x v="381"/>
    <x v="4"/>
    <n v="7"/>
    <x v="0"/>
    <d v="2025-10-31T12:35:00"/>
    <x v="30"/>
    <x v="11"/>
    <n v="1500"/>
    <n v="4"/>
    <n v="6000"/>
    <x v="2"/>
  </r>
  <r>
    <n v="600"/>
    <n v="262"/>
    <x v="6"/>
    <x v="294"/>
    <x v="6"/>
    <n v="5"/>
    <x v="0"/>
    <d v="2025-10-31T12:43:00"/>
    <x v="30"/>
    <x v="11"/>
    <n v="3579"/>
    <n v="1"/>
    <n v="3579"/>
    <x v="2"/>
  </r>
  <r>
    <n v="547"/>
    <n v="289"/>
    <x v="4"/>
    <x v="36"/>
    <x v="3"/>
    <n v="1"/>
    <x v="0"/>
    <d v="2025-10-31T12:55:00"/>
    <x v="30"/>
    <x v="11"/>
    <n v="3127"/>
    <n v="4"/>
    <n v="12508"/>
    <x v="2"/>
  </r>
  <r>
    <n v="716"/>
    <n v="63"/>
    <x v="1"/>
    <x v="376"/>
    <x v="2"/>
    <n v="3"/>
    <x v="0"/>
    <d v="2025-10-31T12:57:00"/>
    <x v="30"/>
    <x v="11"/>
    <n v="2025"/>
    <n v="4"/>
    <n v="8100"/>
    <x v="2"/>
  </r>
  <r>
    <n v="443"/>
    <n v="108"/>
    <x v="3"/>
    <x v="118"/>
    <x v="3"/>
    <n v="1"/>
    <x v="0"/>
    <d v="2025-10-31T14:10:00"/>
    <x v="30"/>
    <x v="12"/>
    <n v="7674"/>
    <n v="3"/>
    <n v="23022"/>
    <x v="1"/>
  </r>
  <r>
    <n v="651"/>
    <n v="134"/>
    <x v="6"/>
    <x v="360"/>
    <x v="6"/>
    <n v="5"/>
    <x v="0"/>
    <d v="2025-10-31T14:32:00"/>
    <x v="30"/>
    <x v="12"/>
    <n v="3358"/>
    <n v="2"/>
    <n v="6716"/>
    <x v="2"/>
  </r>
  <r>
    <n v="252"/>
    <n v="165"/>
    <x v="8"/>
    <x v="103"/>
    <x v="3"/>
    <n v="1"/>
    <x v="0"/>
    <d v="2025-10-31T14:42:00"/>
    <x v="30"/>
    <x v="12"/>
    <n v="7328"/>
    <n v="4"/>
    <n v="29312"/>
    <x v="1"/>
  </r>
  <r>
    <n v="337"/>
    <n v="9"/>
    <x v="8"/>
    <x v="272"/>
    <x v="3"/>
    <n v="1"/>
    <x v="0"/>
    <d v="2025-10-31T14:55:00"/>
    <x v="30"/>
    <x v="12"/>
    <n v="3705"/>
    <n v="2"/>
    <n v="7410"/>
    <x v="2"/>
  </r>
  <r>
    <n v="488"/>
    <n v="3"/>
    <x v="0"/>
    <x v="160"/>
    <x v="3"/>
    <n v="1"/>
    <x v="0"/>
    <d v="2025-10-31T15:11:00"/>
    <x v="30"/>
    <x v="13"/>
    <n v="6535"/>
    <n v="1"/>
    <n v="6535"/>
    <x v="1"/>
  </r>
  <r>
    <n v="570"/>
    <n v="251"/>
    <x v="4"/>
    <x v="66"/>
    <x v="3"/>
    <n v="1"/>
    <x v="0"/>
    <d v="2025-10-31T15:35:00"/>
    <x v="30"/>
    <x v="13"/>
    <n v="1222"/>
    <n v="2"/>
    <n v="2444"/>
    <x v="2"/>
  </r>
  <r>
    <n v="667"/>
    <n v="40"/>
    <x v="1"/>
    <x v="356"/>
    <x v="0"/>
    <n v="2"/>
    <x v="0"/>
    <d v="2025-10-31T15:54:00"/>
    <x v="30"/>
    <x v="13"/>
    <n v="10510"/>
    <n v="3"/>
    <n v="31530"/>
    <x v="0"/>
  </r>
  <r>
    <n v="127"/>
    <n v="181"/>
    <x v="8"/>
    <x v="364"/>
    <x v="4"/>
    <n v="7"/>
    <x v="0"/>
    <d v="2025-10-31T17:01:00"/>
    <x v="30"/>
    <x v="15"/>
    <n v="5727"/>
    <n v="3"/>
    <n v="17181"/>
    <x v="1"/>
  </r>
  <r>
    <n v="182"/>
    <n v="5"/>
    <x v="6"/>
    <x v="33"/>
    <x v="5"/>
    <n v="4"/>
    <x v="0"/>
    <d v="2025-10-31T17:19:00"/>
    <x v="30"/>
    <x v="15"/>
    <n v="927"/>
    <n v="2"/>
    <n v="1854"/>
    <x v="3"/>
  </r>
  <r>
    <n v="456"/>
    <n v="5"/>
    <x v="6"/>
    <x v="53"/>
    <x v="5"/>
    <n v="4"/>
    <x v="1"/>
    <d v="2025-10-31T19:28:00"/>
    <x v="30"/>
    <x v="22"/>
    <n v="341"/>
    <n v="0"/>
    <n v="0"/>
    <x v="3"/>
  </r>
  <r>
    <n v="697"/>
    <n v="184"/>
    <x v="0"/>
    <x v="215"/>
    <x v="2"/>
    <n v="3"/>
    <x v="0"/>
    <d v="2025-10-31T20:18:00"/>
    <x v="30"/>
    <x v="17"/>
    <n v="3494"/>
    <n v="2"/>
    <n v="6988"/>
    <x v="2"/>
  </r>
  <r>
    <n v="311"/>
    <n v="114"/>
    <x v="9"/>
    <x v="92"/>
    <x v="4"/>
    <n v="7"/>
    <x v="1"/>
    <d v="2025-10-31T20:24:00"/>
    <x v="30"/>
    <x v="17"/>
    <n v="2914"/>
    <n v="0"/>
    <n v="0"/>
    <x v="2"/>
  </r>
  <r>
    <n v="288"/>
    <n v="253"/>
    <x v="6"/>
    <x v="110"/>
    <x v="6"/>
    <n v="5"/>
    <x v="0"/>
    <d v="2025-10-31T21:35:00"/>
    <x v="30"/>
    <x v="23"/>
    <n v="1811"/>
    <n v="2"/>
    <n v="3622"/>
    <x v="2"/>
  </r>
  <r>
    <n v="114"/>
    <n v="143"/>
    <x v="5"/>
    <x v="297"/>
    <x v="2"/>
    <n v="3"/>
    <x v="0"/>
    <d v="2025-10-31T21:38:00"/>
    <x v="30"/>
    <x v="23"/>
    <n v="3015"/>
    <n v="4"/>
    <n v="12060"/>
    <x v="2"/>
  </r>
  <r>
    <n v="566"/>
    <n v="100"/>
    <x v="8"/>
    <x v="309"/>
    <x v="1"/>
    <n v="6"/>
    <x v="0"/>
    <d v="2025-10-31T22:23:00"/>
    <x v="30"/>
    <x v="18"/>
    <n v="11380"/>
    <n v="2"/>
    <n v="22760"/>
    <x v="0"/>
  </r>
  <r>
    <n v="699"/>
    <n v="290"/>
    <x v="9"/>
    <x v="237"/>
    <x v="0"/>
    <n v="2"/>
    <x v="1"/>
    <d v="2025-10-31T22:36:00"/>
    <x v="30"/>
    <x v="18"/>
    <n v="14988"/>
    <n v="0"/>
    <n v="0"/>
    <x v="0"/>
  </r>
  <r>
    <n v="764"/>
    <n v="34"/>
    <x v="9"/>
    <x v="106"/>
    <x v="3"/>
    <n v="1"/>
    <x v="0"/>
    <d v="2025-10-31T23:32:00"/>
    <x v="30"/>
    <x v="19"/>
    <n v="2270"/>
    <n v="2"/>
    <n v="4540"/>
    <x v="2"/>
  </r>
  <r>
    <n v="536"/>
    <n v="141"/>
    <x v="9"/>
    <x v="202"/>
    <x v="1"/>
    <n v="6"/>
    <x v="0"/>
    <d v="2025-11-01T00:25:00"/>
    <x v="31"/>
    <x v="0"/>
    <n v="4019"/>
    <n v="1"/>
    <n v="4019"/>
    <x v="2"/>
  </r>
  <r>
    <n v="630"/>
    <n v="130"/>
    <x v="0"/>
    <x v="265"/>
    <x v="5"/>
    <n v="4"/>
    <x v="0"/>
    <d v="2025-11-01T01:09:00"/>
    <x v="31"/>
    <x v="1"/>
    <n v="589"/>
    <n v="2"/>
    <n v="1178"/>
    <x v="3"/>
  </r>
  <r>
    <n v="438"/>
    <n v="27"/>
    <x v="8"/>
    <x v="30"/>
    <x v="3"/>
    <n v="1"/>
    <x v="0"/>
    <d v="2025-11-01T01:50:00"/>
    <x v="31"/>
    <x v="1"/>
    <n v="6662"/>
    <n v="1"/>
    <n v="6662"/>
    <x v="1"/>
  </r>
  <r>
    <n v="125"/>
    <n v="266"/>
    <x v="2"/>
    <x v="280"/>
    <x v="1"/>
    <n v="6"/>
    <x v="0"/>
    <d v="2025-11-01T02:00:00"/>
    <x v="31"/>
    <x v="2"/>
    <n v="7313"/>
    <n v="1"/>
    <n v="7313"/>
    <x v="1"/>
  </r>
  <r>
    <n v="778"/>
    <n v="23"/>
    <x v="6"/>
    <x v="302"/>
    <x v="4"/>
    <n v="7"/>
    <x v="0"/>
    <d v="2025-11-01T02:02:00"/>
    <x v="31"/>
    <x v="2"/>
    <n v="5375"/>
    <n v="2"/>
    <n v="10750"/>
    <x v="1"/>
  </r>
  <r>
    <n v="546"/>
    <n v="230"/>
    <x v="7"/>
    <x v="236"/>
    <x v="5"/>
    <n v="4"/>
    <x v="0"/>
    <d v="2025-11-01T02:16:00"/>
    <x v="31"/>
    <x v="2"/>
    <n v="333"/>
    <n v="2"/>
    <n v="666"/>
    <x v="3"/>
  </r>
  <r>
    <n v="343"/>
    <n v="42"/>
    <x v="2"/>
    <x v="32"/>
    <x v="5"/>
    <n v="4"/>
    <x v="0"/>
    <d v="2025-11-01T02:21:00"/>
    <x v="31"/>
    <x v="2"/>
    <n v="499"/>
    <n v="3"/>
    <n v="1497"/>
    <x v="3"/>
  </r>
  <r>
    <n v="77"/>
    <n v="128"/>
    <x v="5"/>
    <x v="297"/>
    <x v="2"/>
    <n v="3"/>
    <x v="0"/>
    <d v="2025-11-01T02:52:00"/>
    <x v="31"/>
    <x v="2"/>
    <n v="1884"/>
    <n v="3"/>
    <n v="5652"/>
    <x v="2"/>
  </r>
  <r>
    <n v="65"/>
    <n v="50"/>
    <x v="6"/>
    <x v="261"/>
    <x v="4"/>
    <n v="7"/>
    <x v="0"/>
    <d v="2025-11-01T03:03:00"/>
    <x v="31"/>
    <x v="3"/>
    <n v="2996"/>
    <n v="3"/>
    <n v="8988"/>
    <x v="2"/>
  </r>
  <r>
    <n v="607"/>
    <n v="172"/>
    <x v="2"/>
    <x v="341"/>
    <x v="5"/>
    <n v="4"/>
    <x v="0"/>
    <d v="2025-11-01T04:42:00"/>
    <x v="31"/>
    <x v="4"/>
    <n v="152"/>
    <n v="2"/>
    <n v="304"/>
    <x v="3"/>
  </r>
  <r>
    <n v="245"/>
    <n v="175"/>
    <x v="1"/>
    <x v="178"/>
    <x v="4"/>
    <n v="7"/>
    <x v="0"/>
    <d v="2025-11-01T05:09:00"/>
    <x v="31"/>
    <x v="20"/>
    <n v="3477"/>
    <n v="3"/>
    <n v="10431"/>
    <x v="2"/>
  </r>
  <r>
    <n v="75"/>
    <n v="225"/>
    <x v="3"/>
    <x v="35"/>
    <x v="5"/>
    <n v="4"/>
    <x v="0"/>
    <d v="2025-11-01T05:55:00"/>
    <x v="31"/>
    <x v="20"/>
    <n v="131"/>
    <n v="2"/>
    <n v="262"/>
    <x v="3"/>
  </r>
  <r>
    <n v="128"/>
    <n v="44"/>
    <x v="8"/>
    <x v="31"/>
    <x v="0"/>
    <n v="2"/>
    <x v="0"/>
    <d v="2025-11-01T05:59:00"/>
    <x v="31"/>
    <x v="20"/>
    <n v="5687"/>
    <n v="1"/>
    <n v="5687"/>
    <x v="1"/>
  </r>
  <r>
    <n v="711"/>
    <n v="34"/>
    <x v="2"/>
    <x v="104"/>
    <x v="5"/>
    <n v="4"/>
    <x v="1"/>
    <d v="2025-11-01T06:51:00"/>
    <x v="31"/>
    <x v="5"/>
    <n v="50"/>
    <n v="0"/>
    <n v="0"/>
    <x v="3"/>
  </r>
  <r>
    <n v="309"/>
    <n v="222"/>
    <x v="8"/>
    <x v="193"/>
    <x v="0"/>
    <n v="2"/>
    <x v="0"/>
    <d v="2025-11-01T07:59:00"/>
    <x v="31"/>
    <x v="6"/>
    <n v="5920"/>
    <n v="2"/>
    <n v="11840"/>
    <x v="1"/>
  </r>
  <r>
    <n v="54"/>
    <n v="151"/>
    <x v="0"/>
    <x v="160"/>
    <x v="3"/>
    <n v="1"/>
    <x v="0"/>
    <d v="2025-11-01T08:17:00"/>
    <x v="31"/>
    <x v="7"/>
    <n v="1390"/>
    <n v="3"/>
    <n v="4170"/>
    <x v="2"/>
  </r>
  <r>
    <n v="633"/>
    <n v="211"/>
    <x v="2"/>
    <x v="45"/>
    <x v="3"/>
    <n v="1"/>
    <x v="0"/>
    <d v="2025-11-01T08:41:00"/>
    <x v="31"/>
    <x v="7"/>
    <n v="7957"/>
    <n v="3"/>
    <n v="23871"/>
    <x v="1"/>
  </r>
  <r>
    <n v="465"/>
    <n v="197"/>
    <x v="9"/>
    <x v="130"/>
    <x v="1"/>
    <n v="6"/>
    <x v="0"/>
    <d v="2025-11-01T09:20:00"/>
    <x v="31"/>
    <x v="8"/>
    <n v="5925"/>
    <n v="3"/>
    <n v="17775"/>
    <x v="1"/>
  </r>
  <r>
    <n v="104"/>
    <n v="174"/>
    <x v="9"/>
    <x v="121"/>
    <x v="4"/>
    <n v="7"/>
    <x v="0"/>
    <d v="2025-11-01T09:25:00"/>
    <x v="31"/>
    <x v="8"/>
    <n v="5321"/>
    <n v="4"/>
    <n v="21284"/>
    <x v="1"/>
  </r>
  <r>
    <n v="530"/>
    <n v="169"/>
    <x v="0"/>
    <x v="322"/>
    <x v="5"/>
    <n v="4"/>
    <x v="0"/>
    <d v="2025-11-01T09:43:00"/>
    <x v="31"/>
    <x v="8"/>
    <n v="1500"/>
    <n v="2"/>
    <n v="3000"/>
    <x v="2"/>
  </r>
  <r>
    <n v="13"/>
    <n v="35"/>
    <x v="1"/>
    <x v="176"/>
    <x v="1"/>
    <n v="6"/>
    <x v="0"/>
    <d v="2025-11-01T09:57:00"/>
    <x v="31"/>
    <x v="8"/>
    <n v="11528"/>
    <n v="2"/>
    <n v="23056"/>
    <x v="0"/>
  </r>
  <r>
    <n v="653"/>
    <n v="261"/>
    <x v="9"/>
    <x v="312"/>
    <x v="5"/>
    <n v="4"/>
    <x v="1"/>
    <d v="2025-11-01T10:01:00"/>
    <x v="31"/>
    <x v="9"/>
    <n v="1163"/>
    <n v="0"/>
    <n v="0"/>
    <x v="2"/>
  </r>
  <r>
    <n v="743"/>
    <n v="228"/>
    <x v="2"/>
    <x v="108"/>
    <x v="5"/>
    <n v="4"/>
    <x v="1"/>
    <d v="2025-11-01T10:13:00"/>
    <x v="31"/>
    <x v="9"/>
    <n v="555"/>
    <n v="0"/>
    <n v="0"/>
    <x v="3"/>
  </r>
  <r>
    <n v="62"/>
    <n v="66"/>
    <x v="4"/>
    <x v="102"/>
    <x v="3"/>
    <n v="1"/>
    <x v="0"/>
    <d v="2025-11-01T10:15:00"/>
    <x v="31"/>
    <x v="9"/>
    <n v="2447"/>
    <n v="4"/>
    <n v="9788"/>
    <x v="2"/>
  </r>
  <r>
    <n v="668"/>
    <n v="184"/>
    <x v="2"/>
    <x v="325"/>
    <x v="1"/>
    <n v="6"/>
    <x v="0"/>
    <d v="2025-11-01T10:16:00"/>
    <x v="31"/>
    <x v="9"/>
    <n v="7205"/>
    <n v="1"/>
    <n v="7205"/>
    <x v="1"/>
  </r>
  <r>
    <n v="151"/>
    <n v="241"/>
    <x v="3"/>
    <x v="123"/>
    <x v="1"/>
    <n v="6"/>
    <x v="0"/>
    <d v="2025-11-01T10:19:00"/>
    <x v="31"/>
    <x v="9"/>
    <n v="7196"/>
    <n v="1"/>
    <n v="7196"/>
    <x v="1"/>
  </r>
  <r>
    <n v="378"/>
    <n v="5"/>
    <x v="6"/>
    <x v="336"/>
    <x v="1"/>
    <n v="6"/>
    <x v="0"/>
    <d v="2025-11-01T11:47:00"/>
    <x v="31"/>
    <x v="10"/>
    <n v="7165"/>
    <n v="2"/>
    <n v="14330"/>
    <x v="1"/>
  </r>
  <r>
    <n v="244"/>
    <n v="260"/>
    <x v="4"/>
    <x v="102"/>
    <x v="3"/>
    <n v="1"/>
    <x v="0"/>
    <d v="2025-11-01T12:08:00"/>
    <x v="31"/>
    <x v="11"/>
    <n v="5340"/>
    <n v="1"/>
    <n v="5340"/>
    <x v="1"/>
  </r>
  <r>
    <n v="201"/>
    <n v="103"/>
    <x v="2"/>
    <x v="38"/>
    <x v="6"/>
    <n v="5"/>
    <x v="0"/>
    <d v="2025-11-01T13:37:00"/>
    <x v="31"/>
    <x v="21"/>
    <n v="2918"/>
    <n v="2"/>
    <n v="5836"/>
    <x v="2"/>
  </r>
  <r>
    <n v="194"/>
    <n v="244"/>
    <x v="1"/>
    <x v="24"/>
    <x v="0"/>
    <n v="2"/>
    <x v="0"/>
    <d v="2025-11-01T13:52:00"/>
    <x v="31"/>
    <x v="21"/>
    <n v="14397"/>
    <n v="1"/>
    <n v="14397"/>
    <x v="0"/>
  </r>
  <r>
    <n v="710"/>
    <n v="170"/>
    <x v="8"/>
    <x v="132"/>
    <x v="5"/>
    <n v="4"/>
    <x v="1"/>
    <d v="2025-11-01T14:02:00"/>
    <x v="31"/>
    <x v="12"/>
    <n v="1500"/>
    <n v="0"/>
    <n v="0"/>
    <x v="2"/>
  </r>
  <r>
    <n v="307"/>
    <n v="215"/>
    <x v="6"/>
    <x v="96"/>
    <x v="5"/>
    <n v="4"/>
    <x v="0"/>
    <d v="2025-11-01T14:21:00"/>
    <x v="31"/>
    <x v="12"/>
    <n v="1323"/>
    <n v="1"/>
    <n v="1323"/>
    <x v="2"/>
  </r>
  <r>
    <n v="44"/>
    <n v="254"/>
    <x v="1"/>
    <x v="251"/>
    <x v="0"/>
    <n v="2"/>
    <x v="1"/>
    <d v="2025-11-01T14:36:00"/>
    <x v="31"/>
    <x v="12"/>
    <n v="9267"/>
    <n v="0"/>
    <n v="0"/>
    <x v="1"/>
  </r>
  <r>
    <n v="478"/>
    <n v="110"/>
    <x v="5"/>
    <x v="13"/>
    <x v="6"/>
    <n v="5"/>
    <x v="0"/>
    <d v="2025-11-01T14:39:00"/>
    <x v="31"/>
    <x v="12"/>
    <n v="1499"/>
    <n v="2"/>
    <n v="2998"/>
    <x v="2"/>
  </r>
  <r>
    <n v="385"/>
    <n v="106"/>
    <x v="6"/>
    <x v="203"/>
    <x v="3"/>
    <n v="1"/>
    <x v="0"/>
    <d v="2025-11-01T15:07:00"/>
    <x v="31"/>
    <x v="13"/>
    <n v="3004"/>
    <n v="3"/>
    <n v="9012"/>
    <x v="2"/>
  </r>
  <r>
    <n v="11"/>
    <n v="38"/>
    <x v="0"/>
    <x v="212"/>
    <x v="0"/>
    <n v="2"/>
    <x v="0"/>
    <d v="2025-11-01T15:13:00"/>
    <x v="31"/>
    <x v="13"/>
    <n v="10452"/>
    <n v="4"/>
    <n v="41808"/>
    <x v="0"/>
  </r>
  <r>
    <n v="146"/>
    <n v="149"/>
    <x v="3"/>
    <x v="49"/>
    <x v="3"/>
    <n v="1"/>
    <x v="0"/>
    <d v="2025-11-01T15:39:00"/>
    <x v="31"/>
    <x v="13"/>
    <n v="3746"/>
    <n v="4"/>
    <n v="14984"/>
    <x v="2"/>
  </r>
  <r>
    <n v="45"/>
    <n v="16"/>
    <x v="9"/>
    <x v="75"/>
    <x v="0"/>
    <n v="2"/>
    <x v="0"/>
    <d v="2025-11-01T16:06:00"/>
    <x v="31"/>
    <x v="14"/>
    <n v="11114"/>
    <n v="2"/>
    <n v="22228"/>
    <x v="0"/>
  </r>
  <r>
    <n v="225"/>
    <n v="135"/>
    <x v="7"/>
    <x v="337"/>
    <x v="3"/>
    <n v="1"/>
    <x v="0"/>
    <d v="2025-11-01T16:11:00"/>
    <x v="31"/>
    <x v="14"/>
    <n v="2532"/>
    <n v="2"/>
    <n v="5064"/>
    <x v="2"/>
  </r>
  <r>
    <n v="252"/>
    <n v="92"/>
    <x v="6"/>
    <x v="135"/>
    <x v="3"/>
    <n v="1"/>
    <x v="1"/>
    <d v="2025-11-01T16:12:00"/>
    <x v="31"/>
    <x v="14"/>
    <n v="6777"/>
    <n v="0"/>
    <n v="0"/>
    <x v="1"/>
  </r>
  <r>
    <n v="104"/>
    <n v="11"/>
    <x v="4"/>
    <x v="190"/>
    <x v="3"/>
    <n v="1"/>
    <x v="0"/>
    <d v="2025-11-01T16:53:00"/>
    <x v="31"/>
    <x v="14"/>
    <n v="2416"/>
    <n v="2"/>
    <n v="4832"/>
    <x v="2"/>
  </r>
  <r>
    <n v="114"/>
    <n v="174"/>
    <x v="2"/>
    <x v="332"/>
    <x v="4"/>
    <n v="7"/>
    <x v="0"/>
    <d v="2025-11-01T17:09:00"/>
    <x v="31"/>
    <x v="15"/>
    <n v="6919"/>
    <n v="2"/>
    <n v="13838"/>
    <x v="1"/>
  </r>
  <r>
    <n v="379"/>
    <n v="191"/>
    <x v="8"/>
    <x v="166"/>
    <x v="3"/>
    <n v="1"/>
    <x v="0"/>
    <d v="2025-11-01T17:11:00"/>
    <x v="31"/>
    <x v="15"/>
    <n v="2678"/>
    <n v="1"/>
    <n v="2678"/>
    <x v="2"/>
  </r>
  <r>
    <n v="445"/>
    <n v="34"/>
    <x v="3"/>
    <x v="3"/>
    <x v="3"/>
    <n v="1"/>
    <x v="0"/>
    <d v="2025-11-01T19:30:00"/>
    <x v="31"/>
    <x v="22"/>
    <n v="6301"/>
    <n v="2"/>
    <n v="12602"/>
    <x v="1"/>
  </r>
  <r>
    <n v="197"/>
    <n v="273"/>
    <x v="4"/>
    <x v="331"/>
    <x v="2"/>
    <n v="3"/>
    <x v="1"/>
    <d v="2025-11-01T19:32:00"/>
    <x v="31"/>
    <x v="22"/>
    <n v="2343"/>
    <n v="0"/>
    <n v="0"/>
    <x v="2"/>
  </r>
  <r>
    <n v="614"/>
    <n v="220"/>
    <x v="6"/>
    <x v="261"/>
    <x v="4"/>
    <n v="7"/>
    <x v="0"/>
    <d v="2025-11-01T20:03:00"/>
    <x v="31"/>
    <x v="17"/>
    <n v="4753"/>
    <n v="2"/>
    <n v="9506"/>
    <x v="2"/>
  </r>
  <r>
    <n v="602"/>
    <n v="97"/>
    <x v="0"/>
    <x v="323"/>
    <x v="0"/>
    <n v="2"/>
    <x v="0"/>
    <d v="2025-11-01T21:52:00"/>
    <x v="31"/>
    <x v="23"/>
    <n v="14347"/>
    <n v="2"/>
    <n v="28694"/>
    <x v="0"/>
  </r>
  <r>
    <n v="254"/>
    <n v="28"/>
    <x v="4"/>
    <x v="63"/>
    <x v="2"/>
    <n v="3"/>
    <x v="1"/>
    <d v="2025-11-01T22:00:00"/>
    <x v="31"/>
    <x v="18"/>
    <n v="5836"/>
    <n v="0"/>
    <n v="0"/>
    <x v="1"/>
  </r>
  <r>
    <n v="501"/>
    <n v="108"/>
    <x v="3"/>
    <x v="299"/>
    <x v="1"/>
    <n v="6"/>
    <x v="0"/>
    <d v="2025-11-01T22:04:00"/>
    <x v="31"/>
    <x v="18"/>
    <n v="6452"/>
    <n v="2"/>
    <n v="12904"/>
    <x v="1"/>
  </r>
  <r>
    <n v="630"/>
    <n v="34"/>
    <x v="8"/>
    <x v="343"/>
    <x v="3"/>
    <n v="1"/>
    <x v="0"/>
    <d v="2025-11-01T22:07:00"/>
    <x v="31"/>
    <x v="18"/>
    <n v="6799"/>
    <n v="2"/>
    <n v="13598"/>
    <x v="1"/>
  </r>
  <r>
    <n v="770"/>
    <n v="261"/>
    <x v="2"/>
    <x v="340"/>
    <x v="1"/>
    <n v="6"/>
    <x v="0"/>
    <d v="2025-11-01T22:17:00"/>
    <x v="31"/>
    <x v="18"/>
    <n v="4803"/>
    <n v="2"/>
    <n v="9606"/>
    <x v="2"/>
  </r>
  <r>
    <n v="184"/>
    <n v="165"/>
    <x v="3"/>
    <x v="232"/>
    <x v="3"/>
    <n v="1"/>
    <x v="1"/>
    <d v="2025-11-01T22:19:00"/>
    <x v="31"/>
    <x v="18"/>
    <n v="4120"/>
    <n v="0"/>
    <n v="0"/>
    <x v="2"/>
  </r>
  <r>
    <n v="486"/>
    <n v="138"/>
    <x v="8"/>
    <x v="140"/>
    <x v="5"/>
    <n v="4"/>
    <x v="1"/>
    <d v="2025-11-01T22:51:00"/>
    <x v="31"/>
    <x v="18"/>
    <n v="884"/>
    <n v="0"/>
    <n v="0"/>
    <x v="3"/>
  </r>
  <r>
    <n v="38"/>
    <n v="107"/>
    <x v="9"/>
    <x v="92"/>
    <x v="4"/>
    <n v="7"/>
    <x v="0"/>
    <d v="2025-11-01T22:52:00"/>
    <x v="31"/>
    <x v="18"/>
    <n v="6266"/>
    <n v="1"/>
    <n v="6266"/>
    <x v="1"/>
  </r>
  <r>
    <n v="406"/>
    <n v="112"/>
    <x v="8"/>
    <x v="309"/>
    <x v="1"/>
    <n v="6"/>
    <x v="1"/>
    <d v="2025-11-01T23:11:00"/>
    <x v="31"/>
    <x v="19"/>
    <n v="5499"/>
    <n v="0"/>
    <n v="0"/>
    <x v="1"/>
  </r>
  <r>
    <n v="161"/>
    <n v="192"/>
    <x v="2"/>
    <x v="226"/>
    <x v="5"/>
    <n v="4"/>
    <x v="0"/>
    <d v="2025-11-02T01:43:00"/>
    <x v="32"/>
    <x v="1"/>
    <n v="693"/>
    <n v="2"/>
    <n v="1386"/>
    <x v="3"/>
  </r>
  <r>
    <n v="770"/>
    <n v="44"/>
    <x v="1"/>
    <x v="16"/>
    <x v="5"/>
    <n v="4"/>
    <x v="0"/>
    <d v="2025-11-02T02:27:00"/>
    <x v="32"/>
    <x v="2"/>
    <n v="652"/>
    <n v="2"/>
    <n v="1304"/>
    <x v="3"/>
  </r>
  <r>
    <n v="236"/>
    <n v="299"/>
    <x v="3"/>
    <x v="354"/>
    <x v="0"/>
    <n v="2"/>
    <x v="0"/>
    <d v="2025-11-02T02:52:00"/>
    <x v="32"/>
    <x v="2"/>
    <n v="8861"/>
    <n v="1"/>
    <n v="8861"/>
    <x v="1"/>
  </r>
  <r>
    <n v="345"/>
    <n v="219"/>
    <x v="3"/>
    <x v="338"/>
    <x v="4"/>
    <n v="7"/>
    <x v="0"/>
    <d v="2025-11-02T03:02:00"/>
    <x v="32"/>
    <x v="3"/>
    <n v="1875"/>
    <n v="1"/>
    <n v="1875"/>
    <x v="2"/>
  </r>
  <r>
    <n v="377"/>
    <n v="255"/>
    <x v="2"/>
    <x v="99"/>
    <x v="0"/>
    <n v="2"/>
    <x v="0"/>
    <d v="2025-11-02T03:28:00"/>
    <x v="32"/>
    <x v="3"/>
    <n v="11430"/>
    <n v="2"/>
    <n v="22860"/>
    <x v="0"/>
  </r>
  <r>
    <n v="184"/>
    <n v="227"/>
    <x v="2"/>
    <x v="45"/>
    <x v="3"/>
    <n v="1"/>
    <x v="0"/>
    <d v="2025-11-02T03:48:00"/>
    <x v="32"/>
    <x v="3"/>
    <n v="3536"/>
    <n v="2"/>
    <n v="7072"/>
    <x v="2"/>
  </r>
  <r>
    <n v="85"/>
    <n v="151"/>
    <x v="1"/>
    <x v="276"/>
    <x v="4"/>
    <n v="7"/>
    <x v="0"/>
    <d v="2025-11-02T04:03:00"/>
    <x v="32"/>
    <x v="4"/>
    <n v="3350"/>
    <n v="1"/>
    <n v="3350"/>
    <x v="2"/>
  </r>
  <r>
    <n v="284"/>
    <n v="117"/>
    <x v="3"/>
    <x v="365"/>
    <x v="6"/>
    <n v="5"/>
    <x v="0"/>
    <d v="2025-11-02T04:06:00"/>
    <x v="32"/>
    <x v="4"/>
    <n v="2917"/>
    <n v="2"/>
    <n v="5834"/>
    <x v="2"/>
  </r>
  <r>
    <n v="40"/>
    <n v="280"/>
    <x v="1"/>
    <x v="199"/>
    <x v="5"/>
    <n v="4"/>
    <x v="0"/>
    <d v="2025-11-02T05:04:00"/>
    <x v="32"/>
    <x v="20"/>
    <n v="111"/>
    <n v="2"/>
    <n v="222"/>
    <x v="3"/>
  </r>
  <r>
    <n v="338"/>
    <n v="129"/>
    <x v="5"/>
    <x v="222"/>
    <x v="0"/>
    <n v="2"/>
    <x v="0"/>
    <d v="2025-11-02T05:20:00"/>
    <x v="32"/>
    <x v="20"/>
    <n v="7251"/>
    <n v="4"/>
    <n v="29004"/>
    <x v="1"/>
  </r>
  <r>
    <n v="723"/>
    <n v="71"/>
    <x v="7"/>
    <x v="337"/>
    <x v="3"/>
    <n v="1"/>
    <x v="0"/>
    <d v="2025-11-02T05:26:00"/>
    <x v="32"/>
    <x v="20"/>
    <n v="3660"/>
    <n v="1"/>
    <n v="3660"/>
    <x v="2"/>
  </r>
  <r>
    <n v="289"/>
    <n v="178"/>
    <x v="0"/>
    <x v="212"/>
    <x v="0"/>
    <n v="2"/>
    <x v="0"/>
    <d v="2025-11-02T05:38:00"/>
    <x v="32"/>
    <x v="20"/>
    <n v="12831"/>
    <n v="5"/>
    <n v="64155"/>
    <x v="0"/>
  </r>
  <r>
    <n v="484"/>
    <n v="263"/>
    <x v="9"/>
    <x v="151"/>
    <x v="5"/>
    <n v="4"/>
    <x v="1"/>
    <d v="2025-11-02T05:52:00"/>
    <x v="32"/>
    <x v="20"/>
    <n v="884"/>
    <n v="0"/>
    <n v="0"/>
    <x v="3"/>
  </r>
  <r>
    <n v="233"/>
    <n v="108"/>
    <x v="2"/>
    <x v="185"/>
    <x v="3"/>
    <n v="1"/>
    <x v="0"/>
    <d v="2025-11-02T06:38:00"/>
    <x v="32"/>
    <x v="5"/>
    <n v="7111"/>
    <n v="2"/>
    <n v="14222"/>
    <x v="1"/>
  </r>
  <r>
    <n v="566"/>
    <n v="240"/>
    <x v="3"/>
    <x v="201"/>
    <x v="2"/>
    <n v="3"/>
    <x v="0"/>
    <d v="2025-11-02T07:14:00"/>
    <x v="32"/>
    <x v="6"/>
    <n v="5305"/>
    <n v="2"/>
    <n v="10610"/>
    <x v="1"/>
  </r>
  <r>
    <n v="193"/>
    <n v="220"/>
    <x v="1"/>
    <x v="24"/>
    <x v="0"/>
    <n v="2"/>
    <x v="0"/>
    <d v="2025-11-02T07:52:00"/>
    <x v="32"/>
    <x v="6"/>
    <n v="11533"/>
    <n v="4"/>
    <n v="46132"/>
    <x v="0"/>
  </r>
  <r>
    <n v="461"/>
    <n v="286"/>
    <x v="5"/>
    <x v="50"/>
    <x v="5"/>
    <n v="4"/>
    <x v="0"/>
    <d v="2025-11-02T07:53:00"/>
    <x v="32"/>
    <x v="6"/>
    <n v="1492"/>
    <n v="1"/>
    <n v="1492"/>
    <x v="2"/>
  </r>
  <r>
    <n v="132"/>
    <n v="157"/>
    <x v="4"/>
    <x v="335"/>
    <x v="6"/>
    <n v="5"/>
    <x v="0"/>
    <d v="2025-11-02T08:07:00"/>
    <x v="32"/>
    <x v="7"/>
    <n v="914"/>
    <n v="1"/>
    <n v="914"/>
    <x v="3"/>
  </r>
  <r>
    <n v="348"/>
    <n v="116"/>
    <x v="8"/>
    <x v="379"/>
    <x v="6"/>
    <n v="5"/>
    <x v="0"/>
    <d v="2025-11-02T08:24:00"/>
    <x v="32"/>
    <x v="7"/>
    <n v="3626"/>
    <n v="2"/>
    <n v="7252"/>
    <x v="2"/>
  </r>
  <r>
    <n v="307"/>
    <n v="167"/>
    <x v="2"/>
    <x v="169"/>
    <x v="2"/>
    <n v="3"/>
    <x v="0"/>
    <d v="2025-11-02T08:25:00"/>
    <x v="32"/>
    <x v="7"/>
    <n v="4950"/>
    <n v="4"/>
    <n v="19800"/>
    <x v="2"/>
  </r>
  <r>
    <n v="143"/>
    <n v="79"/>
    <x v="9"/>
    <x v="286"/>
    <x v="0"/>
    <n v="2"/>
    <x v="0"/>
    <d v="2025-11-02T08:33:00"/>
    <x v="32"/>
    <x v="7"/>
    <n v="13427"/>
    <n v="2"/>
    <n v="26854"/>
    <x v="0"/>
  </r>
  <r>
    <n v="588"/>
    <n v="201"/>
    <x v="9"/>
    <x v="121"/>
    <x v="4"/>
    <n v="7"/>
    <x v="0"/>
    <d v="2025-11-02T09:11:00"/>
    <x v="32"/>
    <x v="8"/>
    <n v="4295"/>
    <n v="1"/>
    <n v="4295"/>
    <x v="2"/>
  </r>
  <r>
    <n v="548"/>
    <n v="198"/>
    <x v="2"/>
    <x v="45"/>
    <x v="3"/>
    <n v="1"/>
    <x v="0"/>
    <d v="2025-11-02T09:15:00"/>
    <x v="32"/>
    <x v="8"/>
    <n v="4027"/>
    <n v="1"/>
    <n v="4027"/>
    <x v="2"/>
  </r>
  <r>
    <n v="584"/>
    <n v="232"/>
    <x v="1"/>
    <x v="116"/>
    <x v="3"/>
    <n v="1"/>
    <x v="0"/>
    <d v="2025-11-02T09:35:00"/>
    <x v="32"/>
    <x v="8"/>
    <n v="2585"/>
    <n v="4"/>
    <n v="10340"/>
    <x v="2"/>
  </r>
  <r>
    <n v="107"/>
    <n v="284"/>
    <x v="1"/>
    <x v="161"/>
    <x v="0"/>
    <n v="2"/>
    <x v="0"/>
    <d v="2025-11-02T09:41:00"/>
    <x v="32"/>
    <x v="8"/>
    <n v="14424"/>
    <n v="5"/>
    <n v="72120"/>
    <x v="0"/>
  </r>
  <r>
    <n v="28"/>
    <n v="96"/>
    <x v="9"/>
    <x v="18"/>
    <x v="3"/>
    <n v="1"/>
    <x v="0"/>
    <d v="2025-11-02T09:42:00"/>
    <x v="32"/>
    <x v="8"/>
    <n v="2271"/>
    <n v="1"/>
    <n v="2271"/>
    <x v="2"/>
  </r>
  <r>
    <n v="211"/>
    <n v="120"/>
    <x v="2"/>
    <x v="228"/>
    <x v="2"/>
    <n v="3"/>
    <x v="0"/>
    <d v="2025-11-02T09:49:00"/>
    <x v="32"/>
    <x v="8"/>
    <n v="2965"/>
    <n v="1"/>
    <n v="2965"/>
    <x v="2"/>
  </r>
  <r>
    <n v="466"/>
    <n v="30"/>
    <x v="3"/>
    <x v="49"/>
    <x v="3"/>
    <n v="1"/>
    <x v="0"/>
    <d v="2025-11-02T11:28:00"/>
    <x v="32"/>
    <x v="10"/>
    <n v="3521"/>
    <n v="1"/>
    <n v="3521"/>
    <x v="2"/>
  </r>
  <r>
    <n v="335"/>
    <n v="211"/>
    <x v="0"/>
    <x v="15"/>
    <x v="3"/>
    <n v="1"/>
    <x v="0"/>
    <d v="2025-11-02T12:10:00"/>
    <x v="32"/>
    <x v="11"/>
    <n v="4084"/>
    <n v="1"/>
    <n v="4084"/>
    <x v="2"/>
  </r>
  <r>
    <n v="550"/>
    <n v="215"/>
    <x v="1"/>
    <x v="20"/>
    <x v="3"/>
    <n v="1"/>
    <x v="1"/>
    <d v="2025-11-02T13:35:00"/>
    <x v="32"/>
    <x v="21"/>
    <n v="4083"/>
    <n v="0"/>
    <n v="0"/>
    <x v="2"/>
  </r>
  <r>
    <n v="212"/>
    <n v="67"/>
    <x v="1"/>
    <x v="251"/>
    <x v="0"/>
    <n v="2"/>
    <x v="0"/>
    <d v="2025-11-02T13:53:00"/>
    <x v="32"/>
    <x v="21"/>
    <n v="12015"/>
    <n v="5"/>
    <n v="60075"/>
    <x v="0"/>
  </r>
  <r>
    <n v="163"/>
    <n v="295"/>
    <x v="2"/>
    <x v="108"/>
    <x v="5"/>
    <n v="4"/>
    <x v="0"/>
    <d v="2025-11-02T13:56:00"/>
    <x v="32"/>
    <x v="21"/>
    <n v="429"/>
    <n v="5"/>
    <n v="2145"/>
    <x v="3"/>
  </r>
  <r>
    <n v="734"/>
    <n v="235"/>
    <x v="5"/>
    <x v="258"/>
    <x v="2"/>
    <n v="3"/>
    <x v="0"/>
    <d v="2025-11-02T14:17:00"/>
    <x v="32"/>
    <x v="12"/>
    <n v="4142"/>
    <n v="2"/>
    <n v="8284"/>
    <x v="2"/>
  </r>
  <r>
    <n v="457"/>
    <n v="33"/>
    <x v="0"/>
    <x v="5"/>
    <x v="4"/>
    <n v="7"/>
    <x v="0"/>
    <d v="2025-11-02T14:33:00"/>
    <x v="32"/>
    <x v="12"/>
    <n v="3659"/>
    <n v="4"/>
    <n v="14636"/>
    <x v="2"/>
  </r>
  <r>
    <n v="337"/>
    <n v="292"/>
    <x v="5"/>
    <x v="258"/>
    <x v="2"/>
    <n v="3"/>
    <x v="0"/>
    <d v="2025-11-02T15:23:00"/>
    <x v="32"/>
    <x v="13"/>
    <n v="4879"/>
    <n v="2"/>
    <n v="9758"/>
    <x v="2"/>
  </r>
  <r>
    <n v="41"/>
    <n v="47"/>
    <x v="8"/>
    <x v="31"/>
    <x v="0"/>
    <n v="2"/>
    <x v="0"/>
    <d v="2025-11-02T15:25:00"/>
    <x v="32"/>
    <x v="13"/>
    <n v="12078"/>
    <n v="4"/>
    <n v="48312"/>
    <x v="0"/>
  </r>
  <r>
    <n v="718"/>
    <n v="153"/>
    <x v="8"/>
    <x v="379"/>
    <x v="6"/>
    <n v="5"/>
    <x v="0"/>
    <d v="2025-11-02T15:43:00"/>
    <x v="32"/>
    <x v="13"/>
    <n v="2109"/>
    <n v="1"/>
    <n v="2109"/>
    <x v="2"/>
  </r>
  <r>
    <n v="256"/>
    <n v="92"/>
    <x v="4"/>
    <x v="66"/>
    <x v="3"/>
    <n v="1"/>
    <x v="1"/>
    <d v="2025-11-02T15:47:00"/>
    <x v="32"/>
    <x v="13"/>
    <n v="4316"/>
    <n v="0"/>
    <n v="0"/>
    <x v="2"/>
  </r>
  <r>
    <n v="394"/>
    <n v="94"/>
    <x v="2"/>
    <x v="362"/>
    <x v="4"/>
    <n v="7"/>
    <x v="0"/>
    <d v="2025-11-02T15:58:00"/>
    <x v="32"/>
    <x v="13"/>
    <n v="6735"/>
    <n v="1"/>
    <n v="6735"/>
    <x v="1"/>
  </r>
  <r>
    <n v="716"/>
    <n v="23"/>
    <x v="1"/>
    <x v="77"/>
    <x v="3"/>
    <n v="1"/>
    <x v="0"/>
    <d v="2025-11-02T16:33:00"/>
    <x v="32"/>
    <x v="14"/>
    <n v="6813"/>
    <n v="2"/>
    <n v="13626"/>
    <x v="1"/>
  </r>
  <r>
    <n v="299"/>
    <n v="35"/>
    <x v="7"/>
    <x v="26"/>
    <x v="6"/>
    <n v="5"/>
    <x v="0"/>
    <d v="2025-11-02T16:50:00"/>
    <x v="32"/>
    <x v="14"/>
    <n v="1661"/>
    <n v="4"/>
    <n v="6644"/>
    <x v="2"/>
  </r>
  <r>
    <n v="422"/>
    <n v="284"/>
    <x v="5"/>
    <x v="72"/>
    <x v="6"/>
    <n v="5"/>
    <x v="0"/>
    <d v="2025-11-02T17:03:00"/>
    <x v="32"/>
    <x v="15"/>
    <n v="3830"/>
    <n v="1"/>
    <n v="3830"/>
    <x v="2"/>
  </r>
  <r>
    <n v="517"/>
    <n v="167"/>
    <x v="1"/>
    <x v="366"/>
    <x v="0"/>
    <n v="2"/>
    <x v="1"/>
    <d v="2025-11-02T17:16:00"/>
    <x v="32"/>
    <x v="15"/>
    <n v="5974"/>
    <n v="0"/>
    <n v="0"/>
    <x v="1"/>
  </r>
  <r>
    <n v="213"/>
    <n v="260"/>
    <x v="4"/>
    <x v="190"/>
    <x v="3"/>
    <n v="1"/>
    <x v="0"/>
    <d v="2025-11-02T17:32:00"/>
    <x v="32"/>
    <x v="15"/>
    <n v="4389"/>
    <n v="4"/>
    <n v="17556"/>
    <x v="2"/>
  </r>
  <r>
    <n v="655"/>
    <n v="237"/>
    <x v="0"/>
    <x v="208"/>
    <x v="4"/>
    <n v="7"/>
    <x v="0"/>
    <d v="2025-11-02T18:13:00"/>
    <x v="32"/>
    <x v="16"/>
    <n v="1901"/>
    <n v="1"/>
    <n v="1901"/>
    <x v="2"/>
  </r>
  <r>
    <n v="407"/>
    <n v="20"/>
    <x v="2"/>
    <x v="32"/>
    <x v="5"/>
    <n v="4"/>
    <x v="0"/>
    <d v="2025-11-02T19:12:00"/>
    <x v="32"/>
    <x v="22"/>
    <n v="805"/>
    <n v="1"/>
    <n v="805"/>
    <x v="3"/>
  </r>
  <r>
    <n v="140"/>
    <n v="168"/>
    <x v="1"/>
    <x v="194"/>
    <x v="3"/>
    <n v="1"/>
    <x v="0"/>
    <d v="2025-11-02T20:35:00"/>
    <x v="32"/>
    <x v="17"/>
    <n v="1015"/>
    <n v="5"/>
    <n v="5075"/>
    <x v="2"/>
  </r>
  <r>
    <n v="473"/>
    <n v="35"/>
    <x v="8"/>
    <x v="225"/>
    <x v="4"/>
    <n v="7"/>
    <x v="0"/>
    <d v="2025-11-02T21:16:00"/>
    <x v="32"/>
    <x v="23"/>
    <n v="7174"/>
    <n v="4"/>
    <n v="28696"/>
    <x v="1"/>
  </r>
  <r>
    <n v="449"/>
    <n v="72"/>
    <x v="5"/>
    <x v="339"/>
    <x v="1"/>
    <n v="6"/>
    <x v="1"/>
    <d v="2025-11-02T21:26:00"/>
    <x v="32"/>
    <x v="23"/>
    <n v="3432"/>
    <n v="0"/>
    <n v="0"/>
    <x v="2"/>
  </r>
  <r>
    <n v="19"/>
    <n v="52"/>
    <x v="4"/>
    <x v="120"/>
    <x v="6"/>
    <n v="5"/>
    <x v="0"/>
    <d v="2025-11-02T21:56:00"/>
    <x v="32"/>
    <x v="23"/>
    <n v="2670"/>
    <n v="1"/>
    <n v="2670"/>
    <x v="2"/>
  </r>
  <r>
    <n v="760"/>
    <n v="201"/>
    <x v="1"/>
    <x v="23"/>
    <x v="5"/>
    <n v="4"/>
    <x v="0"/>
    <d v="2025-11-02T22:12:00"/>
    <x v="32"/>
    <x v="18"/>
    <n v="362"/>
    <n v="5"/>
    <n v="1810"/>
    <x v="3"/>
  </r>
  <r>
    <n v="280"/>
    <n v="79"/>
    <x v="0"/>
    <x v="211"/>
    <x v="1"/>
    <n v="6"/>
    <x v="1"/>
    <d v="2025-11-02T22:19:00"/>
    <x v="32"/>
    <x v="18"/>
    <n v="4598"/>
    <n v="0"/>
    <n v="0"/>
    <x v="2"/>
  </r>
  <r>
    <n v="732"/>
    <n v="18"/>
    <x v="4"/>
    <x v="120"/>
    <x v="6"/>
    <n v="5"/>
    <x v="0"/>
    <d v="2025-11-02T23:08:00"/>
    <x v="32"/>
    <x v="19"/>
    <n v="2587"/>
    <n v="1"/>
    <n v="2587"/>
    <x v="2"/>
  </r>
  <r>
    <n v="714"/>
    <n v="25"/>
    <x v="5"/>
    <x v="147"/>
    <x v="3"/>
    <n v="1"/>
    <x v="0"/>
    <d v="2025-11-02T23:09:00"/>
    <x v="32"/>
    <x v="19"/>
    <n v="6601"/>
    <n v="4"/>
    <n v="26404"/>
    <x v="1"/>
  </r>
  <r>
    <n v="707"/>
    <n v="158"/>
    <x v="1"/>
    <x v="251"/>
    <x v="0"/>
    <n v="2"/>
    <x v="0"/>
    <d v="2025-11-03T00:11:00"/>
    <x v="33"/>
    <x v="0"/>
    <n v="14467"/>
    <n v="5"/>
    <n v="72335"/>
    <x v="0"/>
  </r>
  <r>
    <n v="50"/>
    <n v="194"/>
    <x v="9"/>
    <x v="151"/>
    <x v="5"/>
    <n v="4"/>
    <x v="1"/>
    <d v="2025-11-03T00:27:00"/>
    <x v="33"/>
    <x v="0"/>
    <n v="785"/>
    <n v="0"/>
    <n v="0"/>
    <x v="3"/>
  </r>
  <r>
    <n v="205"/>
    <n v="47"/>
    <x v="6"/>
    <x v="11"/>
    <x v="2"/>
    <n v="3"/>
    <x v="0"/>
    <d v="2025-11-03T00:54:00"/>
    <x v="33"/>
    <x v="0"/>
    <n v="3079"/>
    <n v="1"/>
    <n v="3079"/>
    <x v="2"/>
  </r>
  <r>
    <n v="346"/>
    <n v="99"/>
    <x v="0"/>
    <x v="105"/>
    <x v="3"/>
    <n v="1"/>
    <x v="0"/>
    <d v="2025-11-03T01:23:00"/>
    <x v="33"/>
    <x v="1"/>
    <n v="1146"/>
    <n v="1"/>
    <n v="1146"/>
    <x v="2"/>
  </r>
  <r>
    <n v="99"/>
    <n v="86"/>
    <x v="1"/>
    <x v="20"/>
    <x v="3"/>
    <n v="1"/>
    <x v="0"/>
    <d v="2025-11-03T02:22:00"/>
    <x v="33"/>
    <x v="2"/>
    <n v="6712"/>
    <n v="3"/>
    <n v="20136"/>
    <x v="1"/>
  </r>
  <r>
    <n v="111"/>
    <n v="168"/>
    <x v="2"/>
    <x v="226"/>
    <x v="5"/>
    <n v="4"/>
    <x v="0"/>
    <d v="2025-11-03T02:49:00"/>
    <x v="33"/>
    <x v="2"/>
    <n v="214"/>
    <n v="1"/>
    <n v="214"/>
    <x v="3"/>
  </r>
  <r>
    <n v="213"/>
    <n v="278"/>
    <x v="5"/>
    <x v="258"/>
    <x v="2"/>
    <n v="3"/>
    <x v="0"/>
    <d v="2025-11-03T03:14:00"/>
    <x v="33"/>
    <x v="3"/>
    <n v="4230"/>
    <n v="1"/>
    <n v="4230"/>
    <x v="2"/>
  </r>
  <r>
    <n v="219"/>
    <n v="55"/>
    <x v="1"/>
    <x v="20"/>
    <x v="3"/>
    <n v="1"/>
    <x v="1"/>
    <d v="2025-11-03T03:16:00"/>
    <x v="33"/>
    <x v="3"/>
    <n v="4255"/>
    <n v="0"/>
    <n v="0"/>
    <x v="2"/>
  </r>
  <r>
    <n v="412"/>
    <n v="162"/>
    <x v="4"/>
    <x v="196"/>
    <x v="5"/>
    <n v="4"/>
    <x v="0"/>
    <d v="2025-11-03T03:35:00"/>
    <x v="33"/>
    <x v="3"/>
    <n v="745"/>
    <n v="1"/>
    <n v="745"/>
    <x v="3"/>
  </r>
  <r>
    <n v="226"/>
    <n v="34"/>
    <x v="5"/>
    <x v="81"/>
    <x v="4"/>
    <n v="7"/>
    <x v="0"/>
    <d v="2025-11-03T03:40:00"/>
    <x v="33"/>
    <x v="3"/>
    <n v="1597"/>
    <n v="3"/>
    <n v="4791"/>
    <x v="2"/>
  </r>
  <r>
    <n v="45"/>
    <n v="35"/>
    <x v="9"/>
    <x v="191"/>
    <x v="6"/>
    <n v="5"/>
    <x v="0"/>
    <d v="2025-11-03T04:15:00"/>
    <x v="33"/>
    <x v="4"/>
    <n v="3437"/>
    <n v="3"/>
    <n v="10311"/>
    <x v="2"/>
  </r>
  <r>
    <n v="512"/>
    <n v="53"/>
    <x v="7"/>
    <x v="163"/>
    <x v="3"/>
    <n v="1"/>
    <x v="1"/>
    <d v="2025-11-03T04:34:00"/>
    <x v="33"/>
    <x v="4"/>
    <n v="2800"/>
    <n v="0"/>
    <n v="0"/>
    <x v="2"/>
  </r>
  <r>
    <n v="98"/>
    <n v="167"/>
    <x v="4"/>
    <x v="277"/>
    <x v="5"/>
    <n v="4"/>
    <x v="0"/>
    <d v="2025-11-03T05:04:00"/>
    <x v="33"/>
    <x v="20"/>
    <n v="1239"/>
    <n v="5"/>
    <n v="6195"/>
    <x v="2"/>
  </r>
  <r>
    <n v="180"/>
    <n v="163"/>
    <x v="4"/>
    <x v="363"/>
    <x v="1"/>
    <n v="6"/>
    <x v="0"/>
    <d v="2025-11-03T05:06:00"/>
    <x v="33"/>
    <x v="20"/>
    <n v="8513"/>
    <n v="1"/>
    <n v="8513"/>
    <x v="1"/>
  </r>
  <r>
    <n v="344"/>
    <n v="10"/>
    <x v="8"/>
    <x v="30"/>
    <x v="3"/>
    <n v="1"/>
    <x v="1"/>
    <d v="2025-11-03T05:08:00"/>
    <x v="33"/>
    <x v="20"/>
    <n v="8000"/>
    <n v="0"/>
    <n v="0"/>
    <x v="1"/>
  </r>
  <r>
    <n v="524"/>
    <n v="120"/>
    <x v="8"/>
    <x v="134"/>
    <x v="0"/>
    <n v="2"/>
    <x v="1"/>
    <d v="2025-11-03T05:41:00"/>
    <x v="33"/>
    <x v="20"/>
    <n v="14069"/>
    <n v="0"/>
    <n v="0"/>
    <x v="0"/>
  </r>
  <r>
    <n v="22"/>
    <n v="64"/>
    <x v="0"/>
    <x v="15"/>
    <x v="3"/>
    <n v="1"/>
    <x v="0"/>
    <d v="2025-11-03T05:43:00"/>
    <x v="33"/>
    <x v="20"/>
    <n v="5224"/>
    <n v="3"/>
    <n v="15672"/>
    <x v="1"/>
  </r>
  <r>
    <n v="635"/>
    <n v="41"/>
    <x v="2"/>
    <x v="32"/>
    <x v="5"/>
    <n v="4"/>
    <x v="0"/>
    <d v="2025-11-03T05:45:00"/>
    <x v="33"/>
    <x v="20"/>
    <n v="603"/>
    <n v="1"/>
    <n v="603"/>
    <x v="3"/>
  </r>
  <r>
    <n v="304"/>
    <n v="104"/>
    <x v="6"/>
    <x v="317"/>
    <x v="3"/>
    <n v="1"/>
    <x v="0"/>
    <d v="2025-11-03T05:46:00"/>
    <x v="33"/>
    <x v="20"/>
    <n v="1360"/>
    <n v="1"/>
    <n v="1360"/>
    <x v="2"/>
  </r>
  <r>
    <n v="244"/>
    <n v="228"/>
    <x v="5"/>
    <x v="382"/>
    <x v="6"/>
    <n v="5"/>
    <x v="0"/>
    <d v="2025-11-03T07:09:00"/>
    <x v="33"/>
    <x v="6"/>
    <n v="1413"/>
    <n v="1"/>
    <n v="1413"/>
    <x v="2"/>
  </r>
  <r>
    <n v="660"/>
    <n v="21"/>
    <x v="7"/>
    <x v="73"/>
    <x v="2"/>
    <n v="3"/>
    <x v="0"/>
    <d v="2025-11-03T07:44:00"/>
    <x v="33"/>
    <x v="6"/>
    <n v="4060"/>
    <n v="1"/>
    <n v="4060"/>
    <x v="2"/>
  </r>
  <r>
    <n v="235"/>
    <n v="170"/>
    <x v="7"/>
    <x v="357"/>
    <x v="3"/>
    <n v="1"/>
    <x v="1"/>
    <d v="2025-11-03T07:56:00"/>
    <x v="33"/>
    <x v="6"/>
    <n v="5278"/>
    <n v="0"/>
    <n v="0"/>
    <x v="1"/>
  </r>
  <r>
    <n v="56"/>
    <n v="128"/>
    <x v="5"/>
    <x v="171"/>
    <x v="4"/>
    <n v="7"/>
    <x v="0"/>
    <d v="2025-11-03T08:05:00"/>
    <x v="33"/>
    <x v="7"/>
    <n v="4231"/>
    <n v="3"/>
    <n v="12693"/>
    <x v="2"/>
  </r>
  <r>
    <n v="391"/>
    <n v="267"/>
    <x v="5"/>
    <x v="186"/>
    <x v="5"/>
    <n v="4"/>
    <x v="0"/>
    <d v="2025-11-03T08:16:00"/>
    <x v="33"/>
    <x v="7"/>
    <n v="1500"/>
    <n v="3"/>
    <n v="4500"/>
    <x v="2"/>
  </r>
  <r>
    <n v="7"/>
    <n v="34"/>
    <x v="8"/>
    <x v="343"/>
    <x v="3"/>
    <n v="1"/>
    <x v="0"/>
    <d v="2025-11-03T08:56:00"/>
    <x v="33"/>
    <x v="7"/>
    <n v="3527"/>
    <n v="5"/>
    <n v="17635"/>
    <x v="2"/>
  </r>
  <r>
    <n v="650"/>
    <n v="73"/>
    <x v="5"/>
    <x v="42"/>
    <x v="4"/>
    <n v="7"/>
    <x v="1"/>
    <d v="2025-11-03T09:25:00"/>
    <x v="33"/>
    <x v="8"/>
    <n v="5362"/>
    <n v="0"/>
    <n v="0"/>
    <x v="1"/>
  </r>
  <r>
    <n v="607"/>
    <n v="282"/>
    <x v="1"/>
    <x v="327"/>
    <x v="1"/>
    <n v="6"/>
    <x v="0"/>
    <d v="2025-11-03T09:30:00"/>
    <x v="33"/>
    <x v="8"/>
    <n v="5209"/>
    <n v="1"/>
    <n v="5209"/>
    <x v="1"/>
  </r>
  <r>
    <n v="437"/>
    <n v="240"/>
    <x v="3"/>
    <x v="290"/>
    <x v="5"/>
    <n v="4"/>
    <x v="0"/>
    <d v="2025-11-03T09:35:00"/>
    <x v="33"/>
    <x v="8"/>
    <n v="388"/>
    <n v="3"/>
    <n v="1164"/>
    <x v="3"/>
  </r>
  <r>
    <n v="435"/>
    <n v="91"/>
    <x v="5"/>
    <x v="179"/>
    <x v="0"/>
    <n v="2"/>
    <x v="0"/>
    <d v="2025-11-03T09:38:00"/>
    <x v="33"/>
    <x v="8"/>
    <n v="8987"/>
    <n v="1"/>
    <n v="8987"/>
    <x v="1"/>
  </r>
  <r>
    <n v="591"/>
    <n v="230"/>
    <x v="7"/>
    <x v="348"/>
    <x v="0"/>
    <n v="2"/>
    <x v="0"/>
    <d v="2025-11-03T10:06:00"/>
    <x v="33"/>
    <x v="9"/>
    <n v="13853"/>
    <n v="3"/>
    <n v="41559"/>
    <x v="0"/>
  </r>
  <r>
    <n v="369"/>
    <n v="204"/>
    <x v="8"/>
    <x v="293"/>
    <x v="1"/>
    <n v="6"/>
    <x v="0"/>
    <d v="2025-11-03T10:45:00"/>
    <x v="33"/>
    <x v="9"/>
    <n v="5238"/>
    <n v="4"/>
    <n v="20952"/>
    <x v="1"/>
  </r>
  <r>
    <n v="433"/>
    <n v="259"/>
    <x v="8"/>
    <x v="37"/>
    <x v="3"/>
    <n v="1"/>
    <x v="0"/>
    <d v="2025-11-03T10:53:00"/>
    <x v="33"/>
    <x v="9"/>
    <n v="3979"/>
    <n v="3"/>
    <n v="11937"/>
    <x v="2"/>
  </r>
  <r>
    <n v="494"/>
    <n v="11"/>
    <x v="2"/>
    <x v="90"/>
    <x v="0"/>
    <n v="2"/>
    <x v="0"/>
    <d v="2025-11-03T10:53:00"/>
    <x v="33"/>
    <x v="9"/>
    <n v="14160"/>
    <n v="1"/>
    <n v="14160"/>
    <x v="0"/>
  </r>
  <r>
    <n v="778"/>
    <n v="154"/>
    <x v="2"/>
    <x v="45"/>
    <x v="3"/>
    <n v="1"/>
    <x v="0"/>
    <d v="2025-11-03T10:56:00"/>
    <x v="33"/>
    <x v="9"/>
    <n v="7236"/>
    <n v="3"/>
    <n v="21708"/>
    <x v="1"/>
  </r>
  <r>
    <n v="745"/>
    <n v="90"/>
    <x v="4"/>
    <x v="27"/>
    <x v="3"/>
    <n v="1"/>
    <x v="1"/>
    <d v="2025-11-03T12:27:00"/>
    <x v="33"/>
    <x v="11"/>
    <n v="5950"/>
    <n v="0"/>
    <n v="0"/>
    <x v="1"/>
  </r>
  <r>
    <n v="465"/>
    <n v="146"/>
    <x v="8"/>
    <x v="103"/>
    <x v="3"/>
    <n v="1"/>
    <x v="1"/>
    <d v="2025-11-03T12:36:00"/>
    <x v="33"/>
    <x v="11"/>
    <n v="3101"/>
    <n v="0"/>
    <n v="0"/>
    <x v="2"/>
  </r>
  <r>
    <n v="74"/>
    <n v="171"/>
    <x v="9"/>
    <x v="18"/>
    <x v="3"/>
    <n v="1"/>
    <x v="1"/>
    <d v="2025-11-03T13:15:00"/>
    <x v="33"/>
    <x v="21"/>
    <n v="4160"/>
    <n v="0"/>
    <n v="0"/>
    <x v="2"/>
  </r>
  <r>
    <n v="159"/>
    <n v="98"/>
    <x v="8"/>
    <x v="41"/>
    <x v="0"/>
    <n v="2"/>
    <x v="1"/>
    <d v="2025-11-03T13:41:00"/>
    <x v="33"/>
    <x v="21"/>
    <n v="6404"/>
    <n v="0"/>
    <n v="0"/>
    <x v="1"/>
  </r>
  <r>
    <n v="743"/>
    <n v="192"/>
    <x v="3"/>
    <x v="295"/>
    <x v="0"/>
    <n v="2"/>
    <x v="0"/>
    <d v="2025-11-03T13:54:00"/>
    <x v="33"/>
    <x v="21"/>
    <n v="4000"/>
    <n v="1"/>
    <n v="4000"/>
    <x v="2"/>
  </r>
  <r>
    <n v="761"/>
    <n v="192"/>
    <x v="2"/>
    <x v="148"/>
    <x v="3"/>
    <n v="1"/>
    <x v="0"/>
    <d v="2025-11-03T14:00:00"/>
    <x v="33"/>
    <x v="12"/>
    <n v="5032"/>
    <n v="4"/>
    <n v="20128"/>
    <x v="1"/>
  </r>
  <r>
    <n v="603"/>
    <n v="37"/>
    <x v="7"/>
    <x v="245"/>
    <x v="1"/>
    <n v="6"/>
    <x v="0"/>
    <d v="2025-11-03T14:03:00"/>
    <x v="33"/>
    <x v="12"/>
    <n v="8342"/>
    <n v="5"/>
    <n v="41710"/>
    <x v="1"/>
  </r>
  <r>
    <n v="580"/>
    <n v="84"/>
    <x v="1"/>
    <x v="328"/>
    <x v="1"/>
    <n v="6"/>
    <x v="0"/>
    <d v="2025-11-03T14:28:00"/>
    <x v="33"/>
    <x v="12"/>
    <n v="8516"/>
    <n v="3"/>
    <n v="25548"/>
    <x v="1"/>
  </r>
  <r>
    <n v="790"/>
    <n v="179"/>
    <x v="2"/>
    <x v="280"/>
    <x v="1"/>
    <n v="6"/>
    <x v="0"/>
    <d v="2025-11-03T15:08:00"/>
    <x v="33"/>
    <x v="13"/>
    <n v="5372"/>
    <n v="1"/>
    <n v="5372"/>
    <x v="1"/>
  </r>
  <r>
    <n v="714"/>
    <n v="30"/>
    <x v="8"/>
    <x v="71"/>
    <x v="2"/>
    <n v="3"/>
    <x v="0"/>
    <d v="2025-11-03T15:35:00"/>
    <x v="33"/>
    <x v="13"/>
    <n v="5837"/>
    <n v="5"/>
    <n v="29185"/>
    <x v="1"/>
  </r>
  <r>
    <n v="249"/>
    <n v="245"/>
    <x v="2"/>
    <x v="361"/>
    <x v="6"/>
    <n v="5"/>
    <x v="0"/>
    <d v="2025-11-03T15:55:00"/>
    <x v="33"/>
    <x v="13"/>
    <n v="3463"/>
    <n v="3"/>
    <n v="10389"/>
    <x v="2"/>
  </r>
  <r>
    <n v="268"/>
    <n v="234"/>
    <x v="0"/>
    <x v="87"/>
    <x v="5"/>
    <n v="4"/>
    <x v="0"/>
    <d v="2025-11-03T15:56:00"/>
    <x v="33"/>
    <x v="13"/>
    <n v="105"/>
    <n v="5"/>
    <n v="525"/>
    <x v="3"/>
  </r>
  <r>
    <n v="617"/>
    <n v="297"/>
    <x v="7"/>
    <x v="337"/>
    <x v="3"/>
    <n v="1"/>
    <x v="1"/>
    <d v="2025-11-03T17:28:00"/>
    <x v="33"/>
    <x v="15"/>
    <n v="6454"/>
    <n v="0"/>
    <n v="0"/>
    <x v="1"/>
  </r>
  <r>
    <n v="790"/>
    <n v="48"/>
    <x v="0"/>
    <x v="172"/>
    <x v="5"/>
    <n v="4"/>
    <x v="0"/>
    <d v="2025-11-03T18:10:00"/>
    <x v="33"/>
    <x v="16"/>
    <n v="1289"/>
    <n v="3"/>
    <n v="3867"/>
    <x v="2"/>
  </r>
  <r>
    <n v="531"/>
    <n v="97"/>
    <x v="9"/>
    <x v="130"/>
    <x v="1"/>
    <n v="6"/>
    <x v="0"/>
    <d v="2025-11-03T18:20:00"/>
    <x v="33"/>
    <x v="16"/>
    <n v="8300"/>
    <n v="3"/>
    <n v="24900"/>
    <x v="1"/>
  </r>
  <r>
    <n v="709"/>
    <n v="155"/>
    <x v="2"/>
    <x v="80"/>
    <x v="0"/>
    <n v="2"/>
    <x v="1"/>
    <d v="2025-11-03T20:03:00"/>
    <x v="33"/>
    <x v="17"/>
    <n v="10813"/>
    <n v="0"/>
    <n v="0"/>
    <x v="0"/>
  </r>
  <r>
    <n v="316"/>
    <n v="211"/>
    <x v="2"/>
    <x v="325"/>
    <x v="1"/>
    <n v="6"/>
    <x v="0"/>
    <d v="2025-11-03T20:28:00"/>
    <x v="33"/>
    <x v="17"/>
    <n v="10274"/>
    <n v="1"/>
    <n v="10274"/>
    <x v="0"/>
  </r>
  <r>
    <n v="147"/>
    <n v="138"/>
    <x v="9"/>
    <x v="75"/>
    <x v="0"/>
    <n v="2"/>
    <x v="0"/>
    <d v="2025-11-03T20:51:00"/>
    <x v="33"/>
    <x v="17"/>
    <n v="5311"/>
    <n v="4"/>
    <n v="21244"/>
    <x v="1"/>
  </r>
  <r>
    <n v="316"/>
    <n v="4"/>
    <x v="2"/>
    <x v="340"/>
    <x v="1"/>
    <n v="6"/>
    <x v="0"/>
    <d v="2025-11-03T21:27:00"/>
    <x v="33"/>
    <x v="23"/>
    <n v="5615"/>
    <n v="1"/>
    <n v="5615"/>
    <x v="1"/>
  </r>
  <r>
    <n v="72"/>
    <n v="214"/>
    <x v="0"/>
    <x v="172"/>
    <x v="5"/>
    <n v="4"/>
    <x v="1"/>
    <d v="2025-11-03T22:12:00"/>
    <x v="33"/>
    <x v="18"/>
    <n v="445"/>
    <n v="0"/>
    <n v="0"/>
    <x v="3"/>
  </r>
  <r>
    <n v="175"/>
    <n v="91"/>
    <x v="7"/>
    <x v="255"/>
    <x v="6"/>
    <n v="5"/>
    <x v="0"/>
    <d v="2025-11-03T22:40:00"/>
    <x v="33"/>
    <x v="18"/>
    <n v="2963"/>
    <n v="4"/>
    <n v="11852"/>
    <x v="2"/>
  </r>
  <r>
    <n v="499"/>
    <n v="94"/>
    <x v="4"/>
    <x v="316"/>
    <x v="0"/>
    <n v="2"/>
    <x v="1"/>
    <d v="2025-11-03T22:44:00"/>
    <x v="33"/>
    <x v="18"/>
    <n v="10033"/>
    <n v="0"/>
    <n v="0"/>
    <x v="0"/>
  </r>
  <r>
    <n v="218"/>
    <n v="96"/>
    <x v="8"/>
    <x v="350"/>
    <x v="1"/>
    <n v="6"/>
    <x v="0"/>
    <d v="2025-11-03T22:54:00"/>
    <x v="33"/>
    <x v="18"/>
    <n v="10090"/>
    <n v="3"/>
    <n v="30270"/>
    <x v="0"/>
  </r>
  <r>
    <n v="266"/>
    <n v="210"/>
    <x v="4"/>
    <x v="6"/>
    <x v="3"/>
    <n v="1"/>
    <x v="1"/>
    <d v="2025-11-04T00:04:00"/>
    <x v="34"/>
    <x v="0"/>
    <n v="2476"/>
    <n v="0"/>
    <n v="0"/>
    <x v="2"/>
  </r>
  <r>
    <n v="652"/>
    <n v="86"/>
    <x v="9"/>
    <x v="303"/>
    <x v="2"/>
    <n v="3"/>
    <x v="1"/>
    <d v="2025-11-04T00:11:00"/>
    <x v="34"/>
    <x v="0"/>
    <n v="5230"/>
    <n v="0"/>
    <n v="0"/>
    <x v="1"/>
  </r>
  <r>
    <n v="128"/>
    <n v="142"/>
    <x v="1"/>
    <x v="77"/>
    <x v="3"/>
    <n v="1"/>
    <x v="0"/>
    <d v="2025-11-04T00:23:00"/>
    <x v="34"/>
    <x v="0"/>
    <n v="1603"/>
    <n v="2"/>
    <n v="3206"/>
    <x v="2"/>
  </r>
  <r>
    <n v="241"/>
    <n v="245"/>
    <x v="0"/>
    <x v="292"/>
    <x v="6"/>
    <n v="5"/>
    <x v="0"/>
    <d v="2025-11-04T00:38:00"/>
    <x v="34"/>
    <x v="0"/>
    <n v="1038"/>
    <n v="3"/>
    <n v="3114"/>
    <x v="2"/>
  </r>
  <r>
    <n v="63"/>
    <n v="137"/>
    <x v="1"/>
    <x v="60"/>
    <x v="3"/>
    <n v="1"/>
    <x v="0"/>
    <d v="2025-11-04T00:54:00"/>
    <x v="34"/>
    <x v="0"/>
    <n v="5118"/>
    <n v="2"/>
    <n v="10236"/>
    <x v="1"/>
  </r>
  <r>
    <n v="100"/>
    <n v="109"/>
    <x v="9"/>
    <x v="151"/>
    <x v="5"/>
    <n v="4"/>
    <x v="0"/>
    <d v="2025-11-04T01:19:00"/>
    <x v="34"/>
    <x v="1"/>
    <n v="204"/>
    <n v="5"/>
    <n v="1020"/>
    <x v="3"/>
  </r>
  <r>
    <n v="533"/>
    <n v="137"/>
    <x v="2"/>
    <x v="21"/>
    <x v="3"/>
    <n v="1"/>
    <x v="0"/>
    <d v="2025-11-04T02:35:00"/>
    <x v="34"/>
    <x v="2"/>
    <n v="5081"/>
    <n v="5"/>
    <n v="25405"/>
    <x v="1"/>
  </r>
  <r>
    <n v="440"/>
    <n v="173"/>
    <x v="6"/>
    <x v="135"/>
    <x v="3"/>
    <n v="1"/>
    <x v="1"/>
    <d v="2025-11-04T02:42:00"/>
    <x v="34"/>
    <x v="2"/>
    <n v="5022"/>
    <n v="0"/>
    <n v="0"/>
    <x v="1"/>
  </r>
  <r>
    <n v="246"/>
    <n v="185"/>
    <x v="6"/>
    <x v="360"/>
    <x v="6"/>
    <n v="5"/>
    <x v="0"/>
    <d v="2025-11-04T02:45:00"/>
    <x v="34"/>
    <x v="2"/>
    <n v="2467"/>
    <n v="3"/>
    <n v="7401"/>
    <x v="2"/>
  </r>
  <r>
    <n v="59"/>
    <n v="183"/>
    <x v="2"/>
    <x v="263"/>
    <x v="4"/>
    <n v="7"/>
    <x v="0"/>
    <d v="2025-11-04T02:51:00"/>
    <x v="34"/>
    <x v="2"/>
    <n v="6952"/>
    <n v="3"/>
    <n v="20856"/>
    <x v="1"/>
  </r>
  <r>
    <n v="716"/>
    <n v="206"/>
    <x v="0"/>
    <x v="187"/>
    <x v="6"/>
    <n v="5"/>
    <x v="0"/>
    <d v="2025-11-04T03:49:00"/>
    <x v="34"/>
    <x v="3"/>
    <n v="2003"/>
    <n v="3"/>
    <n v="6009"/>
    <x v="2"/>
  </r>
  <r>
    <n v="126"/>
    <n v="272"/>
    <x v="0"/>
    <x v="160"/>
    <x v="3"/>
    <n v="1"/>
    <x v="0"/>
    <d v="2025-11-04T04:17:00"/>
    <x v="34"/>
    <x v="4"/>
    <n v="6812"/>
    <n v="2"/>
    <n v="13624"/>
    <x v="1"/>
  </r>
  <r>
    <n v="463"/>
    <n v="244"/>
    <x v="5"/>
    <x v="119"/>
    <x v="1"/>
    <n v="6"/>
    <x v="1"/>
    <d v="2025-11-04T04:25:00"/>
    <x v="34"/>
    <x v="4"/>
    <n v="6736"/>
    <n v="0"/>
    <n v="0"/>
    <x v="1"/>
  </r>
  <r>
    <n v="654"/>
    <n v="165"/>
    <x v="5"/>
    <x v="257"/>
    <x v="3"/>
    <n v="1"/>
    <x v="0"/>
    <d v="2025-11-04T05:10:00"/>
    <x v="34"/>
    <x v="20"/>
    <n v="5229"/>
    <n v="5"/>
    <n v="26145"/>
    <x v="1"/>
  </r>
  <r>
    <n v="754"/>
    <n v="167"/>
    <x v="6"/>
    <x v="79"/>
    <x v="2"/>
    <n v="3"/>
    <x v="0"/>
    <d v="2025-11-04T06:03:00"/>
    <x v="34"/>
    <x v="5"/>
    <n v="1760"/>
    <n v="5"/>
    <n v="8800"/>
    <x v="2"/>
  </r>
  <r>
    <n v="410"/>
    <n v="42"/>
    <x v="9"/>
    <x v="98"/>
    <x v="0"/>
    <n v="2"/>
    <x v="1"/>
    <d v="2025-11-04T06:52:00"/>
    <x v="34"/>
    <x v="5"/>
    <n v="11198"/>
    <n v="0"/>
    <n v="0"/>
    <x v="0"/>
  </r>
  <r>
    <n v="752"/>
    <n v="198"/>
    <x v="8"/>
    <x v="214"/>
    <x v="5"/>
    <n v="4"/>
    <x v="0"/>
    <d v="2025-11-04T07:59:00"/>
    <x v="34"/>
    <x v="6"/>
    <n v="782"/>
    <n v="3"/>
    <n v="2346"/>
    <x v="3"/>
  </r>
  <r>
    <n v="147"/>
    <n v="267"/>
    <x v="5"/>
    <x v="222"/>
    <x v="0"/>
    <n v="2"/>
    <x v="0"/>
    <d v="2025-11-04T08:07:00"/>
    <x v="34"/>
    <x v="7"/>
    <n v="8924"/>
    <n v="2"/>
    <n v="17848"/>
    <x v="1"/>
  </r>
  <r>
    <n v="131"/>
    <n v="255"/>
    <x v="3"/>
    <x v="264"/>
    <x v="0"/>
    <n v="2"/>
    <x v="0"/>
    <d v="2025-11-04T08:44:00"/>
    <x v="34"/>
    <x v="7"/>
    <n v="13535"/>
    <n v="3"/>
    <n v="40605"/>
    <x v="0"/>
  </r>
  <r>
    <n v="173"/>
    <n v="229"/>
    <x v="3"/>
    <x v="230"/>
    <x v="1"/>
    <n v="6"/>
    <x v="0"/>
    <d v="2025-11-04T09:00:00"/>
    <x v="34"/>
    <x v="8"/>
    <n v="3380"/>
    <n v="5"/>
    <n v="16900"/>
    <x v="2"/>
  </r>
  <r>
    <n v="250"/>
    <n v="109"/>
    <x v="3"/>
    <x v="311"/>
    <x v="2"/>
    <n v="3"/>
    <x v="0"/>
    <d v="2025-11-04T09:49:00"/>
    <x v="34"/>
    <x v="8"/>
    <n v="2493"/>
    <n v="2"/>
    <n v="4986"/>
    <x v="2"/>
  </r>
  <r>
    <n v="446"/>
    <n v="15"/>
    <x v="1"/>
    <x v="60"/>
    <x v="3"/>
    <n v="1"/>
    <x v="0"/>
    <d v="2025-11-04T10:24:00"/>
    <x v="34"/>
    <x v="9"/>
    <n v="2581"/>
    <n v="2"/>
    <n v="5162"/>
    <x v="2"/>
  </r>
  <r>
    <n v="226"/>
    <n v="132"/>
    <x v="2"/>
    <x v="228"/>
    <x v="2"/>
    <n v="3"/>
    <x v="0"/>
    <d v="2025-11-04T11:03:00"/>
    <x v="34"/>
    <x v="10"/>
    <n v="2779"/>
    <n v="2"/>
    <n v="5558"/>
    <x v="2"/>
  </r>
  <r>
    <n v="548"/>
    <n v="252"/>
    <x v="1"/>
    <x v="16"/>
    <x v="5"/>
    <n v="4"/>
    <x v="0"/>
    <d v="2025-11-04T11:32:00"/>
    <x v="34"/>
    <x v="10"/>
    <n v="1456"/>
    <n v="2"/>
    <n v="2912"/>
    <x v="2"/>
  </r>
  <r>
    <n v="590"/>
    <n v="34"/>
    <x v="6"/>
    <x v="146"/>
    <x v="3"/>
    <n v="1"/>
    <x v="0"/>
    <d v="2025-11-04T11:37:00"/>
    <x v="34"/>
    <x v="10"/>
    <n v="1894"/>
    <n v="3"/>
    <n v="5682"/>
    <x v="2"/>
  </r>
  <r>
    <n v="761"/>
    <n v="196"/>
    <x v="2"/>
    <x v="46"/>
    <x v="0"/>
    <n v="2"/>
    <x v="0"/>
    <d v="2025-11-04T11:58:00"/>
    <x v="34"/>
    <x v="10"/>
    <n v="14526"/>
    <n v="3"/>
    <n v="43578"/>
    <x v="0"/>
  </r>
  <r>
    <n v="239"/>
    <n v="115"/>
    <x v="3"/>
    <x v="4"/>
    <x v="0"/>
    <n v="2"/>
    <x v="0"/>
    <d v="2025-11-04T13:48:00"/>
    <x v="34"/>
    <x v="21"/>
    <n v="14841"/>
    <n v="5"/>
    <n v="74205"/>
    <x v="0"/>
  </r>
  <r>
    <n v="115"/>
    <n v="46"/>
    <x v="7"/>
    <x v="158"/>
    <x v="0"/>
    <n v="2"/>
    <x v="1"/>
    <d v="2025-11-04T15:02:00"/>
    <x v="34"/>
    <x v="13"/>
    <n v="8103"/>
    <n v="0"/>
    <n v="0"/>
    <x v="1"/>
  </r>
  <r>
    <n v="763"/>
    <n v="60"/>
    <x v="9"/>
    <x v="106"/>
    <x v="3"/>
    <n v="1"/>
    <x v="1"/>
    <d v="2025-11-04T15:03:00"/>
    <x v="34"/>
    <x v="13"/>
    <n v="3966"/>
    <n v="0"/>
    <n v="0"/>
    <x v="2"/>
  </r>
  <r>
    <n v="390"/>
    <n v="296"/>
    <x v="4"/>
    <x v="277"/>
    <x v="5"/>
    <n v="4"/>
    <x v="0"/>
    <d v="2025-11-04T15:08:00"/>
    <x v="34"/>
    <x v="13"/>
    <n v="1211"/>
    <n v="2"/>
    <n v="2422"/>
    <x v="2"/>
  </r>
  <r>
    <n v="549"/>
    <n v="98"/>
    <x v="0"/>
    <x v="265"/>
    <x v="5"/>
    <n v="4"/>
    <x v="0"/>
    <d v="2025-11-04T15:11:00"/>
    <x v="34"/>
    <x v="13"/>
    <n v="50"/>
    <n v="2"/>
    <n v="100"/>
    <x v="3"/>
  </r>
  <r>
    <n v="696"/>
    <n v="65"/>
    <x v="6"/>
    <x v="57"/>
    <x v="0"/>
    <n v="2"/>
    <x v="1"/>
    <d v="2025-11-04T15:46:00"/>
    <x v="34"/>
    <x v="13"/>
    <n v="10375"/>
    <n v="0"/>
    <n v="0"/>
    <x v="0"/>
  </r>
  <r>
    <n v="228"/>
    <n v="55"/>
    <x v="9"/>
    <x v="100"/>
    <x v="5"/>
    <n v="4"/>
    <x v="0"/>
    <d v="2025-11-04T16:31:00"/>
    <x v="34"/>
    <x v="14"/>
    <n v="1253"/>
    <n v="2"/>
    <n v="2506"/>
    <x v="2"/>
  </r>
  <r>
    <n v="324"/>
    <n v="75"/>
    <x v="3"/>
    <x v="138"/>
    <x v="6"/>
    <n v="5"/>
    <x v="0"/>
    <d v="2025-11-04T16:37:00"/>
    <x v="34"/>
    <x v="14"/>
    <n v="2223"/>
    <n v="5"/>
    <n v="11115"/>
    <x v="2"/>
  </r>
  <r>
    <n v="151"/>
    <n v="146"/>
    <x v="8"/>
    <x v="140"/>
    <x v="5"/>
    <n v="4"/>
    <x v="0"/>
    <d v="2025-11-04T16:56:00"/>
    <x v="34"/>
    <x v="14"/>
    <n v="569"/>
    <n v="5"/>
    <n v="2845"/>
    <x v="3"/>
  </r>
  <r>
    <n v="328"/>
    <n v="159"/>
    <x v="0"/>
    <x v="249"/>
    <x v="2"/>
    <n v="3"/>
    <x v="0"/>
    <d v="2025-11-04T17:45:00"/>
    <x v="34"/>
    <x v="15"/>
    <n v="2876"/>
    <n v="2"/>
    <n v="5752"/>
    <x v="2"/>
  </r>
  <r>
    <n v="724"/>
    <n v="294"/>
    <x v="1"/>
    <x v="24"/>
    <x v="0"/>
    <n v="2"/>
    <x v="0"/>
    <d v="2025-11-04T18:20:00"/>
    <x v="34"/>
    <x v="16"/>
    <n v="12382"/>
    <n v="3"/>
    <n v="37146"/>
    <x v="0"/>
  </r>
  <r>
    <n v="299"/>
    <n v="193"/>
    <x v="5"/>
    <x v="147"/>
    <x v="3"/>
    <n v="1"/>
    <x v="0"/>
    <d v="2025-11-04T18:40:00"/>
    <x v="34"/>
    <x v="16"/>
    <n v="5041"/>
    <n v="2"/>
    <n v="10082"/>
    <x v="1"/>
  </r>
  <r>
    <n v="216"/>
    <n v="116"/>
    <x v="4"/>
    <x v="36"/>
    <x v="3"/>
    <n v="1"/>
    <x v="1"/>
    <d v="2025-11-04T19:04:00"/>
    <x v="34"/>
    <x v="22"/>
    <n v="1451"/>
    <n v="0"/>
    <n v="0"/>
    <x v="2"/>
  </r>
  <r>
    <n v="500"/>
    <n v="201"/>
    <x v="0"/>
    <x v="87"/>
    <x v="5"/>
    <n v="4"/>
    <x v="0"/>
    <d v="2025-11-04T19:23:00"/>
    <x v="34"/>
    <x v="22"/>
    <n v="1500"/>
    <n v="2"/>
    <n v="3000"/>
    <x v="2"/>
  </r>
  <r>
    <n v="562"/>
    <n v="201"/>
    <x v="4"/>
    <x v="196"/>
    <x v="5"/>
    <n v="4"/>
    <x v="0"/>
    <d v="2025-11-04T19:32:00"/>
    <x v="34"/>
    <x v="22"/>
    <n v="799"/>
    <n v="5"/>
    <n v="3995"/>
    <x v="3"/>
  </r>
  <r>
    <n v="776"/>
    <n v="201"/>
    <x v="8"/>
    <x v="71"/>
    <x v="2"/>
    <n v="3"/>
    <x v="0"/>
    <d v="2025-11-04T19:54:00"/>
    <x v="34"/>
    <x v="22"/>
    <n v="4280"/>
    <n v="2"/>
    <n v="8560"/>
    <x v="2"/>
  </r>
  <r>
    <n v="290"/>
    <n v="145"/>
    <x v="3"/>
    <x v="295"/>
    <x v="0"/>
    <n v="2"/>
    <x v="0"/>
    <d v="2025-11-04T20:25:00"/>
    <x v="34"/>
    <x v="17"/>
    <n v="10243"/>
    <n v="2"/>
    <n v="20486"/>
    <x v="0"/>
  </r>
  <r>
    <n v="100"/>
    <n v="68"/>
    <x v="3"/>
    <x v="232"/>
    <x v="3"/>
    <n v="1"/>
    <x v="0"/>
    <d v="2025-11-04T21:20:00"/>
    <x v="34"/>
    <x v="23"/>
    <n v="6603"/>
    <n v="5"/>
    <n v="33015"/>
    <x v="1"/>
  </r>
  <r>
    <n v="727"/>
    <n v="156"/>
    <x v="9"/>
    <x v="51"/>
    <x v="3"/>
    <n v="1"/>
    <x v="0"/>
    <d v="2025-11-04T21:47:00"/>
    <x v="34"/>
    <x v="23"/>
    <n v="3834"/>
    <n v="2"/>
    <n v="7668"/>
    <x v="2"/>
  </r>
  <r>
    <n v="141"/>
    <n v="227"/>
    <x v="4"/>
    <x v="19"/>
    <x v="5"/>
    <n v="4"/>
    <x v="1"/>
    <d v="2025-11-04T22:25:00"/>
    <x v="34"/>
    <x v="18"/>
    <n v="1122"/>
    <n v="0"/>
    <n v="0"/>
    <x v="2"/>
  </r>
  <r>
    <n v="215"/>
    <n v="112"/>
    <x v="7"/>
    <x v="337"/>
    <x v="3"/>
    <n v="1"/>
    <x v="0"/>
    <d v="2025-11-04T22:29:00"/>
    <x v="34"/>
    <x v="18"/>
    <n v="6748"/>
    <n v="5"/>
    <n v="33740"/>
    <x v="1"/>
  </r>
  <r>
    <n v="744"/>
    <n v="295"/>
    <x v="0"/>
    <x v="233"/>
    <x v="4"/>
    <n v="7"/>
    <x v="0"/>
    <d v="2025-11-04T22:46:00"/>
    <x v="34"/>
    <x v="18"/>
    <n v="7530"/>
    <n v="2"/>
    <n v="15060"/>
    <x v="1"/>
  </r>
  <r>
    <n v="438"/>
    <n v="87"/>
    <x v="4"/>
    <x v="329"/>
    <x v="1"/>
    <n v="6"/>
    <x v="1"/>
    <d v="2025-11-04T22:46:00"/>
    <x v="34"/>
    <x v="18"/>
    <n v="3817"/>
    <n v="0"/>
    <n v="0"/>
    <x v="2"/>
  </r>
  <r>
    <n v="184"/>
    <n v="27"/>
    <x v="6"/>
    <x v="317"/>
    <x v="3"/>
    <n v="1"/>
    <x v="0"/>
    <d v="2025-11-04T22:53:00"/>
    <x v="34"/>
    <x v="18"/>
    <n v="1310"/>
    <n v="2"/>
    <n v="2620"/>
    <x v="2"/>
  </r>
  <r>
    <n v="445"/>
    <n v="77"/>
    <x v="6"/>
    <x v="135"/>
    <x v="3"/>
    <n v="1"/>
    <x v="0"/>
    <d v="2025-11-04T23:28:00"/>
    <x v="34"/>
    <x v="19"/>
    <n v="2024"/>
    <n v="5"/>
    <n v="10120"/>
    <x v="2"/>
  </r>
  <r>
    <n v="35"/>
    <n v="61"/>
    <x v="2"/>
    <x v="361"/>
    <x v="6"/>
    <n v="5"/>
    <x v="0"/>
    <d v="2025-11-05T01:35:00"/>
    <x v="35"/>
    <x v="1"/>
    <n v="3537"/>
    <n v="4"/>
    <n v="14148"/>
    <x v="2"/>
  </r>
  <r>
    <n v="705"/>
    <n v="89"/>
    <x v="8"/>
    <x v="129"/>
    <x v="5"/>
    <n v="4"/>
    <x v="0"/>
    <d v="2025-11-05T01:38:00"/>
    <x v="35"/>
    <x v="1"/>
    <n v="546"/>
    <n v="5"/>
    <n v="2730"/>
    <x v="3"/>
  </r>
  <r>
    <n v="797"/>
    <n v="238"/>
    <x v="2"/>
    <x v="205"/>
    <x v="6"/>
    <n v="5"/>
    <x v="0"/>
    <d v="2025-11-05T01:51:00"/>
    <x v="35"/>
    <x v="1"/>
    <n v="3654"/>
    <n v="2"/>
    <n v="7308"/>
    <x v="2"/>
  </r>
  <r>
    <n v="669"/>
    <n v="228"/>
    <x v="7"/>
    <x v="235"/>
    <x v="0"/>
    <n v="2"/>
    <x v="0"/>
    <d v="2025-11-05T02:34:00"/>
    <x v="35"/>
    <x v="2"/>
    <n v="14649"/>
    <n v="2"/>
    <n v="29298"/>
    <x v="0"/>
  </r>
  <r>
    <n v="85"/>
    <n v="63"/>
    <x v="1"/>
    <x v="320"/>
    <x v="4"/>
    <n v="7"/>
    <x v="0"/>
    <d v="2025-11-05T02:40:00"/>
    <x v="35"/>
    <x v="2"/>
    <n v="4314"/>
    <n v="5"/>
    <n v="21570"/>
    <x v="2"/>
  </r>
  <r>
    <n v="24"/>
    <n v="294"/>
    <x v="3"/>
    <x v="248"/>
    <x v="0"/>
    <n v="2"/>
    <x v="0"/>
    <d v="2025-11-05T03:02:00"/>
    <x v="35"/>
    <x v="3"/>
    <n v="12143"/>
    <n v="5"/>
    <n v="60715"/>
    <x v="0"/>
  </r>
  <r>
    <n v="186"/>
    <n v="197"/>
    <x v="1"/>
    <x v="359"/>
    <x v="2"/>
    <n v="3"/>
    <x v="1"/>
    <d v="2025-11-05T03:36:00"/>
    <x v="35"/>
    <x v="3"/>
    <n v="5368"/>
    <n v="0"/>
    <n v="0"/>
    <x v="1"/>
  </r>
  <r>
    <n v="586"/>
    <n v="65"/>
    <x v="2"/>
    <x v="250"/>
    <x v="3"/>
    <n v="1"/>
    <x v="0"/>
    <d v="2025-11-05T04:02:00"/>
    <x v="35"/>
    <x v="4"/>
    <n v="5096"/>
    <n v="2"/>
    <n v="10192"/>
    <x v="1"/>
  </r>
  <r>
    <n v="190"/>
    <n v="208"/>
    <x v="1"/>
    <x v="266"/>
    <x v="6"/>
    <n v="5"/>
    <x v="0"/>
    <d v="2025-11-05T04:07:00"/>
    <x v="35"/>
    <x v="4"/>
    <n v="1173"/>
    <n v="2"/>
    <n v="2346"/>
    <x v="2"/>
  </r>
  <r>
    <n v="570"/>
    <n v="275"/>
    <x v="0"/>
    <x v="154"/>
    <x v="3"/>
    <n v="1"/>
    <x v="0"/>
    <d v="2025-11-05T04:19:00"/>
    <x v="35"/>
    <x v="4"/>
    <n v="7817"/>
    <n v="4"/>
    <n v="31268"/>
    <x v="1"/>
  </r>
  <r>
    <n v="532"/>
    <n v="300"/>
    <x v="8"/>
    <x v="368"/>
    <x v="4"/>
    <n v="7"/>
    <x v="0"/>
    <d v="2025-11-05T05:00:00"/>
    <x v="35"/>
    <x v="20"/>
    <n v="7989"/>
    <n v="2"/>
    <n v="15978"/>
    <x v="1"/>
  </r>
  <r>
    <n v="675"/>
    <n v="61"/>
    <x v="1"/>
    <x v="327"/>
    <x v="1"/>
    <n v="6"/>
    <x v="0"/>
    <d v="2025-11-05T05:21:00"/>
    <x v="35"/>
    <x v="20"/>
    <n v="10995"/>
    <n v="4"/>
    <n v="43980"/>
    <x v="0"/>
  </r>
  <r>
    <n v="569"/>
    <n v="229"/>
    <x v="4"/>
    <x v="126"/>
    <x v="0"/>
    <n v="2"/>
    <x v="1"/>
    <d v="2025-11-05T05:21:00"/>
    <x v="35"/>
    <x v="20"/>
    <n v="7066"/>
    <n v="0"/>
    <n v="0"/>
    <x v="1"/>
  </r>
  <r>
    <n v="589"/>
    <n v="106"/>
    <x v="0"/>
    <x v="87"/>
    <x v="5"/>
    <n v="4"/>
    <x v="0"/>
    <d v="2025-11-05T05:59:00"/>
    <x v="35"/>
    <x v="20"/>
    <n v="555"/>
    <n v="5"/>
    <n v="2775"/>
    <x v="3"/>
  </r>
  <r>
    <n v="263"/>
    <n v="18"/>
    <x v="1"/>
    <x v="23"/>
    <x v="5"/>
    <n v="4"/>
    <x v="1"/>
    <d v="2025-11-05T06:00:00"/>
    <x v="35"/>
    <x v="5"/>
    <n v="1268"/>
    <n v="0"/>
    <n v="0"/>
    <x v="2"/>
  </r>
  <r>
    <n v="373"/>
    <n v="279"/>
    <x v="3"/>
    <x v="118"/>
    <x v="3"/>
    <n v="1"/>
    <x v="0"/>
    <d v="2025-11-05T06:36:00"/>
    <x v="35"/>
    <x v="5"/>
    <n v="1556"/>
    <n v="5"/>
    <n v="7780"/>
    <x v="2"/>
  </r>
  <r>
    <n v="308"/>
    <n v="24"/>
    <x v="0"/>
    <x v="269"/>
    <x v="0"/>
    <n v="2"/>
    <x v="0"/>
    <d v="2025-11-05T06:42:00"/>
    <x v="35"/>
    <x v="5"/>
    <n v="6827"/>
    <n v="2"/>
    <n v="13654"/>
    <x v="1"/>
  </r>
  <r>
    <n v="456"/>
    <n v="72"/>
    <x v="7"/>
    <x v="58"/>
    <x v="2"/>
    <n v="3"/>
    <x v="0"/>
    <d v="2025-11-05T08:06:00"/>
    <x v="35"/>
    <x v="7"/>
    <n v="5955"/>
    <n v="2"/>
    <n v="11910"/>
    <x v="1"/>
  </r>
  <r>
    <n v="361"/>
    <n v="276"/>
    <x v="6"/>
    <x v="302"/>
    <x v="4"/>
    <n v="7"/>
    <x v="0"/>
    <d v="2025-11-05T08:18:00"/>
    <x v="35"/>
    <x v="7"/>
    <n v="6278"/>
    <n v="4"/>
    <n v="25112"/>
    <x v="1"/>
  </r>
  <r>
    <n v="243"/>
    <n v="19"/>
    <x v="1"/>
    <x v="9"/>
    <x v="5"/>
    <n v="4"/>
    <x v="0"/>
    <d v="2025-11-05T08:29:00"/>
    <x v="35"/>
    <x v="7"/>
    <n v="1002"/>
    <n v="5"/>
    <n v="5010"/>
    <x v="2"/>
  </r>
  <r>
    <n v="138"/>
    <n v="283"/>
    <x v="7"/>
    <x v="122"/>
    <x v="4"/>
    <n v="7"/>
    <x v="0"/>
    <d v="2025-11-05T08:33:00"/>
    <x v="35"/>
    <x v="7"/>
    <n v="2912"/>
    <n v="5"/>
    <n v="14560"/>
    <x v="2"/>
  </r>
  <r>
    <n v="132"/>
    <n v="217"/>
    <x v="6"/>
    <x v="219"/>
    <x v="3"/>
    <n v="1"/>
    <x v="0"/>
    <d v="2025-11-05T08:43:00"/>
    <x v="35"/>
    <x v="7"/>
    <n v="2871"/>
    <n v="5"/>
    <n v="14355"/>
    <x v="2"/>
  </r>
  <r>
    <n v="391"/>
    <n v="84"/>
    <x v="7"/>
    <x v="181"/>
    <x v="5"/>
    <n v="4"/>
    <x v="0"/>
    <d v="2025-11-05T09:38:00"/>
    <x v="35"/>
    <x v="8"/>
    <n v="283"/>
    <n v="4"/>
    <n v="1132"/>
    <x v="3"/>
  </r>
  <r>
    <n v="693"/>
    <n v="218"/>
    <x v="1"/>
    <x v="95"/>
    <x v="2"/>
    <n v="3"/>
    <x v="0"/>
    <d v="2025-11-05T12:07:00"/>
    <x v="35"/>
    <x v="11"/>
    <n v="4810"/>
    <n v="2"/>
    <n v="9620"/>
    <x v="2"/>
  </r>
  <r>
    <n v="73"/>
    <n v="138"/>
    <x v="3"/>
    <x v="238"/>
    <x v="6"/>
    <n v="5"/>
    <x v="0"/>
    <d v="2025-11-05T12:19:00"/>
    <x v="35"/>
    <x v="11"/>
    <n v="3517"/>
    <n v="2"/>
    <n v="7034"/>
    <x v="2"/>
  </r>
  <r>
    <n v="578"/>
    <n v="262"/>
    <x v="5"/>
    <x v="78"/>
    <x v="5"/>
    <n v="4"/>
    <x v="1"/>
    <d v="2025-11-05T12:35:00"/>
    <x v="35"/>
    <x v="11"/>
    <n v="1500"/>
    <n v="0"/>
    <n v="0"/>
    <x v="2"/>
  </r>
  <r>
    <n v="324"/>
    <n v="223"/>
    <x v="2"/>
    <x v="90"/>
    <x v="0"/>
    <n v="2"/>
    <x v="0"/>
    <d v="2025-11-05T13:09:00"/>
    <x v="35"/>
    <x v="21"/>
    <n v="13794"/>
    <n v="4"/>
    <n v="55176"/>
    <x v="0"/>
  </r>
  <r>
    <n v="80"/>
    <n v="139"/>
    <x v="9"/>
    <x v="202"/>
    <x v="1"/>
    <n v="6"/>
    <x v="0"/>
    <d v="2025-11-05T14:06:00"/>
    <x v="35"/>
    <x v="12"/>
    <n v="8021"/>
    <n v="2"/>
    <n v="16042"/>
    <x v="1"/>
  </r>
  <r>
    <n v="417"/>
    <n v="34"/>
    <x v="1"/>
    <x v="359"/>
    <x v="2"/>
    <n v="3"/>
    <x v="0"/>
    <d v="2025-11-05T14:30:00"/>
    <x v="35"/>
    <x v="12"/>
    <n v="2592"/>
    <n v="4"/>
    <n v="10368"/>
    <x v="2"/>
  </r>
  <r>
    <n v="342"/>
    <n v="140"/>
    <x v="1"/>
    <x v="116"/>
    <x v="3"/>
    <n v="1"/>
    <x v="0"/>
    <d v="2025-11-05T14:43:00"/>
    <x v="35"/>
    <x v="12"/>
    <n v="3825"/>
    <n v="2"/>
    <n v="7650"/>
    <x v="2"/>
  </r>
  <r>
    <n v="101"/>
    <n v="194"/>
    <x v="7"/>
    <x v="377"/>
    <x v="1"/>
    <n v="6"/>
    <x v="0"/>
    <d v="2025-11-05T14:58:00"/>
    <x v="35"/>
    <x v="12"/>
    <n v="4312"/>
    <n v="2"/>
    <n v="8624"/>
    <x v="2"/>
  </r>
  <r>
    <n v="180"/>
    <n v="270"/>
    <x v="1"/>
    <x v="176"/>
    <x v="1"/>
    <n v="6"/>
    <x v="0"/>
    <d v="2025-11-05T15:29:00"/>
    <x v="35"/>
    <x v="13"/>
    <n v="5633"/>
    <n v="4"/>
    <n v="22532"/>
    <x v="1"/>
  </r>
  <r>
    <n v="542"/>
    <n v="179"/>
    <x v="8"/>
    <x v="193"/>
    <x v="0"/>
    <n v="2"/>
    <x v="1"/>
    <d v="2025-11-05T15:29:00"/>
    <x v="35"/>
    <x v="13"/>
    <n v="9123"/>
    <n v="0"/>
    <n v="0"/>
    <x v="1"/>
  </r>
  <r>
    <n v="278"/>
    <n v="51"/>
    <x v="7"/>
    <x v="26"/>
    <x v="6"/>
    <n v="5"/>
    <x v="0"/>
    <d v="2025-11-05T15:55:00"/>
    <x v="35"/>
    <x v="13"/>
    <n v="3761"/>
    <n v="5"/>
    <n v="18805"/>
    <x v="2"/>
  </r>
  <r>
    <n v="186"/>
    <n v="177"/>
    <x v="6"/>
    <x v="33"/>
    <x v="5"/>
    <n v="4"/>
    <x v="0"/>
    <d v="2025-11-05T16:06:00"/>
    <x v="35"/>
    <x v="14"/>
    <n v="50"/>
    <n v="4"/>
    <n v="200"/>
    <x v="3"/>
  </r>
  <r>
    <n v="609"/>
    <n v="207"/>
    <x v="3"/>
    <x v="3"/>
    <x v="3"/>
    <n v="1"/>
    <x v="0"/>
    <d v="2025-11-05T16:48:00"/>
    <x v="35"/>
    <x v="14"/>
    <n v="7782"/>
    <n v="5"/>
    <n v="38910"/>
    <x v="1"/>
  </r>
  <r>
    <n v="10"/>
    <n v="263"/>
    <x v="4"/>
    <x v="277"/>
    <x v="5"/>
    <n v="4"/>
    <x v="1"/>
    <d v="2025-11-05T16:51:00"/>
    <x v="35"/>
    <x v="14"/>
    <n v="1129"/>
    <n v="0"/>
    <n v="0"/>
    <x v="2"/>
  </r>
  <r>
    <n v="388"/>
    <n v="291"/>
    <x v="4"/>
    <x v="153"/>
    <x v="5"/>
    <n v="4"/>
    <x v="1"/>
    <d v="2025-11-05T17:14:00"/>
    <x v="35"/>
    <x v="15"/>
    <n v="504"/>
    <n v="0"/>
    <n v="0"/>
    <x v="3"/>
  </r>
  <r>
    <n v="797"/>
    <n v="128"/>
    <x v="6"/>
    <x v="369"/>
    <x v="1"/>
    <n v="6"/>
    <x v="0"/>
    <d v="2025-11-05T17:32:00"/>
    <x v="35"/>
    <x v="15"/>
    <n v="6207"/>
    <n v="4"/>
    <n v="24828"/>
    <x v="1"/>
  </r>
  <r>
    <n v="188"/>
    <n v="225"/>
    <x v="2"/>
    <x v="108"/>
    <x v="5"/>
    <n v="4"/>
    <x v="0"/>
    <d v="2025-11-05T17:59:00"/>
    <x v="35"/>
    <x v="15"/>
    <n v="1500"/>
    <n v="5"/>
    <n v="7500"/>
    <x v="2"/>
  </r>
  <r>
    <n v="283"/>
    <n v="220"/>
    <x v="3"/>
    <x v="354"/>
    <x v="0"/>
    <n v="2"/>
    <x v="1"/>
    <d v="2025-11-05T18:01:00"/>
    <x v="35"/>
    <x v="16"/>
    <n v="9838"/>
    <n v="0"/>
    <n v="0"/>
    <x v="1"/>
  </r>
  <r>
    <n v="651"/>
    <n v="45"/>
    <x v="5"/>
    <x v="259"/>
    <x v="3"/>
    <n v="1"/>
    <x v="0"/>
    <d v="2025-11-05T18:24:00"/>
    <x v="35"/>
    <x v="16"/>
    <n v="5431"/>
    <n v="2"/>
    <n v="10862"/>
    <x v="1"/>
  </r>
  <r>
    <n v="650"/>
    <n v="41"/>
    <x v="6"/>
    <x v="296"/>
    <x v="4"/>
    <n v="7"/>
    <x v="1"/>
    <d v="2025-11-05T18:46:00"/>
    <x v="35"/>
    <x v="16"/>
    <n v="4011"/>
    <n v="0"/>
    <n v="0"/>
    <x v="2"/>
  </r>
  <r>
    <n v="170"/>
    <n v="295"/>
    <x v="5"/>
    <x v="29"/>
    <x v="5"/>
    <n v="4"/>
    <x v="1"/>
    <d v="2025-11-05T19:07:00"/>
    <x v="35"/>
    <x v="22"/>
    <n v="380"/>
    <n v="0"/>
    <n v="0"/>
    <x v="3"/>
  </r>
  <r>
    <n v="505"/>
    <n v="6"/>
    <x v="7"/>
    <x v="163"/>
    <x v="3"/>
    <n v="1"/>
    <x v="1"/>
    <d v="2025-11-05T19:32:00"/>
    <x v="35"/>
    <x v="22"/>
    <n v="1313"/>
    <n v="0"/>
    <n v="0"/>
    <x v="2"/>
  </r>
  <r>
    <n v="140"/>
    <n v="246"/>
    <x v="3"/>
    <x v="305"/>
    <x v="3"/>
    <n v="1"/>
    <x v="0"/>
    <d v="2025-11-05T20:02:00"/>
    <x v="35"/>
    <x v="17"/>
    <n v="4619"/>
    <n v="2"/>
    <n v="9238"/>
    <x v="2"/>
  </r>
  <r>
    <n v="416"/>
    <n v="8"/>
    <x v="3"/>
    <x v="290"/>
    <x v="5"/>
    <n v="4"/>
    <x v="0"/>
    <d v="2025-11-05T20:45:00"/>
    <x v="35"/>
    <x v="17"/>
    <n v="1132"/>
    <n v="5"/>
    <n v="5660"/>
    <x v="2"/>
  </r>
  <r>
    <n v="436"/>
    <n v="274"/>
    <x v="0"/>
    <x v="39"/>
    <x v="3"/>
    <n v="1"/>
    <x v="0"/>
    <d v="2025-11-05T20:53:00"/>
    <x v="35"/>
    <x v="17"/>
    <n v="5945"/>
    <n v="5"/>
    <n v="29725"/>
    <x v="1"/>
  </r>
  <r>
    <n v="44"/>
    <n v="230"/>
    <x v="3"/>
    <x v="370"/>
    <x v="5"/>
    <n v="4"/>
    <x v="0"/>
    <d v="2025-11-05T21:40:00"/>
    <x v="35"/>
    <x v="23"/>
    <n v="681"/>
    <n v="5"/>
    <n v="3405"/>
    <x v="3"/>
  </r>
  <r>
    <n v="180"/>
    <n v="39"/>
    <x v="3"/>
    <x v="123"/>
    <x v="1"/>
    <n v="6"/>
    <x v="0"/>
    <d v="2025-11-05T21:58:00"/>
    <x v="35"/>
    <x v="23"/>
    <n v="4906"/>
    <n v="2"/>
    <n v="9812"/>
    <x v="2"/>
  </r>
  <r>
    <n v="53"/>
    <n v="217"/>
    <x v="3"/>
    <x v="267"/>
    <x v="4"/>
    <n v="7"/>
    <x v="0"/>
    <d v="2025-11-05T22:00:00"/>
    <x v="35"/>
    <x v="18"/>
    <n v="4374"/>
    <n v="4"/>
    <n v="17496"/>
    <x v="2"/>
  </r>
  <r>
    <n v="116"/>
    <n v="174"/>
    <x v="4"/>
    <x v="190"/>
    <x v="3"/>
    <n v="1"/>
    <x v="0"/>
    <d v="2025-11-05T22:02:00"/>
    <x v="35"/>
    <x v="18"/>
    <n v="5053"/>
    <n v="5"/>
    <n v="25265"/>
    <x v="1"/>
  </r>
  <r>
    <n v="298"/>
    <n v="154"/>
    <x v="3"/>
    <x v="49"/>
    <x v="3"/>
    <n v="1"/>
    <x v="0"/>
    <d v="2025-11-05T22:12:00"/>
    <x v="35"/>
    <x v="18"/>
    <n v="6489"/>
    <n v="5"/>
    <n v="32445"/>
    <x v="1"/>
  </r>
  <r>
    <n v="3"/>
    <n v="292"/>
    <x v="7"/>
    <x v="289"/>
    <x v="1"/>
    <n v="6"/>
    <x v="0"/>
    <d v="2025-11-05T22:53:00"/>
    <x v="35"/>
    <x v="18"/>
    <n v="9865"/>
    <n v="2"/>
    <n v="19730"/>
    <x v="1"/>
  </r>
  <r>
    <n v="528"/>
    <n v="19"/>
    <x v="7"/>
    <x v="245"/>
    <x v="1"/>
    <n v="6"/>
    <x v="0"/>
    <d v="2025-11-05T23:26:00"/>
    <x v="35"/>
    <x v="19"/>
    <n v="8360"/>
    <n v="2"/>
    <n v="16720"/>
    <x v="1"/>
  </r>
  <r>
    <n v="365"/>
    <n v="4"/>
    <x v="8"/>
    <x v="30"/>
    <x v="3"/>
    <n v="1"/>
    <x v="0"/>
    <d v="2025-11-06T00:07:00"/>
    <x v="36"/>
    <x v="0"/>
    <n v="4909"/>
    <n v="4"/>
    <n v="19636"/>
    <x v="2"/>
  </r>
  <r>
    <n v="363"/>
    <n v="55"/>
    <x v="6"/>
    <x v="219"/>
    <x v="3"/>
    <n v="1"/>
    <x v="0"/>
    <d v="2025-11-06T00:26:00"/>
    <x v="36"/>
    <x v="0"/>
    <n v="6077"/>
    <n v="5"/>
    <n v="30385"/>
    <x v="1"/>
  </r>
  <r>
    <n v="364"/>
    <n v="5"/>
    <x v="4"/>
    <x v="66"/>
    <x v="3"/>
    <n v="1"/>
    <x v="0"/>
    <d v="2025-11-06T00:42:00"/>
    <x v="36"/>
    <x v="0"/>
    <n v="1021"/>
    <n v="2"/>
    <n v="2042"/>
    <x v="2"/>
  </r>
  <r>
    <n v="87"/>
    <n v="271"/>
    <x v="8"/>
    <x v="47"/>
    <x v="5"/>
    <n v="4"/>
    <x v="0"/>
    <d v="2025-11-06T00:46:00"/>
    <x v="36"/>
    <x v="0"/>
    <n v="277"/>
    <n v="5"/>
    <n v="1385"/>
    <x v="3"/>
  </r>
  <r>
    <n v="500"/>
    <n v="4"/>
    <x v="2"/>
    <x v="7"/>
    <x v="0"/>
    <n v="2"/>
    <x v="0"/>
    <d v="2025-11-06T00:56:00"/>
    <x v="36"/>
    <x v="0"/>
    <n v="12304"/>
    <n v="4"/>
    <n v="49216"/>
    <x v="0"/>
  </r>
  <r>
    <n v="482"/>
    <n v="203"/>
    <x v="7"/>
    <x v="209"/>
    <x v="0"/>
    <n v="2"/>
    <x v="0"/>
    <d v="2025-11-06T01:11:00"/>
    <x v="36"/>
    <x v="1"/>
    <n v="6742"/>
    <n v="2"/>
    <n v="13484"/>
    <x v="1"/>
  </r>
  <r>
    <n v="187"/>
    <n v="275"/>
    <x v="6"/>
    <x v="373"/>
    <x v="1"/>
    <n v="6"/>
    <x v="1"/>
    <d v="2025-11-06T01:14:00"/>
    <x v="36"/>
    <x v="1"/>
    <n v="8085"/>
    <n v="0"/>
    <n v="0"/>
    <x v="1"/>
  </r>
  <r>
    <n v="673"/>
    <n v="225"/>
    <x v="1"/>
    <x v="77"/>
    <x v="3"/>
    <n v="1"/>
    <x v="0"/>
    <d v="2025-11-06T01:20:00"/>
    <x v="36"/>
    <x v="1"/>
    <n v="7585"/>
    <n v="4"/>
    <n v="30340"/>
    <x v="1"/>
  </r>
  <r>
    <n v="445"/>
    <n v="3"/>
    <x v="6"/>
    <x v="76"/>
    <x v="0"/>
    <n v="2"/>
    <x v="0"/>
    <d v="2025-11-06T01:45:00"/>
    <x v="36"/>
    <x v="1"/>
    <n v="6522"/>
    <n v="2"/>
    <n v="13044"/>
    <x v="1"/>
  </r>
  <r>
    <n v="195"/>
    <n v="146"/>
    <x v="5"/>
    <x v="382"/>
    <x v="6"/>
    <n v="5"/>
    <x v="0"/>
    <d v="2025-11-06T02:20:00"/>
    <x v="36"/>
    <x v="2"/>
    <n v="2434"/>
    <n v="2"/>
    <n v="4868"/>
    <x v="2"/>
  </r>
  <r>
    <n v="762"/>
    <n v="170"/>
    <x v="2"/>
    <x v="99"/>
    <x v="0"/>
    <n v="2"/>
    <x v="0"/>
    <d v="2025-11-06T05:10:00"/>
    <x v="36"/>
    <x v="20"/>
    <n v="4527"/>
    <n v="2"/>
    <n v="9054"/>
    <x v="2"/>
  </r>
  <r>
    <n v="682"/>
    <n v="137"/>
    <x v="5"/>
    <x v="81"/>
    <x v="4"/>
    <n v="7"/>
    <x v="0"/>
    <d v="2025-11-06T06:21:00"/>
    <x v="36"/>
    <x v="5"/>
    <n v="1640"/>
    <n v="5"/>
    <n v="8200"/>
    <x v="2"/>
  </r>
  <r>
    <n v="508"/>
    <n v="66"/>
    <x v="8"/>
    <x v="272"/>
    <x v="3"/>
    <n v="1"/>
    <x v="0"/>
    <d v="2025-11-06T06:48:00"/>
    <x v="36"/>
    <x v="5"/>
    <n v="1988"/>
    <n v="4"/>
    <n v="7952"/>
    <x v="2"/>
  </r>
  <r>
    <n v="744"/>
    <n v="200"/>
    <x v="2"/>
    <x v="263"/>
    <x v="4"/>
    <n v="7"/>
    <x v="0"/>
    <d v="2025-11-06T07:03:00"/>
    <x v="36"/>
    <x v="6"/>
    <n v="4345"/>
    <n v="4"/>
    <n v="17380"/>
    <x v="2"/>
  </r>
  <r>
    <n v="130"/>
    <n v="80"/>
    <x v="1"/>
    <x v="176"/>
    <x v="1"/>
    <n v="6"/>
    <x v="0"/>
    <d v="2025-11-06T07:30:00"/>
    <x v="36"/>
    <x v="6"/>
    <n v="4009"/>
    <n v="4"/>
    <n v="16036"/>
    <x v="2"/>
  </r>
  <r>
    <n v="54"/>
    <n v="176"/>
    <x v="0"/>
    <x v="87"/>
    <x v="5"/>
    <n v="4"/>
    <x v="0"/>
    <d v="2025-11-06T08:11:00"/>
    <x v="36"/>
    <x v="7"/>
    <n v="810"/>
    <n v="4"/>
    <n v="3240"/>
    <x v="3"/>
  </r>
  <r>
    <n v="492"/>
    <n v="149"/>
    <x v="0"/>
    <x v="254"/>
    <x v="4"/>
    <n v="7"/>
    <x v="0"/>
    <d v="2025-11-06T08:14:00"/>
    <x v="36"/>
    <x v="7"/>
    <n v="5124"/>
    <n v="4"/>
    <n v="20496"/>
    <x v="1"/>
  </r>
  <r>
    <n v="254"/>
    <n v="79"/>
    <x v="1"/>
    <x v="328"/>
    <x v="1"/>
    <n v="6"/>
    <x v="0"/>
    <d v="2025-11-06T08:28:00"/>
    <x v="36"/>
    <x v="7"/>
    <n v="6671"/>
    <n v="4"/>
    <n v="26684"/>
    <x v="1"/>
  </r>
  <r>
    <n v="786"/>
    <n v="59"/>
    <x v="5"/>
    <x v="78"/>
    <x v="5"/>
    <n v="4"/>
    <x v="0"/>
    <d v="2025-11-06T09:16:00"/>
    <x v="36"/>
    <x v="8"/>
    <n v="992"/>
    <n v="2"/>
    <n v="1984"/>
    <x v="3"/>
  </r>
  <r>
    <n v="204"/>
    <n v="243"/>
    <x v="5"/>
    <x v="50"/>
    <x v="5"/>
    <n v="4"/>
    <x v="0"/>
    <d v="2025-11-06T09:29:00"/>
    <x v="36"/>
    <x v="8"/>
    <n v="747"/>
    <n v="2"/>
    <n v="1494"/>
    <x v="3"/>
  </r>
  <r>
    <n v="626"/>
    <n v="93"/>
    <x v="1"/>
    <x v="23"/>
    <x v="5"/>
    <n v="4"/>
    <x v="0"/>
    <d v="2025-11-06T09:52:00"/>
    <x v="36"/>
    <x v="8"/>
    <n v="1500"/>
    <n v="4"/>
    <n v="6000"/>
    <x v="2"/>
  </r>
  <r>
    <n v="124"/>
    <n v="68"/>
    <x v="4"/>
    <x v="153"/>
    <x v="5"/>
    <n v="4"/>
    <x v="0"/>
    <d v="2025-11-06T10:15:00"/>
    <x v="36"/>
    <x v="9"/>
    <n v="538"/>
    <n v="4"/>
    <n v="2152"/>
    <x v="3"/>
  </r>
  <r>
    <n v="150"/>
    <n v="219"/>
    <x v="7"/>
    <x v="337"/>
    <x v="3"/>
    <n v="1"/>
    <x v="0"/>
    <d v="2025-11-06T10:21:00"/>
    <x v="36"/>
    <x v="9"/>
    <n v="4106"/>
    <n v="5"/>
    <n v="20530"/>
    <x v="2"/>
  </r>
  <r>
    <n v="53"/>
    <n v="195"/>
    <x v="5"/>
    <x v="109"/>
    <x v="0"/>
    <n v="2"/>
    <x v="0"/>
    <d v="2025-11-06T10:33:00"/>
    <x v="36"/>
    <x v="9"/>
    <n v="4404"/>
    <n v="5"/>
    <n v="22020"/>
    <x v="2"/>
  </r>
  <r>
    <n v="649"/>
    <n v="119"/>
    <x v="7"/>
    <x v="245"/>
    <x v="1"/>
    <n v="6"/>
    <x v="0"/>
    <d v="2025-11-06T10:43:00"/>
    <x v="36"/>
    <x v="9"/>
    <n v="8741"/>
    <n v="2"/>
    <n v="17482"/>
    <x v="1"/>
  </r>
  <r>
    <n v="63"/>
    <n v="262"/>
    <x v="2"/>
    <x v="99"/>
    <x v="0"/>
    <n v="2"/>
    <x v="0"/>
    <d v="2025-11-06T10:44:00"/>
    <x v="36"/>
    <x v="9"/>
    <n v="7605"/>
    <n v="5"/>
    <n v="38025"/>
    <x v="1"/>
  </r>
  <r>
    <n v="113"/>
    <n v="138"/>
    <x v="0"/>
    <x v="218"/>
    <x v="5"/>
    <n v="4"/>
    <x v="1"/>
    <d v="2025-11-06T10:45:00"/>
    <x v="36"/>
    <x v="9"/>
    <n v="1053"/>
    <n v="0"/>
    <n v="0"/>
    <x v="2"/>
  </r>
  <r>
    <n v="253"/>
    <n v="164"/>
    <x v="6"/>
    <x v="33"/>
    <x v="5"/>
    <n v="4"/>
    <x v="0"/>
    <d v="2025-11-06T11:32:00"/>
    <x v="36"/>
    <x v="10"/>
    <n v="737"/>
    <n v="2"/>
    <n v="1474"/>
    <x v="3"/>
  </r>
  <r>
    <n v="54"/>
    <n v="165"/>
    <x v="0"/>
    <x v="172"/>
    <x v="5"/>
    <n v="4"/>
    <x v="1"/>
    <d v="2025-11-06T11:40:00"/>
    <x v="36"/>
    <x v="10"/>
    <n v="50"/>
    <n v="0"/>
    <n v="0"/>
    <x v="3"/>
  </r>
  <r>
    <n v="622"/>
    <n v="52"/>
    <x v="8"/>
    <x v="155"/>
    <x v="0"/>
    <n v="2"/>
    <x v="0"/>
    <d v="2025-11-06T12:00:00"/>
    <x v="36"/>
    <x v="11"/>
    <n v="7419"/>
    <n v="4"/>
    <n v="29676"/>
    <x v="1"/>
  </r>
  <r>
    <n v="373"/>
    <n v="172"/>
    <x v="7"/>
    <x v="236"/>
    <x v="5"/>
    <n v="4"/>
    <x v="0"/>
    <d v="2025-11-06T12:09:00"/>
    <x v="36"/>
    <x v="11"/>
    <n v="826"/>
    <n v="5"/>
    <n v="4130"/>
    <x v="3"/>
  </r>
  <r>
    <n v="14"/>
    <n v="283"/>
    <x v="1"/>
    <x v="194"/>
    <x v="3"/>
    <n v="1"/>
    <x v="0"/>
    <d v="2025-11-06T13:24:00"/>
    <x v="36"/>
    <x v="21"/>
    <n v="3350"/>
    <n v="4"/>
    <n v="13400"/>
    <x v="2"/>
  </r>
  <r>
    <n v="761"/>
    <n v="271"/>
    <x v="6"/>
    <x v="262"/>
    <x v="5"/>
    <n v="4"/>
    <x v="0"/>
    <d v="2025-11-06T13:32:00"/>
    <x v="36"/>
    <x v="21"/>
    <n v="285"/>
    <n v="2"/>
    <n v="570"/>
    <x v="3"/>
  </r>
  <r>
    <n v="283"/>
    <n v="108"/>
    <x v="5"/>
    <x v="339"/>
    <x v="1"/>
    <n v="6"/>
    <x v="1"/>
    <d v="2025-11-06T13:47:00"/>
    <x v="36"/>
    <x v="21"/>
    <n v="11897"/>
    <n v="0"/>
    <n v="0"/>
    <x v="0"/>
  </r>
  <r>
    <n v="134"/>
    <n v="62"/>
    <x v="1"/>
    <x v="314"/>
    <x v="6"/>
    <n v="5"/>
    <x v="0"/>
    <d v="2025-11-06T14:41:00"/>
    <x v="36"/>
    <x v="12"/>
    <n v="3189"/>
    <n v="2"/>
    <n v="6378"/>
    <x v="2"/>
  </r>
  <r>
    <n v="722"/>
    <n v="229"/>
    <x v="5"/>
    <x v="179"/>
    <x v="0"/>
    <n v="2"/>
    <x v="0"/>
    <d v="2025-11-06T15:30:00"/>
    <x v="36"/>
    <x v="13"/>
    <n v="4772"/>
    <n v="5"/>
    <n v="23860"/>
    <x v="2"/>
  </r>
  <r>
    <n v="352"/>
    <n v="155"/>
    <x v="3"/>
    <x v="383"/>
    <x v="0"/>
    <n v="2"/>
    <x v="0"/>
    <d v="2025-11-06T15:36:00"/>
    <x v="36"/>
    <x v="13"/>
    <n v="5454"/>
    <n v="2"/>
    <n v="10908"/>
    <x v="1"/>
  </r>
  <r>
    <n v="739"/>
    <n v="79"/>
    <x v="5"/>
    <x v="183"/>
    <x v="3"/>
    <n v="1"/>
    <x v="0"/>
    <d v="2025-11-06T16:19:00"/>
    <x v="36"/>
    <x v="14"/>
    <n v="6984"/>
    <n v="4"/>
    <n v="27936"/>
    <x v="1"/>
  </r>
  <r>
    <n v="564"/>
    <n v="130"/>
    <x v="5"/>
    <x v="50"/>
    <x v="5"/>
    <n v="4"/>
    <x v="0"/>
    <d v="2025-11-06T16:35:00"/>
    <x v="36"/>
    <x v="14"/>
    <n v="50"/>
    <n v="4"/>
    <n v="200"/>
    <x v="3"/>
  </r>
  <r>
    <n v="645"/>
    <n v="61"/>
    <x v="6"/>
    <x v="28"/>
    <x v="0"/>
    <n v="2"/>
    <x v="0"/>
    <d v="2025-11-06T16:52:00"/>
    <x v="36"/>
    <x v="14"/>
    <n v="13157"/>
    <n v="4"/>
    <n v="52628"/>
    <x v="0"/>
  </r>
  <r>
    <n v="537"/>
    <n v="258"/>
    <x v="8"/>
    <x v="239"/>
    <x v="1"/>
    <n v="6"/>
    <x v="1"/>
    <d v="2025-11-06T16:56:00"/>
    <x v="36"/>
    <x v="14"/>
    <n v="8979"/>
    <n v="0"/>
    <n v="0"/>
    <x v="1"/>
  </r>
  <r>
    <n v="714"/>
    <n v="67"/>
    <x v="9"/>
    <x v="82"/>
    <x v="1"/>
    <n v="6"/>
    <x v="0"/>
    <d v="2025-11-06T16:58:00"/>
    <x v="36"/>
    <x v="14"/>
    <n v="2243"/>
    <n v="2"/>
    <n v="4486"/>
    <x v="2"/>
  </r>
  <r>
    <n v="711"/>
    <n v="98"/>
    <x v="9"/>
    <x v="286"/>
    <x v="0"/>
    <n v="2"/>
    <x v="0"/>
    <d v="2025-11-06T17:33:00"/>
    <x v="36"/>
    <x v="15"/>
    <n v="8568"/>
    <n v="5"/>
    <n v="42840"/>
    <x v="1"/>
  </r>
  <r>
    <n v="546"/>
    <n v="263"/>
    <x v="8"/>
    <x v="343"/>
    <x v="3"/>
    <n v="1"/>
    <x v="0"/>
    <d v="2025-11-06T17:51:00"/>
    <x v="36"/>
    <x v="15"/>
    <n v="7070"/>
    <n v="5"/>
    <n v="35350"/>
    <x v="1"/>
  </r>
  <r>
    <n v="394"/>
    <n v="288"/>
    <x v="8"/>
    <x v="31"/>
    <x v="0"/>
    <n v="2"/>
    <x v="0"/>
    <d v="2025-11-06T18:06:00"/>
    <x v="36"/>
    <x v="16"/>
    <n v="5112"/>
    <n v="5"/>
    <n v="25560"/>
    <x v="1"/>
  </r>
  <r>
    <n v="279"/>
    <n v="106"/>
    <x v="2"/>
    <x v="162"/>
    <x v="6"/>
    <n v="5"/>
    <x v="0"/>
    <d v="2025-11-06T18:41:00"/>
    <x v="36"/>
    <x v="16"/>
    <n v="3991"/>
    <n v="2"/>
    <n v="7982"/>
    <x v="2"/>
  </r>
  <r>
    <n v="224"/>
    <n v="5"/>
    <x v="4"/>
    <x v="27"/>
    <x v="3"/>
    <n v="1"/>
    <x v="0"/>
    <d v="2025-11-06T19:19:00"/>
    <x v="36"/>
    <x v="22"/>
    <n v="2308"/>
    <n v="4"/>
    <n v="9232"/>
    <x v="2"/>
  </r>
  <r>
    <n v="266"/>
    <n v="156"/>
    <x v="3"/>
    <x v="326"/>
    <x v="6"/>
    <n v="5"/>
    <x v="0"/>
    <d v="2025-11-06T19:24:00"/>
    <x v="36"/>
    <x v="22"/>
    <n v="2933"/>
    <n v="5"/>
    <n v="14665"/>
    <x v="2"/>
  </r>
  <r>
    <n v="122"/>
    <n v="88"/>
    <x v="7"/>
    <x v="94"/>
    <x v="5"/>
    <n v="4"/>
    <x v="0"/>
    <d v="2025-11-06T19:49:00"/>
    <x v="36"/>
    <x v="22"/>
    <n v="452"/>
    <n v="5"/>
    <n v="2260"/>
    <x v="3"/>
  </r>
  <r>
    <n v="299"/>
    <n v="21"/>
    <x v="3"/>
    <x v="91"/>
    <x v="3"/>
    <n v="1"/>
    <x v="0"/>
    <d v="2025-11-06T19:53:00"/>
    <x v="36"/>
    <x v="22"/>
    <n v="2657"/>
    <n v="5"/>
    <n v="13285"/>
    <x v="2"/>
  </r>
  <r>
    <n v="277"/>
    <n v="27"/>
    <x v="7"/>
    <x v="337"/>
    <x v="3"/>
    <n v="1"/>
    <x v="0"/>
    <d v="2025-11-06T20:30:00"/>
    <x v="36"/>
    <x v="17"/>
    <n v="6114"/>
    <n v="4"/>
    <n v="24456"/>
    <x v="1"/>
  </r>
  <r>
    <n v="119"/>
    <n v="1"/>
    <x v="5"/>
    <x v="183"/>
    <x v="3"/>
    <n v="1"/>
    <x v="0"/>
    <d v="2025-11-06T20:58:00"/>
    <x v="36"/>
    <x v="17"/>
    <n v="6189"/>
    <n v="2"/>
    <n v="12378"/>
    <x v="1"/>
  </r>
  <r>
    <n v="333"/>
    <n v="43"/>
    <x v="9"/>
    <x v="113"/>
    <x v="5"/>
    <n v="4"/>
    <x v="0"/>
    <d v="2025-11-06T22:21:00"/>
    <x v="36"/>
    <x v="18"/>
    <n v="1355"/>
    <n v="2"/>
    <n v="2710"/>
    <x v="2"/>
  </r>
  <r>
    <n v="419"/>
    <n v="151"/>
    <x v="7"/>
    <x v="124"/>
    <x v="5"/>
    <n v="4"/>
    <x v="0"/>
    <d v="2025-11-06T22:23:00"/>
    <x v="36"/>
    <x v="18"/>
    <n v="1500"/>
    <n v="4"/>
    <n v="6000"/>
    <x v="2"/>
  </r>
  <r>
    <n v="225"/>
    <n v="144"/>
    <x v="0"/>
    <x v="212"/>
    <x v="0"/>
    <n v="2"/>
    <x v="0"/>
    <d v="2025-11-06T22:25:00"/>
    <x v="36"/>
    <x v="18"/>
    <n v="9147"/>
    <n v="4"/>
    <n v="36588"/>
    <x v="1"/>
  </r>
  <r>
    <n v="674"/>
    <n v="299"/>
    <x v="0"/>
    <x v="160"/>
    <x v="3"/>
    <n v="1"/>
    <x v="0"/>
    <d v="2025-11-06T22:33:00"/>
    <x v="36"/>
    <x v="18"/>
    <n v="2378"/>
    <n v="2"/>
    <n v="4756"/>
    <x v="2"/>
  </r>
  <r>
    <n v="642"/>
    <n v="283"/>
    <x v="2"/>
    <x v="104"/>
    <x v="5"/>
    <n v="4"/>
    <x v="0"/>
    <d v="2025-11-06T22:41:00"/>
    <x v="36"/>
    <x v="18"/>
    <n v="436"/>
    <n v="4"/>
    <n v="1744"/>
    <x v="3"/>
  </r>
  <r>
    <n v="276"/>
    <n v="105"/>
    <x v="5"/>
    <x v="189"/>
    <x v="0"/>
    <n v="2"/>
    <x v="0"/>
    <d v="2025-11-06T22:49:00"/>
    <x v="36"/>
    <x v="18"/>
    <n v="7403"/>
    <n v="4"/>
    <n v="29612"/>
    <x v="1"/>
  </r>
  <r>
    <n v="457"/>
    <n v="119"/>
    <x v="2"/>
    <x v="361"/>
    <x v="6"/>
    <n v="5"/>
    <x v="0"/>
    <d v="2025-11-06T23:52:00"/>
    <x v="36"/>
    <x v="19"/>
    <n v="3304"/>
    <n v="4"/>
    <n v="13216"/>
    <x v="2"/>
  </r>
  <r>
    <n v="96"/>
    <n v="254"/>
    <x v="4"/>
    <x v="93"/>
    <x v="5"/>
    <n v="4"/>
    <x v="1"/>
    <d v="2025-11-06T23:59:00"/>
    <x v="36"/>
    <x v="19"/>
    <n v="926"/>
    <n v="0"/>
    <n v="0"/>
    <x v="3"/>
  </r>
  <r>
    <n v="194"/>
    <n v="292"/>
    <x v="4"/>
    <x v="153"/>
    <x v="5"/>
    <n v="4"/>
    <x v="0"/>
    <d v="2025-11-07T00:08:00"/>
    <x v="37"/>
    <x v="0"/>
    <n v="456"/>
    <n v="4"/>
    <n v="1824"/>
    <x v="3"/>
  </r>
  <r>
    <n v="22"/>
    <n v="159"/>
    <x v="4"/>
    <x v="277"/>
    <x v="5"/>
    <n v="4"/>
    <x v="0"/>
    <d v="2025-11-07T00:45:00"/>
    <x v="37"/>
    <x v="0"/>
    <n v="1227"/>
    <n v="5"/>
    <n v="6135"/>
    <x v="2"/>
  </r>
  <r>
    <n v="623"/>
    <n v="97"/>
    <x v="2"/>
    <x v="69"/>
    <x v="3"/>
    <n v="1"/>
    <x v="0"/>
    <d v="2025-11-07T01:01:00"/>
    <x v="37"/>
    <x v="1"/>
    <n v="2224"/>
    <n v="4"/>
    <n v="8896"/>
    <x v="2"/>
  </r>
  <r>
    <n v="252"/>
    <n v="233"/>
    <x v="1"/>
    <x v="376"/>
    <x v="2"/>
    <n v="3"/>
    <x v="0"/>
    <d v="2025-11-07T01:41:00"/>
    <x v="37"/>
    <x v="1"/>
    <n v="1941"/>
    <n v="5"/>
    <n v="9705"/>
    <x v="2"/>
  </r>
  <r>
    <n v="745"/>
    <n v="7"/>
    <x v="3"/>
    <x v="123"/>
    <x v="1"/>
    <n v="6"/>
    <x v="0"/>
    <d v="2025-11-07T01:43:00"/>
    <x v="37"/>
    <x v="1"/>
    <n v="8445"/>
    <n v="5"/>
    <n v="42225"/>
    <x v="1"/>
  </r>
  <r>
    <n v="22"/>
    <n v="57"/>
    <x v="2"/>
    <x v="148"/>
    <x v="3"/>
    <n v="1"/>
    <x v="0"/>
    <d v="2025-11-07T02:00:00"/>
    <x v="37"/>
    <x v="2"/>
    <n v="5793"/>
    <n v="5"/>
    <n v="28965"/>
    <x v="1"/>
  </r>
  <r>
    <n v="255"/>
    <n v="43"/>
    <x v="0"/>
    <x v="15"/>
    <x v="3"/>
    <n v="1"/>
    <x v="0"/>
    <d v="2025-11-07T02:01:00"/>
    <x v="37"/>
    <x v="2"/>
    <n v="7577"/>
    <n v="5"/>
    <n v="37885"/>
    <x v="1"/>
  </r>
  <r>
    <n v="10"/>
    <n v="55"/>
    <x v="9"/>
    <x v="151"/>
    <x v="5"/>
    <n v="4"/>
    <x v="0"/>
    <d v="2025-11-07T02:03:00"/>
    <x v="37"/>
    <x v="2"/>
    <n v="471"/>
    <n v="5"/>
    <n v="2355"/>
    <x v="3"/>
  </r>
  <r>
    <n v="88"/>
    <n v="104"/>
    <x v="6"/>
    <x v="76"/>
    <x v="0"/>
    <n v="2"/>
    <x v="0"/>
    <d v="2025-11-07T03:06:00"/>
    <x v="37"/>
    <x v="3"/>
    <n v="13062"/>
    <n v="4"/>
    <n v="52248"/>
    <x v="0"/>
  </r>
  <r>
    <n v="168"/>
    <n v="158"/>
    <x v="9"/>
    <x v="18"/>
    <x v="3"/>
    <n v="1"/>
    <x v="0"/>
    <d v="2025-11-07T03:10:00"/>
    <x v="37"/>
    <x v="3"/>
    <n v="2185"/>
    <n v="4"/>
    <n v="8740"/>
    <x v="2"/>
  </r>
  <r>
    <n v="58"/>
    <n v="279"/>
    <x v="4"/>
    <x v="153"/>
    <x v="5"/>
    <n v="4"/>
    <x v="1"/>
    <d v="2025-11-07T03:30:00"/>
    <x v="37"/>
    <x v="3"/>
    <n v="774"/>
    <n v="0"/>
    <n v="0"/>
    <x v="3"/>
  </r>
  <r>
    <n v="22"/>
    <n v="23"/>
    <x v="3"/>
    <x v="365"/>
    <x v="6"/>
    <n v="5"/>
    <x v="0"/>
    <d v="2025-11-07T03:44:00"/>
    <x v="37"/>
    <x v="3"/>
    <n v="3570"/>
    <n v="4"/>
    <n v="14280"/>
    <x v="2"/>
  </r>
  <r>
    <n v="524"/>
    <n v="213"/>
    <x v="7"/>
    <x v="357"/>
    <x v="3"/>
    <n v="1"/>
    <x v="1"/>
    <d v="2025-11-07T03:55:00"/>
    <x v="37"/>
    <x v="3"/>
    <n v="1920"/>
    <n v="0"/>
    <n v="0"/>
    <x v="2"/>
  </r>
  <r>
    <n v="233"/>
    <n v="219"/>
    <x v="5"/>
    <x v="257"/>
    <x v="3"/>
    <n v="1"/>
    <x v="0"/>
    <d v="2025-11-07T04:56:00"/>
    <x v="37"/>
    <x v="4"/>
    <n v="1961"/>
    <n v="4"/>
    <n v="7844"/>
    <x v="2"/>
  </r>
  <r>
    <n v="294"/>
    <n v="116"/>
    <x v="6"/>
    <x v="76"/>
    <x v="0"/>
    <n v="2"/>
    <x v="0"/>
    <d v="2025-11-07T04:57:00"/>
    <x v="37"/>
    <x v="4"/>
    <n v="10189"/>
    <n v="2"/>
    <n v="20378"/>
    <x v="0"/>
  </r>
  <r>
    <n v="174"/>
    <n v="57"/>
    <x v="1"/>
    <x v="77"/>
    <x v="3"/>
    <n v="1"/>
    <x v="0"/>
    <d v="2025-11-07T05:26:00"/>
    <x v="37"/>
    <x v="20"/>
    <n v="6602"/>
    <n v="5"/>
    <n v="33010"/>
    <x v="1"/>
  </r>
  <r>
    <n v="79"/>
    <n v="171"/>
    <x v="7"/>
    <x v="275"/>
    <x v="1"/>
    <n v="6"/>
    <x v="0"/>
    <d v="2025-11-07T06:53:00"/>
    <x v="37"/>
    <x v="5"/>
    <n v="5530"/>
    <n v="4"/>
    <n v="22120"/>
    <x v="1"/>
  </r>
  <r>
    <n v="620"/>
    <n v="78"/>
    <x v="1"/>
    <x v="9"/>
    <x v="5"/>
    <n v="4"/>
    <x v="0"/>
    <d v="2025-11-07T07:15:00"/>
    <x v="37"/>
    <x v="6"/>
    <n v="276"/>
    <n v="5"/>
    <n v="1380"/>
    <x v="3"/>
  </r>
  <r>
    <n v="615"/>
    <n v="93"/>
    <x v="3"/>
    <x v="56"/>
    <x v="5"/>
    <n v="4"/>
    <x v="1"/>
    <d v="2025-11-07T08:28:00"/>
    <x v="37"/>
    <x v="7"/>
    <n v="433"/>
    <n v="0"/>
    <n v="0"/>
    <x v="3"/>
  </r>
  <r>
    <n v="294"/>
    <n v="179"/>
    <x v="7"/>
    <x v="25"/>
    <x v="0"/>
    <n v="2"/>
    <x v="0"/>
    <d v="2025-11-07T08:30:00"/>
    <x v="37"/>
    <x v="7"/>
    <n v="10843"/>
    <n v="5"/>
    <n v="54215"/>
    <x v="0"/>
  </r>
  <r>
    <n v="378"/>
    <n v="136"/>
    <x v="8"/>
    <x v="207"/>
    <x v="0"/>
    <n v="2"/>
    <x v="0"/>
    <d v="2025-11-07T08:44:00"/>
    <x v="37"/>
    <x v="7"/>
    <n v="5640"/>
    <n v="4"/>
    <n v="22560"/>
    <x v="1"/>
  </r>
  <r>
    <n v="797"/>
    <n v="76"/>
    <x v="0"/>
    <x v="5"/>
    <x v="4"/>
    <n v="7"/>
    <x v="0"/>
    <d v="2025-11-07T08:52:00"/>
    <x v="37"/>
    <x v="7"/>
    <n v="7166"/>
    <n v="5"/>
    <n v="35830"/>
    <x v="1"/>
  </r>
  <r>
    <n v="739"/>
    <n v="245"/>
    <x v="2"/>
    <x v="148"/>
    <x v="3"/>
    <n v="1"/>
    <x v="0"/>
    <d v="2025-11-07T09:27:00"/>
    <x v="37"/>
    <x v="8"/>
    <n v="3498"/>
    <n v="5"/>
    <n v="17490"/>
    <x v="2"/>
  </r>
  <r>
    <n v="745"/>
    <n v="143"/>
    <x v="9"/>
    <x v="287"/>
    <x v="4"/>
    <n v="7"/>
    <x v="0"/>
    <d v="2025-11-07T11:12:00"/>
    <x v="37"/>
    <x v="10"/>
    <n v="1908"/>
    <n v="4"/>
    <n v="7632"/>
    <x v="2"/>
  </r>
  <r>
    <n v="187"/>
    <n v="198"/>
    <x v="6"/>
    <x v="146"/>
    <x v="3"/>
    <n v="1"/>
    <x v="0"/>
    <d v="2025-11-07T11:20:00"/>
    <x v="37"/>
    <x v="10"/>
    <n v="2031"/>
    <n v="5"/>
    <n v="10155"/>
    <x v="2"/>
  </r>
  <r>
    <n v="493"/>
    <n v="212"/>
    <x v="8"/>
    <x v="140"/>
    <x v="5"/>
    <n v="4"/>
    <x v="0"/>
    <d v="2025-11-07T11:48:00"/>
    <x v="37"/>
    <x v="10"/>
    <n v="735"/>
    <n v="4"/>
    <n v="2940"/>
    <x v="3"/>
  </r>
  <r>
    <n v="670"/>
    <n v="126"/>
    <x v="6"/>
    <x v="53"/>
    <x v="5"/>
    <n v="4"/>
    <x v="0"/>
    <d v="2025-11-07T11:54:00"/>
    <x v="37"/>
    <x v="10"/>
    <n v="1407"/>
    <n v="5"/>
    <n v="7035"/>
    <x v="2"/>
  </r>
  <r>
    <n v="552"/>
    <n v="274"/>
    <x v="3"/>
    <x v="4"/>
    <x v="0"/>
    <n v="2"/>
    <x v="0"/>
    <d v="2025-11-07T12:16:00"/>
    <x v="37"/>
    <x v="11"/>
    <n v="10292"/>
    <n v="4"/>
    <n v="41168"/>
    <x v="0"/>
  </r>
  <r>
    <n v="394"/>
    <n v="43"/>
    <x v="3"/>
    <x v="35"/>
    <x v="5"/>
    <n v="4"/>
    <x v="0"/>
    <d v="2025-11-07T12:33:00"/>
    <x v="37"/>
    <x v="11"/>
    <n v="1130"/>
    <n v="2"/>
    <n v="2260"/>
    <x v="2"/>
  </r>
  <r>
    <n v="592"/>
    <n v="113"/>
    <x v="2"/>
    <x v="21"/>
    <x v="3"/>
    <n v="1"/>
    <x v="0"/>
    <d v="2025-11-07T14:07:00"/>
    <x v="37"/>
    <x v="12"/>
    <n v="5925"/>
    <n v="5"/>
    <n v="29625"/>
    <x v="1"/>
  </r>
  <r>
    <n v="3"/>
    <n v="105"/>
    <x v="5"/>
    <x v="259"/>
    <x v="3"/>
    <n v="1"/>
    <x v="0"/>
    <d v="2025-11-07T14:32:00"/>
    <x v="37"/>
    <x v="12"/>
    <n v="6603"/>
    <n v="2"/>
    <n v="13206"/>
    <x v="1"/>
  </r>
  <r>
    <n v="137"/>
    <n v="57"/>
    <x v="3"/>
    <x v="84"/>
    <x v="5"/>
    <n v="4"/>
    <x v="1"/>
    <d v="2025-11-07T14:44:00"/>
    <x v="37"/>
    <x v="12"/>
    <n v="70"/>
    <n v="0"/>
    <n v="0"/>
    <x v="3"/>
  </r>
  <r>
    <n v="302"/>
    <n v="236"/>
    <x v="6"/>
    <x v="146"/>
    <x v="3"/>
    <n v="1"/>
    <x v="0"/>
    <d v="2025-11-07T14:47:00"/>
    <x v="37"/>
    <x v="12"/>
    <n v="1466"/>
    <n v="2"/>
    <n v="2932"/>
    <x v="2"/>
  </r>
  <r>
    <n v="216"/>
    <n v="115"/>
    <x v="2"/>
    <x v="90"/>
    <x v="0"/>
    <n v="2"/>
    <x v="0"/>
    <d v="2025-11-07T14:51:00"/>
    <x v="37"/>
    <x v="12"/>
    <n v="6443"/>
    <n v="4"/>
    <n v="25772"/>
    <x v="1"/>
  </r>
  <r>
    <n v="713"/>
    <n v="74"/>
    <x v="4"/>
    <x v="126"/>
    <x v="0"/>
    <n v="2"/>
    <x v="0"/>
    <d v="2025-11-07T14:58:00"/>
    <x v="37"/>
    <x v="12"/>
    <n v="5097"/>
    <n v="2"/>
    <n v="10194"/>
    <x v="1"/>
  </r>
  <r>
    <n v="381"/>
    <n v="28"/>
    <x v="0"/>
    <x v="322"/>
    <x v="5"/>
    <n v="4"/>
    <x v="1"/>
    <d v="2025-11-07T15:06:00"/>
    <x v="37"/>
    <x v="13"/>
    <n v="998"/>
    <n v="0"/>
    <n v="0"/>
    <x v="3"/>
  </r>
  <r>
    <n v="489"/>
    <n v="81"/>
    <x v="9"/>
    <x v="303"/>
    <x v="2"/>
    <n v="3"/>
    <x v="0"/>
    <d v="2025-11-07T15:56:00"/>
    <x v="37"/>
    <x v="13"/>
    <n v="2507"/>
    <n v="2"/>
    <n v="5014"/>
    <x v="2"/>
  </r>
  <r>
    <n v="81"/>
    <n v="126"/>
    <x v="6"/>
    <x v="384"/>
    <x v="1"/>
    <n v="6"/>
    <x v="0"/>
    <d v="2025-11-07T16:18:00"/>
    <x v="37"/>
    <x v="14"/>
    <n v="2369"/>
    <n v="4"/>
    <n v="9476"/>
    <x v="2"/>
  </r>
  <r>
    <n v="154"/>
    <n v="94"/>
    <x v="9"/>
    <x v="188"/>
    <x v="2"/>
    <n v="3"/>
    <x v="0"/>
    <d v="2025-11-07T16:38:00"/>
    <x v="37"/>
    <x v="14"/>
    <n v="1937"/>
    <n v="5"/>
    <n v="9685"/>
    <x v="2"/>
  </r>
  <r>
    <n v="716"/>
    <n v="154"/>
    <x v="4"/>
    <x v="19"/>
    <x v="5"/>
    <n v="4"/>
    <x v="0"/>
    <d v="2025-11-07T16:41:00"/>
    <x v="37"/>
    <x v="14"/>
    <n v="1192"/>
    <n v="5"/>
    <n v="5960"/>
    <x v="2"/>
  </r>
  <r>
    <n v="661"/>
    <n v="7"/>
    <x v="6"/>
    <x v="28"/>
    <x v="0"/>
    <n v="2"/>
    <x v="0"/>
    <d v="2025-11-07T17:33:00"/>
    <x v="37"/>
    <x v="15"/>
    <n v="11713"/>
    <n v="5"/>
    <n v="58565"/>
    <x v="0"/>
  </r>
  <r>
    <n v="658"/>
    <n v="17"/>
    <x v="4"/>
    <x v="102"/>
    <x v="3"/>
    <n v="1"/>
    <x v="0"/>
    <d v="2025-11-07T18:07:00"/>
    <x v="37"/>
    <x v="16"/>
    <n v="3205"/>
    <n v="5"/>
    <n v="16025"/>
    <x v="2"/>
  </r>
  <r>
    <n v="165"/>
    <n v="6"/>
    <x v="4"/>
    <x v="19"/>
    <x v="5"/>
    <n v="4"/>
    <x v="0"/>
    <d v="2025-11-07T18:09:00"/>
    <x v="37"/>
    <x v="16"/>
    <n v="1471"/>
    <n v="4"/>
    <n v="5884"/>
    <x v="2"/>
  </r>
  <r>
    <n v="729"/>
    <n v="133"/>
    <x v="8"/>
    <x v="132"/>
    <x v="5"/>
    <n v="4"/>
    <x v="0"/>
    <d v="2025-11-07T18:41:00"/>
    <x v="37"/>
    <x v="16"/>
    <n v="877"/>
    <n v="5"/>
    <n v="4385"/>
    <x v="3"/>
  </r>
  <r>
    <n v="233"/>
    <n v="217"/>
    <x v="7"/>
    <x v="117"/>
    <x v="3"/>
    <n v="1"/>
    <x v="1"/>
    <d v="2025-11-07T19:02:00"/>
    <x v="37"/>
    <x v="22"/>
    <n v="5742"/>
    <n v="0"/>
    <n v="0"/>
    <x v="1"/>
  </r>
  <r>
    <n v="387"/>
    <n v="65"/>
    <x v="1"/>
    <x v="359"/>
    <x v="2"/>
    <n v="3"/>
    <x v="0"/>
    <d v="2025-11-07T19:04:00"/>
    <x v="37"/>
    <x v="22"/>
    <n v="2723"/>
    <n v="5"/>
    <n v="13615"/>
    <x v="2"/>
  </r>
  <r>
    <n v="58"/>
    <n v="113"/>
    <x v="2"/>
    <x v="162"/>
    <x v="6"/>
    <n v="5"/>
    <x v="0"/>
    <d v="2025-11-07T19:21:00"/>
    <x v="37"/>
    <x v="22"/>
    <n v="3751"/>
    <n v="4"/>
    <n v="15004"/>
    <x v="2"/>
  </r>
  <r>
    <n v="80"/>
    <n v="240"/>
    <x v="3"/>
    <x v="3"/>
    <x v="3"/>
    <n v="1"/>
    <x v="0"/>
    <d v="2025-11-07T19:38:00"/>
    <x v="37"/>
    <x v="22"/>
    <n v="4107"/>
    <n v="4"/>
    <n v="16428"/>
    <x v="2"/>
  </r>
  <r>
    <n v="169"/>
    <n v="28"/>
    <x v="2"/>
    <x v="362"/>
    <x v="4"/>
    <n v="7"/>
    <x v="0"/>
    <d v="2025-11-07T19:43:00"/>
    <x v="37"/>
    <x v="22"/>
    <n v="5370"/>
    <n v="5"/>
    <n v="26850"/>
    <x v="1"/>
  </r>
  <r>
    <n v="277"/>
    <n v="56"/>
    <x v="2"/>
    <x v="256"/>
    <x v="4"/>
    <n v="7"/>
    <x v="0"/>
    <d v="2025-11-07T21:00:00"/>
    <x v="37"/>
    <x v="23"/>
    <n v="4674"/>
    <n v="2"/>
    <n v="9348"/>
    <x v="2"/>
  </r>
  <r>
    <n v="798"/>
    <n v="172"/>
    <x v="6"/>
    <x v="139"/>
    <x v="2"/>
    <n v="3"/>
    <x v="1"/>
    <d v="2025-11-07T21:50:00"/>
    <x v="37"/>
    <x v="23"/>
    <n v="2194"/>
    <n v="0"/>
    <n v="0"/>
    <x v="2"/>
  </r>
  <r>
    <n v="555"/>
    <n v="55"/>
    <x v="7"/>
    <x v="289"/>
    <x v="1"/>
    <n v="6"/>
    <x v="0"/>
    <d v="2025-11-07T22:20:00"/>
    <x v="37"/>
    <x v="18"/>
    <n v="2381"/>
    <n v="4"/>
    <n v="9524"/>
    <x v="2"/>
  </r>
  <r>
    <n v="775"/>
    <n v="159"/>
    <x v="9"/>
    <x v="51"/>
    <x v="3"/>
    <n v="1"/>
    <x v="0"/>
    <d v="2025-11-07T22:36:00"/>
    <x v="37"/>
    <x v="18"/>
    <n v="1443"/>
    <n v="5"/>
    <n v="7215"/>
    <x v="2"/>
  </r>
  <r>
    <n v="34"/>
    <n v="124"/>
    <x v="5"/>
    <x v="339"/>
    <x v="1"/>
    <n v="6"/>
    <x v="0"/>
    <d v="2025-11-07T22:50:00"/>
    <x v="37"/>
    <x v="18"/>
    <n v="5157"/>
    <n v="5"/>
    <n v="25785"/>
    <x v="1"/>
  </r>
  <r>
    <n v="46"/>
    <n v="289"/>
    <x v="9"/>
    <x v="351"/>
    <x v="1"/>
    <n v="6"/>
    <x v="0"/>
    <d v="2025-11-07T23:18:00"/>
    <x v="37"/>
    <x v="19"/>
    <n v="6253"/>
    <n v="4"/>
    <n v="25012"/>
    <x v="1"/>
  </r>
  <r>
    <n v="323"/>
    <n v="48"/>
    <x v="0"/>
    <x v="105"/>
    <x v="3"/>
    <n v="1"/>
    <x v="0"/>
    <d v="2025-11-07T23:39:00"/>
    <x v="37"/>
    <x v="19"/>
    <n v="7520"/>
    <n v="4"/>
    <n v="30080"/>
    <x v="1"/>
  </r>
  <r>
    <n v="408"/>
    <n v="257"/>
    <x v="6"/>
    <x v="371"/>
    <x v="2"/>
    <n v="3"/>
    <x v="1"/>
    <d v="2025-11-07T23:41:00"/>
    <x v="37"/>
    <x v="19"/>
    <n v="3832"/>
    <n v="0"/>
    <n v="0"/>
    <x v="2"/>
  </r>
  <r>
    <n v="133"/>
    <n v="50"/>
    <x v="2"/>
    <x v="228"/>
    <x v="2"/>
    <n v="3"/>
    <x v="0"/>
    <d v="2025-11-08T00:00:00"/>
    <x v="38"/>
    <x v="0"/>
    <n v="3057"/>
    <n v="5"/>
    <n v="15285"/>
    <x v="2"/>
  </r>
  <r>
    <n v="515"/>
    <n v="77"/>
    <x v="3"/>
    <x v="290"/>
    <x v="5"/>
    <n v="4"/>
    <x v="0"/>
    <d v="2025-11-08T00:43:00"/>
    <x v="38"/>
    <x v="0"/>
    <n v="736"/>
    <n v="5"/>
    <n v="3680"/>
    <x v="3"/>
  </r>
  <r>
    <n v="601"/>
    <n v="20"/>
    <x v="2"/>
    <x v="99"/>
    <x v="0"/>
    <n v="2"/>
    <x v="0"/>
    <d v="2025-11-08T01:00:00"/>
    <x v="38"/>
    <x v="1"/>
    <n v="4488"/>
    <n v="5"/>
    <n v="22440"/>
    <x v="2"/>
  </r>
  <r>
    <n v="475"/>
    <n v="41"/>
    <x v="4"/>
    <x v="36"/>
    <x v="3"/>
    <n v="1"/>
    <x v="0"/>
    <d v="2025-11-08T01:01:00"/>
    <x v="38"/>
    <x v="1"/>
    <n v="3258"/>
    <n v="2"/>
    <n v="6516"/>
    <x v="2"/>
  </r>
  <r>
    <n v="698"/>
    <n v="73"/>
    <x v="5"/>
    <x v="141"/>
    <x v="5"/>
    <n v="4"/>
    <x v="0"/>
    <d v="2025-11-08T01:42:00"/>
    <x v="38"/>
    <x v="1"/>
    <n v="1178"/>
    <n v="5"/>
    <n v="5890"/>
    <x v="2"/>
  </r>
  <r>
    <n v="624"/>
    <n v="268"/>
    <x v="3"/>
    <x v="295"/>
    <x v="0"/>
    <n v="2"/>
    <x v="0"/>
    <d v="2025-11-08T01:48:00"/>
    <x v="38"/>
    <x v="1"/>
    <n v="6694"/>
    <n v="2"/>
    <n v="13388"/>
    <x v="1"/>
  </r>
  <r>
    <n v="298"/>
    <n v="185"/>
    <x v="4"/>
    <x v="363"/>
    <x v="1"/>
    <n v="6"/>
    <x v="0"/>
    <d v="2025-11-08T01:56:00"/>
    <x v="38"/>
    <x v="1"/>
    <n v="7622"/>
    <n v="5"/>
    <n v="38110"/>
    <x v="1"/>
  </r>
  <r>
    <n v="793"/>
    <n v="199"/>
    <x v="0"/>
    <x v="0"/>
    <x v="0"/>
    <n v="2"/>
    <x v="0"/>
    <d v="2025-11-08T02:01:00"/>
    <x v="38"/>
    <x v="2"/>
    <n v="14234"/>
    <n v="5"/>
    <n v="71170"/>
    <x v="0"/>
  </r>
  <r>
    <n v="77"/>
    <n v="79"/>
    <x v="9"/>
    <x v="121"/>
    <x v="4"/>
    <n v="7"/>
    <x v="0"/>
    <d v="2025-11-08T02:11:00"/>
    <x v="38"/>
    <x v="2"/>
    <n v="3364"/>
    <n v="2"/>
    <n v="6728"/>
    <x v="2"/>
  </r>
  <r>
    <n v="16"/>
    <n v="74"/>
    <x v="8"/>
    <x v="293"/>
    <x v="1"/>
    <n v="6"/>
    <x v="0"/>
    <d v="2025-11-08T02:49:00"/>
    <x v="38"/>
    <x v="2"/>
    <n v="11409"/>
    <n v="2"/>
    <n v="22818"/>
    <x v="0"/>
  </r>
  <r>
    <n v="511"/>
    <n v="49"/>
    <x v="3"/>
    <x v="49"/>
    <x v="3"/>
    <n v="1"/>
    <x v="0"/>
    <d v="2025-11-08T03:08:00"/>
    <x v="38"/>
    <x v="3"/>
    <n v="7235"/>
    <n v="5"/>
    <n v="36175"/>
    <x v="1"/>
  </r>
  <r>
    <n v="166"/>
    <n v="35"/>
    <x v="4"/>
    <x v="277"/>
    <x v="5"/>
    <n v="4"/>
    <x v="1"/>
    <d v="2025-11-08T03:14:00"/>
    <x v="38"/>
    <x v="3"/>
    <n v="941"/>
    <n v="0"/>
    <n v="0"/>
    <x v="3"/>
  </r>
  <r>
    <n v="92"/>
    <n v="37"/>
    <x v="6"/>
    <x v="336"/>
    <x v="1"/>
    <n v="6"/>
    <x v="0"/>
    <d v="2025-11-08T04:10:00"/>
    <x v="38"/>
    <x v="4"/>
    <n v="6684"/>
    <n v="5"/>
    <n v="33420"/>
    <x v="1"/>
  </r>
  <r>
    <n v="485"/>
    <n v="132"/>
    <x v="8"/>
    <x v="103"/>
    <x v="3"/>
    <n v="1"/>
    <x v="0"/>
    <d v="2025-11-08T05:06:00"/>
    <x v="38"/>
    <x v="20"/>
    <n v="2630"/>
    <n v="5"/>
    <n v="13150"/>
    <x v="2"/>
  </r>
  <r>
    <n v="583"/>
    <n v="250"/>
    <x v="4"/>
    <x v="196"/>
    <x v="5"/>
    <n v="4"/>
    <x v="0"/>
    <d v="2025-11-08T06:00:00"/>
    <x v="38"/>
    <x v="5"/>
    <n v="1087"/>
    <n v="5"/>
    <n v="5435"/>
    <x v="2"/>
  </r>
  <r>
    <n v="419"/>
    <n v="67"/>
    <x v="7"/>
    <x v="143"/>
    <x v="4"/>
    <n v="7"/>
    <x v="0"/>
    <d v="2025-11-08T06:07:00"/>
    <x v="38"/>
    <x v="5"/>
    <n v="1810"/>
    <n v="5"/>
    <n v="9050"/>
    <x v="2"/>
  </r>
  <r>
    <n v="322"/>
    <n v="192"/>
    <x v="3"/>
    <x v="338"/>
    <x v="4"/>
    <n v="7"/>
    <x v="0"/>
    <d v="2025-11-08T06:23:00"/>
    <x v="38"/>
    <x v="5"/>
    <n v="5098"/>
    <n v="2"/>
    <n v="10196"/>
    <x v="1"/>
  </r>
  <r>
    <n v="461"/>
    <n v="135"/>
    <x v="2"/>
    <x v="21"/>
    <x v="3"/>
    <n v="1"/>
    <x v="0"/>
    <d v="2025-11-08T08:14:00"/>
    <x v="38"/>
    <x v="7"/>
    <n v="1832"/>
    <n v="5"/>
    <n v="9160"/>
    <x v="2"/>
  </r>
  <r>
    <n v="59"/>
    <n v="126"/>
    <x v="9"/>
    <x v="180"/>
    <x v="3"/>
    <n v="1"/>
    <x v="1"/>
    <d v="2025-11-08T08:54:00"/>
    <x v="38"/>
    <x v="7"/>
    <n v="6412"/>
    <n v="0"/>
    <n v="0"/>
    <x v="1"/>
  </r>
  <r>
    <n v="108"/>
    <n v="149"/>
    <x v="0"/>
    <x v="15"/>
    <x v="3"/>
    <n v="1"/>
    <x v="1"/>
    <d v="2025-11-08T08:54:00"/>
    <x v="38"/>
    <x v="7"/>
    <n v="6819"/>
    <n v="0"/>
    <n v="0"/>
    <x v="1"/>
  </r>
  <r>
    <n v="75"/>
    <n v="115"/>
    <x v="9"/>
    <x v="98"/>
    <x v="0"/>
    <n v="2"/>
    <x v="0"/>
    <d v="2025-11-08T08:56:00"/>
    <x v="38"/>
    <x v="7"/>
    <n v="10038"/>
    <n v="5"/>
    <n v="50190"/>
    <x v="0"/>
  </r>
  <r>
    <n v="478"/>
    <n v="240"/>
    <x v="1"/>
    <x v="116"/>
    <x v="3"/>
    <n v="1"/>
    <x v="0"/>
    <d v="2025-11-08T09:13:00"/>
    <x v="38"/>
    <x v="8"/>
    <n v="4216"/>
    <n v="5"/>
    <n v="21080"/>
    <x v="2"/>
  </r>
  <r>
    <n v="88"/>
    <n v="93"/>
    <x v="8"/>
    <x v="368"/>
    <x v="4"/>
    <n v="7"/>
    <x v="0"/>
    <d v="2025-11-08T10:16:00"/>
    <x v="38"/>
    <x v="9"/>
    <n v="6836"/>
    <n v="5"/>
    <n v="34180"/>
    <x v="1"/>
  </r>
  <r>
    <n v="205"/>
    <n v="206"/>
    <x v="2"/>
    <x v="362"/>
    <x v="4"/>
    <n v="7"/>
    <x v="0"/>
    <d v="2025-11-08T10:37:00"/>
    <x v="38"/>
    <x v="9"/>
    <n v="7349"/>
    <n v="5"/>
    <n v="36745"/>
    <x v="1"/>
  </r>
  <r>
    <n v="619"/>
    <n v="249"/>
    <x v="6"/>
    <x v="219"/>
    <x v="3"/>
    <n v="1"/>
    <x v="0"/>
    <d v="2025-11-08T10:55:00"/>
    <x v="38"/>
    <x v="9"/>
    <n v="3525"/>
    <n v="2"/>
    <n v="7050"/>
    <x v="2"/>
  </r>
  <r>
    <n v="286"/>
    <n v="233"/>
    <x v="8"/>
    <x v="193"/>
    <x v="0"/>
    <n v="2"/>
    <x v="0"/>
    <d v="2025-11-08T10:58:00"/>
    <x v="38"/>
    <x v="9"/>
    <n v="7642"/>
    <n v="5"/>
    <n v="38210"/>
    <x v="1"/>
  </r>
  <r>
    <n v="150"/>
    <n v="110"/>
    <x v="4"/>
    <x v="66"/>
    <x v="3"/>
    <n v="1"/>
    <x v="0"/>
    <d v="2025-11-08T11:26:00"/>
    <x v="38"/>
    <x v="10"/>
    <n v="1392"/>
    <n v="5"/>
    <n v="6960"/>
    <x v="2"/>
  </r>
  <r>
    <n v="793"/>
    <n v="195"/>
    <x v="0"/>
    <x v="265"/>
    <x v="5"/>
    <n v="4"/>
    <x v="0"/>
    <d v="2025-11-08T12:12:00"/>
    <x v="38"/>
    <x v="11"/>
    <n v="795"/>
    <n v="5"/>
    <n v="3975"/>
    <x v="3"/>
  </r>
  <r>
    <n v="219"/>
    <n v="28"/>
    <x v="2"/>
    <x v="362"/>
    <x v="4"/>
    <n v="7"/>
    <x v="0"/>
    <d v="2025-11-08T12:25:00"/>
    <x v="38"/>
    <x v="11"/>
    <n v="1996"/>
    <n v="5"/>
    <n v="9980"/>
    <x v="2"/>
  </r>
  <r>
    <n v="259"/>
    <n v="91"/>
    <x v="2"/>
    <x v="250"/>
    <x v="3"/>
    <n v="1"/>
    <x v="0"/>
    <d v="2025-11-08T13:04:00"/>
    <x v="38"/>
    <x v="21"/>
    <n v="2543"/>
    <n v="5"/>
    <n v="12715"/>
    <x v="2"/>
  </r>
  <r>
    <n v="415"/>
    <n v="42"/>
    <x v="1"/>
    <x v="276"/>
    <x v="4"/>
    <n v="7"/>
    <x v="0"/>
    <d v="2025-11-08T14:33:00"/>
    <x v="38"/>
    <x v="12"/>
    <n v="2056"/>
    <n v="2"/>
    <n v="4112"/>
    <x v="2"/>
  </r>
  <r>
    <n v="538"/>
    <n v="110"/>
    <x v="8"/>
    <x v="140"/>
    <x v="5"/>
    <n v="4"/>
    <x v="0"/>
    <d v="2025-11-08T14:39:00"/>
    <x v="38"/>
    <x v="12"/>
    <n v="824"/>
    <n v="2"/>
    <n v="1648"/>
    <x v="3"/>
  </r>
  <r>
    <n v="439"/>
    <n v="176"/>
    <x v="0"/>
    <x v="101"/>
    <x v="1"/>
    <n v="6"/>
    <x v="0"/>
    <d v="2025-11-08T14:58:00"/>
    <x v="38"/>
    <x v="12"/>
    <n v="6144"/>
    <n v="5"/>
    <n v="30720"/>
    <x v="1"/>
  </r>
  <r>
    <n v="358"/>
    <n v="215"/>
    <x v="4"/>
    <x v="6"/>
    <x v="3"/>
    <n v="1"/>
    <x v="1"/>
    <d v="2025-11-08T15:07:00"/>
    <x v="38"/>
    <x v="13"/>
    <n v="7122"/>
    <n v="0"/>
    <n v="0"/>
    <x v="1"/>
  </r>
  <r>
    <n v="165"/>
    <n v="224"/>
    <x v="3"/>
    <x v="295"/>
    <x v="0"/>
    <n v="2"/>
    <x v="0"/>
    <d v="2025-11-08T15:49:00"/>
    <x v="38"/>
    <x v="13"/>
    <n v="11933"/>
    <n v="5"/>
    <n v="59665"/>
    <x v="0"/>
  </r>
  <r>
    <n v="11"/>
    <n v="288"/>
    <x v="9"/>
    <x v="188"/>
    <x v="2"/>
    <n v="3"/>
    <x v="1"/>
    <d v="2025-11-08T16:12:00"/>
    <x v="38"/>
    <x v="14"/>
    <n v="4559"/>
    <n v="0"/>
    <n v="0"/>
    <x v="2"/>
  </r>
  <r>
    <n v="741"/>
    <n v="297"/>
    <x v="5"/>
    <x v="257"/>
    <x v="3"/>
    <n v="1"/>
    <x v="0"/>
    <d v="2025-11-08T16:39:00"/>
    <x v="38"/>
    <x v="14"/>
    <n v="7519"/>
    <n v="5"/>
    <n v="37595"/>
    <x v="1"/>
  </r>
  <r>
    <n v="752"/>
    <n v="163"/>
    <x v="6"/>
    <x v="345"/>
    <x v="4"/>
    <n v="7"/>
    <x v="0"/>
    <d v="2025-11-08T17:21:00"/>
    <x v="38"/>
    <x v="15"/>
    <n v="6424"/>
    <n v="2"/>
    <n v="12848"/>
    <x v="1"/>
  </r>
  <r>
    <n v="512"/>
    <n v="163"/>
    <x v="8"/>
    <x v="114"/>
    <x v="2"/>
    <n v="3"/>
    <x v="0"/>
    <d v="2025-11-08T17:34:00"/>
    <x v="38"/>
    <x v="15"/>
    <n v="1500"/>
    <n v="2"/>
    <n v="3000"/>
    <x v="2"/>
  </r>
  <r>
    <n v="534"/>
    <n v="2"/>
    <x v="2"/>
    <x v="250"/>
    <x v="3"/>
    <n v="1"/>
    <x v="0"/>
    <d v="2025-11-08T18:40:00"/>
    <x v="38"/>
    <x v="16"/>
    <n v="2075"/>
    <n v="5"/>
    <n v="10375"/>
    <x v="2"/>
  </r>
  <r>
    <n v="593"/>
    <n v="50"/>
    <x v="8"/>
    <x v="343"/>
    <x v="3"/>
    <n v="1"/>
    <x v="0"/>
    <d v="2025-11-08T19:00:00"/>
    <x v="38"/>
    <x v="22"/>
    <n v="4554"/>
    <n v="2"/>
    <n v="9108"/>
    <x v="2"/>
  </r>
  <r>
    <n v="714"/>
    <n v="280"/>
    <x v="5"/>
    <x v="147"/>
    <x v="3"/>
    <n v="1"/>
    <x v="1"/>
    <d v="2025-11-08T19:04:00"/>
    <x v="38"/>
    <x v="22"/>
    <n v="1209"/>
    <n v="0"/>
    <n v="0"/>
    <x v="2"/>
  </r>
  <r>
    <n v="222"/>
    <n v="179"/>
    <x v="9"/>
    <x v="287"/>
    <x v="4"/>
    <n v="7"/>
    <x v="0"/>
    <d v="2025-11-08T19:36:00"/>
    <x v="38"/>
    <x v="22"/>
    <n v="7728"/>
    <n v="2"/>
    <n v="15456"/>
    <x v="1"/>
  </r>
  <r>
    <n v="380"/>
    <n v="187"/>
    <x v="9"/>
    <x v="286"/>
    <x v="0"/>
    <n v="2"/>
    <x v="0"/>
    <d v="2025-11-08T20:18:00"/>
    <x v="38"/>
    <x v="17"/>
    <n v="7333"/>
    <n v="2"/>
    <n v="14666"/>
    <x v="1"/>
  </r>
  <r>
    <n v="128"/>
    <n v="256"/>
    <x v="7"/>
    <x v="25"/>
    <x v="0"/>
    <n v="2"/>
    <x v="0"/>
    <d v="2025-11-08T20:28:00"/>
    <x v="38"/>
    <x v="17"/>
    <n v="4219"/>
    <n v="5"/>
    <n v="21095"/>
    <x v="2"/>
  </r>
  <r>
    <n v="361"/>
    <n v="181"/>
    <x v="2"/>
    <x v="362"/>
    <x v="4"/>
    <n v="7"/>
    <x v="1"/>
    <d v="2025-11-08T21:19:00"/>
    <x v="38"/>
    <x v="23"/>
    <n v="6848"/>
    <n v="0"/>
    <n v="0"/>
    <x v="1"/>
  </r>
  <r>
    <n v="784"/>
    <n v="172"/>
    <x v="2"/>
    <x v="21"/>
    <x v="3"/>
    <n v="1"/>
    <x v="0"/>
    <d v="2025-11-08T22:22:00"/>
    <x v="38"/>
    <x v="18"/>
    <n v="7861"/>
    <n v="5"/>
    <n v="39305"/>
    <x v="1"/>
  </r>
  <r>
    <n v="383"/>
    <n v="91"/>
    <x v="8"/>
    <x v="17"/>
    <x v="2"/>
    <n v="3"/>
    <x v="0"/>
    <d v="2025-11-08T22:31:00"/>
    <x v="38"/>
    <x v="18"/>
    <n v="2318"/>
    <n v="5"/>
    <n v="11590"/>
    <x v="2"/>
  </r>
  <r>
    <n v="447"/>
    <n v="196"/>
    <x v="4"/>
    <x v="19"/>
    <x v="5"/>
    <n v="4"/>
    <x v="1"/>
    <d v="2025-11-09T00:19:00"/>
    <x v="39"/>
    <x v="0"/>
    <n v="1286"/>
    <n v="0"/>
    <n v="0"/>
    <x v="2"/>
  </r>
  <r>
    <n v="291"/>
    <n v="51"/>
    <x v="2"/>
    <x v="69"/>
    <x v="3"/>
    <n v="1"/>
    <x v="0"/>
    <d v="2025-11-09T00:23:00"/>
    <x v="39"/>
    <x v="0"/>
    <n v="3471"/>
    <n v="3"/>
    <n v="10413"/>
    <x v="2"/>
  </r>
  <r>
    <n v="17"/>
    <n v="211"/>
    <x v="1"/>
    <x v="194"/>
    <x v="3"/>
    <n v="1"/>
    <x v="0"/>
    <d v="2025-11-09T00:29:00"/>
    <x v="39"/>
    <x v="0"/>
    <n v="1570"/>
    <n v="3"/>
    <n v="4710"/>
    <x v="2"/>
  </r>
  <r>
    <n v="103"/>
    <n v="228"/>
    <x v="9"/>
    <x v="112"/>
    <x v="3"/>
    <n v="1"/>
    <x v="0"/>
    <d v="2025-11-09T00:35:00"/>
    <x v="39"/>
    <x v="0"/>
    <n v="1903"/>
    <n v="5"/>
    <n v="9515"/>
    <x v="2"/>
  </r>
  <r>
    <n v="431"/>
    <n v="109"/>
    <x v="0"/>
    <x v="218"/>
    <x v="5"/>
    <n v="4"/>
    <x v="0"/>
    <d v="2025-11-09T01:34:00"/>
    <x v="39"/>
    <x v="1"/>
    <n v="1177"/>
    <n v="5"/>
    <n v="5885"/>
    <x v="2"/>
  </r>
  <r>
    <n v="391"/>
    <n v="59"/>
    <x v="8"/>
    <x v="132"/>
    <x v="5"/>
    <n v="4"/>
    <x v="1"/>
    <d v="2025-11-09T02:02:00"/>
    <x v="39"/>
    <x v="2"/>
    <n v="703"/>
    <n v="0"/>
    <n v="0"/>
    <x v="3"/>
  </r>
  <r>
    <n v="476"/>
    <n v="212"/>
    <x v="1"/>
    <x v="276"/>
    <x v="4"/>
    <n v="7"/>
    <x v="0"/>
    <d v="2025-11-09T02:07:00"/>
    <x v="39"/>
    <x v="2"/>
    <n v="3142"/>
    <n v="5"/>
    <n v="15710"/>
    <x v="2"/>
  </r>
  <r>
    <n v="384"/>
    <n v="115"/>
    <x v="2"/>
    <x v="333"/>
    <x v="4"/>
    <n v="7"/>
    <x v="0"/>
    <d v="2025-11-09T02:22:00"/>
    <x v="39"/>
    <x v="2"/>
    <n v="6942"/>
    <n v="5"/>
    <n v="34710"/>
    <x v="1"/>
  </r>
  <r>
    <n v="271"/>
    <n v="158"/>
    <x v="7"/>
    <x v="117"/>
    <x v="3"/>
    <n v="1"/>
    <x v="0"/>
    <d v="2025-11-09T02:47:00"/>
    <x v="39"/>
    <x v="2"/>
    <n v="5102"/>
    <n v="5"/>
    <n v="25510"/>
    <x v="1"/>
  </r>
  <r>
    <n v="425"/>
    <n v="17"/>
    <x v="5"/>
    <x v="257"/>
    <x v="3"/>
    <n v="1"/>
    <x v="0"/>
    <d v="2025-11-09T02:50:00"/>
    <x v="39"/>
    <x v="2"/>
    <n v="7880"/>
    <n v="5"/>
    <n v="39400"/>
    <x v="1"/>
  </r>
  <r>
    <n v="532"/>
    <n v="163"/>
    <x v="4"/>
    <x v="190"/>
    <x v="3"/>
    <n v="1"/>
    <x v="0"/>
    <d v="2025-11-09T03:46:00"/>
    <x v="39"/>
    <x v="3"/>
    <n v="1000"/>
    <n v="3"/>
    <n v="3000"/>
    <x v="2"/>
  </r>
  <r>
    <n v="248"/>
    <n v="285"/>
    <x v="9"/>
    <x v="287"/>
    <x v="4"/>
    <n v="7"/>
    <x v="0"/>
    <d v="2025-11-09T04:30:00"/>
    <x v="39"/>
    <x v="4"/>
    <n v="4132"/>
    <n v="5"/>
    <n v="20660"/>
    <x v="2"/>
  </r>
  <r>
    <n v="403"/>
    <n v="27"/>
    <x v="9"/>
    <x v="180"/>
    <x v="3"/>
    <n v="1"/>
    <x v="0"/>
    <d v="2025-11-09T04:48:00"/>
    <x v="39"/>
    <x v="4"/>
    <n v="4104"/>
    <n v="3"/>
    <n v="12312"/>
    <x v="2"/>
  </r>
  <r>
    <n v="400"/>
    <n v="89"/>
    <x v="4"/>
    <x v="380"/>
    <x v="0"/>
    <n v="2"/>
    <x v="0"/>
    <d v="2025-11-09T06:19:00"/>
    <x v="39"/>
    <x v="5"/>
    <n v="13486"/>
    <n v="5"/>
    <n v="67430"/>
    <x v="0"/>
  </r>
  <r>
    <n v="448"/>
    <n v="119"/>
    <x v="3"/>
    <x v="311"/>
    <x v="2"/>
    <n v="3"/>
    <x v="0"/>
    <d v="2025-11-09T06:33:00"/>
    <x v="39"/>
    <x v="5"/>
    <n v="4764"/>
    <n v="5"/>
    <n v="23820"/>
    <x v="2"/>
  </r>
  <r>
    <n v="122"/>
    <n v="296"/>
    <x v="4"/>
    <x v="335"/>
    <x v="6"/>
    <n v="5"/>
    <x v="0"/>
    <d v="2025-11-09T08:23:00"/>
    <x v="39"/>
    <x v="7"/>
    <n v="1370"/>
    <n v="5"/>
    <n v="6850"/>
    <x v="2"/>
  </r>
  <r>
    <n v="163"/>
    <n v="166"/>
    <x v="7"/>
    <x v="58"/>
    <x v="2"/>
    <n v="3"/>
    <x v="0"/>
    <d v="2025-11-09T08:52:00"/>
    <x v="39"/>
    <x v="7"/>
    <n v="4901"/>
    <n v="3"/>
    <n v="14703"/>
    <x v="2"/>
  </r>
  <r>
    <n v="448"/>
    <n v="6"/>
    <x v="1"/>
    <x v="60"/>
    <x v="3"/>
    <n v="1"/>
    <x v="0"/>
    <d v="2025-11-09T09:19:00"/>
    <x v="39"/>
    <x v="8"/>
    <n v="2516"/>
    <n v="5"/>
    <n v="12580"/>
    <x v="2"/>
  </r>
  <r>
    <n v="29"/>
    <n v="279"/>
    <x v="9"/>
    <x v="321"/>
    <x v="4"/>
    <n v="7"/>
    <x v="1"/>
    <d v="2025-11-09T09:24:00"/>
    <x v="39"/>
    <x v="8"/>
    <n v="6845"/>
    <n v="0"/>
    <n v="0"/>
    <x v="1"/>
  </r>
  <r>
    <n v="761"/>
    <n v="67"/>
    <x v="2"/>
    <x v="333"/>
    <x v="4"/>
    <n v="7"/>
    <x v="0"/>
    <d v="2025-11-09T10:20:00"/>
    <x v="39"/>
    <x v="9"/>
    <n v="2237"/>
    <n v="5"/>
    <n v="11185"/>
    <x v="2"/>
  </r>
  <r>
    <n v="246"/>
    <n v="114"/>
    <x v="6"/>
    <x v="53"/>
    <x v="5"/>
    <n v="4"/>
    <x v="0"/>
    <d v="2025-11-09T10:35:00"/>
    <x v="39"/>
    <x v="9"/>
    <n v="1103"/>
    <n v="5"/>
    <n v="5515"/>
    <x v="2"/>
  </r>
  <r>
    <n v="744"/>
    <n v="194"/>
    <x v="3"/>
    <x v="91"/>
    <x v="3"/>
    <n v="1"/>
    <x v="0"/>
    <d v="2025-11-09T10:40:00"/>
    <x v="39"/>
    <x v="9"/>
    <n v="3331"/>
    <n v="5"/>
    <n v="16655"/>
    <x v="2"/>
  </r>
  <r>
    <n v="85"/>
    <n v="74"/>
    <x v="0"/>
    <x v="192"/>
    <x v="1"/>
    <n v="6"/>
    <x v="0"/>
    <d v="2025-11-09T10:40:00"/>
    <x v="39"/>
    <x v="9"/>
    <n v="6404"/>
    <n v="5"/>
    <n v="32020"/>
    <x v="1"/>
  </r>
  <r>
    <n v="114"/>
    <n v="236"/>
    <x v="9"/>
    <x v="130"/>
    <x v="1"/>
    <n v="6"/>
    <x v="0"/>
    <d v="2025-11-09T11:02:00"/>
    <x v="39"/>
    <x v="10"/>
    <n v="2505"/>
    <n v="3"/>
    <n v="7515"/>
    <x v="2"/>
  </r>
  <r>
    <n v="290"/>
    <n v="135"/>
    <x v="1"/>
    <x v="20"/>
    <x v="3"/>
    <n v="1"/>
    <x v="1"/>
    <d v="2025-11-09T11:22:00"/>
    <x v="39"/>
    <x v="10"/>
    <n v="5743"/>
    <n v="0"/>
    <n v="0"/>
    <x v="1"/>
  </r>
  <r>
    <n v="371"/>
    <n v="107"/>
    <x v="1"/>
    <x v="77"/>
    <x v="3"/>
    <n v="1"/>
    <x v="0"/>
    <d v="2025-11-09T11:55:00"/>
    <x v="39"/>
    <x v="10"/>
    <n v="2326"/>
    <n v="5"/>
    <n v="11630"/>
    <x v="2"/>
  </r>
  <r>
    <n v="424"/>
    <n v="38"/>
    <x v="8"/>
    <x v="293"/>
    <x v="1"/>
    <n v="6"/>
    <x v="0"/>
    <d v="2025-11-09T12:54:00"/>
    <x v="39"/>
    <x v="11"/>
    <n v="8253"/>
    <n v="5"/>
    <n v="41265"/>
    <x v="1"/>
  </r>
  <r>
    <n v="704"/>
    <n v="215"/>
    <x v="1"/>
    <x v="115"/>
    <x v="2"/>
    <n v="3"/>
    <x v="0"/>
    <d v="2025-11-09T12:56:00"/>
    <x v="39"/>
    <x v="11"/>
    <n v="5605"/>
    <n v="5"/>
    <n v="28025"/>
    <x v="1"/>
  </r>
  <r>
    <n v="185"/>
    <n v="153"/>
    <x v="8"/>
    <x v="166"/>
    <x v="3"/>
    <n v="1"/>
    <x v="0"/>
    <d v="2025-11-09T13:31:00"/>
    <x v="39"/>
    <x v="21"/>
    <n v="4034"/>
    <n v="3"/>
    <n v="12102"/>
    <x v="2"/>
  </r>
  <r>
    <n v="33"/>
    <n v="61"/>
    <x v="9"/>
    <x v="48"/>
    <x v="2"/>
    <n v="3"/>
    <x v="0"/>
    <d v="2025-11-09T13:36:00"/>
    <x v="39"/>
    <x v="21"/>
    <n v="1500"/>
    <n v="3"/>
    <n v="4500"/>
    <x v="2"/>
  </r>
  <r>
    <n v="615"/>
    <n v="280"/>
    <x v="8"/>
    <x v="132"/>
    <x v="5"/>
    <n v="4"/>
    <x v="1"/>
    <d v="2025-11-09T14:28:00"/>
    <x v="39"/>
    <x v="12"/>
    <n v="729"/>
    <n v="0"/>
    <n v="0"/>
    <x v="3"/>
  </r>
  <r>
    <n v="261"/>
    <n v="63"/>
    <x v="3"/>
    <x v="305"/>
    <x v="3"/>
    <n v="1"/>
    <x v="0"/>
    <d v="2025-11-09T15:13:00"/>
    <x v="39"/>
    <x v="13"/>
    <n v="1000"/>
    <n v="5"/>
    <n v="5000"/>
    <x v="2"/>
  </r>
  <r>
    <n v="24"/>
    <n v="266"/>
    <x v="0"/>
    <x v="160"/>
    <x v="3"/>
    <n v="1"/>
    <x v="0"/>
    <d v="2025-11-09T15:34:00"/>
    <x v="39"/>
    <x v="13"/>
    <n v="2689"/>
    <n v="5"/>
    <n v="13445"/>
    <x v="2"/>
  </r>
  <r>
    <n v="374"/>
    <n v="59"/>
    <x v="4"/>
    <x v="6"/>
    <x v="3"/>
    <n v="1"/>
    <x v="0"/>
    <d v="2025-11-09T16:07:00"/>
    <x v="39"/>
    <x v="14"/>
    <n v="5381"/>
    <n v="5"/>
    <n v="26905"/>
    <x v="1"/>
  </r>
  <r>
    <n v="226"/>
    <n v="43"/>
    <x v="6"/>
    <x v="310"/>
    <x v="0"/>
    <n v="2"/>
    <x v="0"/>
    <d v="2025-11-09T16:17:00"/>
    <x v="39"/>
    <x v="14"/>
    <n v="7369"/>
    <n v="3"/>
    <n v="22107"/>
    <x v="1"/>
  </r>
  <r>
    <n v="205"/>
    <n v="48"/>
    <x v="7"/>
    <x v="156"/>
    <x v="0"/>
    <n v="2"/>
    <x v="0"/>
    <d v="2025-11-09T16:34:00"/>
    <x v="39"/>
    <x v="14"/>
    <n v="6010"/>
    <n v="5"/>
    <n v="30050"/>
    <x v="1"/>
  </r>
  <r>
    <n v="302"/>
    <n v="240"/>
    <x v="3"/>
    <x v="305"/>
    <x v="3"/>
    <n v="1"/>
    <x v="0"/>
    <d v="2025-11-09T17:19:00"/>
    <x v="39"/>
    <x v="15"/>
    <n v="4017"/>
    <n v="5"/>
    <n v="20085"/>
    <x v="2"/>
  </r>
  <r>
    <n v="410"/>
    <n v="99"/>
    <x v="2"/>
    <x v="162"/>
    <x v="6"/>
    <n v="5"/>
    <x v="0"/>
    <d v="2025-11-09T17:36:00"/>
    <x v="39"/>
    <x v="15"/>
    <n v="3905"/>
    <n v="5"/>
    <n v="19525"/>
    <x v="2"/>
  </r>
  <r>
    <n v="403"/>
    <n v="53"/>
    <x v="5"/>
    <x v="313"/>
    <x v="6"/>
    <n v="5"/>
    <x v="1"/>
    <d v="2025-11-09T17:47:00"/>
    <x v="39"/>
    <x v="15"/>
    <n v="1712"/>
    <n v="0"/>
    <n v="0"/>
    <x v="2"/>
  </r>
  <r>
    <n v="170"/>
    <n v="106"/>
    <x v="9"/>
    <x v="82"/>
    <x v="1"/>
    <n v="6"/>
    <x v="0"/>
    <d v="2025-11-09T18:05:00"/>
    <x v="39"/>
    <x v="16"/>
    <n v="11754"/>
    <n v="5"/>
    <n v="58770"/>
    <x v="0"/>
  </r>
  <r>
    <n v="611"/>
    <n v="140"/>
    <x v="8"/>
    <x v="140"/>
    <x v="5"/>
    <n v="4"/>
    <x v="0"/>
    <d v="2025-11-09T18:52:00"/>
    <x v="39"/>
    <x v="16"/>
    <n v="1070"/>
    <n v="5"/>
    <n v="5350"/>
    <x v="2"/>
  </r>
  <r>
    <n v="393"/>
    <n v="220"/>
    <x v="1"/>
    <x v="23"/>
    <x v="5"/>
    <n v="4"/>
    <x v="0"/>
    <d v="2025-11-09T19:03:00"/>
    <x v="39"/>
    <x v="22"/>
    <n v="820"/>
    <n v="5"/>
    <n v="4100"/>
    <x v="3"/>
  </r>
  <r>
    <n v="648"/>
    <n v="33"/>
    <x v="6"/>
    <x v="262"/>
    <x v="5"/>
    <n v="4"/>
    <x v="0"/>
    <d v="2025-11-09T19:08:00"/>
    <x v="39"/>
    <x v="22"/>
    <n v="549"/>
    <n v="5"/>
    <n v="2745"/>
    <x v="3"/>
  </r>
  <r>
    <n v="260"/>
    <n v="210"/>
    <x v="0"/>
    <x v="323"/>
    <x v="0"/>
    <n v="2"/>
    <x v="0"/>
    <d v="2025-11-09T19:41:00"/>
    <x v="39"/>
    <x v="22"/>
    <n v="11248"/>
    <n v="5"/>
    <n v="56240"/>
    <x v="0"/>
  </r>
  <r>
    <n v="408"/>
    <n v="16"/>
    <x v="3"/>
    <x v="56"/>
    <x v="5"/>
    <n v="4"/>
    <x v="0"/>
    <d v="2025-11-09T20:27:00"/>
    <x v="39"/>
    <x v="17"/>
    <n v="760"/>
    <n v="5"/>
    <n v="3800"/>
    <x v="3"/>
  </r>
  <r>
    <n v="191"/>
    <n v="184"/>
    <x v="6"/>
    <x v="224"/>
    <x v="4"/>
    <n v="7"/>
    <x v="0"/>
    <d v="2025-11-09T20:30:00"/>
    <x v="39"/>
    <x v="17"/>
    <n v="2331"/>
    <n v="5"/>
    <n v="11655"/>
    <x v="2"/>
  </r>
  <r>
    <n v="381"/>
    <n v="75"/>
    <x v="5"/>
    <x v="78"/>
    <x v="5"/>
    <n v="4"/>
    <x v="0"/>
    <d v="2025-11-09T20:37:00"/>
    <x v="39"/>
    <x v="17"/>
    <n v="389"/>
    <n v="5"/>
    <n v="1945"/>
    <x v="3"/>
  </r>
  <r>
    <n v="705"/>
    <n v="6"/>
    <x v="0"/>
    <x v="218"/>
    <x v="5"/>
    <n v="4"/>
    <x v="0"/>
    <d v="2025-11-09T20:41:00"/>
    <x v="39"/>
    <x v="17"/>
    <n v="555"/>
    <n v="5"/>
    <n v="2775"/>
    <x v="3"/>
  </r>
  <r>
    <n v="330"/>
    <n v="120"/>
    <x v="8"/>
    <x v="22"/>
    <x v="2"/>
    <n v="3"/>
    <x v="0"/>
    <d v="2025-11-09T20:53:00"/>
    <x v="39"/>
    <x v="17"/>
    <n v="4103"/>
    <n v="5"/>
    <n v="20515"/>
    <x v="2"/>
  </r>
  <r>
    <n v="617"/>
    <n v="109"/>
    <x v="2"/>
    <x v="250"/>
    <x v="3"/>
    <n v="1"/>
    <x v="0"/>
    <d v="2025-11-09T21:09:00"/>
    <x v="39"/>
    <x v="23"/>
    <n v="5433"/>
    <n v="5"/>
    <n v="27165"/>
    <x v="1"/>
  </r>
  <r>
    <n v="285"/>
    <n v="39"/>
    <x v="1"/>
    <x v="23"/>
    <x v="5"/>
    <n v="4"/>
    <x v="0"/>
    <d v="2025-11-09T21:45:00"/>
    <x v="39"/>
    <x v="23"/>
    <n v="1040"/>
    <n v="5"/>
    <n v="5200"/>
    <x v="2"/>
  </r>
  <r>
    <n v="328"/>
    <n v="102"/>
    <x v="2"/>
    <x v="228"/>
    <x v="2"/>
    <n v="3"/>
    <x v="0"/>
    <d v="2025-11-09T22:13:00"/>
    <x v="39"/>
    <x v="18"/>
    <n v="5103"/>
    <n v="5"/>
    <n v="25515"/>
    <x v="1"/>
  </r>
  <r>
    <n v="48"/>
    <n v="141"/>
    <x v="8"/>
    <x v="134"/>
    <x v="0"/>
    <n v="2"/>
    <x v="0"/>
    <d v="2025-11-09T22:39:00"/>
    <x v="39"/>
    <x v="18"/>
    <n v="7054"/>
    <n v="5"/>
    <n v="35270"/>
    <x v="1"/>
  </r>
  <r>
    <n v="176"/>
    <n v="168"/>
    <x v="1"/>
    <x v="328"/>
    <x v="1"/>
    <n v="6"/>
    <x v="0"/>
    <d v="2025-11-09T22:50:00"/>
    <x v="39"/>
    <x v="18"/>
    <n v="8762"/>
    <n v="5"/>
    <n v="43810"/>
    <x v="1"/>
  </r>
  <r>
    <n v="22"/>
    <n v="146"/>
    <x v="5"/>
    <x v="307"/>
    <x v="1"/>
    <n v="6"/>
    <x v="0"/>
    <d v="2025-11-09T23:39:00"/>
    <x v="39"/>
    <x v="19"/>
    <n v="11681"/>
    <n v="5"/>
    <n v="58405"/>
    <x v="0"/>
  </r>
  <r>
    <n v="473"/>
    <n v="146"/>
    <x v="9"/>
    <x v="151"/>
    <x v="5"/>
    <n v="4"/>
    <x v="0"/>
    <d v="2025-11-09T23:56:00"/>
    <x v="39"/>
    <x v="19"/>
    <n v="215"/>
    <n v="5"/>
    <n v="1075"/>
    <x v="3"/>
  </r>
  <r>
    <n v="541"/>
    <n v="21"/>
    <x v="0"/>
    <x v="249"/>
    <x v="2"/>
    <n v="3"/>
    <x v="0"/>
    <d v="2025-11-10T01:38:00"/>
    <x v="40"/>
    <x v="1"/>
    <n v="2579"/>
    <n v="5"/>
    <n v="12895"/>
    <x v="2"/>
  </r>
  <r>
    <n v="482"/>
    <n v="49"/>
    <x v="0"/>
    <x v="101"/>
    <x v="1"/>
    <n v="6"/>
    <x v="0"/>
    <d v="2025-11-10T02:05:00"/>
    <x v="40"/>
    <x v="2"/>
    <n v="7657"/>
    <n v="3"/>
    <n v="22971"/>
    <x v="1"/>
  </r>
  <r>
    <n v="325"/>
    <n v="178"/>
    <x v="7"/>
    <x v="184"/>
    <x v="6"/>
    <n v="5"/>
    <x v="0"/>
    <d v="2025-11-10T02:09:00"/>
    <x v="40"/>
    <x v="2"/>
    <n v="2670"/>
    <n v="5"/>
    <n v="13350"/>
    <x v="2"/>
  </r>
  <r>
    <n v="506"/>
    <n v="25"/>
    <x v="3"/>
    <x v="354"/>
    <x v="0"/>
    <n v="2"/>
    <x v="0"/>
    <d v="2025-11-10T02:39:00"/>
    <x v="40"/>
    <x v="2"/>
    <n v="10399"/>
    <n v="5"/>
    <n v="51995"/>
    <x v="0"/>
  </r>
  <r>
    <n v="657"/>
    <n v="63"/>
    <x v="8"/>
    <x v="134"/>
    <x v="0"/>
    <n v="2"/>
    <x v="0"/>
    <d v="2025-11-10T02:49:00"/>
    <x v="40"/>
    <x v="2"/>
    <n v="10396"/>
    <n v="3"/>
    <n v="31188"/>
    <x v="0"/>
  </r>
  <r>
    <n v="230"/>
    <n v="25"/>
    <x v="1"/>
    <x v="176"/>
    <x v="1"/>
    <n v="6"/>
    <x v="0"/>
    <d v="2025-11-10T03:20:00"/>
    <x v="40"/>
    <x v="3"/>
    <n v="8242"/>
    <n v="5"/>
    <n v="41210"/>
    <x v="1"/>
  </r>
  <r>
    <n v="331"/>
    <n v="224"/>
    <x v="4"/>
    <x v="102"/>
    <x v="3"/>
    <n v="1"/>
    <x v="0"/>
    <d v="2025-11-10T03:22:00"/>
    <x v="40"/>
    <x v="3"/>
    <n v="7567"/>
    <n v="5"/>
    <n v="37835"/>
    <x v="1"/>
  </r>
  <r>
    <n v="742"/>
    <n v="189"/>
    <x v="1"/>
    <x v="327"/>
    <x v="1"/>
    <n v="6"/>
    <x v="1"/>
    <d v="2025-11-10T03:27:00"/>
    <x v="40"/>
    <x v="3"/>
    <n v="5595"/>
    <n v="0"/>
    <n v="0"/>
    <x v="1"/>
  </r>
  <r>
    <n v="45"/>
    <n v="57"/>
    <x v="0"/>
    <x v="218"/>
    <x v="5"/>
    <n v="4"/>
    <x v="0"/>
    <d v="2025-11-10T04:18:00"/>
    <x v="40"/>
    <x v="4"/>
    <n v="952"/>
    <n v="3"/>
    <n v="2856"/>
    <x v="3"/>
  </r>
  <r>
    <n v="338"/>
    <n v="195"/>
    <x v="1"/>
    <x v="116"/>
    <x v="3"/>
    <n v="1"/>
    <x v="0"/>
    <d v="2025-11-10T04:25:00"/>
    <x v="40"/>
    <x v="4"/>
    <n v="1348"/>
    <n v="5"/>
    <n v="6740"/>
    <x v="2"/>
  </r>
  <r>
    <n v="598"/>
    <n v="236"/>
    <x v="4"/>
    <x v="316"/>
    <x v="0"/>
    <n v="2"/>
    <x v="0"/>
    <d v="2025-11-10T05:13:00"/>
    <x v="40"/>
    <x v="20"/>
    <n v="8579"/>
    <n v="3"/>
    <n v="25737"/>
    <x v="1"/>
  </r>
  <r>
    <n v="772"/>
    <n v="300"/>
    <x v="6"/>
    <x v="53"/>
    <x v="5"/>
    <n v="4"/>
    <x v="0"/>
    <d v="2025-11-10T05:22:00"/>
    <x v="40"/>
    <x v="20"/>
    <n v="159"/>
    <n v="3"/>
    <n v="477"/>
    <x v="3"/>
  </r>
  <r>
    <n v="126"/>
    <n v="268"/>
    <x v="8"/>
    <x v="207"/>
    <x v="0"/>
    <n v="2"/>
    <x v="0"/>
    <d v="2025-11-10T05:49:00"/>
    <x v="40"/>
    <x v="20"/>
    <n v="10897"/>
    <n v="5"/>
    <n v="54485"/>
    <x v="0"/>
  </r>
  <r>
    <n v="678"/>
    <n v="251"/>
    <x v="9"/>
    <x v="18"/>
    <x v="3"/>
    <n v="1"/>
    <x v="0"/>
    <d v="2025-11-10T06:20:00"/>
    <x v="40"/>
    <x v="5"/>
    <n v="5245"/>
    <n v="5"/>
    <n v="26225"/>
    <x v="1"/>
  </r>
  <r>
    <n v="95"/>
    <n v="136"/>
    <x v="8"/>
    <x v="166"/>
    <x v="3"/>
    <n v="1"/>
    <x v="1"/>
    <d v="2025-11-10T06:39:00"/>
    <x v="40"/>
    <x v="5"/>
    <n v="3262"/>
    <n v="0"/>
    <n v="0"/>
    <x v="2"/>
  </r>
  <r>
    <n v="572"/>
    <n v="125"/>
    <x v="1"/>
    <x v="199"/>
    <x v="5"/>
    <n v="4"/>
    <x v="0"/>
    <d v="2025-11-10T06:49:00"/>
    <x v="40"/>
    <x v="5"/>
    <n v="820"/>
    <n v="5"/>
    <n v="4100"/>
    <x v="3"/>
  </r>
  <r>
    <n v="80"/>
    <n v="39"/>
    <x v="5"/>
    <x v="222"/>
    <x v="0"/>
    <n v="2"/>
    <x v="0"/>
    <d v="2025-11-10T06:55:00"/>
    <x v="40"/>
    <x v="5"/>
    <n v="14935"/>
    <n v="5"/>
    <n v="74675"/>
    <x v="0"/>
  </r>
  <r>
    <n v="687"/>
    <n v="111"/>
    <x v="5"/>
    <x v="10"/>
    <x v="1"/>
    <n v="6"/>
    <x v="0"/>
    <d v="2025-11-10T06:56:00"/>
    <x v="40"/>
    <x v="5"/>
    <n v="9933"/>
    <n v="3"/>
    <n v="29799"/>
    <x v="1"/>
  </r>
  <r>
    <n v="108"/>
    <n v="175"/>
    <x v="5"/>
    <x v="147"/>
    <x v="3"/>
    <n v="1"/>
    <x v="0"/>
    <d v="2025-11-10T07:06:00"/>
    <x v="40"/>
    <x v="6"/>
    <n v="4832"/>
    <n v="5"/>
    <n v="24160"/>
    <x v="2"/>
  </r>
  <r>
    <n v="321"/>
    <n v="160"/>
    <x v="3"/>
    <x v="338"/>
    <x v="4"/>
    <n v="7"/>
    <x v="1"/>
    <d v="2025-11-10T07:34:00"/>
    <x v="40"/>
    <x v="6"/>
    <n v="3311"/>
    <n v="0"/>
    <n v="0"/>
    <x v="2"/>
  </r>
  <r>
    <n v="109"/>
    <n v="67"/>
    <x v="4"/>
    <x v="335"/>
    <x v="6"/>
    <n v="5"/>
    <x v="1"/>
    <d v="2025-11-10T08:48:00"/>
    <x v="40"/>
    <x v="7"/>
    <n v="3734"/>
    <n v="0"/>
    <n v="0"/>
    <x v="2"/>
  </r>
  <r>
    <n v="636"/>
    <n v="263"/>
    <x v="2"/>
    <x v="148"/>
    <x v="3"/>
    <n v="1"/>
    <x v="0"/>
    <d v="2025-11-10T09:42:00"/>
    <x v="40"/>
    <x v="8"/>
    <n v="2778"/>
    <n v="5"/>
    <n v="13890"/>
    <x v="2"/>
  </r>
  <r>
    <n v="71"/>
    <n v="143"/>
    <x v="2"/>
    <x v="361"/>
    <x v="6"/>
    <n v="5"/>
    <x v="0"/>
    <d v="2025-11-10T10:20:00"/>
    <x v="40"/>
    <x v="9"/>
    <n v="1830"/>
    <n v="5"/>
    <n v="9150"/>
    <x v="2"/>
  </r>
  <r>
    <n v="664"/>
    <n v="53"/>
    <x v="7"/>
    <x v="85"/>
    <x v="4"/>
    <n v="7"/>
    <x v="0"/>
    <d v="2025-11-10T11:02:00"/>
    <x v="40"/>
    <x v="10"/>
    <n v="4849"/>
    <n v="5"/>
    <n v="24245"/>
    <x v="2"/>
  </r>
  <r>
    <n v="113"/>
    <n v="124"/>
    <x v="1"/>
    <x v="268"/>
    <x v="4"/>
    <n v="7"/>
    <x v="0"/>
    <d v="2025-11-10T11:31:00"/>
    <x v="40"/>
    <x v="10"/>
    <n v="2742"/>
    <n v="5"/>
    <n v="13710"/>
    <x v="2"/>
  </r>
  <r>
    <n v="30"/>
    <n v="244"/>
    <x v="4"/>
    <x v="198"/>
    <x v="0"/>
    <n v="2"/>
    <x v="0"/>
    <d v="2025-11-10T11:39:00"/>
    <x v="40"/>
    <x v="10"/>
    <n v="4306"/>
    <n v="5"/>
    <n v="21530"/>
    <x v="2"/>
  </r>
  <r>
    <n v="122"/>
    <n v="282"/>
    <x v="6"/>
    <x v="336"/>
    <x v="1"/>
    <n v="6"/>
    <x v="0"/>
    <d v="2025-11-10T12:42:00"/>
    <x v="40"/>
    <x v="11"/>
    <n v="10729"/>
    <n v="5"/>
    <n v="53645"/>
    <x v="0"/>
  </r>
  <r>
    <n v="155"/>
    <n v="204"/>
    <x v="2"/>
    <x v="361"/>
    <x v="6"/>
    <n v="5"/>
    <x v="0"/>
    <d v="2025-11-10T13:11:00"/>
    <x v="40"/>
    <x v="21"/>
    <n v="1125"/>
    <n v="5"/>
    <n v="5625"/>
    <x v="2"/>
  </r>
  <r>
    <n v="55"/>
    <n v="226"/>
    <x v="3"/>
    <x v="59"/>
    <x v="2"/>
    <n v="3"/>
    <x v="0"/>
    <d v="2025-11-10T13:33:00"/>
    <x v="40"/>
    <x v="21"/>
    <n v="5633"/>
    <n v="3"/>
    <n v="16899"/>
    <x v="1"/>
  </r>
  <r>
    <n v="665"/>
    <n v="196"/>
    <x v="1"/>
    <x v="60"/>
    <x v="3"/>
    <n v="1"/>
    <x v="1"/>
    <d v="2025-11-10T13:36:00"/>
    <x v="40"/>
    <x v="21"/>
    <n v="3222"/>
    <n v="0"/>
    <n v="0"/>
    <x v="2"/>
  </r>
  <r>
    <n v="413"/>
    <n v="91"/>
    <x v="7"/>
    <x v="209"/>
    <x v="0"/>
    <n v="2"/>
    <x v="1"/>
    <d v="2025-11-10T13:52:00"/>
    <x v="40"/>
    <x v="21"/>
    <n v="10822"/>
    <n v="0"/>
    <n v="0"/>
    <x v="0"/>
  </r>
  <r>
    <n v="506"/>
    <n v="266"/>
    <x v="3"/>
    <x v="3"/>
    <x v="3"/>
    <n v="1"/>
    <x v="0"/>
    <d v="2025-11-10T14:08:00"/>
    <x v="40"/>
    <x v="12"/>
    <n v="5807"/>
    <n v="5"/>
    <n v="29035"/>
    <x v="1"/>
  </r>
  <r>
    <n v="114"/>
    <n v="113"/>
    <x v="0"/>
    <x v="87"/>
    <x v="5"/>
    <n v="4"/>
    <x v="0"/>
    <d v="2025-11-10T15:01:00"/>
    <x v="40"/>
    <x v="13"/>
    <n v="792"/>
    <n v="3"/>
    <n v="2376"/>
    <x v="3"/>
  </r>
  <r>
    <n v="273"/>
    <n v="123"/>
    <x v="0"/>
    <x v="249"/>
    <x v="2"/>
    <n v="3"/>
    <x v="0"/>
    <d v="2025-11-10T15:22:00"/>
    <x v="40"/>
    <x v="13"/>
    <n v="2270"/>
    <n v="5"/>
    <n v="11350"/>
    <x v="2"/>
  </r>
  <r>
    <n v="232"/>
    <n v="208"/>
    <x v="1"/>
    <x v="24"/>
    <x v="0"/>
    <n v="2"/>
    <x v="0"/>
    <d v="2025-11-10T15:35:00"/>
    <x v="40"/>
    <x v="13"/>
    <n v="5150"/>
    <n v="3"/>
    <n v="15450"/>
    <x v="1"/>
  </r>
  <r>
    <n v="752"/>
    <n v="138"/>
    <x v="1"/>
    <x v="20"/>
    <x v="3"/>
    <n v="1"/>
    <x v="0"/>
    <d v="2025-11-10T17:14:00"/>
    <x v="40"/>
    <x v="15"/>
    <n v="4211"/>
    <n v="5"/>
    <n v="21055"/>
    <x v="2"/>
  </r>
  <r>
    <n v="356"/>
    <n v="148"/>
    <x v="4"/>
    <x v="6"/>
    <x v="3"/>
    <n v="1"/>
    <x v="0"/>
    <d v="2025-11-10T17:17:00"/>
    <x v="40"/>
    <x v="15"/>
    <n v="4961"/>
    <n v="3"/>
    <n v="14883"/>
    <x v="2"/>
  </r>
  <r>
    <n v="97"/>
    <n v="95"/>
    <x v="7"/>
    <x v="107"/>
    <x v="6"/>
    <n v="5"/>
    <x v="1"/>
    <d v="2025-11-10T17:32:00"/>
    <x v="40"/>
    <x v="15"/>
    <n v="3796"/>
    <n v="0"/>
    <n v="0"/>
    <x v="2"/>
  </r>
  <r>
    <n v="757"/>
    <n v="157"/>
    <x v="9"/>
    <x v="182"/>
    <x v="5"/>
    <n v="4"/>
    <x v="0"/>
    <d v="2025-11-10T17:33:00"/>
    <x v="40"/>
    <x v="15"/>
    <n v="1238"/>
    <n v="3"/>
    <n v="3714"/>
    <x v="2"/>
  </r>
  <r>
    <n v="171"/>
    <n v="96"/>
    <x v="6"/>
    <x v="79"/>
    <x v="2"/>
    <n v="3"/>
    <x v="1"/>
    <d v="2025-11-10T18:09:00"/>
    <x v="40"/>
    <x v="16"/>
    <n v="3341"/>
    <n v="0"/>
    <n v="0"/>
    <x v="2"/>
  </r>
  <r>
    <n v="683"/>
    <n v="243"/>
    <x v="4"/>
    <x v="102"/>
    <x v="3"/>
    <n v="1"/>
    <x v="0"/>
    <d v="2025-11-10T19:15:00"/>
    <x v="40"/>
    <x v="22"/>
    <n v="3754"/>
    <n v="5"/>
    <n v="18770"/>
    <x v="2"/>
  </r>
  <r>
    <n v="271"/>
    <n v="40"/>
    <x v="0"/>
    <x v="5"/>
    <x v="4"/>
    <n v="7"/>
    <x v="0"/>
    <d v="2025-11-10T19:24:00"/>
    <x v="40"/>
    <x v="22"/>
    <n v="4976"/>
    <n v="5"/>
    <n v="24880"/>
    <x v="2"/>
  </r>
  <r>
    <n v="361"/>
    <n v="243"/>
    <x v="0"/>
    <x v="160"/>
    <x v="3"/>
    <n v="1"/>
    <x v="0"/>
    <d v="2025-11-10T20:16:00"/>
    <x v="40"/>
    <x v="17"/>
    <n v="2545"/>
    <n v="3"/>
    <n v="7635"/>
    <x v="2"/>
  </r>
  <r>
    <n v="484"/>
    <n v="57"/>
    <x v="8"/>
    <x v="166"/>
    <x v="3"/>
    <n v="1"/>
    <x v="0"/>
    <d v="2025-11-10T20:25:00"/>
    <x v="40"/>
    <x v="17"/>
    <n v="5577"/>
    <n v="5"/>
    <n v="27885"/>
    <x v="1"/>
  </r>
  <r>
    <n v="234"/>
    <n v="269"/>
    <x v="9"/>
    <x v="113"/>
    <x v="5"/>
    <n v="4"/>
    <x v="0"/>
    <d v="2025-11-10T21:29:00"/>
    <x v="40"/>
    <x v="23"/>
    <n v="50"/>
    <n v="5"/>
    <n v="250"/>
    <x v="3"/>
  </r>
  <r>
    <n v="103"/>
    <n v="156"/>
    <x v="4"/>
    <x v="196"/>
    <x v="5"/>
    <n v="4"/>
    <x v="0"/>
    <d v="2025-11-10T22:06:00"/>
    <x v="40"/>
    <x v="18"/>
    <n v="965"/>
    <n v="5"/>
    <n v="4825"/>
    <x v="3"/>
  </r>
  <r>
    <n v="360"/>
    <n v="280"/>
    <x v="8"/>
    <x v="207"/>
    <x v="0"/>
    <n v="2"/>
    <x v="0"/>
    <d v="2025-11-10T22:49:00"/>
    <x v="40"/>
    <x v="18"/>
    <n v="9530"/>
    <n v="3"/>
    <n v="28590"/>
    <x v="1"/>
  </r>
  <r>
    <n v="374"/>
    <n v="235"/>
    <x v="8"/>
    <x v="103"/>
    <x v="3"/>
    <n v="1"/>
    <x v="1"/>
    <d v="2025-11-10T22:50:00"/>
    <x v="40"/>
    <x v="18"/>
    <n v="3247"/>
    <n v="0"/>
    <n v="0"/>
    <x v="2"/>
  </r>
  <r>
    <n v="531"/>
    <n v="248"/>
    <x v="7"/>
    <x v="181"/>
    <x v="5"/>
    <n v="4"/>
    <x v="1"/>
    <d v="2025-11-11T00:17:00"/>
    <x v="41"/>
    <x v="0"/>
    <n v="57"/>
    <n v="0"/>
    <n v="0"/>
    <x v="3"/>
  </r>
  <r>
    <n v="656"/>
    <n v="11"/>
    <x v="3"/>
    <x v="247"/>
    <x v="1"/>
    <n v="6"/>
    <x v="0"/>
    <d v="2025-11-11T00:51:00"/>
    <x v="41"/>
    <x v="0"/>
    <n v="3785"/>
    <n v="5"/>
    <n v="18925"/>
    <x v="2"/>
  </r>
  <r>
    <n v="146"/>
    <n v="183"/>
    <x v="5"/>
    <x v="298"/>
    <x v="4"/>
    <n v="7"/>
    <x v="0"/>
    <d v="2025-11-11T01:01:00"/>
    <x v="41"/>
    <x v="1"/>
    <n v="2721"/>
    <n v="5"/>
    <n v="13605"/>
    <x v="2"/>
  </r>
  <r>
    <n v="759"/>
    <n v="221"/>
    <x v="5"/>
    <x v="258"/>
    <x v="2"/>
    <n v="3"/>
    <x v="0"/>
    <d v="2025-11-11T01:48:00"/>
    <x v="41"/>
    <x v="1"/>
    <n v="5393"/>
    <n v="5"/>
    <n v="26965"/>
    <x v="1"/>
  </r>
  <r>
    <n v="387"/>
    <n v="56"/>
    <x v="1"/>
    <x v="327"/>
    <x v="1"/>
    <n v="6"/>
    <x v="0"/>
    <d v="2025-11-11T01:56:00"/>
    <x v="41"/>
    <x v="1"/>
    <n v="7793"/>
    <n v="5"/>
    <n v="38965"/>
    <x v="1"/>
  </r>
  <r>
    <n v="540"/>
    <n v="90"/>
    <x v="3"/>
    <x v="230"/>
    <x v="1"/>
    <n v="6"/>
    <x v="0"/>
    <d v="2025-11-11T02:51:00"/>
    <x v="41"/>
    <x v="2"/>
    <n v="6607"/>
    <n v="5"/>
    <n v="33035"/>
    <x v="1"/>
  </r>
  <r>
    <n v="401"/>
    <n v="214"/>
    <x v="6"/>
    <x v="336"/>
    <x v="1"/>
    <n v="6"/>
    <x v="0"/>
    <d v="2025-11-11T02:54:00"/>
    <x v="41"/>
    <x v="2"/>
    <n v="6493"/>
    <n v="5"/>
    <n v="32465"/>
    <x v="1"/>
  </r>
  <r>
    <n v="594"/>
    <n v="267"/>
    <x v="5"/>
    <x v="10"/>
    <x v="1"/>
    <n v="6"/>
    <x v="0"/>
    <d v="2025-11-11T03:27:00"/>
    <x v="41"/>
    <x v="3"/>
    <n v="6484"/>
    <n v="5"/>
    <n v="32420"/>
    <x v="1"/>
  </r>
  <r>
    <n v="444"/>
    <n v="233"/>
    <x v="9"/>
    <x v="372"/>
    <x v="6"/>
    <n v="5"/>
    <x v="0"/>
    <d v="2025-11-11T03:47:00"/>
    <x v="41"/>
    <x v="3"/>
    <n v="3649"/>
    <n v="5"/>
    <n v="18245"/>
    <x v="2"/>
  </r>
  <r>
    <n v="9"/>
    <n v="256"/>
    <x v="7"/>
    <x v="158"/>
    <x v="0"/>
    <n v="2"/>
    <x v="0"/>
    <d v="2025-11-11T03:50:00"/>
    <x v="41"/>
    <x v="3"/>
    <n v="13261"/>
    <n v="5"/>
    <n v="66305"/>
    <x v="0"/>
  </r>
  <r>
    <n v="297"/>
    <n v="286"/>
    <x v="4"/>
    <x v="131"/>
    <x v="2"/>
    <n v="3"/>
    <x v="0"/>
    <d v="2025-11-11T03:57:00"/>
    <x v="41"/>
    <x v="3"/>
    <n v="2743"/>
    <n v="5"/>
    <n v="13715"/>
    <x v="2"/>
  </r>
  <r>
    <n v="296"/>
    <n v="34"/>
    <x v="7"/>
    <x v="54"/>
    <x v="3"/>
    <n v="1"/>
    <x v="1"/>
    <d v="2025-11-11T03:57:00"/>
    <x v="41"/>
    <x v="3"/>
    <n v="6325"/>
    <n v="0"/>
    <n v="0"/>
    <x v="1"/>
  </r>
  <r>
    <n v="223"/>
    <n v="145"/>
    <x v="8"/>
    <x v="214"/>
    <x v="5"/>
    <n v="4"/>
    <x v="0"/>
    <d v="2025-11-11T04:14:00"/>
    <x v="41"/>
    <x v="4"/>
    <n v="460"/>
    <n v="5"/>
    <n v="2300"/>
    <x v="3"/>
  </r>
  <r>
    <n v="6"/>
    <n v="221"/>
    <x v="8"/>
    <x v="71"/>
    <x v="2"/>
    <n v="3"/>
    <x v="1"/>
    <d v="2025-11-11T04:24:00"/>
    <x v="41"/>
    <x v="4"/>
    <n v="2338"/>
    <n v="0"/>
    <n v="0"/>
    <x v="2"/>
  </r>
  <r>
    <n v="258"/>
    <n v="71"/>
    <x v="0"/>
    <x v="172"/>
    <x v="5"/>
    <n v="4"/>
    <x v="0"/>
    <d v="2025-11-11T04:48:00"/>
    <x v="41"/>
    <x v="4"/>
    <n v="909"/>
    <n v="4"/>
    <n v="3636"/>
    <x v="3"/>
  </r>
  <r>
    <n v="788"/>
    <n v="288"/>
    <x v="3"/>
    <x v="305"/>
    <x v="3"/>
    <n v="1"/>
    <x v="0"/>
    <d v="2025-11-11T04:57:00"/>
    <x v="41"/>
    <x v="4"/>
    <n v="3813"/>
    <n v="4"/>
    <n v="15252"/>
    <x v="2"/>
  </r>
  <r>
    <n v="751"/>
    <n v="101"/>
    <x v="7"/>
    <x v="337"/>
    <x v="3"/>
    <n v="1"/>
    <x v="1"/>
    <d v="2025-11-11T05:07:00"/>
    <x v="41"/>
    <x v="20"/>
    <n v="2114"/>
    <n v="0"/>
    <n v="0"/>
    <x v="2"/>
  </r>
  <r>
    <n v="225"/>
    <n v="17"/>
    <x v="1"/>
    <x v="116"/>
    <x v="3"/>
    <n v="1"/>
    <x v="0"/>
    <d v="2025-11-11T05:43:00"/>
    <x v="41"/>
    <x v="20"/>
    <n v="4638"/>
    <n v="4"/>
    <n v="18552"/>
    <x v="2"/>
  </r>
  <r>
    <n v="653"/>
    <n v="198"/>
    <x v="5"/>
    <x v="164"/>
    <x v="3"/>
    <n v="1"/>
    <x v="0"/>
    <d v="2025-11-11T05:44:00"/>
    <x v="41"/>
    <x v="20"/>
    <n v="4857"/>
    <n v="5"/>
    <n v="24285"/>
    <x v="2"/>
  </r>
  <r>
    <n v="310"/>
    <n v="160"/>
    <x v="1"/>
    <x v="199"/>
    <x v="5"/>
    <n v="4"/>
    <x v="0"/>
    <d v="2025-11-11T06:46:00"/>
    <x v="41"/>
    <x v="5"/>
    <n v="919"/>
    <n v="4"/>
    <n v="3676"/>
    <x v="3"/>
  </r>
  <r>
    <n v="331"/>
    <n v="297"/>
    <x v="2"/>
    <x v="332"/>
    <x v="4"/>
    <n v="7"/>
    <x v="0"/>
    <d v="2025-11-11T07:36:00"/>
    <x v="41"/>
    <x v="6"/>
    <n v="3007"/>
    <n v="4"/>
    <n v="12028"/>
    <x v="2"/>
  </r>
  <r>
    <n v="139"/>
    <n v="214"/>
    <x v="5"/>
    <x v="86"/>
    <x v="2"/>
    <n v="3"/>
    <x v="0"/>
    <d v="2025-11-11T08:06:00"/>
    <x v="41"/>
    <x v="7"/>
    <n v="2789"/>
    <n v="4"/>
    <n v="11156"/>
    <x v="2"/>
  </r>
  <r>
    <n v="88"/>
    <n v="153"/>
    <x v="7"/>
    <x v="83"/>
    <x v="3"/>
    <n v="1"/>
    <x v="0"/>
    <d v="2025-11-11T08:30:00"/>
    <x v="41"/>
    <x v="7"/>
    <n v="5442"/>
    <n v="5"/>
    <n v="27210"/>
    <x v="1"/>
  </r>
  <r>
    <n v="448"/>
    <n v="50"/>
    <x v="4"/>
    <x v="270"/>
    <x v="2"/>
    <n v="3"/>
    <x v="0"/>
    <d v="2025-11-11T09:29:00"/>
    <x v="41"/>
    <x v="8"/>
    <n v="5356"/>
    <n v="5"/>
    <n v="26780"/>
    <x v="1"/>
  </r>
  <r>
    <n v="321"/>
    <n v="258"/>
    <x v="8"/>
    <x v="343"/>
    <x v="3"/>
    <n v="1"/>
    <x v="0"/>
    <d v="2025-11-11T09:34:00"/>
    <x v="41"/>
    <x v="8"/>
    <n v="2204"/>
    <n v="5"/>
    <n v="11020"/>
    <x v="2"/>
  </r>
  <r>
    <n v="478"/>
    <n v="216"/>
    <x v="6"/>
    <x v="282"/>
    <x v="2"/>
    <n v="3"/>
    <x v="0"/>
    <d v="2025-11-11T09:36:00"/>
    <x v="41"/>
    <x v="8"/>
    <n v="4468"/>
    <n v="4"/>
    <n v="17872"/>
    <x v="2"/>
  </r>
  <r>
    <n v="28"/>
    <n v="216"/>
    <x v="0"/>
    <x v="249"/>
    <x v="2"/>
    <n v="3"/>
    <x v="0"/>
    <d v="2025-11-11T09:43:00"/>
    <x v="41"/>
    <x v="8"/>
    <n v="4896"/>
    <n v="5"/>
    <n v="24480"/>
    <x v="2"/>
  </r>
  <r>
    <n v="310"/>
    <n v="125"/>
    <x v="4"/>
    <x v="131"/>
    <x v="2"/>
    <n v="3"/>
    <x v="0"/>
    <d v="2025-11-11T10:25:00"/>
    <x v="41"/>
    <x v="9"/>
    <n v="2410"/>
    <n v="4"/>
    <n v="9640"/>
    <x v="2"/>
  </r>
  <r>
    <n v="636"/>
    <n v="279"/>
    <x v="6"/>
    <x v="384"/>
    <x v="1"/>
    <n v="6"/>
    <x v="1"/>
    <d v="2025-11-11T10:26:00"/>
    <x v="41"/>
    <x v="9"/>
    <n v="11570"/>
    <n v="0"/>
    <n v="0"/>
    <x v="0"/>
  </r>
  <r>
    <n v="129"/>
    <n v="207"/>
    <x v="0"/>
    <x v="154"/>
    <x v="3"/>
    <n v="1"/>
    <x v="0"/>
    <d v="2025-11-11T10:49:00"/>
    <x v="41"/>
    <x v="9"/>
    <n v="5583"/>
    <n v="4"/>
    <n v="22332"/>
    <x v="1"/>
  </r>
  <r>
    <n v="472"/>
    <n v="28"/>
    <x v="8"/>
    <x v="132"/>
    <x v="5"/>
    <n v="4"/>
    <x v="0"/>
    <d v="2025-11-11T13:12:00"/>
    <x v="41"/>
    <x v="21"/>
    <n v="1225"/>
    <n v="5"/>
    <n v="6125"/>
    <x v="2"/>
  </r>
  <r>
    <n v="342"/>
    <n v="50"/>
    <x v="7"/>
    <x v="12"/>
    <x v="5"/>
    <n v="4"/>
    <x v="0"/>
    <d v="2025-11-11T14:04:00"/>
    <x v="41"/>
    <x v="12"/>
    <n v="51"/>
    <n v="5"/>
    <n v="255"/>
    <x v="3"/>
  </r>
  <r>
    <n v="63"/>
    <n v="63"/>
    <x v="8"/>
    <x v="129"/>
    <x v="5"/>
    <n v="4"/>
    <x v="0"/>
    <d v="2025-11-11T14:23:00"/>
    <x v="41"/>
    <x v="12"/>
    <n v="734"/>
    <n v="5"/>
    <n v="3670"/>
    <x v="3"/>
  </r>
  <r>
    <n v="719"/>
    <n v="105"/>
    <x v="3"/>
    <x v="290"/>
    <x v="5"/>
    <n v="4"/>
    <x v="0"/>
    <d v="2025-11-11T14:25:00"/>
    <x v="41"/>
    <x v="12"/>
    <n v="1392"/>
    <n v="5"/>
    <n v="6960"/>
    <x v="2"/>
  </r>
  <r>
    <n v="508"/>
    <n v="70"/>
    <x v="3"/>
    <x v="305"/>
    <x v="3"/>
    <n v="1"/>
    <x v="0"/>
    <d v="2025-11-11T15:12:00"/>
    <x v="41"/>
    <x v="13"/>
    <n v="5102"/>
    <n v="5"/>
    <n v="25510"/>
    <x v="1"/>
  </r>
  <r>
    <n v="644"/>
    <n v="160"/>
    <x v="4"/>
    <x v="198"/>
    <x v="0"/>
    <n v="2"/>
    <x v="0"/>
    <d v="2025-11-11T15:36:00"/>
    <x v="41"/>
    <x v="13"/>
    <n v="7807"/>
    <n v="4"/>
    <n v="31228"/>
    <x v="1"/>
  </r>
  <r>
    <n v="705"/>
    <n v="103"/>
    <x v="8"/>
    <x v="210"/>
    <x v="6"/>
    <n v="5"/>
    <x v="0"/>
    <d v="2025-11-11T15:39:00"/>
    <x v="41"/>
    <x v="13"/>
    <n v="3548"/>
    <n v="5"/>
    <n v="17740"/>
    <x v="2"/>
  </r>
  <r>
    <n v="619"/>
    <n v="62"/>
    <x v="0"/>
    <x v="353"/>
    <x v="1"/>
    <n v="6"/>
    <x v="0"/>
    <d v="2025-11-11T15:42:00"/>
    <x v="41"/>
    <x v="13"/>
    <n v="3713"/>
    <n v="4"/>
    <n v="14852"/>
    <x v="2"/>
  </r>
  <r>
    <n v="107"/>
    <n v="243"/>
    <x v="5"/>
    <x v="285"/>
    <x v="1"/>
    <n v="6"/>
    <x v="1"/>
    <d v="2025-11-11T16:46:00"/>
    <x v="41"/>
    <x v="14"/>
    <n v="10365"/>
    <n v="0"/>
    <n v="0"/>
    <x v="0"/>
  </r>
  <r>
    <n v="57"/>
    <n v="63"/>
    <x v="8"/>
    <x v="37"/>
    <x v="3"/>
    <n v="1"/>
    <x v="0"/>
    <d v="2025-11-11T17:15:00"/>
    <x v="41"/>
    <x v="15"/>
    <n v="1259"/>
    <n v="4"/>
    <n v="5036"/>
    <x v="2"/>
  </r>
  <r>
    <n v="241"/>
    <n v="280"/>
    <x v="8"/>
    <x v="41"/>
    <x v="0"/>
    <n v="2"/>
    <x v="1"/>
    <d v="2025-11-11T18:02:00"/>
    <x v="41"/>
    <x v="16"/>
    <n v="8920"/>
    <n v="0"/>
    <n v="0"/>
    <x v="1"/>
  </r>
  <r>
    <n v="127"/>
    <n v="222"/>
    <x v="8"/>
    <x v="132"/>
    <x v="5"/>
    <n v="4"/>
    <x v="0"/>
    <d v="2025-11-11T18:58:00"/>
    <x v="41"/>
    <x v="16"/>
    <n v="696"/>
    <n v="5"/>
    <n v="3480"/>
    <x v="3"/>
  </r>
  <r>
    <n v="146"/>
    <n v="124"/>
    <x v="0"/>
    <x v="5"/>
    <x v="4"/>
    <n v="7"/>
    <x v="0"/>
    <d v="2025-11-11T19:20:00"/>
    <x v="41"/>
    <x v="22"/>
    <n v="2823"/>
    <n v="5"/>
    <n v="14115"/>
    <x v="2"/>
  </r>
  <r>
    <n v="488"/>
    <n v="246"/>
    <x v="3"/>
    <x v="35"/>
    <x v="5"/>
    <n v="4"/>
    <x v="1"/>
    <d v="2025-11-11T19:40:00"/>
    <x v="41"/>
    <x v="22"/>
    <n v="460"/>
    <n v="0"/>
    <n v="0"/>
    <x v="3"/>
  </r>
  <r>
    <n v="505"/>
    <n v="189"/>
    <x v="1"/>
    <x v="149"/>
    <x v="0"/>
    <n v="2"/>
    <x v="0"/>
    <d v="2025-11-11T19:55:00"/>
    <x v="41"/>
    <x v="22"/>
    <n v="8699"/>
    <n v="5"/>
    <n v="43495"/>
    <x v="1"/>
  </r>
  <r>
    <n v="715"/>
    <n v="55"/>
    <x v="2"/>
    <x v="97"/>
    <x v="6"/>
    <n v="5"/>
    <x v="0"/>
    <d v="2025-11-11T20:05:00"/>
    <x v="41"/>
    <x v="17"/>
    <n v="3474"/>
    <n v="5"/>
    <n v="17370"/>
    <x v="2"/>
  </r>
  <r>
    <n v="29"/>
    <n v="146"/>
    <x v="2"/>
    <x v="256"/>
    <x v="4"/>
    <n v="7"/>
    <x v="0"/>
    <d v="2025-11-11T20:20:00"/>
    <x v="41"/>
    <x v="17"/>
    <n v="5313"/>
    <n v="4"/>
    <n v="21252"/>
    <x v="1"/>
  </r>
  <r>
    <n v="12"/>
    <n v="298"/>
    <x v="9"/>
    <x v="18"/>
    <x v="3"/>
    <n v="1"/>
    <x v="1"/>
    <d v="2025-11-11T20:59:00"/>
    <x v="41"/>
    <x v="17"/>
    <n v="4605"/>
    <n v="0"/>
    <n v="0"/>
    <x v="2"/>
  </r>
  <r>
    <n v="44"/>
    <n v="182"/>
    <x v="9"/>
    <x v="217"/>
    <x v="6"/>
    <n v="5"/>
    <x v="0"/>
    <d v="2025-11-11T21:24:00"/>
    <x v="41"/>
    <x v="23"/>
    <n v="1857"/>
    <n v="5"/>
    <n v="9285"/>
    <x v="2"/>
  </r>
  <r>
    <n v="10"/>
    <n v="82"/>
    <x v="8"/>
    <x v="103"/>
    <x v="3"/>
    <n v="1"/>
    <x v="0"/>
    <d v="2025-11-11T22:23:00"/>
    <x v="41"/>
    <x v="18"/>
    <n v="2180"/>
    <n v="4"/>
    <n v="8720"/>
    <x v="2"/>
  </r>
  <r>
    <n v="358"/>
    <n v="269"/>
    <x v="3"/>
    <x v="14"/>
    <x v="4"/>
    <n v="7"/>
    <x v="0"/>
    <d v="2025-11-11T22:38:00"/>
    <x v="41"/>
    <x v="18"/>
    <n v="4486"/>
    <n v="5"/>
    <n v="22430"/>
    <x v="2"/>
  </r>
  <r>
    <n v="672"/>
    <n v="78"/>
    <x v="1"/>
    <x v="355"/>
    <x v="6"/>
    <n v="5"/>
    <x v="0"/>
    <d v="2025-11-11T23:03:00"/>
    <x v="41"/>
    <x v="19"/>
    <n v="2461"/>
    <n v="4"/>
    <n v="9844"/>
    <x v="2"/>
  </r>
  <r>
    <n v="471"/>
    <n v="72"/>
    <x v="9"/>
    <x v="231"/>
    <x v="3"/>
    <n v="1"/>
    <x v="0"/>
    <d v="2025-11-11T23:29:00"/>
    <x v="41"/>
    <x v="19"/>
    <n v="4017"/>
    <n v="5"/>
    <n v="20085"/>
    <x v="2"/>
  </r>
  <r>
    <n v="70"/>
    <n v="248"/>
    <x v="7"/>
    <x v="54"/>
    <x v="3"/>
    <n v="1"/>
    <x v="0"/>
    <d v="2025-11-11T23:53:00"/>
    <x v="41"/>
    <x v="19"/>
    <n v="3470"/>
    <n v="5"/>
    <n v="17350"/>
    <x v="2"/>
  </r>
  <r>
    <n v="185"/>
    <n v="295"/>
    <x v="9"/>
    <x v="180"/>
    <x v="3"/>
    <n v="1"/>
    <x v="1"/>
    <d v="2025-11-12T00:25:00"/>
    <x v="42"/>
    <x v="0"/>
    <n v="4125"/>
    <n v="0"/>
    <n v="0"/>
    <x v="2"/>
  </r>
  <r>
    <n v="133"/>
    <n v="166"/>
    <x v="3"/>
    <x v="267"/>
    <x v="4"/>
    <n v="7"/>
    <x v="1"/>
    <d v="2025-11-12T00:32:00"/>
    <x v="42"/>
    <x v="0"/>
    <n v="7363"/>
    <n v="0"/>
    <n v="0"/>
    <x v="1"/>
  </r>
  <r>
    <n v="633"/>
    <n v="207"/>
    <x v="6"/>
    <x v="174"/>
    <x v="1"/>
    <n v="6"/>
    <x v="0"/>
    <d v="2025-11-12T00:51:00"/>
    <x v="42"/>
    <x v="0"/>
    <n v="11744"/>
    <n v="3"/>
    <n v="35232"/>
    <x v="0"/>
  </r>
  <r>
    <n v="163"/>
    <n v="119"/>
    <x v="0"/>
    <x v="0"/>
    <x v="0"/>
    <n v="2"/>
    <x v="0"/>
    <d v="2025-11-12T00:54:00"/>
    <x v="42"/>
    <x v="0"/>
    <n v="4930"/>
    <n v="5"/>
    <n v="24650"/>
    <x v="2"/>
  </r>
  <r>
    <n v="696"/>
    <n v="244"/>
    <x v="1"/>
    <x v="178"/>
    <x v="4"/>
    <n v="7"/>
    <x v="0"/>
    <d v="2025-11-12T01:07:00"/>
    <x v="42"/>
    <x v="1"/>
    <n v="2430"/>
    <n v="3"/>
    <n v="7290"/>
    <x v="2"/>
  </r>
  <r>
    <n v="243"/>
    <n v="54"/>
    <x v="5"/>
    <x v="339"/>
    <x v="1"/>
    <n v="6"/>
    <x v="0"/>
    <d v="2025-11-12T01:25:00"/>
    <x v="42"/>
    <x v="1"/>
    <n v="7491"/>
    <n v="3"/>
    <n v="22473"/>
    <x v="1"/>
  </r>
  <r>
    <n v="66"/>
    <n v="32"/>
    <x v="2"/>
    <x v="108"/>
    <x v="5"/>
    <n v="4"/>
    <x v="0"/>
    <d v="2025-11-12T01:53:00"/>
    <x v="42"/>
    <x v="1"/>
    <n v="578"/>
    <n v="3"/>
    <n v="1734"/>
    <x v="3"/>
  </r>
  <r>
    <n v="768"/>
    <n v="38"/>
    <x v="1"/>
    <x v="366"/>
    <x v="0"/>
    <n v="2"/>
    <x v="1"/>
    <d v="2025-11-12T03:13:00"/>
    <x v="42"/>
    <x v="3"/>
    <n v="13953"/>
    <n v="0"/>
    <n v="0"/>
    <x v="0"/>
  </r>
  <r>
    <n v="647"/>
    <n v="16"/>
    <x v="6"/>
    <x v="96"/>
    <x v="5"/>
    <n v="4"/>
    <x v="0"/>
    <d v="2025-11-12T03:37:00"/>
    <x v="42"/>
    <x v="3"/>
    <n v="1144"/>
    <n v="3"/>
    <n v="3432"/>
    <x v="2"/>
  </r>
  <r>
    <n v="461"/>
    <n v="194"/>
    <x v="1"/>
    <x v="194"/>
    <x v="3"/>
    <n v="1"/>
    <x v="0"/>
    <d v="2025-11-12T04:13:00"/>
    <x v="42"/>
    <x v="4"/>
    <n v="2389"/>
    <n v="3"/>
    <n v="7167"/>
    <x v="2"/>
  </r>
  <r>
    <n v="205"/>
    <n v="101"/>
    <x v="9"/>
    <x v="112"/>
    <x v="3"/>
    <n v="1"/>
    <x v="0"/>
    <d v="2025-11-12T04:32:00"/>
    <x v="42"/>
    <x v="4"/>
    <n v="2217"/>
    <n v="5"/>
    <n v="11085"/>
    <x v="2"/>
  </r>
  <r>
    <n v="293"/>
    <n v="116"/>
    <x v="8"/>
    <x v="213"/>
    <x v="1"/>
    <n v="6"/>
    <x v="0"/>
    <d v="2025-11-12T04:58:00"/>
    <x v="42"/>
    <x v="4"/>
    <n v="6187"/>
    <n v="5"/>
    <n v="30935"/>
    <x v="1"/>
  </r>
  <r>
    <n v="542"/>
    <n v="99"/>
    <x v="4"/>
    <x v="270"/>
    <x v="2"/>
    <n v="3"/>
    <x v="0"/>
    <d v="2025-11-12T05:00:00"/>
    <x v="42"/>
    <x v="20"/>
    <n v="3327"/>
    <n v="5"/>
    <n v="16635"/>
    <x v="2"/>
  </r>
  <r>
    <n v="209"/>
    <n v="18"/>
    <x v="0"/>
    <x v="172"/>
    <x v="5"/>
    <n v="4"/>
    <x v="0"/>
    <d v="2025-11-12T05:08:00"/>
    <x v="42"/>
    <x v="20"/>
    <n v="324"/>
    <n v="3"/>
    <n v="972"/>
    <x v="3"/>
  </r>
  <r>
    <n v="582"/>
    <n v="280"/>
    <x v="6"/>
    <x v="33"/>
    <x v="5"/>
    <n v="4"/>
    <x v="0"/>
    <d v="2025-11-12T05:20:00"/>
    <x v="42"/>
    <x v="20"/>
    <n v="139"/>
    <n v="5"/>
    <n v="695"/>
    <x v="3"/>
  </r>
  <r>
    <n v="509"/>
    <n v="98"/>
    <x v="4"/>
    <x v="19"/>
    <x v="5"/>
    <n v="4"/>
    <x v="0"/>
    <d v="2025-11-12T05:37:00"/>
    <x v="42"/>
    <x v="20"/>
    <n v="171"/>
    <n v="5"/>
    <n v="855"/>
    <x v="3"/>
  </r>
  <r>
    <n v="361"/>
    <n v="183"/>
    <x v="8"/>
    <x v="31"/>
    <x v="0"/>
    <n v="2"/>
    <x v="0"/>
    <d v="2025-11-12T05:38:00"/>
    <x v="42"/>
    <x v="20"/>
    <n v="7491"/>
    <n v="3"/>
    <n v="22473"/>
    <x v="1"/>
  </r>
  <r>
    <n v="450"/>
    <n v="219"/>
    <x v="4"/>
    <x v="102"/>
    <x v="3"/>
    <n v="1"/>
    <x v="0"/>
    <d v="2025-11-12T05:42:00"/>
    <x v="42"/>
    <x v="20"/>
    <n v="6152"/>
    <n v="3"/>
    <n v="18456"/>
    <x v="1"/>
  </r>
  <r>
    <n v="81"/>
    <n v="66"/>
    <x v="1"/>
    <x v="266"/>
    <x v="6"/>
    <n v="5"/>
    <x v="0"/>
    <d v="2025-11-12T05:51:00"/>
    <x v="42"/>
    <x v="20"/>
    <n v="3353"/>
    <n v="3"/>
    <n v="10059"/>
    <x v="2"/>
  </r>
  <r>
    <n v="511"/>
    <n v="119"/>
    <x v="1"/>
    <x v="366"/>
    <x v="0"/>
    <n v="2"/>
    <x v="0"/>
    <d v="2025-11-12T07:25:00"/>
    <x v="42"/>
    <x v="6"/>
    <n v="12426"/>
    <n v="5"/>
    <n v="62130"/>
    <x v="0"/>
  </r>
  <r>
    <n v="24"/>
    <n v="115"/>
    <x v="3"/>
    <x v="74"/>
    <x v="1"/>
    <n v="6"/>
    <x v="1"/>
    <d v="2025-11-12T07:36:00"/>
    <x v="42"/>
    <x v="6"/>
    <n v="2950"/>
    <n v="0"/>
    <n v="0"/>
    <x v="2"/>
  </r>
  <r>
    <n v="721"/>
    <n v="184"/>
    <x v="7"/>
    <x v="54"/>
    <x v="3"/>
    <n v="1"/>
    <x v="1"/>
    <d v="2025-11-12T07:53:00"/>
    <x v="42"/>
    <x v="6"/>
    <n v="7676"/>
    <n v="0"/>
    <n v="0"/>
    <x v="1"/>
  </r>
  <r>
    <n v="548"/>
    <n v="295"/>
    <x v="7"/>
    <x v="144"/>
    <x v="2"/>
    <n v="3"/>
    <x v="0"/>
    <d v="2025-11-12T07:59:00"/>
    <x v="42"/>
    <x v="6"/>
    <n v="1936"/>
    <n v="3"/>
    <n v="5808"/>
    <x v="2"/>
  </r>
  <r>
    <n v="320"/>
    <n v="205"/>
    <x v="9"/>
    <x v="52"/>
    <x v="0"/>
    <n v="2"/>
    <x v="0"/>
    <d v="2025-11-12T08:24:00"/>
    <x v="42"/>
    <x v="7"/>
    <n v="8020"/>
    <n v="3"/>
    <n v="24060"/>
    <x v="1"/>
  </r>
  <r>
    <n v="114"/>
    <n v="299"/>
    <x v="3"/>
    <x v="305"/>
    <x v="3"/>
    <n v="1"/>
    <x v="0"/>
    <d v="2025-11-12T08:33:00"/>
    <x v="42"/>
    <x v="7"/>
    <n v="5896"/>
    <n v="3"/>
    <n v="17688"/>
    <x v="1"/>
  </r>
  <r>
    <n v="347"/>
    <n v="216"/>
    <x v="0"/>
    <x v="347"/>
    <x v="0"/>
    <n v="2"/>
    <x v="0"/>
    <d v="2025-11-12T08:39:00"/>
    <x v="42"/>
    <x v="7"/>
    <n v="11650"/>
    <n v="5"/>
    <n v="58250"/>
    <x v="0"/>
  </r>
  <r>
    <n v="143"/>
    <n v="105"/>
    <x v="6"/>
    <x v="385"/>
    <x v="0"/>
    <n v="2"/>
    <x v="0"/>
    <d v="2025-11-12T08:58:00"/>
    <x v="42"/>
    <x v="7"/>
    <n v="8176"/>
    <n v="5"/>
    <n v="40880"/>
    <x v="1"/>
  </r>
  <r>
    <n v="64"/>
    <n v="121"/>
    <x v="6"/>
    <x v="203"/>
    <x v="3"/>
    <n v="1"/>
    <x v="0"/>
    <d v="2025-11-12T08:58:00"/>
    <x v="42"/>
    <x v="7"/>
    <n v="5656"/>
    <n v="5"/>
    <n v="28280"/>
    <x v="1"/>
  </r>
  <r>
    <n v="720"/>
    <n v="19"/>
    <x v="9"/>
    <x v="112"/>
    <x v="3"/>
    <n v="1"/>
    <x v="0"/>
    <d v="2025-11-12T08:58:00"/>
    <x v="42"/>
    <x v="7"/>
    <n v="4880"/>
    <n v="3"/>
    <n v="14640"/>
    <x v="2"/>
  </r>
  <r>
    <n v="758"/>
    <n v="42"/>
    <x v="2"/>
    <x v="21"/>
    <x v="3"/>
    <n v="1"/>
    <x v="0"/>
    <d v="2025-11-12T09:05:00"/>
    <x v="42"/>
    <x v="8"/>
    <n v="3669"/>
    <n v="5"/>
    <n v="18345"/>
    <x v="2"/>
  </r>
  <r>
    <n v="741"/>
    <n v="22"/>
    <x v="4"/>
    <x v="277"/>
    <x v="5"/>
    <n v="4"/>
    <x v="1"/>
    <d v="2025-11-12T09:06:00"/>
    <x v="42"/>
    <x v="8"/>
    <n v="1224"/>
    <n v="0"/>
    <n v="0"/>
    <x v="2"/>
  </r>
  <r>
    <n v="231"/>
    <n v="180"/>
    <x v="8"/>
    <x v="31"/>
    <x v="0"/>
    <n v="2"/>
    <x v="0"/>
    <d v="2025-11-12T09:09:00"/>
    <x v="42"/>
    <x v="8"/>
    <n v="5522"/>
    <n v="5"/>
    <n v="27610"/>
    <x v="1"/>
  </r>
  <r>
    <n v="22"/>
    <n v="29"/>
    <x v="7"/>
    <x v="337"/>
    <x v="3"/>
    <n v="1"/>
    <x v="0"/>
    <d v="2025-11-12T09:20:00"/>
    <x v="42"/>
    <x v="8"/>
    <n v="4578"/>
    <n v="3"/>
    <n v="13734"/>
    <x v="2"/>
  </r>
  <r>
    <n v="623"/>
    <n v="195"/>
    <x v="5"/>
    <x v="183"/>
    <x v="3"/>
    <n v="1"/>
    <x v="0"/>
    <d v="2025-11-12T10:03:00"/>
    <x v="42"/>
    <x v="9"/>
    <n v="1411"/>
    <n v="3"/>
    <n v="4233"/>
    <x v="2"/>
  </r>
  <r>
    <n v="494"/>
    <n v="27"/>
    <x v="0"/>
    <x v="265"/>
    <x v="5"/>
    <n v="4"/>
    <x v="0"/>
    <d v="2025-11-12T10:25:00"/>
    <x v="42"/>
    <x v="9"/>
    <n v="1500"/>
    <n v="5"/>
    <n v="7500"/>
    <x v="2"/>
  </r>
  <r>
    <n v="129"/>
    <n v="221"/>
    <x v="2"/>
    <x v="69"/>
    <x v="3"/>
    <n v="1"/>
    <x v="0"/>
    <d v="2025-11-12T10:44:00"/>
    <x v="42"/>
    <x v="9"/>
    <n v="4363"/>
    <n v="5"/>
    <n v="21815"/>
    <x v="2"/>
  </r>
  <r>
    <n v="449"/>
    <n v="61"/>
    <x v="4"/>
    <x v="126"/>
    <x v="0"/>
    <n v="2"/>
    <x v="1"/>
    <d v="2025-11-12T10:54:00"/>
    <x v="42"/>
    <x v="9"/>
    <n v="11074"/>
    <n v="0"/>
    <n v="0"/>
    <x v="0"/>
  </r>
  <r>
    <n v="352"/>
    <n v="224"/>
    <x v="6"/>
    <x v="146"/>
    <x v="3"/>
    <n v="1"/>
    <x v="1"/>
    <d v="2025-11-12T12:05:00"/>
    <x v="42"/>
    <x v="11"/>
    <n v="6031"/>
    <n v="0"/>
    <n v="0"/>
    <x v="1"/>
  </r>
  <r>
    <n v="603"/>
    <n v="6"/>
    <x v="5"/>
    <x v="29"/>
    <x v="5"/>
    <n v="4"/>
    <x v="0"/>
    <d v="2025-11-12T12:18:00"/>
    <x v="42"/>
    <x v="11"/>
    <n v="89"/>
    <n v="5"/>
    <n v="445"/>
    <x v="3"/>
  </r>
  <r>
    <n v="47"/>
    <n v="8"/>
    <x v="3"/>
    <x v="383"/>
    <x v="0"/>
    <n v="2"/>
    <x v="1"/>
    <d v="2025-11-12T12:21:00"/>
    <x v="42"/>
    <x v="11"/>
    <n v="7732"/>
    <n v="0"/>
    <n v="0"/>
    <x v="1"/>
  </r>
  <r>
    <n v="59"/>
    <n v="65"/>
    <x v="0"/>
    <x v="229"/>
    <x v="6"/>
    <n v="5"/>
    <x v="0"/>
    <d v="2025-11-12T12:46:00"/>
    <x v="42"/>
    <x v="11"/>
    <n v="3675"/>
    <n v="5"/>
    <n v="18375"/>
    <x v="2"/>
  </r>
  <r>
    <n v="322"/>
    <n v="180"/>
    <x v="7"/>
    <x v="12"/>
    <x v="5"/>
    <n v="4"/>
    <x v="0"/>
    <d v="2025-11-12T12:49:00"/>
    <x v="42"/>
    <x v="11"/>
    <n v="840"/>
    <n v="5"/>
    <n v="4200"/>
    <x v="3"/>
  </r>
  <r>
    <n v="133"/>
    <n v="204"/>
    <x v="5"/>
    <x v="78"/>
    <x v="5"/>
    <n v="4"/>
    <x v="1"/>
    <d v="2025-11-12T13:00:00"/>
    <x v="42"/>
    <x v="21"/>
    <n v="1418"/>
    <n v="0"/>
    <n v="0"/>
    <x v="2"/>
  </r>
  <r>
    <n v="79"/>
    <n v="129"/>
    <x v="1"/>
    <x v="253"/>
    <x v="2"/>
    <n v="3"/>
    <x v="0"/>
    <d v="2025-11-12T13:19:00"/>
    <x v="42"/>
    <x v="21"/>
    <n v="5557"/>
    <n v="5"/>
    <n v="27785"/>
    <x v="1"/>
  </r>
  <r>
    <n v="226"/>
    <n v="228"/>
    <x v="8"/>
    <x v="129"/>
    <x v="5"/>
    <n v="4"/>
    <x v="1"/>
    <d v="2025-11-12T14:14:00"/>
    <x v="42"/>
    <x v="12"/>
    <n v="1068"/>
    <n v="0"/>
    <n v="0"/>
    <x v="2"/>
  </r>
  <r>
    <n v="670"/>
    <n v="126"/>
    <x v="3"/>
    <x v="59"/>
    <x v="2"/>
    <n v="3"/>
    <x v="0"/>
    <d v="2025-11-12T14:32:00"/>
    <x v="42"/>
    <x v="12"/>
    <n v="3966"/>
    <n v="5"/>
    <n v="19830"/>
    <x v="2"/>
  </r>
  <r>
    <n v="555"/>
    <n v="258"/>
    <x v="6"/>
    <x v="76"/>
    <x v="0"/>
    <n v="2"/>
    <x v="1"/>
    <d v="2025-11-12T15:04:00"/>
    <x v="42"/>
    <x v="13"/>
    <n v="12567"/>
    <n v="0"/>
    <n v="0"/>
    <x v="0"/>
  </r>
  <r>
    <n v="723"/>
    <n v="249"/>
    <x v="6"/>
    <x v="33"/>
    <x v="5"/>
    <n v="4"/>
    <x v="0"/>
    <d v="2025-11-12T17:15:00"/>
    <x v="42"/>
    <x v="15"/>
    <n v="90"/>
    <n v="3"/>
    <n v="270"/>
    <x v="3"/>
  </r>
  <r>
    <n v="534"/>
    <n v="119"/>
    <x v="5"/>
    <x v="141"/>
    <x v="5"/>
    <n v="4"/>
    <x v="0"/>
    <d v="2025-11-12T17:19:00"/>
    <x v="42"/>
    <x v="15"/>
    <n v="462"/>
    <n v="5"/>
    <n v="2310"/>
    <x v="3"/>
  </r>
  <r>
    <n v="126"/>
    <n v="191"/>
    <x v="3"/>
    <x v="14"/>
    <x v="4"/>
    <n v="7"/>
    <x v="0"/>
    <d v="2025-11-12T17:27:00"/>
    <x v="42"/>
    <x v="15"/>
    <n v="4177"/>
    <n v="5"/>
    <n v="20885"/>
    <x v="2"/>
  </r>
  <r>
    <n v="716"/>
    <n v="226"/>
    <x v="0"/>
    <x v="5"/>
    <x v="4"/>
    <n v="7"/>
    <x v="0"/>
    <d v="2025-11-12T17:41:00"/>
    <x v="42"/>
    <x v="15"/>
    <n v="7310"/>
    <n v="3"/>
    <n v="21930"/>
    <x v="1"/>
  </r>
  <r>
    <n v="35"/>
    <n v="139"/>
    <x v="0"/>
    <x v="319"/>
    <x v="1"/>
    <n v="6"/>
    <x v="0"/>
    <d v="2025-11-12T17:55:00"/>
    <x v="42"/>
    <x v="15"/>
    <n v="9292"/>
    <n v="5"/>
    <n v="46460"/>
    <x v="1"/>
  </r>
  <r>
    <n v="87"/>
    <n v="31"/>
    <x v="2"/>
    <x v="62"/>
    <x v="4"/>
    <n v="7"/>
    <x v="0"/>
    <d v="2025-11-12T18:09:00"/>
    <x v="42"/>
    <x v="16"/>
    <n v="3878"/>
    <n v="5"/>
    <n v="19390"/>
    <x v="2"/>
  </r>
  <r>
    <n v="20"/>
    <n v="196"/>
    <x v="2"/>
    <x v="197"/>
    <x v="1"/>
    <n v="6"/>
    <x v="0"/>
    <d v="2025-11-12T19:12:00"/>
    <x v="42"/>
    <x v="22"/>
    <n v="6684"/>
    <n v="5"/>
    <n v="33420"/>
    <x v="1"/>
  </r>
  <r>
    <n v="211"/>
    <n v="195"/>
    <x v="0"/>
    <x v="168"/>
    <x v="6"/>
    <n v="5"/>
    <x v="0"/>
    <d v="2025-11-12T19:45:00"/>
    <x v="42"/>
    <x v="22"/>
    <n v="2402"/>
    <n v="5"/>
    <n v="12010"/>
    <x v="2"/>
  </r>
  <r>
    <n v="54"/>
    <n v="157"/>
    <x v="2"/>
    <x v="21"/>
    <x v="3"/>
    <n v="1"/>
    <x v="0"/>
    <d v="2025-11-12T20:10:00"/>
    <x v="42"/>
    <x v="17"/>
    <n v="2647"/>
    <n v="3"/>
    <n v="7941"/>
    <x v="2"/>
  </r>
  <r>
    <n v="624"/>
    <n v="173"/>
    <x v="6"/>
    <x v="40"/>
    <x v="5"/>
    <n v="4"/>
    <x v="0"/>
    <d v="2025-11-12T20:20:00"/>
    <x v="42"/>
    <x v="17"/>
    <n v="191"/>
    <n v="3"/>
    <n v="573"/>
    <x v="3"/>
  </r>
  <r>
    <n v="776"/>
    <n v="15"/>
    <x v="9"/>
    <x v="106"/>
    <x v="3"/>
    <n v="1"/>
    <x v="0"/>
    <d v="2025-11-12T21:06:00"/>
    <x v="42"/>
    <x v="23"/>
    <n v="7718"/>
    <n v="5"/>
    <n v="38590"/>
    <x v="1"/>
  </r>
  <r>
    <n v="438"/>
    <n v="30"/>
    <x v="9"/>
    <x v="342"/>
    <x v="1"/>
    <n v="6"/>
    <x v="0"/>
    <d v="2025-11-12T22:28:00"/>
    <x v="42"/>
    <x v="18"/>
    <n v="7757"/>
    <n v="5"/>
    <n v="38785"/>
    <x v="1"/>
  </r>
  <r>
    <n v="548"/>
    <n v="238"/>
    <x v="2"/>
    <x v="104"/>
    <x v="5"/>
    <n v="4"/>
    <x v="0"/>
    <d v="2025-11-12T23:14:00"/>
    <x v="42"/>
    <x v="19"/>
    <n v="356"/>
    <n v="5"/>
    <n v="1780"/>
    <x v="3"/>
  </r>
  <r>
    <n v="267"/>
    <n v="84"/>
    <x v="9"/>
    <x v="52"/>
    <x v="0"/>
    <n v="2"/>
    <x v="0"/>
    <d v="2025-11-12T23:14:00"/>
    <x v="42"/>
    <x v="19"/>
    <n v="11037"/>
    <n v="3"/>
    <n v="33111"/>
    <x v="0"/>
  </r>
  <r>
    <n v="16"/>
    <n v="144"/>
    <x v="5"/>
    <x v="246"/>
    <x v="3"/>
    <n v="1"/>
    <x v="1"/>
    <d v="2025-11-12T23:41:00"/>
    <x v="42"/>
    <x v="19"/>
    <n v="4162"/>
    <n v="0"/>
    <n v="0"/>
    <x v="2"/>
  </r>
  <r>
    <n v="256"/>
    <n v="278"/>
    <x v="7"/>
    <x v="357"/>
    <x v="3"/>
    <n v="1"/>
    <x v="0"/>
    <d v="2025-11-12T23:42:00"/>
    <x v="42"/>
    <x v="19"/>
    <n v="7699"/>
    <n v="5"/>
    <n v="38495"/>
    <x v="1"/>
  </r>
  <r>
    <n v="40"/>
    <n v="141"/>
    <x v="9"/>
    <x v="287"/>
    <x v="4"/>
    <n v="7"/>
    <x v="0"/>
    <d v="2025-11-12T23:50:00"/>
    <x v="42"/>
    <x v="19"/>
    <n v="3895"/>
    <n v="3"/>
    <n v="11685"/>
    <x v="2"/>
  </r>
  <r>
    <n v="13"/>
    <n v="64"/>
    <x v="7"/>
    <x v="58"/>
    <x v="2"/>
    <n v="3"/>
    <x v="0"/>
    <d v="2025-11-12T23:52:00"/>
    <x v="42"/>
    <x v="19"/>
    <n v="4400"/>
    <n v="5"/>
    <n v="22000"/>
    <x v="2"/>
  </r>
  <r>
    <n v="184"/>
    <n v="228"/>
    <x v="6"/>
    <x v="262"/>
    <x v="5"/>
    <n v="4"/>
    <x v="1"/>
    <d v="2025-11-13T00:16:00"/>
    <x v="43"/>
    <x v="0"/>
    <n v="769"/>
    <n v="0"/>
    <n v="0"/>
    <x v="3"/>
  </r>
  <r>
    <n v="478"/>
    <n v="19"/>
    <x v="8"/>
    <x v="30"/>
    <x v="3"/>
    <n v="1"/>
    <x v="0"/>
    <d v="2025-11-13T00:47:00"/>
    <x v="43"/>
    <x v="0"/>
    <n v="4598"/>
    <n v="5"/>
    <n v="22990"/>
    <x v="2"/>
  </r>
  <r>
    <n v="419"/>
    <n v="30"/>
    <x v="3"/>
    <x v="91"/>
    <x v="3"/>
    <n v="1"/>
    <x v="0"/>
    <d v="2025-11-13T00:50:00"/>
    <x v="43"/>
    <x v="0"/>
    <n v="3983"/>
    <n v="5"/>
    <n v="19915"/>
    <x v="2"/>
  </r>
  <r>
    <n v="565"/>
    <n v="161"/>
    <x v="7"/>
    <x v="94"/>
    <x v="5"/>
    <n v="4"/>
    <x v="0"/>
    <d v="2025-11-13T01:03:00"/>
    <x v="43"/>
    <x v="1"/>
    <n v="1076"/>
    <n v="3"/>
    <n v="3228"/>
    <x v="2"/>
  </r>
  <r>
    <n v="785"/>
    <n v="142"/>
    <x v="4"/>
    <x v="190"/>
    <x v="3"/>
    <n v="1"/>
    <x v="0"/>
    <d v="2025-11-13T01:19:00"/>
    <x v="43"/>
    <x v="1"/>
    <n v="1549"/>
    <n v="5"/>
    <n v="7745"/>
    <x v="2"/>
  </r>
  <r>
    <n v="646"/>
    <n v="90"/>
    <x v="4"/>
    <x v="316"/>
    <x v="0"/>
    <n v="2"/>
    <x v="1"/>
    <d v="2025-11-13T01:31:00"/>
    <x v="43"/>
    <x v="1"/>
    <n v="8305"/>
    <n v="0"/>
    <n v="0"/>
    <x v="1"/>
  </r>
  <r>
    <n v="118"/>
    <n v="20"/>
    <x v="0"/>
    <x v="269"/>
    <x v="0"/>
    <n v="2"/>
    <x v="0"/>
    <d v="2025-11-13T01:35:00"/>
    <x v="43"/>
    <x v="1"/>
    <n v="6522"/>
    <n v="3"/>
    <n v="19566"/>
    <x v="1"/>
  </r>
  <r>
    <n v="594"/>
    <n v="163"/>
    <x v="3"/>
    <x v="232"/>
    <x v="3"/>
    <n v="1"/>
    <x v="0"/>
    <d v="2025-11-13T01:49:00"/>
    <x v="43"/>
    <x v="1"/>
    <n v="2659"/>
    <n v="3"/>
    <n v="7977"/>
    <x v="2"/>
  </r>
  <r>
    <n v="732"/>
    <n v="133"/>
    <x v="5"/>
    <x v="29"/>
    <x v="5"/>
    <n v="4"/>
    <x v="0"/>
    <d v="2025-11-13T02:26:00"/>
    <x v="43"/>
    <x v="2"/>
    <n v="218"/>
    <n v="5"/>
    <n v="1090"/>
    <x v="3"/>
  </r>
  <r>
    <n v="736"/>
    <n v="23"/>
    <x v="6"/>
    <x v="302"/>
    <x v="4"/>
    <n v="7"/>
    <x v="0"/>
    <d v="2025-11-13T02:28:00"/>
    <x v="43"/>
    <x v="2"/>
    <n v="3416"/>
    <n v="5"/>
    <n v="17080"/>
    <x v="2"/>
  </r>
  <r>
    <n v="80"/>
    <n v="260"/>
    <x v="6"/>
    <x v="278"/>
    <x v="3"/>
    <n v="1"/>
    <x v="0"/>
    <d v="2025-11-13T02:30:00"/>
    <x v="43"/>
    <x v="2"/>
    <n v="5839"/>
    <n v="5"/>
    <n v="29195"/>
    <x v="1"/>
  </r>
  <r>
    <n v="243"/>
    <n v="105"/>
    <x v="3"/>
    <x v="43"/>
    <x v="4"/>
    <n v="7"/>
    <x v="0"/>
    <d v="2025-11-13T02:42:00"/>
    <x v="43"/>
    <x v="2"/>
    <n v="4992"/>
    <n v="5"/>
    <n v="24960"/>
    <x v="2"/>
  </r>
  <r>
    <n v="426"/>
    <n v="37"/>
    <x v="6"/>
    <x v="345"/>
    <x v="4"/>
    <n v="7"/>
    <x v="0"/>
    <d v="2025-11-13T03:57:00"/>
    <x v="43"/>
    <x v="3"/>
    <n v="4260"/>
    <n v="5"/>
    <n v="21300"/>
    <x v="2"/>
  </r>
  <r>
    <n v="26"/>
    <n v="168"/>
    <x v="7"/>
    <x v="281"/>
    <x v="6"/>
    <n v="5"/>
    <x v="0"/>
    <d v="2025-11-13T04:26:00"/>
    <x v="43"/>
    <x v="4"/>
    <n v="3447"/>
    <n v="3"/>
    <n v="10341"/>
    <x v="2"/>
  </r>
  <r>
    <n v="668"/>
    <n v="192"/>
    <x v="6"/>
    <x v="224"/>
    <x v="4"/>
    <n v="7"/>
    <x v="0"/>
    <d v="2025-11-13T04:56:00"/>
    <x v="43"/>
    <x v="4"/>
    <n v="6456"/>
    <n v="5"/>
    <n v="32280"/>
    <x v="1"/>
  </r>
  <r>
    <n v="165"/>
    <n v="189"/>
    <x v="9"/>
    <x v="130"/>
    <x v="1"/>
    <n v="6"/>
    <x v="0"/>
    <d v="2025-11-13T05:08:00"/>
    <x v="43"/>
    <x v="20"/>
    <n v="9661"/>
    <n v="5"/>
    <n v="48305"/>
    <x v="1"/>
  </r>
  <r>
    <n v="27"/>
    <n v="55"/>
    <x v="4"/>
    <x v="19"/>
    <x v="5"/>
    <n v="4"/>
    <x v="0"/>
    <d v="2025-11-13T05:32:00"/>
    <x v="43"/>
    <x v="20"/>
    <n v="89"/>
    <n v="5"/>
    <n v="445"/>
    <x v="3"/>
  </r>
  <r>
    <n v="733"/>
    <n v="261"/>
    <x v="6"/>
    <x v="135"/>
    <x v="3"/>
    <n v="1"/>
    <x v="0"/>
    <d v="2025-11-13T05:32:00"/>
    <x v="43"/>
    <x v="20"/>
    <n v="5897"/>
    <n v="5"/>
    <n v="29485"/>
    <x v="1"/>
  </r>
  <r>
    <n v="388"/>
    <n v="299"/>
    <x v="6"/>
    <x v="53"/>
    <x v="5"/>
    <n v="4"/>
    <x v="0"/>
    <d v="2025-11-13T05:59:00"/>
    <x v="43"/>
    <x v="20"/>
    <n v="1404"/>
    <n v="3"/>
    <n v="4212"/>
    <x v="2"/>
  </r>
  <r>
    <n v="781"/>
    <n v="41"/>
    <x v="4"/>
    <x v="270"/>
    <x v="2"/>
    <n v="3"/>
    <x v="0"/>
    <d v="2025-11-13T07:04:00"/>
    <x v="43"/>
    <x v="6"/>
    <n v="1903"/>
    <n v="3"/>
    <n v="5709"/>
    <x v="2"/>
  </r>
  <r>
    <n v="589"/>
    <n v="281"/>
    <x v="9"/>
    <x v="112"/>
    <x v="3"/>
    <n v="1"/>
    <x v="0"/>
    <d v="2025-11-13T07:29:00"/>
    <x v="43"/>
    <x v="6"/>
    <n v="1547"/>
    <n v="5"/>
    <n v="7735"/>
    <x v="2"/>
  </r>
  <r>
    <n v="125"/>
    <n v="271"/>
    <x v="3"/>
    <x v="305"/>
    <x v="3"/>
    <n v="1"/>
    <x v="0"/>
    <d v="2025-11-13T08:24:00"/>
    <x v="43"/>
    <x v="7"/>
    <n v="7026"/>
    <n v="3"/>
    <n v="21078"/>
    <x v="1"/>
  </r>
  <r>
    <n v="676"/>
    <n v="269"/>
    <x v="9"/>
    <x v="18"/>
    <x v="3"/>
    <n v="1"/>
    <x v="1"/>
    <d v="2025-11-13T08:58:00"/>
    <x v="43"/>
    <x v="7"/>
    <n v="7364"/>
    <n v="0"/>
    <n v="0"/>
    <x v="1"/>
  </r>
  <r>
    <n v="200"/>
    <n v="295"/>
    <x v="6"/>
    <x v="219"/>
    <x v="3"/>
    <n v="1"/>
    <x v="0"/>
    <d v="2025-11-13T09:01:00"/>
    <x v="43"/>
    <x v="8"/>
    <n v="5287"/>
    <n v="5"/>
    <n v="26435"/>
    <x v="1"/>
  </r>
  <r>
    <n v="787"/>
    <n v="186"/>
    <x v="6"/>
    <x v="53"/>
    <x v="5"/>
    <n v="4"/>
    <x v="0"/>
    <d v="2025-11-13T10:03:00"/>
    <x v="43"/>
    <x v="9"/>
    <n v="574"/>
    <n v="5"/>
    <n v="2870"/>
    <x v="3"/>
  </r>
  <r>
    <n v="119"/>
    <n v="124"/>
    <x v="6"/>
    <x v="345"/>
    <x v="4"/>
    <n v="7"/>
    <x v="0"/>
    <d v="2025-11-13T10:05:00"/>
    <x v="43"/>
    <x v="9"/>
    <n v="3424"/>
    <n v="5"/>
    <n v="17120"/>
    <x v="2"/>
  </r>
  <r>
    <n v="82"/>
    <n v="181"/>
    <x v="2"/>
    <x v="38"/>
    <x v="6"/>
    <n v="5"/>
    <x v="1"/>
    <d v="2025-11-13T10:25:00"/>
    <x v="43"/>
    <x v="9"/>
    <n v="2797"/>
    <n v="0"/>
    <n v="0"/>
    <x v="2"/>
  </r>
  <r>
    <n v="670"/>
    <n v="248"/>
    <x v="1"/>
    <x v="276"/>
    <x v="4"/>
    <n v="7"/>
    <x v="0"/>
    <d v="2025-11-13T10:29:00"/>
    <x v="43"/>
    <x v="9"/>
    <n v="6149"/>
    <n v="5"/>
    <n v="30745"/>
    <x v="1"/>
  </r>
  <r>
    <n v="236"/>
    <n v="292"/>
    <x v="8"/>
    <x v="140"/>
    <x v="5"/>
    <n v="4"/>
    <x v="0"/>
    <d v="2025-11-13T10:29:00"/>
    <x v="43"/>
    <x v="9"/>
    <n v="1206"/>
    <n v="5"/>
    <n v="6030"/>
    <x v="2"/>
  </r>
  <r>
    <n v="691"/>
    <n v="300"/>
    <x v="5"/>
    <x v="50"/>
    <x v="5"/>
    <n v="4"/>
    <x v="0"/>
    <d v="2025-11-13T10:44:00"/>
    <x v="43"/>
    <x v="9"/>
    <n v="381"/>
    <n v="3"/>
    <n v="1143"/>
    <x v="3"/>
  </r>
  <r>
    <n v="294"/>
    <n v="175"/>
    <x v="9"/>
    <x v="75"/>
    <x v="0"/>
    <n v="2"/>
    <x v="0"/>
    <d v="2025-11-13T10:53:00"/>
    <x v="43"/>
    <x v="9"/>
    <n v="14780"/>
    <n v="3"/>
    <n v="44340"/>
    <x v="0"/>
  </r>
  <r>
    <n v="432"/>
    <n v="259"/>
    <x v="1"/>
    <x v="328"/>
    <x v="1"/>
    <n v="6"/>
    <x v="1"/>
    <d v="2025-11-13T11:11:00"/>
    <x v="43"/>
    <x v="10"/>
    <n v="7002"/>
    <n v="0"/>
    <n v="0"/>
    <x v="1"/>
  </r>
  <r>
    <n v="792"/>
    <n v="102"/>
    <x v="8"/>
    <x v="343"/>
    <x v="3"/>
    <n v="1"/>
    <x v="0"/>
    <d v="2025-11-13T11:34:00"/>
    <x v="43"/>
    <x v="10"/>
    <n v="2309"/>
    <n v="5"/>
    <n v="11545"/>
    <x v="2"/>
  </r>
  <r>
    <n v="124"/>
    <n v="215"/>
    <x v="0"/>
    <x v="15"/>
    <x v="3"/>
    <n v="1"/>
    <x v="0"/>
    <d v="2025-11-13T11:35:00"/>
    <x v="43"/>
    <x v="10"/>
    <n v="2505"/>
    <n v="5"/>
    <n v="12525"/>
    <x v="2"/>
  </r>
  <r>
    <n v="482"/>
    <n v="52"/>
    <x v="3"/>
    <x v="175"/>
    <x v="4"/>
    <n v="7"/>
    <x v="0"/>
    <d v="2025-11-13T11:38:00"/>
    <x v="43"/>
    <x v="10"/>
    <n v="3848"/>
    <n v="5"/>
    <n v="19240"/>
    <x v="2"/>
  </r>
  <r>
    <n v="707"/>
    <n v="86"/>
    <x v="2"/>
    <x v="165"/>
    <x v="1"/>
    <n v="6"/>
    <x v="0"/>
    <d v="2025-11-13T12:00:00"/>
    <x v="43"/>
    <x v="11"/>
    <n v="3887"/>
    <n v="5"/>
    <n v="19435"/>
    <x v="2"/>
  </r>
  <r>
    <n v="398"/>
    <n v="217"/>
    <x v="3"/>
    <x v="383"/>
    <x v="0"/>
    <n v="2"/>
    <x v="0"/>
    <d v="2025-11-13T12:11:00"/>
    <x v="43"/>
    <x v="11"/>
    <n v="5063"/>
    <n v="3"/>
    <n v="15189"/>
    <x v="1"/>
  </r>
  <r>
    <n v="248"/>
    <n v="151"/>
    <x v="2"/>
    <x v="226"/>
    <x v="5"/>
    <n v="4"/>
    <x v="0"/>
    <d v="2025-11-13T12:46:00"/>
    <x v="43"/>
    <x v="11"/>
    <n v="640"/>
    <n v="5"/>
    <n v="3200"/>
    <x v="3"/>
  </r>
  <r>
    <n v="624"/>
    <n v="56"/>
    <x v="6"/>
    <x v="174"/>
    <x v="1"/>
    <n v="6"/>
    <x v="0"/>
    <d v="2025-11-13T13:14:00"/>
    <x v="43"/>
    <x v="21"/>
    <n v="3922"/>
    <n v="3"/>
    <n v="11766"/>
    <x v="2"/>
  </r>
  <r>
    <n v="419"/>
    <n v="231"/>
    <x v="6"/>
    <x v="33"/>
    <x v="5"/>
    <n v="4"/>
    <x v="0"/>
    <d v="2025-11-13T14:03:00"/>
    <x v="43"/>
    <x v="12"/>
    <n v="50"/>
    <n v="5"/>
    <n v="250"/>
    <x v="3"/>
  </r>
  <r>
    <n v="717"/>
    <n v="69"/>
    <x v="7"/>
    <x v="54"/>
    <x v="3"/>
    <n v="1"/>
    <x v="1"/>
    <d v="2025-11-13T14:35:00"/>
    <x v="43"/>
    <x v="12"/>
    <n v="7090"/>
    <n v="0"/>
    <n v="0"/>
    <x v="1"/>
  </r>
  <r>
    <n v="86"/>
    <n v="78"/>
    <x v="9"/>
    <x v="112"/>
    <x v="3"/>
    <n v="1"/>
    <x v="0"/>
    <d v="2025-11-13T14:49:00"/>
    <x v="43"/>
    <x v="12"/>
    <n v="6901"/>
    <n v="5"/>
    <n v="34505"/>
    <x v="1"/>
  </r>
  <r>
    <n v="691"/>
    <n v="233"/>
    <x v="9"/>
    <x v="75"/>
    <x v="0"/>
    <n v="2"/>
    <x v="0"/>
    <d v="2025-11-13T15:19:00"/>
    <x v="43"/>
    <x v="13"/>
    <n v="4230"/>
    <n v="5"/>
    <n v="21150"/>
    <x v="2"/>
  </r>
  <r>
    <n v="521"/>
    <n v="144"/>
    <x v="8"/>
    <x v="47"/>
    <x v="5"/>
    <n v="4"/>
    <x v="0"/>
    <d v="2025-11-13T15:28:00"/>
    <x v="43"/>
    <x v="13"/>
    <n v="790"/>
    <n v="3"/>
    <n v="2370"/>
    <x v="3"/>
  </r>
  <r>
    <n v="350"/>
    <n v="25"/>
    <x v="7"/>
    <x v="240"/>
    <x v="2"/>
    <n v="3"/>
    <x v="0"/>
    <d v="2025-11-13T15:37:00"/>
    <x v="43"/>
    <x v="13"/>
    <n v="2211"/>
    <n v="5"/>
    <n v="11055"/>
    <x v="2"/>
  </r>
  <r>
    <n v="521"/>
    <n v="219"/>
    <x v="3"/>
    <x v="383"/>
    <x v="0"/>
    <n v="2"/>
    <x v="0"/>
    <d v="2025-11-13T16:19:00"/>
    <x v="43"/>
    <x v="14"/>
    <n v="13307"/>
    <n v="5"/>
    <n v="66535"/>
    <x v="0"/>
  </r>
  <r>
    <n v="776"/>
    <n v="92"/>
    <x v="2"/>
    <x v="38"/>
    <x v="6"/>
    <n v="5"/>
    <x v="0"/>
    <d v="2025-11-13T16:34:00"/>
    <x v="43"/>
    <x v="14"/>
    <n v="1933"/>
    <n v="5"/>
    <n v="9665"/>
    <x v="2"/>
  </r>
  <r>
    <n v="532"/>
    <n v="143"/>
    <x v="5"/>
    <x v="50"/>
    <x v="5"/>
    <n v="4"/>
    <x v="0"/>
    <d v="2025-11-13T17:17:00"/>
    <x v="43"/>
    <x v="15"/>
    <n v="164"/>
    <n v="3"/>
    <n v="492"/>
    <x v="3"/>
  </r>
  <r>
    <n v="356"/>
    <n v="146"/>
    <x v="6"/>
    <x v="278"/>
    <x v="3"/>
    <n v="1"/>
    <x v="0"/>
    <d v="2025-11-13T18:02:00"/>
    <x v="43"/>
    <x v="16"/>
    <n v="5826"/>
    <n v="5"/>
    <n v="29130"/>
    <x v="1"/>
  </r>
  <r>
    <n v="499"/>
    <n v="225"/>
    <x v="7"/>
    <x v="83"/>
    <x v="3"/>
    <n v="1"/>
    <x v="0"/>
    <d v="2025-11-13T18:54:00"/>
    <x v="43"/>
    <x v="16"/>
    <n v="2216"/>
    <n v="5"/>
    <n v="11080"/>
    <x v="2"/>
  </r>
  <r>
    <n v="621"/>
    <n v="55"/>
    <x v="7"/>
    <x v="83"/>
    <x v="3"/>
    <n v="1"/>
    <x v="0"/>
    <d v="2025-11-13T20:00:00"/>
    <x v="43"/>
    <x v="17"/>
    <n v="2718"/>
    <n v="5"/>
    <n v="13590"/>
    <x v="2"/>
  </r>
  <r>
    <n v="99"/>
    <n v="106"/>
    <x v="7"/>
    <x v="288"/>
    <x v="2"/>
    <n v="3"/>
    <x v="0"/>
    <d v="2025-11-13T20:15:00"/>
    <x v="43"/>
    <x v="17"/>
    <n v="3538"/>
    <n v="5"/>
    <n v="17690"/>
    <x v="2"/>
  </r>
  <r>
    <n v="613"/>
    <n v="21"/>
    <x v="4"/>
    <x v="102"/>
    <x v="3"/>
    <n v="1"/>
    <x v="0"/>
    <d v="2025-11-13T20:25:00"/>
    <x v="43"/>
    <x v="17"/>
    <n v="5583"/>
    <n v="5"/>
    <n v="27915"/>
    <x v="1"/>
  </r>
  <r>
    <n v="501"/>
    <n v="14"/>
    <x v="5"/>
    <x v="29"/>
    <x v="5"/>
    <n v="4"/>
    <x v="0"/>
    <d v="2025-11-13T20:48:00"/>
    <x v="43"/>
    <x v="17"/>
    <n v="1230"/>
    <n v="5"/>
    <n v="6150"/>
    <x v="2"/>
  </r>
  <r>
    <n v="437"/>
    <n v="228"/>
    <x v="7"/>
    <x v="94"/>
    <x v="5"/>
    <n v="4"/>
    <x v="0"/>
    <d v="2025-11-13T21:00:00"/>
    <x v="43"/>
    <x v="23"/>
    <n v="710"/>
    <n v="3"/>
    <n v="2130"/>
    <x v="3"/>
  </r>
  <r>
    <n v="113"/>
    <n v="62"/>
    <x v="8"/>
    <x v="103"/>
    <x v="3"/>
    <n v="1"/>
    <x v="0"/>
    <d v="2025-11-13T21:25:00"/>
    <x v="43"/>
    <x v="23"/>
    <n v="5131"/>
    <n v="5"/>
    <n v="25655"/>
    <x v="1"/>
  </r>
  <r>
    <n v="89"/>
    <n v="71"/>
    <x v="8"/>
    <x v="71"/>
    <x v="2"/>
    <n v="3"/>
    <x v="0"/>
    <d v="2025-11-13T21:57:00"/>
    <x v="43"/>
    <x v="23"/>
    <n v="5161"/>
    <n v="5"/>
    <n v="25805"/>
    <x v="1"/>
  </r>
  <r>
    <n v="81"/>
    <n v="114"/>
    <x v="1"/>
    <x v="199"/>
    <x v="5"/>
    <n v="4"/>
    <x v="0"/>
    <d v="2025-11-13T22:28:00"/>
    <x v="43"/>
    <x v="18"/>
    <n v="794"/>
    <n v="3"/>
    <n v="2382"/>
    <x v="3"/>
  </r>
  <r>
    <n v="344"/>
    <n v="142"/>
    <x v="4"/>
    <x v="131"/>
    <x v="2"/>
    <n v="3"/>
    <x v="0"/>
    <d v="2025-11-13T22:40:00"/>
    <x v="43"/>
    <x v="18"/>
    <n v="2076"/>
    <n v="3"/>
    <n v="6228"/>
    <x v="2"/>
  </r>
  <r>
    <n v="796"/>
    <n v="38"/>
    <x v="3"/>
    <x v="305"/>
    <x v="3"/>
    <n v="1"/>
    <x v="0"/>
    <d v="2025-11-13T22:45:00"/>
    <x v="43"/>
    <x v="18"/>
    <n v="4836"/>
    <n v="5"/>
    <n v="24180"/>
    <x v="2"/>
  </r>
  <r>
    <n v="723"/>
    <n v="267"/>
    <x v="2"/>
    <x v="165"/>
    <x v="1"/>
    <n v="6"/>
    <x v="0"/>
    <d v="2025-11-13T23:00:00"/>
    <x v="43"/>
    <x v="19"/>
    <n v="6976"/>
    <n v="5"/>
    <n v="34880"/>
    <x v="1"/>
  </r>
  <r>
    <n v="642"/>
    <n v="19"/>
    <x v="3"/>
    <x v="247"/>
    <x v="1"/>
    <n v="6"/>
    <x v="1"/>
    <d v="2025-11-13T23:04:00"/>
    <x v="43"/>
    <x v="19"/>
    <n v="7099"/>
    <n v="0"/>
    <n v="0"/>
    <x v="1"/>
  </r>
  <r>
    <n v="141"/>
    <n v="193"/>
    <x v="0"/>
    <x v="15"/>
    <x v="3"/>
    <n v="1"/>
    <x v="0"/>
    <d v="2025-11-14T00:03:00"/>
    <x v="44"/>
    <x v="0"/>
    <n v="6318"/>
    <n v="5"/>
    <n v="31590"/>
    <x v="1"/>
  </r>
  <r>
    <n v="482"/>
    <n v="78"/>
    <x v="5"/>
    <x v="119"/>
    <x v="1"/>
    <n v="6"/>
    <x v="0"/>
    <d v="2025-11-14T00:14:00"/>
    <x v="44"/>
    <x v="0"/>
    <n v="5751"/>
    <n v="2"/>
    <n v="11502"/>
    <x v="1"/>
  </r>
  <r>
    <n v="135"/>
    <n v="102"/>
    <x v="8"/>
    <x v="103"/>
    <x v="3"/>
    <n v="1"/>
    <x v="0"/>
    <d v="2025-11-14T00:19:00"/>
    <x v="44"/>
    <x v="0"/>
    <n v="4864"/>
    <n v="2"/>
    <n v="9728"/>
    <x v="2"/>
  </r>
  <r>
    <n v="445"/>
    <n v="35"/>
    <x v="5"/>
    <x v="352"/>
    <x v="2"/>
    <n v="3"/>
    <x v="0"/>
    <d v="2025-11-14T00:19:00"/>
    <x v="44"/>
    <x v="0"/>
    <n v="2290"/>
    <n v="5"/>
    <n v="11450"/>
    <x v="2"/>
  </r>
  <r>
    <n v="728"/>
    <n v="92"/>
    <x v="9"/>
    <x v="312"/>
    <x v="5"/>
    <n v="4"/>
    <x v="0"/>
    <d v="2025-11-14T00:47:00"/>
    <x v="44"/>
    <x v="0"/>
    <n v="1139"/>
    <n v="5"/>
    <n v="5695"/>
    <x v="2"/>
  </r>
  <r>
    <n v="390"/>
    <n v="299"/>
    <x v="7"/>
    <x v="163"/>
    <x v="3"/>
    <n v="1"/>
    <x v="0"/>
    <d v="2025-11-14T01:14:00"/>
    <x v="44"/>
    <x v="1"/>
    <n v="1331"/>
    <n v="2"/>
    <n v="2662"/>
    <x v="2"/>
  </r>
  <r>
    <n v="544"/>
    <n v="93"/>
    <x v="6"/>
    <x v="136"/>
    <x v="6"/>
    <n v="5"/>
    <x v="0"/>
    <d v="2025-11-14T01:25:00"/>
    <x v="44"/>
    <x v="1"/>
    <n v="1887"/>
    <n v="5"/>
    <n v="9435"/>
    <x v="2"/>
  </r>
  <r>
    <n v="502"/>
    <n v="201"/>
    <x v="7"/>
    <x v="236"/>
    <x v="5"/>
    <n v="4"/>
    <x v="0"/>
    <d v="2025-11-14T01:27:00"/>
    <x v="44"/>
    <x v="1"/>
    <n v="582"/>
    <n v="5"/>
    <n v="2910"/>
    <x v="3"/>
  </r>
  <r>
    <n v="303"/>
    <n v="50"/>
    <x v="3"/>
    <x v="138"/>
    <x v="6"/>
    <n v="5"/>
    <x v="0"/>
    <d v="2025-11-14T01:40:00"/>
    <x v="44"/>
    <x v="1"/>
    <n v="3230"/>
    <n v="2"/>
    <n v="6460"/>
    <x v="2"/>
  </r>
  <r>
    <n v="458"/>
    <n v="167"/>
    <x v="7"/>
    <x v="255"/>
    <x v="6"/>
    <n v="5"/>
    <x v="0"/>
    <d v="2025-11-14T01:50:00"/>
    <x v="44"/>
    <x v="1"/>
    <n v="1553"/>
    <n v="5"/>
    <n v="7765"/>
    <x v="2"/>
  </r>
  <r>
    <n v="181"/>
    <n v="238"/>
    <x v="2"/>
    <x v="165"/>
    <x v="1"/>
    <n v="6"/>
    <x v="0"/>
    <d v="2025-11-14T02:20:00"/>
    <x v="44"/>
    <x v="2"/>
    <n v="6192"/>
    <n v="5"/>
    <n v="30960"/>
    <x v="1"/>
  </r>
  <r>
    <n v="714"/>
    <n v="204"/>
    <x v="1"/>
    <x v="276"/>
    <x v="4"/>
    <n v="7"/>
    <x v="0"/>
    <d v="2025-11-14T02:45:00"/>
    <x v="44"/>
    <x v="2"/>
    <n v="4250"/>
    <n v="2"/>
    <n v="8500"/>
    <x v="2"/>
  </r>
  <r>
    <n v="616"/>
    <n v="211"/>
    <x v="8"/>
    <x v="17"/>
    <x v="2"/>
    <n v="3"/>
    <x v="0"/>
    <d v="2025-11-14T02:57:00"/>
    <x v="44"/>
    <x v="2"/>
    <n v="2745"/>
    <n v="5"/>
    <n v="13725"/>
    <x v="2"/>
  </r>
  <r>
    <n v="275"/>
    <n v="260"/>
    <x v="0"/>
    <x v="67"/>
    <x v="3"/>
    <n v="1"/>
    <x v="1"/>
    <d v="2025-11-14T03:04:00"/>
    <x v="44"/>
    <x v="3"/>
    <n v="6549"/>
    <n v="0"/>
    <n v="0"/>
    <x v="1"/>
  </r>
  <r>
    <n v="576"/>
    <n v="166"/>
    <x v="2"/>
    <x v="45"/>
    <x v="3"/>
    <n v="1"/>
    <x v="1"/>
    <d v="2025-11-14T05:01:00"/>
    <x v="44"/>
    <x v="20"/>
    <n v="2962"/>
    <n v="0"/>
    <n v="0"/>
    <x v="2"/>
  </r>
  <r>
    <n v="401"/>
    <n v="227"/>
    <x v="6"/>
    <x v="28"/>
    <x v="0"/>
    <n v="2"/>
    <x v="0"/>
    <d v="2025-11-14T05:17:00"/>
    <x v="44"/>
    <x v="20"/>
    <n v="8431"/>
    <n v="5"/>
    <n v="42155"/>
    <x v="1"/>
  </r>
  <r>
    <n v="275"/>
    <n v="249"/>
    <x v="7"/>
    <x v="158"/>
    <x v="0"/>
    <n v="2"/>
    <x v="0"/>
    <d v="2025-11-14T05:48:00"/>
    <x v="44"/>
    <x v="20"/>
    <n v="10970"/>
    <n v="2"/>
    <n v="21940"/>
    <x v="0"/>
  </r>
  <r>
    <n v="47"/>
    <n v="158"/>
    <x v="6"/>
    <x v="203"/>
    <x v="3"/>
    <n v="1"/>
    <x v="0"/>
    <d v="2025-11-14T05:52:00"/>
    <x v="44"/>
    <x v="20"/>
    <n v="6877"/>
    <n v="5"/>
    <n v="34385"/>
    <x v="1"/>
  </r>
  <r>
    <n v="171"/>
    <n v="275"/>
    <x v="5"/>
    <x v="186"/>
    <x v="5"/>
    <n v="4"/>
    <x v="0"/>
    <d v="2025-11-14T06:09:00"/>
    <x v="44"/>
    <x v="5"/>
    <n v="975"/>
    <n v="5"/>
    <n v="4875"/>
    <x v="3"/>
  </r>
  <r>
    <n v="626"/>
    <n v="169"/>
    <x v="1"/>
    <x v="346"/>
    <x v="1"/>
    <n v="6"/>
    <x v="0"/>
    <d v="2025-11-14T06:10:00"/>
    <x v="44"/>
    <x v="5"/>
    <n v="5577"/>
    <n v="2"/>
    <n v="11154"/>
    <x v="1"/>
  </r>
  <r>
    <n v="740"/>
    <n v="11"/>
    <x v="3"/>
    <x v="365"/>
    <x v="6"/>
    <n v="5"/>
    <x v="0"/>
    <d v="2025-11-14T06:29:00"/>
    <x v="44"/>
    <x v="5"/>
    <n v="1438"/>
    <n v="2"/>
    <n v="2876"/>
    <x v="2"/>
  </r>
  <r>
    <n v="342"/>
    <n v="181"/>
    <x v="1"/>
    <x v="194"/>
    <x v="3"/>
    <n v="1"/>
    <x v="0"/>
    <d v="2025-11-14T07:57:00"/>
    <x v="44"/>
    <x v="6"/>
    <n v="7567"/>
    <n v="5"/>
    <n v="37835"/>
    <x v="1"/>
  </r>
  <r>
    <n v="216"/>
    <n v="186"/>
    <x v="0"/>
    <x v="265"/>
    <x v="5"/>
    <n v="4"/>
    <x v="0"/>
    <d v="2025-11-14T08:10:00"/>
    <x v="44"/>
    <x v="7"/>
    <n v="1014"/>
    <n v="2"/>
    <n v="2028"/>
    <x v="2"/>
  </r>
  <r>
    <n v="406"/>
    <n v="118"/>
    <x v="4"/>
    <x v="19"/>
    <x v="5"/>
    <n v="4"/>
    <x v="0"/>
    <d v="2025-11-14T08:11:00"/>
    <x v="44"/>
    <x v="7"/>
    <n v="1047"/>
    <n v="2"/>
    <n v="2094"/>
    <x v="2"/>
  </r>
  <r>
    <n v="424"/>
    <n v="111"/>
    <x v="6"/>
    <x v="371"/>
    <x v="2"/>
    <n v="3"/>
    <x v="0"/>
    <d v="2025-11-14T08:12:00"/>
    <x v="44"/>
    <x v="7"/>
    <n v="3759"/>
    <n v="2"/>
    <n v="7518"/>
    <x v="2"/>
  </r>
  <r>
    <n v="37"/>
    <n v="11"/>
    <x v="5"/>
    <x v="257"/>
    <x v="3"/>
    <n v="1"/>
    <x v="0"/>
    <d v="2025-11-14T08:25:00"/>
    <x v="44"/>
    <x v="7"/>
    <n v="5704"/>
    <n v="2"/>
    <n v="11408"/>
    <x v="1"/>
  </r>
  <r>
    <n v="408"/>
    <n v="249"/>
    <x v="1"/>
    <x v="8"/>
    <x v="3"/>
    <n v="1"/>
    <x v="0"/>
    <d v="2025-11-14T08:29:00"/>
    <x v="44"/>
    <x v="7"/>
    <n v="7254"/>
    <n v="5"/>
    <n v="36270"/>
    <x v="1"/>
  </r>
  <r>
    <n v="25"/>
    <n v="118"/>
    <x v="7"/>
    <x v="184"/>
    <x v="6"/>
    <n v="5"/>
    <x v="0"/>
    <d v="2025-11-14T08:30:00"/>
    <x v="44"/>
    <x v="7"/>
    <n v="853"/>
    <n v="2"/>
    <n v="1706"/>
    <x v="3"/>
  </r>
  <r>
    <n v="279"/>
    <n v="64"/>
    <x v="5"/>
    <x v="257"/>
    <x v="3"/>
    <n v="1"/>
    <x v="1"/>
    <d v="2025-11-14T09:07:00"/>
    <x v="44"/>
    <x v="8"/>
    <n v="6368"/>
    <n v="0"/>
    <n v="0"/>
    <x v="1"/>
  </r>
  <r>
    <n v="759"/>
    <n v="139"/>
    <x v="2"/>
    <x v="185"/>
    <x v="3"/>
    <n v="1"/>
    <x v="0"/>
    <d v="2025-11-14T09:23:00"/>
    <x v="44"/>
    <x v="8"/>
    <n v="7653"/>
    <n v="2"/>
    <n v="15306"/>
    <x v="1"/>
  </r>
  <r>
    <n v="740"/>
    <n v="213"/>
    <x v="1"/>
    <x v="23"/>
    <x v="5"/>
    <n v="4"/>
    <x v="0"/>
    <d v="2025-11-14T09:33:00"/>
    <x v="44"/>
    <x v="8"/>
    <n v="62"/>
    <n v="5"/>
    <n v="310"/>
    <x v="3"/>
  </r>
  <r>
    <n v="156"/>
    <n v="49"/>
    <x v="3"/>
    <x v="383"/>
    <x v="0"/>
    <n v="2"/>
    <x v="0"/>
    <d v="2025-11-14T10:34:00"/>
    <x v="44"/>
    <x v="9"/>
    <n v="4137"/>
    <n v="2"/>
    <n v="8274"/>
    <x v="2"/>
  </r>
  <r>
    <n v="621"/>
    <n v="160"/>
    <x v="2"/>
    <x v="185"/>
    <x v="3"/>
    <n v="1"/>
    <x v="0"/>
    <d v="2025-11-14T10:37:00"/>
    <x v="44"/>
    <x v="9"/>
    <n v="7129"/>
    <n v="2"/>
    <n v="14258"/>
    <x v="1"/>
  </r>
  <r>
    <n v="24"/>
    <n v="155"/>
    <x v="3"/>
    <x v="295"/>
    <x v="0"/>
    <n v="2"/>
    <x v="1"/>
    <d v="2025-11-14T12:00:00"/>
    <x v="44"/>
    <x v="11"/>
    <n v="9320"/>
    <n v="0"/>
    <n v="0"/>
    <x v="1"/>
  </r>
  <r>
    <n v="271"/>
    <n v="296"/>
    <x v="5"/>
    <x v="29"/>
    <x v="5"/>
    <n v="4"/>
    <x v="1"/>
    <d v="2025-11-14T12:10:00"/>
    <x v="44"/>
    <x v="11"/>
    <n v="645"/>
    <n v="0"/>
    <n v="0"/>
    <x v="3"/>
  </r>
  <r>
    <n v="96"/>
    <n v="114"/>
    <x v="7"/>
    <x v="156"/>
    <x v="0"/>
    <n v="2"/>
    <x v="0"/>
    <d v="2025-11-14T13:08:00"/>
    <x v="44"/>
    <x v="21"/>
    <n v="11715"/>
    <n v="5"/>
    <n v="58575"/>
    <x v="0"/>
  </r>
  <r>
    <n v="292"/>
    <n v="274"/>
    <x v="7"/>
    <x v="54"/>
    <x v="3"/>
    <n v="1"/>
    <x v="1"/>
    <d v="2025-11-14T13:32:00"/>
    <x v="44"/>
    <x v="21"/>
    <n v="4415"/>
    <n v="0"/>
    <n v="0"/>
    <x v="2"/>
  </r>
  <r>
    <n v="509"/>
    <n v="202"/>
    <x v="2"/>
    <x v="333"/>
    <x v="4"/>
    <n v="7"/>
    <x v="0"/>
    <d v="2025-11-14T14:19:00"/>
    <x v="44"/>
    <x v="12"/>
    <n v="5575"/>
    <n v="2"/>
    <n v="11150"/>
    <x v="1"/>
  </r>
  <r>
    <n v="464"/>
    <n v="115"/>
    <x v="3"/>
    <x v="177"/>
    <x v="2"/>
    <n v="3"/>
    <x v="0"/>
    <d v="2025-11-14T16:08:00"/>
    <x v="44"/>
    <x v="14"/>
    <n v="4743"/>
    <n v="5"/>
    <n v="23715"/>
    <x v="2"/>
  </r>
  <r>
    <n v="379"/>
    <n v="245"/>
    <x v="5"/>
    <x v="297"/>
    <x v="2"/>
    <n v="3"/>
    <x v="0"/>
    <d v="2025-11-14T16:17:00"/>
    <x v="44"/>
    <x v="14"/>
    <n v="1706"/>
    <n v="5"/>
    <n v="8530"/>
    <x v="2"/>
  </r>
  <r>
    <n v="148"/>
    <n v="43"/>
    <x v="7"/>
    <x v="73"/>
    <x v="2"/>
    <n v="3"/>
    <x v="1"/>
    <d v="2025-11-14T17:43:00"/>
    <x v="44"/>
    <x v="15"/>
    <n v="2521"/>
    <n v="0"/>
    <n v="0"/>
    <x v="2"/>
  </r>
  <r>
    <n v="502"/>
    <n v="128"/>
    <x v="4"/>
    <x v="316"/>
    <x v="0"/>
    <n v="2"/>
    <x v="1"/>
    <d v="2025-11-14T17:56:00"/>
    <x v="44"/>
    <x v="15"/>
    <n v="5649"/>
    <n v="0"/>
    <n v="0"/>
    <x v="1"/>
  </r>
  <r>
    <n v="485"/>
    <n v="268"/>
    <x v="2"/>
    <x v="325"/>
    <x v="1"/>
    <n v="6"/>
    <x v="1"/>
    <d v="2025-11-14T18:09:00"/>
    <x v="44"/>
    <x v="16"/>
    <n v="3246"/>
    <n v="0"/>
    <n v="0"/>
    <x v="2"/>
  </r>
  <r>
    <n v="786"/>
    <n v="253"/>
    <x v="5"/>
    <x v="382"/>
    <x v="6"/>
    <n v="5"/>
    <x v="0"/>
    <d v="2025-11-14T18:20:00"/>
    <x v="44"/>
    <x v="16"/>
    <n v="3851"/>
    <n v="5"/>
    <n v="19255"/>
    <x v="2"/>
  </r>
  <r>
    <n v="155"/>
    <n v="19"/>
    <x v="7"/>
    <x v="73"/>
    <x v="2"/>
    <n v="3"/>
    <x v="1"/>
    <d v="2025-11-14T18:41:00"/>
    <x v="44"/>
    <x v="16"/>
    <n v="3574"/>
    <n v="0"/>
    <n v="0"/>
    <x v="2"/>
  </r>
  <r>
    <n v="417"/>
    <n v="3"/>
    <x v="9"/>
    <x v="55"/>
    <x v="6"/>
    <n v="5"/>
    <x v="1"/>
    <d v="2025-11-14T18:45:00"/>
    <x v="44"/>
    <x v="16"/>
    <n v="2268"/>
    <n v="0"/>
    <n v="0"/>
    <x v="2"/>
  </r>
  <r>
    <n v="501"/>
    <n v="280"/>
    <x v="5"/>
    <x v="284"/>
    <x v="6"/>
    <n v="5"/>
    <x v="1"/>
    <d v="2025-11-14T19:07:00"/>
    <x v="44"/>
    <x v="22"/>
    <n v="2051"/>
    <n v="0"/>
    <n v="0"/>
    <x v="2"/>
  </r>
  <r>
    <n v="473"/>
    <n v="248"/>
    <x v="5"/>
    <x v="313"/>
    <x v="6"/>
    <n v="5"/>
    <x v="0"/>
    <d v="2025-11-14T19:27:00"/>
    <x v="44"/>
    <x v="22"/>
    <n v="2807"/>
    <n v="5"/>
    <n v="14035"/>
    <x v="2"/>
  </r>
  <r>
    <n v="436"/>
    <n v="40"/>
    <x v="1"/>
    <x v="366"/>
    <x v="0"/>
    <n v="2"/>
    <x v="0"/>
    <d v="2025-11-14T20:05:00"/>
    <x v="44"/>
    <x v="17"/>
    <n v="12512"/>
    <n v="5"/>
    <n v="62560"/>
    <x v="0"/>
  </r>
  <r>
    <n v="533"/>
    <n v="63"/>
    <x v="0"/>
    <x v="15"/>
    <x v="3"/>
    <n v="1"/>
    <x v="0"/>
    <d v="2025-11-14T20:53:00"/>
    <x v="44"/>
    <x v="17"/>
    <n v="3942"/>
    <n v="5"/>
    <n v="19710"/>
    <x v="2"/>
  </r>
  <r>
    <n v="40"/>
    <n v="218"/>
    <x v="8"/>
    <x v="193"/>
    <x v="0"/>
    <n v="2"/>
    <x v="0"/>
    <d v="2025-11-14T21:08:00"/>
    <x v="44"/>
    <x v="23"/>
    <n v="6623"/>
    <n v="5"/>
    <n v="33115"/>
    <x v="1"/>
  </r>
  <r>
    <n v="144"/>
    <n v="281"/>
    <x v="3"/>
    <x v="84"/>
    <x v="5"/>
    <n v="4"/>
    <x v="0"/>
    <d v="2025-11-14T21:18:00"/>
    <x v="44"/>
    <x v="23"/>
    <n v="951"/>
    <n v="5"/>
    <n v="4755"/>
    <x v="3"/>
  </r>
  <r>
    <n v="121"/>
    <n v="223"/>
    <x v="0"/>
    <x v="300"/>
    <x v="6"/>
    <n v="5"/>
    <x v="0"/>
    <d v="2025-11-14T21:26:00"/>
    <x v="44"/>
    <x v="23"/>
    <n v="2516"/>
    <n v="2"/>
    <n v="5032"/>
    <x v="2"/>
  </r>
  <r>
    <n v="331"/>
    <n v="191"/>
    <x v="7"/>
    <x v="58"/>
    <x v="2"/>
    <n v="3"/>
    <x v="0"/>
    <d v="2025-11-14T21:31:00"/>
    <x v="44"/>
    <x v="23"/>
    <n v="4078"/>
    <n v="5"/>
    <n v="20390"/>
    <x v="2"/>
  </r>
  <r>
    <n v="298"/>
    <n v="268"/>
    <x v="4"/>
    <x v="6"/>
    <x v="3"/>
    <n v="1"/>
    <x v="0"/>
    <d v="2025-11-14T21:33:00"/>
    <x v="44"/>
    <x v="23"/>
    <n v="5750"/>
    <n v="5"/>
    <n v="28750"/>
    <x v="1"/>
  </r>
  <r>
    <n v="532"/>
    <n v="129"/>
    <x v="9"/>
    <x v="191"/>
    <x v="6"/>
    <n v="5"/>
    <x v="0"/>
    <d v="2025-11-14T21:44:00"/>
    <x v="44"/>
    <x v="23"/>
    <n v="3509"/>
    <n v="2"/>
    <n v="7018"/>
    <x v="2"/>
  </r>
  <r>
    <n v="765"/>
    <n v="70"/>
    <x v="5"/>
    <x v="78"/>
    <x v="5"/>
    <n v="4"/>
    <x v="0"/>
    <d v="2025-11-14T21:53:00"/>
    <x v="44"/>
    <x v="23"/>
    <n v="1052"/>
    <n v="5"/>
    <n v="5260"/>
    <x v="2"/>
  </r>
  <r>
    <n v="326"/>
    <n v="214"/>
    <x v="8"/>
    <x v="368"/>
    <x v="4"/>
    <n v="7"/>
    <x v="0"/>
    <d v="2025-11-14T23:22:00"/>
    <x v="44"/>
    <x v="19"/>
    <n v="2913"/>
    <n v="5"/>
    <n v="14565"/>
    <x v="2"/>
  </r>
  <r>
    <n v="6"/>
    <n v="160"/>
    <x v="8"/>
    <x v="193"/>
    <x v="0"/>
    <n v="2"/>
    <x v="0"/>
    <d v="2025-11-14T23:44:00"/>
    <x v="44"/>
    <x v="19"/>
    <n v="6812"/>
    <n v="5"/>
    <n v="34060"/>
    <x v="1"/>
  </r>
  <r>
    <n v="551"/>
    <n v="235"/>
    <x v="5"/>
    <x v="29"/>
    <x v="5"/>
    <n v="4"/>
    <x v="0"/>
    <d v="2025-11-14T23:55:00"/>
    <x v="44"/>
    <x v="19"/>
    <n v="1382"/>
    <n v="5"/>
    <n v="6910"/>
    <x v="2"/>
  </r>
  <r>
    <n v="480"/>
    <n v="81"/>
    <x v="0"/>
    <x v="358"/>
    <x v="1"/>
    <n v="6"/>
    <x v="1"/>
    <d v="2025-11-15T00:18:00"/>
    <x v="45"/>
    <x v="0"/>
    <n v="7271"/>
    <n v="0"/>
    <n v="0"/>
    <x v="1"/>
  </r>
  <r>
    <n v="354"/>
    <n v="8"/>
    <x v="3"/>
    <x v="248"/>
    <x v="0"/>
    <n v="2"/>
    <x v="0"/>
    <d v="2025-11-15T00:22:00"/>
    <x v="45"/>
    <x v="0"/>
    <n v="5072"/>
    <n v="4"/>
    <n v="20288"/>
    <x v="1"/>
  </r>
  <r>
    <n v="599"/>
    <n v="157"/>
    <x v="7"/>
    <x v="156"/>
    <x v="0"/>
    <n v="2"/>
    <x v="0"/>
    <d v="2025-11-15T00:38:00"/>
    <x v="45"/>
    <x v="0"/>
    <n v="7096"/>
    <n v="4"/>
    <n v="28384"/>
    <x v="1"/>
  </r>
  <r>
    <n v="575"/>
    <n v="278"/>
    <x v="2"/>
    <x v="280"/>
    <x v="1"/>
    <n v="6"/>
    <x v="0"/>
    <d v="2025-11-15T01:04:00"/>
    <x v="45"/>
    <x v="1"/>
    <n v="8136"/>
    <n v="5"/>
    <n v="40680"/>
    <x v="1"/>
  </r>
  <r>
    <n v="607"/>
    <n v="79"/>
    <x v="5"/>
    <x v="29"/>
    <x v="5"/>
    <n v="4"/>
    <x v="1"/>
    <d v="2025-11-15T01:22:00"/>
    <x v="45"/>
    <x v="1"/>
    <n v="1500"/>
    <n v="0"/>
    <n v="0"/>
    <x v="2"/>
  </r>
  <r>
    <n v="183"/>
    <n v="135"/>
    <x v="5"/>
    <x v="119"/>
    <x v="1"/>
    <n v="6"/>
    <x v="0"/>
    <d v="2025-11-15T01:35:00"/>
    <x v="45"/>
    <x v="1"/>
    <n v="3861"/>
    <n v="5"/>
    <n v="19305"/>
    <x v="2"/>
  </r>
  <r>
    <n v="602"/>
    <n v="197"/>
    <x v="4"/>
    <x v="65"/>
    <x v="0"/>
    <n v="2"/>
    <x v="0"/>
    <d v="2025-11-15T03:50:00"/>
    <x v="45"/>
    <x v="3"/>
    <n v="13087"/>
    <n v="2"/>
    <n v="26174"/>
    <x v="0"/>
  </r>
  <r>
    <n v="284"/>
    <n v="243"/>
    <x v="9"/>
    <x v="55"/>
    <x v="6"/>
    <n v="5"/>
    <x v="0"/>
    <d v="2025-11-15T04:47:00"/>
    <x v="45"/>
    <x v="4"/>
    <n v="2246"/>
    <n v="5"/>
    <n v="11230"/>
    <x v="2"/>
  </r>
  <r>
    <n v="222"/>
    <n v="47"/>
    <x v="0"/>
    <x v="15"/>
    <x v="3"/>
    <n v="1"/>
    <x v="1"/>
    <d v="2025-11-15T05:12:00"/>
    <x v="45"/>
    <x v="20"/>
    <n v="2600"/>
    <n v="0"/>
    <n v="0"/>
    <x v="2"/>
  </r>
  <r>
    <n v="487"/>
    <n v="1"/>
    <x v="4"/>
    <x v="316"/>
    <x v="0"/>
    <n v="2"/>
    <x v="0"/>
    <d v="2025-11-15T05:35:00"/>
    <x v="45"/>
    <x v="20"/>
    <n v="13949"/>
    <n v="5"/>
    <n v="69745"/>
    <x v="0"/>
  </r>
  <r>
    <n v="524"/>
    <n v="226"/>
    <x v="0"/>
    <x v="353"/>
    <x v="1"/>
    <n v="6"/>
    <x v="1"/>
    <d v="2025-11-15T06:00:00"/>
    <x v="45"/>
    <x v="5"/>
    <n v="7136"/>
    <n v="0"/>
    <n v="0"/>
    <x v="1"/>
  </r>
  <r>
    <n v="310"/>
    <n v="257"/>
    <x v="8"/>
    <x v="103"/>
    <x v="3"/>
    <n v="1"/>
    <x v="1"/>
    <d v="2025-11-15T06:06:00"/>
    <x v="45"/>
    <x v="5"/>
    <n v="4624"/>
    <n v="0"/>
    <n v="0"/>
    <x v="2"/>
  </r>
  <r>
    <n v="387"/>
    <n v="198"/>
    <x v="3"/>
    <x v="4"/>
    <x v="0"/>
    <n v="2"/>
    <x v="0"/>
    <d v="2025-11-15T06:20:00"/>
    <x v="45"/>
    <x v="5"/>
    <n v="5844"/>
    <n v="5"/>
    <n v="29220"/>
    <x v="1"/>
  </r>
  <r>
    <n v="535"/>
    <n v="163"/>
    <x v="6"/>
    <x v="219"/>
    <x v="3"/>
    <n v="1"/>
    <x v="0"/>
    <d v="2025-11-15T06:21:00"/>
    <x v="45"/>
    <x v="5"/>
    <n v="6827"/>
    <n v="4"/>
    <n v="27308"/>
    <x v="1"/>
  </r>
  <r>
    <n v="171"/>
    <n v="143"/>
    <x v="9"/>
    <x v="349"/>
    <x v="2"/>
    <n v="3"/>
    <x v="0"/>
    <d v="2025-11-15T06:38:00"/>
    <x v="45"/>
    <x v="5"/>
    <n v="5687"/>
    <n v="4"/>
    <n v="22748"/>
    <x v="1"/>
  </r>
  <r>
    <n v="502"/>
    <n v="129"/>
    <x v="3"/>
    <x v="230"/>
    <x v="1"/>
    <n v="6"/>
    <x v="0"/>
    <d v="2025-11-15T06:59:00"/>
    <x v="45"/>
    <x v="5"/>
    <n v="4364"/>
    <n v="4"/>
    <n v="17456"/>
    <x v="2"/>
  </r>
  <r>
    <n v="668"/>
    <n v="179"/>
    <x v="3"/>
    <x v="138"/>
    <x v="6"/>
    <n v="5"/>
    <x v="0"/>
    <d v="2025-11-15T07:05:00"/>
    <x v="45"/>
    <x v="6"/>
    <n v="3468"/>
    <n v="2"/>
    <n v="6936"/>
    <x v="2"/>
  </r>
  <r>
    <n v="790"/>
    <n v="178"/>
    <x v="6"/>
    <x v="136"/>
    <x v="6"/>
    <n v="5"/>
    <x v="0"/>
    <d v="2025-11-15T08:34:00"/>
    <x v="45"/>
    <x v="7"/>
    <n v="1341"/>
    <n v="5"/>
    <n v="6705"/>
    <x v="2"/>
  </r>
  <r>
    <n v="196"/>
    <n v="196"/>
    <x v="9"/>
    <x v="48"/>
    <x v="2"/>
    <n v="3"/>
    <x v="0"/>
    <d v="2025-11-15T09:37:00"/>
    <x v="45"/>
    <x v="8"/>
    <n v="4883"/>
    <n v="4"/>
    <n v="19532"/>
    <x v="2"/>
  </r>
  <r>
    <n v="453"/>
    <n v="185"/>
    <x v="0"/>
    <x v="87"/>
    <x v="5"/>
    <n v="4"/>
    <x v="0"/>
    <d v="2025-11-15T10:11:00"/>
    <x v="45"/>
    <x v="9"/>
    <n v="707"/>
    <n v="5"/>
    <n v="3535"/>
    <x v="3"/>
  </r>
  <r>
    <n v="318"/>
    <n v="169"/>
    <x v="0"/>
    <x v="334"/>
    <x v="4"/>
    <n v="7"/>
    <x v="0"/>
    <d v="2025-11-15T10:31:00"/>
    <x v="45"/>
    <x v="9"/>
    <n v="5708"/>
    <n v="5"/>
    <n v="28540"/>
    <x v="1"/>
  </r>
  <r>
    <n v="14"/>
    <n v="140"/>
    <x v="7"/>
    <x v="163"/>
    <x v="3"/>
    <n v="1"/>
    <x v="0"/>
    <d v="2025-11-15T11:25:00"/>
    <x v="45"/>
    <x v="10"/>
    <n v="1758"/>
    <n v="2"/>
    <n v="3516"/>
    <x v="2"/>
  </r>
  <r>
    <n v="408"/>
    <n v="23"/>
    <x v="7"/>
    <x v="240"/>
    <x v="2"/>
    <n v="3"/>
    <x v="0"/>
    <d v="2025-11-15T11:29:00"/>
    <x v="45"/>
    <x v="10"/>
    <n v="1905"/>
    <n v="5"/>
    <n v="9525"/>
    <x v="2"/>
  </r>
  <r>
    <n v="641"/>
    <n v="30"/>
    <x v="7"/>
    <x v="83"/>
    <x v="3"/>
    <n v="1"/>
    <x v="0"/>
    <d v="2025-11-15T12:10:00"/>
    <x v="45"/>
    <x v="11"/>
    <n v="6857"/>
    <n v="4"/>
    <n v="27428"/>
    <x v="1"/>
  </r>
  <r>
    <n v="648"/>
    <n v="233"/>
    <x v="8"/>
    <x v="31"/>
    <x v="0"/>
    <n v="2"/>
    <x v="0"/>
    <d v="2025-11-15T12:14:00"/>
    <x v="45"/>
    <x v="11"/>
    <n v="13189"/>
    <n v="4"/>
    <n v="52756"/>
    <x v="0"/>
  </r>
  <r>
    <n v="664"/>
    <n v="280"/>
    <x v="8"/>
    <x v="364"/>
    <x v="4"/>
    <n v="7"/>
    <x v="0"/>
    <d v="2025-11-15T12:56:00"/>
    <x v="45"/>
    <x v="11"/>
    <n v="5404"/>
    <n v="5"/>
    <n v="27020"/>
    <x v="1"/>
  </r>
  <r>
    <n v="628"/>
    <n v="79"/>
    <x v="6"/>
    <x v="40"/>
    <x v="5"/>
    <n v="4"/>
    <x v="0"/>
    <d v="2025-11-15T13:04:00"/>
    <x v="45"/>
    <x v="21"/>
    <n v="81"/>
    <n v="4"/>
    <n v="324"/>
    <x v="3"/>
  </r>
  <r>
    <n v="123"/>
    <n v="29"/>
    <x v="1"/>
    <x v="251"/>
    <x v="0"/>
    <n v="2"/>
    <x v="0"/>
    <d v="2025-11-15T14:00:00"/>
    <x v="45"/>
    <x v="12"/>
    <n v="6765"/>
    <n v="2"/>
    <n v="13530"/>
    <x v="1"/>
  </r>
  <r>
    <n v="100"/>
    <n v="279"/>
    <x v="0"/>
    <x v="212"/>
    <x v="0"/>
    <n v="2"/>
    <x v="0"/>
    <d v="2025-11-15T15:16:00"/>
    <x v="45"/>
    <x v="13"/>
    <n v="11390"/>
    <n v="4"/>
    <n v="45560"/>
    <x v="0"/>
  </r>
  <r>
    <n v="341"/>
    <n v="163"/>
    <x v="9"/>
    <x v="151"/>
    <x v="5"/>
    <n v="4"/>
    <x v="0"/>
    <d v="2025-11-15T15:21:00"/>
    <x v="45"/>
    <x v="13"/>
    <n v="517"/>
    <n v="4"/>
    <n v="2068"/>
    <x v="3"/>
  </r>
  <r>
    <n v="376"/>
    <n v="265"/>
    <x v="9"/>
    <x v="180"/>
    <x v="3"/>
    <n v="1"/>
    <x v="0"/>
    <d v="2025-11-15T15:37:00"/>
    <x v="45"/>
    <x v="13"/>
    <n v="6696"/>
    <n v="4"/>
    <n v="26784"/>
    <x v="1"/>
  </r>
  <r>
    <n v="684"/>
    <n v="32"/>
    <x v="2"/>
    <x v="127"/>
    <x v="2"/>
    <n v="3"/>
    <x v="0"/>
    <d v="2025-11-15T17:22:00"/>
    <x v="45"/>
    <x v="15"/>
    <n v="1756"/>
    <n v="5"/>
    <n v="8780"/>
    <x v="2"/>
  </r>
  <r>
    <n v="747"/>
    <n v="137"/>
    <x v="3"/>
    <x v="238"/>
    <x v="6"/>
    <n v="5"/>
    <x v="0"/>
    <d v="2025-11-15T17:40:00"/>
    <x v="45"/>
    <x v="15"/>
    <n v="964"/>
    <n v="5"/>
    <n v="4820"/>
    <x v="3"/>
  </r>
  <r>
    <n v="283"/>
    <n v="102"/>
    <x v="8"/>
    <x v="30"/>
    <x v="3"/>
    <n v="1"/>
    <x v="1"/>
    <d v="2025-11-15T18:32:00"/>
    <x v="45"/>
    <x v="16"/>
    <n v="1575"/>
    <n v="0"/>
    <n v="0"/>
    <x v="2"/>
  </r>
  <r>
    <n v="765"/>
    <n v="2"/>
    <x v="4"/>
    <x v="252"/>
    <x v="1"/>
    <n v="6"/>
    <x v="0"/>
    <d v="2025-11-15T18:56:00"/>
    <x v="45"/>
    <x v="16"/>
    <n v="10290"/>
    <n v="4"/>
    <n v="41160"/>
    <x v="0"/>
  </r>
  <r>
    <n v="121"/>
    <n v="175"/>
    <x v="3"/>
    <x v="267"/>
    <x v="4"/>
    <n v="7"/>
    <x v="0"/>
    <d v="2025-11-15T19:08:00"/>
    <x v="45"/>
    <x v="22"/>
    <n v="3989"/>
    <n v="4"/>
    <n v="15956"/>
    <x v="2"/>
  </r>
  <r>
    <n v="475"/>
    <n v="46"/>
    <x v="1"/>
    <x v="149"/>
    <x v="0"/>
    <n v="2"/>
    <x v="1"/>
    <d v="2025-11-15T19:17:00"/>
    <x v="45"/>
    <x v="22"/>
    <n v="11729"/>
    <n v="0"/>
    <n v="0"/>
    <x v="0"/>
  </r>
  <r>
    <n v="191"/>
    <n v="163"/>
    <x v="4"/>
    <x v="196"/>
    <x v="5"/>
    <n v="4"/>
    <x v="0"/>
    <d v="2025-11-15T19:23:00"/>
    <x v="45"/>
    <x v="22"/>
    <n v="134"/>
    <n v="2"/>
    <n v="268"/>
    <x v="3"/>
  </r>
  <r>
    <n v="223"/>
    <n v="192"/>
    <x v="4"/>
    <x v="271"/>
    <x v="2"/>
    <n v="3"/>
    <x v="0"/>
    <d v="2025-11-15T20:01:00"/>
    <x v="45"/>
    <x v="17"/>
    <n v="1856"/>
    <n v="4"/>
    <n v="7424"/>
    <x v="2"/>
  </r>
  <r>
    <n v="698"/>
    <n v="98"/>
    <x v="5"/>
    <x v="313"/>
    <x v="6"/>
    <n v="5"/>
    <x v="0"/>
    <d v="2025-11-15T20:14:00"/>
    <x v="45"/>
    <x v="17"/>
    <n v="2526"/>
    <n v="4"/>
    <n v="10104"/>
    <x v="2"/>
  </r>
  <r>
    <n v="723"/>
    <n v="147"/>
    <x v="0"/>
    <x v="322"/>
    <x v="5"/>
    <n v="4"/>
    <x v="0"/>
    <d v="2025-11-15T20:33:00"/>
    <x v="45"/>
    <x v="17"/>
    <n v="279"/>
    <n v="5"/>
    <n v="1395"/>
    <x v="3"/>
  </r>
  <r>
    <n v="324"/>
    <n v="212"/>
    <x v="4"/>
    <x v="241"/>
    <x v="1"/>
    <n v="6"/>
    <x v="1"/>
    <d v="2025-11-15T20:51:00"/>
    <x v="45"/>
    <x v="17"/>
    <n v="4858"/>
    <n v="0"/>
    <n v="0"/>
    <x v="2"/>
  </r>
  <r>
    <n v="182"/>
    <n v="152"/>
    <x v="7"/>
    <x v="122"/>
    <x v="4"/>
    <n v="7"/>
    <x v="0"/>
    <d v="2025-11-15T21:14:00"/>
    <x v="45"/>
    <x v="23"/>
    <n v="3247"/>
    <n v="4"/>
    <n v="12988"/>
    <x v="2"/>
  </r>
  <r>
    <n v="95"/>
    <n v="251"/>
    <x v="8"/>
    <x v="155"/>
    <x v="0"/>
    <n v="2"/>
    <x v="0"/>
    <d v="2025-11-15T22:07:00"/>
    <x v="45"/>
    <x v="18"/>
    <n v="8406"/>
    <n v="2"/>
    <n v="16812"/>
    <x v="1"/>
  </r>
  <r>
    <n v="791"/>
    <n v="268"/>
    <x v="6"/>
    <x v="360"/>
    <x v="6"/>
    <n v="5"/>
    <x v="1"/>
    <d v="2025-11-15T23:52:00"/>
    <x v="45"/>
    <x v="19"/>
    <n v="2350"/>
    <n v="0"/>
    <n v="0"/>
    <x v="2"/>
  </r>
  <r>
    <n v="600"/>
    <n v="198"/>
    <x v="4"/>
    <x v="378"/>
    <x v="6"/>
    <n v="5"/>
    <x v="0"/>
    <d v="2025-11-16T00:06:00"/>
    <x v="46"/>
    <x v="0"/>
    <n v="2764"/>
    <n v="3"/>
    <n v="8292"/>
    <x v="2"/>
  </r>
  <r>
    <n v="720"/>
    <n v="223"/>
    <x v="9"/>
    <x v="202"/>
    <x v="1"/>
    <n v="6"/>
    <x v="0"/>
    <d v="2025-11-16T00:52:00"/>
    <x v="46"/>
    <x v="0"/>
    <n v="4626"/>
    <n v="4"/>
    <n v="18504"/>
    <x v="2"/>
  </r>
  <r>
    <n v="351"/>
    <n v="258"/>
    <x v="7"/>
    <x v="209"/>
    <x v="0"/>
    <n v="2"/>
    <x v="0"/>
    <d v="2025-11-16T01:31:00"/>
    <x v="46"/>
    <x v="1"/>
    <n v="9813"/>
    <n v="3"/>
    <n v="29439"/>
    <x v="1"/>
  </r>
  <r>
    <n v="526"/>
    <n v="108"/>
    <x v="7"/>
    <x v="158"/>
    <x v="0"/>
    <n v="2"/>
    <x v="1"/>
    <d v="2025-11-16T01:53:00"/>
    <x v="46"/>
    <x v="1"/>
    <n v="13217"/>
    <n v="0"/>
    <n v="0"/>
    <x v="0"/>
  </r>
  <r>
    <n v="33"/>
    <n v="60"/>
    <x v="8"/>
    <x v="71"/>
    <x v="2"/>
    <n v="3"/>
    <x v="0"/>
    <d v="2025-11-16T03:16:00"/>
    <x v="46"/>
    <x v="3"/>
    <n v="3526"/>
    <n v="2"/>
    <n v="7052"/>
    <x v="2"/>
  </r>
  <r>
    <n v="144"/>
    <n v="240"/>
    <x v="4"/>
    <x v="93"/>
    <x v="5"/>
    <n v="4"/>
    <x v="0"/>
    <d v="2025-11-16T03:22:00"/>
    <x v="46"/>
    <x v="3"/>
    <n v="1245"/>
    <n v="3"/>
    <n v="3735"/>
    <x v="2"/>
  </r>
  <r>
    <n v="387"/>
    <n v="18"/>
    <x v="6"/>
    <x v="96"/>
    <x v="5"/>
    <n v="4"/>
    <x v="0"/>
    <d v="2025-11-16T03:25:00"/>
    <x v="46"/>
    <x v="3"/>
    <n v="1216"/>
    <n v="1"/>
    <n v="1216"/>
    <x v="2"/>
  </r>
  <r>
    <n v="368"/>
    <n v="5"/>
    <x v="1"/>
    <x v="356"/>
    <x v="0"/>
    <n v="2"/>
    <x v="0"/>
    <d v="2025-11-16T04:16:00"/>
    <x v="46"/>
    <x v="4"/>
    <n v="9440"/>
    <n v="3"/>
    <n v="28320"/>
    <x v="1"/>
  </r>
  <r>
    <n v="345"/>
    <n v="52"/>
    <x v="8"/>
    <x v="379"/>
    <x v="6"/>
    <n v="5"/>
    <x v="0"/>
    <d v="2025-11-16T04:31:00"/>
    <x v="46"/>
    <x v="4"/>
    <n v="1465"/>
    <n v="3"/>
    <n v="4395"/>
    <x v="2"/>
  </r>
  <r>
    <n v="479"/>
    <n v="280"/>
    <x v="7"/>
    <x v="289"/>
    <x v="1"/>
    <n v="6"/>
    <x v="0"/>
    <d v="2025-11-16T05:21:00"/>
    <x v="46"/>
    <x v="20"/>
    <n v="5048"/>
    <n v="3"/>
    <n v="15144"/>
    <x v="1"/>
  </r>
  <r>
    <n v="632"/>
    <n v="234"/>
    <x v="0"/>
    <x v="322"/>
    <x v="5"/>
    <n v="4"/>
    <x v="0"/>
    <d v="2025-11-16T06:20:00"/>
    <x v="46"/>
    <x v="5"/>
    <n v="616"/>
    <n v="3"/>
    <n v="1848"/>
    <x v="3"/>
  </r>
  <r>
    <n v="485"/>
    <n v="125"/>
    <x v="2"/>
    <x v="108"/>
    <x v="5"/>
    <n v="4"/>
    <x v="0"/>
    <d v="2025-11-16T06:22:00"/>
    <x v="46"/>
    <x v="5"/>
    <n v="1359"/>
    <n v="1"/>
    <n v="1359"/>
    <x v="2"/>
  </r>
  <r>
    <n v="346"/>
    <n v="248"/>
    <x v="6"/>
    <x v="302"/>
    <x v="4"/>
    <n v="7"/>
    <x v="0"/>
    <d v="2025-11-16T07:19:00"/>
    <x v="46"/>
    <x v="6"/>
    <n v="3739"/>
    <n v="2"/>
    <n v="7478"/>
    <x v="2"/>
  </r>
  <r>
    <n v="240"/>
    <n v="260"/>
    <x v="7"/>
    <x v="12"/>
    <x v="5"/>
    <n v="4"/>
    <x v="0"/>
    <d v="2025-11-16T07:35:00"/>
    <x v="46"/>
    <x v="6"/>
    <n v="1444"/>
    <n v="2"/>
    <n v="2888"/>
    <x v="2"/>
  </r>
  <r>
    <n v="592"/>
    <n v="206"/>
    <x v="2"/>
    <x v="104"/>
    <x v="5"/>
    <n v="4"/>
    <x v="0"/>
    <d v="2025-11-16T07:54:00"/>
    <x v="46"/>
    <x v="6"/>
    <n v="285"/>
    <n v="2"/>
    <n v="570"/>
    <x v="3"/>
  </r>
  <r>
    <n v="171"/>
    <n v="154"/>
    <x v="4"/>
    <x v="241"/>
    <x v="1"/>
    <n v="6"/>
    <x v="0"/>
    <d v="2025-11-16T08:20:00"/>
    <x v="46"/>
    <x v="7"/>
    <n v="11530"/>
    <n v="2"/>
    <n v="23060"/>
    <x v="0"/>
  </r>
  <r>
    <n v="582"/>
    <n v="72"/>
    <x v="3"/>
    <x v="91"/>
    <x v="3"/>
    <n v="1"/>
    <x v="0"/>
    <d v="2025-11-16T09:29:00"/>
    <x v="46"/>
    <x v="8"/>
    <n v="6046"/>
    <n v="3"/>
    <n v="18138"/>
    <x v="1"/>
  </r>
  <r>
    <n v="93"/>
    <n v="159"/>
    <x v="6"/>
    <x v="40"/>
    <x v="5"/>
    <n v="4"/>
    <x v="0"/>
    <d v="2025-11-16T09:29:00"/>
    <x v="46"/>
    <x v="8"/>
    <n v="455"/>
    <n v="2"/>
    <n v="910"/>
    <x v="3"/>
  </r>
  <r>
    <n v="406"/>
    <n v="85"/>
    <x v="6"/>
    <x v="136"/>
    <x v="6"/>
    <n v="5"/>
    <x v="0"/>
    <d v="2025-11-16T09:46:00"/>
    <x v="46"/>
    <x v="8"/>
    <n v="3808"/>
    <n v="2"/>
    <n v="7616"/>
    <x v="2"/>
  </r>
  <r>
    <n v="177"/>
    <n v="155"/>
    <x v="4"/>
    <x v="367"/>
    <x v="4"/>
    <n v="7"/>
    <x v="0"/>
    <d v="2025-11-16T10:17:00"/>
    <x v="46"/>
    <x v="9"/>
    <n v="5073"/>
    <n v="2"/>
    <n v="10146"/>
    <x v="1"/>
  </r>
  <r>
    <n v="209"/>
    <n v="224"/>
    <x v="4"/>
    <x v="200"/>
    <x v="1"/>
    <n v="6"/>
    <x v="0"/>
    <d v="2025-11-16T10:51:00"/>
    <x v="46"/>
    <x v="9"/>
    <n v="6879"/>
    <n v="1"/>
    <n v="6879"/>
    <x v="1"/>
  </r>
  <r>
    <n v="702"/>
    <n v="285"/>
    <x v="5"/>
    <x v="179"/>
    <x v="0"/>
    <n v="2"/>
    <x v="0"/>
    <d v="2025-11-16T11:23:00"/>
    <x v="46"/>
    <x v="10"/>
    <n v="5647"/>
    <n v="2"/>
    <n v="11294"/>
    <x v="1"/>
  </r>
  <r>
    <n v="353"/>
    <n v="52"/>
    <x v="8"/>
    <x v="47"/>
    <x v="5"/>
    <n v="4"/>
    <x v="1"/>
    <d v="2025-11-16T11:26:00"/>
    <x v="46"/>
    <x v="10"/>
    <n v="618"/>
    <n v="0"/>
    <n v="0"/>
    <x v="3"/>
  </r>
  <r>
    <n v="218"/>
    <n v="242"/>
    <x v="2"/>
    <x v="69"/>
    <x v="3"/>
    <n v="1"/>
    <x v="0"/>
    <d v="2025-11-16T11:36:00"/>
    <x v="46"/>
    <x v="10"/>
    <n v="4937"/>
    <n v="3"/>
    <n v="14811"/>
    <x v="2"/>
  </r>
  <r>
    <n v="782"/>
    <n v="50"/>
    <x v="8"/>
    <x v="47"/>
    <x v="5"/>
    <n v="4"/>
    <x v="0"/>
    <d v="2025-11-16T11:48:00"/>
    <x v="46"/>
    <x v="10"/>
    <n v="1410"/>
    <n v="1"/>
    <n v="1410"/>
    <x v="2"/>
  </r>
  <r>
    <n v="410"/>
    <n v="168"/>
    <x v="6"/>
    <x v="146"/>
    <x v="3"/>
    <n v="1"/>
    <x v="0"/>
    <d v="2025-11-16T12:31:00"/>
    <x v="46"/>
    <x v="11"/>
    <n v="4040"/>
    <n v="1"/>
    <n v="4040"/>
    <x v="2"/>
  </r>
  <r>
    <n v="404"/>
    <n v="274"/>
    <x v="2"/>
    <x v="226"/>
    <x v="5"/>
    <n v="4"/>
    <x v="0"/>
    <d v="2025-11-16T12:39:00"/>
    <x v="46"/>
    <x v="11"/>
    <n v="774"/>
    <n v="2"/>
    <n v="1548"/>
    <x v="3"/>
  </r>
  <r>
    <n v="759"/>
    <n v="14"/>
    <x v="8"/>
    <x v="364"/>
    <x v="4"/>
    <n v="7"/>
    <x v="1"/>
    <d v="2025-11-16T12:46:00"/>
    <x v="46"/>
    <x v="11"/>
    <n v="2064"/>
    <n v="0"/>
    <n v="0"/>
    <x v="2"/>
  </r>
  <r>
    <n v="378"/>
    <n v="186"/>
    <x v="4"/>
    <x v="6"/>
    <x v="3"/>
    <n v="1"/>
    <x v="0"/>
    <d v="2025-11-16T14:09:00"/>
    <x v="46"/>
    <x v="12"/>
    <n v="2927"/>
    <n v="2"/>
    <n v="5854"/>
    <x v="2"/>
  </r>
  <r>
    <n v="614"/>
    <n v="204"/>
    <x v="0"/>
    <x v="323"/>
    <x v="0"/>
    <n v="2"/>
    <x v="0"/>
    <d v="2025-11-16T14:10:00"/>
    <x v="46"/>
    <x v="12"/>
    <n v="9624"/>
    <n v="4"/>
    <n v="38496"/>
    <x v="1"/>
  </r>
  <r>
    <n v="512"/>
    <n v="97"/>
    <x v="5"/>
    <x v="375"/>
    <x v="4"/>
    <n v="7"/>
    <x v="1"/>
    <d v="2025-11-16T16:52:00"/>
    <x v="46"/>
    <x v="14"/>
    <n v="2262"/>
    <n v="0"/>
    <n v="0"/>
    <x v="2"/>
  </r>
  <r>
    <n v="96"/>
    <n v="174"/>
    <x v="7"/>
    <x v="143"/>
    <x v="4"/>
    <n v="7"/>
    <x v="0"/>
    <d v="2025-11-16T17:22:00"/>
    <x v="46"/>
    <x v="15"/>
    <n v="1770"/>
    <n v="1"/>
    <n v="1770"/>
    <x v="2"/>
  </r>
  <r>
    <n v="155"/>
    <n v="146"/>
    <x v="4"/>
    <x v="93"/>
    <x v="5"/>
    <n v="4"/>
    <x v="0"/>
    <d v="2025-11-16T18:09:00"/>
    <x v="46"/>
    <x v="16"/>
    <n v="970"/>
    <n v="1"/>
    <n v="970"/>
    <x v="3"/>
  </r>
  <r>
    <n v="268"/>
    <n v="216"/>
    <x v="8"/>
    <x v="30"/>
    <x v="3"/>
    <n v="1"/>
    <x v="1"/>
    <d v="2025-11-16T18:18:00"/>
    <x v="46"/>
    <x v="16"/>
    <n v="3546"/>
    <n v="0"/>
    <n v="0"/>
    <x v="2"/>
  </r>
  <r>
    <n v="530"/>
    <n v="55"/>
    <x v="2"/>
    <x v="340"/>
    <x v="1"/>
    <n v="6"/>
    <x v="0"/>
    <d v="2025-11-16T18:18:00"/>
    <x v="46"/>
    <x v="16"/>
    <n v="4824"/>
    <n v="4"/>
    <n v="19296"/>
    <x v="2"/>
  </r>
  <r>
    <n v="751"/>
    <n v="52"/>
    <x v="6"/>
    <x v="203"/>
    <x v="3"/>
    <n v="1"/>
    <x v="0"/>
    <d v="2025-11-16T18:54:00"/>
    <x v="46"/>
    <x v="16"/>
    <n v="4650"/>
    <n v="2"/>
    <n v="9300"/>
    <x v="2"/>
  </r>
  <r>
    <n v="327"/>
    <n v="66"/>
    <x v="0"/>
    <x v="15"/>
    <x v="3"/>
    <n v="1"/>
    <x v="1"/>
    <d v="2025-11-16T19:41:00"/>
    <x v="46"/>
    <x v="22"/>
    <n v="6379"/>
    <n v="0"/>
    <n v="0"/>
    <x v="1"/>
  </r>
  <r>
    <n v="466"/>
    <n v="6"/>
    <x v="2"/>
    <x v="69"/>
    <x v="3"/>
    <n v="1"/>
    <x v="0"/>
    <d v="2025-11-16T20:17:00"/>
    <x v="46"/>
    <x v="17"/>
    <n v="5766"/>
    <n v="2"/>
    <n v="11532"/>
    <x v="1"/>
  </r>
  <r>
    <n v="790"/>
    <n v="28"/>
    <x v="2"/>
    <x v="127"/>
    <x v="2"/>
    <n v="3"/>
    <x v="0"/>
    <d v="2025-11-16T20:21:00"/>
    <x v="46"/>
    <x v="17"/>
    <n v="5616"/>
    <n v="3"/>
    <n v="16848"/>
    <x v="1"/>
  </r>
  <r>
    <n v="650"/>
    <n v="60"/>
    <x v="7"/>
    <x v="117"/>
    <x v="3"/>
    <n v="1"/>
    <x v="0"/>
    <d v="2025-11-16T20:58:00"/>
    <x v="46"/>
    <x v="17"/>
    <n v="3498"/>
    <n v="2"/>
    <n v="6996"/>
    <x v="2"/>
  </r>
  <r>
    <n v="730"/>
    <n v="172"/>
    <x v="6"/>
    <x v="282"/>
    <x v="2"/>
    <n v="3"/>
    <x v="1"/>
    <d v="2025-11-16T21:37:00"/>
    <x v="46"/>
    <x v="23"/>
    <n v="5245"/>
    <n v="0"/>
    <n v="0"/>
    <x v="1"/>
  </r>
  <r>
    <n v="435"/>
    <n v="273"/>
    <x v="1"/>
    <x v="161"/>
    <x v="0"/>
    <n v="2"/>
    <x v="0"/>
    <d v="2025-11-16T22:06:00"/>
    <x v="46"/>
    <x v="18"/>
    <n v="12751"/>
    <n v="2"/>
    <n v="25502"/>
    <x v="0"/>
  </r>
  <r>
    <n v="8"/>
    <n v="173"/>
    <x v="1"/>
    <x v="20"/>
    <x v="3"/>
    <n v="1"/>
    <x v="1"/>
    <d v="2025-11-16T22:44:00"/>
    <x v="46"/>
    <x v="18"/>
    <n v="7218"/>
    <n v="0"/>
    <n v="0"/>
    <x v="1"/>
  </r>
  <r>
    <n v="630"/>
    <n v="233"/>
    <x v="5"/>
    <x v="307"/>
    <x v="1"/>
    <n v="6"/>
    <x v="0"/>
    <d v="2025-11-16T23:34:00"/>
    <x v="46"/>
    <x v="19"/>
    <n v="11601"/>
    <n v="4"/>
    <n v="46404"/>
    <x v="0"/>
  </r>
  <r>
    <n v="41"/>
    <n v="63"/>
    <x v="8"/>
    <x v="103"/>
    <x v="3"/>
    <n v="1"/>
    <x v="0"/>
    <d v="2025-11-16T23:59:00"/>
    <x v="46"/>
    <x v="19"/>
    <n v="4386"/>
    <n v="5"/>
    <n v="21930"/>
    <x v="2"/>
  </r>
  <r>
    <n v="614"/>
    <n v="190"/>
    <x v="6"/>
    <x v="110"/>
    <x v="6"/>
    <n v="5"/>
    <x v="0"/>
    <d v="2025-11-17T00:01:00"/>
    <x v="47"/>
    <x v="0"/>
    <n v="2840"/>
    <n v="2"/>
    <n v="5680"/>
    <x v="2"/>
  </r>
  <r>
    <n v="304"/>
    <n v="13"/>
    <x v="6"/>
    <x v="345"/>
    <x v="4"/>
    <n v="7"/>
    <x v="0"/>
    <d v="2025-11-17T00:19:00"/>
    <x v="47"/>
    <x v="0"/>
    <n v="3584"/>
    <n v="2"/>
    <n v="7168"/>
    <x v="2"/>
  </r>
  <r>
    <n v="366"/>
    <n v="214"/>
    <x v="4"/>
    <x v="277"/>
    <x v="5"/>
    <n v="4"/>
    <x v="0"/>
    <d v="2025-11-17T00:21:00"/>
    <x v="47"/>
    <x v="0"/>
    <n v="1097"/>
    <n v="2"/>
    <n v="2194"/>
    <x v="2"/>
  </r>
  <r>
    <n v="652"/>
    <n v="19"/>
    <x v="6"/>
    <x v="219"/>
    <x v="3"/>
    <n v="1"/>
    <x v="0"/>
    <d v="2025-11-17T00:35:00"/>
    <x v="47"/>
    <x v="0"/>
    <n v="1171"/>
    <n v="5"/>
    <n v="5855"/>
    <x v="2"/>
  </r>
  <r>
    <n v="38"/>
    <n v="273"/>
    <x v="6"/>
    <x v="203"/>
    <x v="3"/>
    <n v="1"/>
    <x v="0"/>
    <d v="2025-11-17T00:49:00"/>
    <x v="47"/>
    <x v="0"/>
    <n v="5737"/>
    <n v="1"/>
    <n v="5737"/>
    <x v="1"/>
  </r>
  <r>
    <n v="548"/>
    <n v="49"/>
    <x v="4"/>
    <x v="150"/>
    <x v="1"/>
    <n v="6"/>
    <x v="0"/>
    <d v="2025-11-17T00:51:00"/>
    <x v="47"/>
    <x v="0"/>
    <n v="8418"/>
    <n v="2"/>
    <n v="16836"/>
    <x v="1"/>
  </r>
  <r>
    <n v="442"/>
    <n v="141"/>
    <x v="4"/>
    <x v="270"/>
    <x v="2"/>
    <n v="3"/>
    <x v="0"/>
    <d v="2025-11-17T01:02:00"/>
    <x v="47"/>
    <x v="1"/>
    <n v="2704"/>
    <n v="1"/>
    <n v="2704"/>
    <x v="2"/>
  </r>
  <r>
    <n v="751"/>
    <n v="269"/>
    <x v="9"/>
    <x v="312"/>
    <x v="5"/>
    <n v="4"/>
    <x v="0"/>
    <d v="2025-11-17T01:05:00"/>
    <x v="47"/>
    <x v="1"/>
    <n v="791"/>
    <n v="2"/>
    <n v="1582"/>
    <x v="3"/>
  </r>
  <r>
    <n v="335"/>
    <n v="191"/>
    <x v="0"/>
    <x v="105"/>
    <x v="3"/>
    <n v="1"/>
    <x v="0"/>
    <d v="2025-11-17T01:49:00"/>
    <x v="47"/>
    <x v="1"/>
    <n v="5695"/>
    <n v="2"/>
    <n v="11390"/>
    <x v="1"/>
  </r>
  <r>
    <n v="654"/>
    <n v="52"/>
    <x v="9"/>
    <x v="237"/>
    <x v="0"/>
    <n v="2"/>
    <x v="0"/>
    <d v="2025-11-17T03:07:00"/>
    <x v="47"/>
    <x v="3"/>
    <n v="4502"/>
    <n v="2"/>
    <n v="9004"/>
    <x v="2"/>
  </r>
  <r>
    <n v="653"/>
    <n v="155"/>
    <x v="1"/>
    <x v="199"/>
    <x v="5"/>
    <n v="4"/>
    <x v="0"/>
    <d v="2025-11-17T03:09:00"/>
    <x v="47"/>
    <x v="3"/>
    <n v="894"/>
    <n v="3"/>
    <n v="2682"/>
    <x v="3"/>
  </r>
  <r>
    <n v="765"/>
    <n v="132"/>
    <x v="0"/>
    <x v="87"/>
    <x v="5"/>
    <n v="4"/>
    <x v="0"/>
    <d v="2025-11-17T04:31:00"/>
    <x v="47"/>
    <x v="4"/>
    <n v="920"/>
    <n v="2"/>
    <n v="1840"/>
    <x v="3"/>
  </r>
  <r>
    <n v="585"/>
    <n v="134"/>
    <x v="1"/>
    <x v="115"/>
    <x v="2"/>
    <n v="3"/>
    <x v="0"/>
    <d v="2025-11-17T04:51:00"/>
    <x v="47"/>
    <x v="4"/>
    <n v="2170"/>
    <n v="2"/>
    <n v="4340"/>
    <x v="2"/>
  </r>
  <r>
    <n v="250"/>
    <n v="26"/>
    <x v="3"/>
    <x v="383"/>
    <x v="0"/>
    <n v="2"/>
    <x v="0"/>
    <d v="2025-11-17T05:00:00"/>
    <x v="47"/>
    <x v="20"/>
    <n v="9082"/>
    <n v="2"/>
    <n v="18164"/>
    <x v="1"/>
  </r>
  <r>
    <n v="779"/>
    <n v="224"/>
    <x v="8"/>
    <x v="47"/>
    <x v="5"/>
    <n v="4"/>
    <x v="0"/>
    <d v="2025-11-17T05:02:00"/>
    <x v="47"/>
    <x v="20"/>
    <n v="909"/>
    <n v="2"/>
    <n v="1818"/>
    <x v="3"/>
  </r>
  <r>
    <n v="514"/>
    <n v="24"/>
    <x v="4"/>
    <x v="315"/>
    <x v="4"/>
    <n v="7"/>
    <x v="0"/>
    <d v="2025-11-17T05:21:00"/>
    <x v="47"/>
    <x v="20"/>
    <n v="3933"/>
    <n v="3"/>
    <n v="11799"/>
    <x v="2"/>
  </r>
  <r>
    <n v="280"/>
    <n v="3"/>
    <x v="4"/>
    <x v="137"/>
    <x v="6"/>
    <n v="5"/>
    <x v="0"/>
    <d v="2025-11-17T06:03:00"/>
    <x v="47"/>
    <x v="5"/>
    <n v="3280"/>
    <n v="3"/>
    <n v="9840"/>
    <x v="2"/>
  </r>
  <r>
    <n v="673"/>
    <n v="67"/>
    <x v="0"/>
    <x v="322"/>
    <x v="5"/>
    <n v="4"/>
    <x v="0"/>
    <d v="2025-11-17T06:35:00"/>
    <x v="47"/>
    <x v="5"/>
    <n v="789"/>
    <n v="2"/>
    <n v="1578"/>
    <x v="3"/>
  </r>
  <r>
    <n v="651"/>
    <n v="163"/>
    <x v="8"/>
    <x v="132"/>
    <x v="5"/>
    <n v="4"/>
    <x v="0"/>
    <d v="2025-11-17T06:37:00"/>
    <x v="47"/>
    <x v="5"/>
    <n v="548"/>
    <n v="3"/>
    <n v="1644"/>
    <x v="3"/>
  </r>
  <r>
    <n v="727"/>
    <n v="167"/>
    <x v="5"/>
    <x v="29"/>
    <x v="5"/>
    <n v="4"/>
    <x v="0"/>
    <d v="2025-11-17T06:39:00"/>
    <x v="47"/>
    <x v="5"/>
    <n v="161"/>
    <n v="1"/>
    <n v="161"/>
    <x v="3"/>
  </r>
  <r>
    <n v="746"/>
    <n v="236"/>
    <x v="9"/>
    <x v="274"/>
    <x v="2"/>
    <n v="3"/>
    <x v="0"/>
    <d v="2025-11-17T06:52:00"/>
    <x v="47"/>
    <x v="5"/>
    <n v="3142"/>
    <n v="2"/>
    <n v="6284"/>
    <x v="2"/>
  </r>
  <r>
    <n v="555"/>
    <n v="200"/>
    <x v="9"/>
    <x v="191"/>
    <x v="6"/>
    <n v="5"/>
    <x v="0"/>
    <d v="2025-11-17T07:02:00"/>
    <x v="47"/>
    <x v="6"/>
    <n v="3223"/>
    <n v="2"/>
    <n v="6446"/>
    <x v="2"/>
  </r>
  <r>
    <n v="349"/>
    <n v="164"/>
    <x v="0"/>
    <x v="233"/>
    <x v="4"/>
    <n v="7"/>
    <x v="0"/>
    <d v="2025-11-17T07:09:00"/>
    <x v="47"/>
    <x v="6"/>
    <n v="5481"/>
    <n v="1"/>
    <n v="5481"/>
    <x v="1"/>
  </r>
  <r>
    <n v="761"/>
    <n v="256"/>
    <x v="4"/>
    <x v="329"/>
    <x v="1"/>
    <n v="6"/>
    <x v="0"/>
    <d v="2025-11-17T07:17:00"/>
    <x v="47"/>
    <x v="6"/>
    <n v="7701"/>
    <n v="2"/>
    <n v="15402"/>
    <x v="1"/>
  </r>
  <r>
    <n v="262"/>
    <n v="207"/>
    <x v="4"/>
    <x v="270"/>
    <x v="2"/>
    <n v="3"/>
    <x v="1"/>
    <d v="2025-11-17T08:00:00"/>
    <x v="47"/>
    <x v="7"/>
    <n v="3297"/>
    <n v="0"/>
    <n v="0"/>
    <x v="2"/>
  </r>
  <r>
    <n v="647"/>
    <n v="250"/>
    <x v="9"/>
    <x v="303"/>
    <x v="2"/>
    <n v="3"/>
    <x v="0"/>
    <d v="2025-11-17T09:11:00"/>
    <x v="47"/>
    <x v="8"/>
    <n v="1902"/>
    <n v="4"/>
    <n v="7608"/>
    <x v="2"/>
  </r>
  <r>
    <n v="766"/>
    <n v="272"/>
    <x v="1"/>
    <x v="20"/>
    <x v="3"/>
    <n v="1"/>
    <x v="0"/>
    <d v="2025-11-17T09:24:00"/>
    <x v="47"/>
    <x v="8"/>
    <n v="5574"/>
    <n v="1"/>
    <n v="5574"/>
    <x v="1"/>
  </r>
  <r>
    <n v="463"/>
    <n v="240"/>
    <x v="7"/>
    <x v="83"/>
    <x v="3"/>
    <n v="1"/>
    <x v="0"/>
    <d v="2025-11-17T10:27:00"/>
    <x v="47"/>
    <x v="9"/>
    <n v="3979"/>
    <n v="1"/>
    <n v="3979"/>
    <x v="2"/>
  </r>
  <r>
    <n v="171"/>
    <n v="181"/>
    <x v="9"/>
    <x v="112"/>
    <x v="3"/>
    <n v="1"/>
    <x v="0"/>
    <d v="2025-11-17T10:37:00"/>
    <x v="47"/>
    <x v="9"/>
    <n v="1121"/>
    <n v="1"/>
    <n v="1121"/>
    <x v="2"/>
  </r>
  <r>
    <n v="770"/>
    <n v="146"/>
    <x v="2"/>
    <x v="45"/>
    <x v="3"/>
    <n v="1"/>
    <x v="0"/>
    <d v="2025-11-17T10:55:00"/>
    <x v="47"/>
    <x v="9"/>
    <n v="5647"/>
    <n v="1"/>
    <n v="5647"/>
    <x v="1"/>
  </r>
  <r>
    <n v="385"/>
    <n v="276"/>
    <x v="8"/>
    <x v="386"/>
    <x v="6"/>
    <n v="5"/>
    <x v="0"/>
    <d v="2025-11-17T11:01:00"/>
    <x v="47"/>
    <x v="10"/>
    <n v="3259"/>
    <n v="2"/>
    <n v="6518"/>
    <x v="2"/>
  </r>
  <r>
    <n v="100"/>
    <n v="203"/>
    <x v="9"/>
    <x v="51"/>
    <x v="3"/>
    <n v="1"/>
    <x v="0"/>
    <d v="2025-11-17T11:28:00"/>
    <x v="47"/>
    <x v="10"/>
    <n v="2071"/>
    <n v="1"/>
    <n v="2071"/>
    <x v="2"/>
  </r>
  <r>
    <n v="297"/>
    <n v="92"/>
    <x v="1"/>
    <x v="23"/>
    <x v="5"/>
    <n v="4"/>
    <x v="0"/>
    <d v="2025-11-17T13:11:00"/>
    <x v="47"/>
    <x v="21"/>
    <n v="405"/>
    <n v="2"/>
    <n v="810"/>
    <x v="3"/>
  </r>
  <r>
    <n v="419"/>
    <n v="181"/>
    <x v="2"/>
    <x v="21"/>
    <x v="3"/>
    <n v="1"/>
    <x v="0"/>
    <d v="2025-11-17T13:35:00"/>
    <x v="47"/>
    <x v="21"/>
    <n v="2495"/>
    <n v="2"/>
    <n v="4990"/>
    <x v="2"/>
  </r>
  <r>
    <n v="328"/>
    <n v="186"/>
    <x v="9"/>
    <x v="113"/>
    <x v="5"/>
    <n v="4"/>
    <x v="0"/>
    <d v="2025-11-17T13:47:00"/>
    <x v="47"/>
    <x v="21"/>
    <n v="509"/>
    <n v="4"/>
    <n v="2036"/>
    <x v="3"/>
  </r>
  <r>
    <n v="549"/>
    <n v="273"/>
    <x v="6"/>
    <x v="145"/>
    <x v="0"/>
    <n v="2"/>
    <x v="1"/>
    <d v="2025-11-17T14:15:00"/>
    <x v="47"/>
    <x v="12"/>
    <n v="14180"/>
    <n v="0"/>
    <n v="0"/>
    <x v="0"/>
  </r>
  <r>
    <n v="775"/>
    <n v="238"/>
    <x v="2"/>
    <x v="127"/>
    <x v="2"/>
    <n v="3"/>
    <x v="0"/>
    <d v="2025-11-17T14:18:00"/>
    <x v="47"/>
    <x v="12"/>
    <n v="4627"/>
    <n v="2"/>
    <n v="9254"/>
    <x v="2"/>
  </r>
  <r>
    <n v="410"/>
    <n v="148"/>
    <x v="4"/>
    <x v="153"/>
    <x v="5"/>
    <n v="4"/>
    <x v="0"/>
    <d v="2025-11-17T15:16:00"/>
    <x v="47"/>
    <x v="13"/>
    <n v="666"/>
    <n v="2"/>
    <n v="1332"/>
    <x v="3"/>
  </r>
  <r>
    <n v="672"/>
    <n v="89"/>
    <x v="6"/>
    <x v="224"/>
    <x v="4"/>
    <n v="7"/>
    <x v="0"/>
    <d v="2025-11-17T15:35:00"/>
    <x v="47"/>
    <x v="13"/>
    <n v="1599"/>
    <n v="3"/>
    <n v="4797"/>
    <x v="2"/>
  </r>
  <r>
    <n v="429"/>
    <n v="211"/>
    <x v="9"/>
    <x v="188"/>
    <x v="2"/>
    <n v="3"/>
    <x v="0"/>
    <d v="2025-11-17T15:51:00"/>
    <x v="47"/>
    <x v="13"/>
    <n v="2301"/>
    <n v="1"/>
    <n v="2301"/>
    <x v="2"/>
  </r>
  <r>
    <n v="230"/>
    <n v="71"/>
    <x v="0"/>
    <x v="323"/>
    <x v="0"/>
    <n v="2"/>
    <x v="0"/>
    <d v="2025-11-17T16:14:00"/>
    <x v="47"/>
    <x v="14"/>
    <n v="7219"/>
    <n v="2"/>
    <n v="14438"/>
    <x v="1"/>
  </r>
  <r>
    <n v="750"/>
    <n v="210"/>
    <x v="9"/>
    <x v="48"/>
    <x v="2"/>
    <n v="3"/>
    <x v="0"/>
    <d v="2025-11-17T16:40:00"/>
    <x v="47"/>
    <x v="14"/>
    <n v="5464"/>
    <n v="1"/>
    <n v="5464"/>
    <x v="1"/>
  </r>
  <r>
    <n v="171"/>
    <n v="292"/>
    <x v="9"/>
    <x v="312"/>
    <x v="5"/>
    <n v="4"/>
    <x v="0"/>
    <d v="2025-11-17T16:42:00"/>
    <x v="47"/>
    <x v="14"/>
    <n v="62"/>
    <n v="2"/>
    <n v="124"/>
    <x v="3"/>
  </r>
  <r>
    <n v="24"/>
    <n v="200"/>
    <x v="1"/>
    <x v="199"/>
    <x v="5"/>
    <n v="4"/>
    <x v="0"/>
    <d v="2025-11-17T17:12:00"/>
    <x v="47"/>
    <x v="15"/>
    <n v="1372"/>
    <n v="4"/>
    <n v="5488"/>
    <x v="2"/>
  </r>
  <r>
    <n v="469"/>
    <n v="189"/>
    <x v="5"/>
    <x v="141"/>
    <x v="5"/>
    <n v="4"/>
    <x v="0"/>
    <d v="2025-11-17T17:20:00"/>
    <x v="47"/>
    <x v="15"/>
    <n v="1241"/>
    <n v="2"/>
    <n v="2482"/>
    <x v="2"/>
  </r>
  <r>
    <n v="205"/>
    <n v="166"/>
    <x v="8"/>
    <x v="207"/>
    <x v="0"/>
    <n v="2"/>
    <x v="0"/>
    <d v="2025-11-17T17:53:00"/>
    <x v="47"/>
    <x v="15"/>
    <n v="7809"/>
    <n v="2"/>
    <n v="15618"/>
    <x v="1"/>
  </r>
  <r>
    <n v="212"/>
    <n v="296"/>
    <x v="1"/>
    <x v="253"/>
    <x v="2"/>
    <n v="3"/>
    <x v="0"/>
    <d v="2025-11-17T18:39:00"/>
    <x v="47"/>
    <x v="16"/>
    <n v="2536"/>
    <n v="3"/>
    <n v="7608"/>
    <x v="2"/>
  </r>
  <r>
    <n v="618"/>
    <n v="228"/>
    <x v="5"/>
    <x v="164"/>
    <x v="3"/>
    <n v="1"/>
    <x v="0"/>
    <d v="2025-11-17T19:22:00"/>
    <x v="47"/>
    <x v="22"/>
    <n v="4812"/>
    <n v="3"/>
    <n v="14436"/>
    <x v="2"/>
  </r>
  <r>
    <n v="657"/>
    <n v="57"/>
    <x v="8"/>
    <x v="132"/>
    <x v="5"/>
    <n v="4"/>
    <x v="0"/>
    <d v="2025-11-17T19:43:00"/>
    <x v="47"/>
    <x v="22"/>
    <n v="435"/>
    <n v="1"/>
    <n v="435"/>
    <x v="3"/>
  </r>
  <r>
    <n v="474"/>
    <n v="36"/>
    <x v="4"/>
    <x v="316"/>
    <x v="0"/>
    <n v="2"/>
    <x v="1"/>
    <d v="2025-11-17T20:03:00"/>
    <x v="47"/>
    <x v="17"/>
    <n v="13865"/>
    <n v="0"/>
    <n v="0"/>
    <x v="0"/>
  </r>
  <r>
    <n v="694"/>
    <n v="209"/>
    <x v="0"/>
    <x v="0"/>
    <x v="0"/>
    <n v="2"/>
    <x v="0"/>
    <d v="2025-11-17T20:07:00"/>
    <x v="47"/>
    <x v="17"/>
    <n v="4295"/>
    <n v="3"/>
    <n v="12885"/>
    <x v="2"/>
  </r>
  <r>
    <n v="428"/>
    <n v="134"/>
    <x v="2"/>
    <x v="341"/>
    <x v="5"/>
    <n v="4"/>
    <x v="1"/>
    <d v="2025-11-17T20:46:00"/>
    <x v="47"/>
    <x v="17"/>
    <n v="1154"/>
    <n v="0"/>
    <n v="0"/>
    <x v="2"/>
  </r>
  <r>
    <n v="796"/>
    <n v="274"/>
    <x v="1"/>
    <x v="268"/>
    <x v="4"/>
    <n v="7"/>
    <x v="0"/>
    <d v="2025-11-17T20:55:00"/>
    <x v="47"/>
    <x v="17"/>
    <n v="7440"/>
    <n v="1"/>
    <n v="7440"/>
    <x v="1"/>
  </r>
  <r>
    <n v="62"/>
    <n v="150"/>
    <x v="8"/>
    <x v="207"/>
    <x v="0"/>
    <n v="2"/>
    <x v="0"/>
    <d v="2025-11-17T21:13:00"/>
    <x v="47"/>
    <x v="23"/>
    <n v="4412"/>
    <n v="2"/>
    <n v="8824"/>
    <x v="2"/>
  </r>
  <r>
    <n v="410"/>
    <n v="262"/>
    <x v="0"/>
    <x v="67"/>
    <x v="3"/>
    <n v="1"/>
    <x v="0"/>
    <d v="2025-11-17T21:22:00"/>
    <x v="47"/>
    <x v="23"/>
    <n v="7652"/>
    <n v="1"/>
    <n v="7652"/>
    <x v="1"/>
  </r>
  <r>
    <n v="150"/>
    <n v="135"/>
    <x v="1"/>
    <x v="253"/>
    <x v="2"/>
    <n v="3"/>
    <x v="0"/>
    <d v="2025-11-17T21:25:00"/>
    <x v="47"/>
    <x v="23"/>
    <n v="5123"/>
    <n v="2"/>
    <n v="10246"/>
    <x v="1"/>
  </r>
  <r>
    <n v="174"/>
    <n v="188"/>
    <x v="1"/>
    <x v="194"/>
    <x v="3"/>
    <n v="1"/>
    <x v="0"/>
    <d v="2025-11-17T21:52:00"/>
    <x v="47"/>
    <x v="23"/>
    <n v="7305"/>
    <n v="1"/>
    <n v="7305"/>
    <x v="1"/>
  </r>
  <r>
    <n v="249"/>
    <n v="248"/>
    <x v="6"/>
    <x v="53"/>
    <x v="5"/>
    <n v="4"/>
    <x v="0"/>
    <d v="2025-11-17T21:53:00"/>
    <x v="47"/>
    <x v="23"/>
    <n v="1031"/>
    <n v="1"/>
    <n v="1031"/>
    <x v="2"/>
  </r>
  <r>
    <n v="658"/>
    <n v="38"/>
    <x v="1"/>
    <x v="116"/>
    <x v="3"/>
    <n v="1"/>
    <x v="0"/>
    <d v="2025-11-17T22:30:00"/>
    <x v="47"/>
    <x v="18"/>
    <n v="2656"/>
    <n v="5"/>
    <n v="13280"/>
    <x v="2"/>
  </r>
  <r>
    <n v="776"/>
    <n v="134"/>
    <x v="8"/>
    <x v="386"/>
    <x v="6"/>
    <n v="5"/>
    <x v="0"/>
    <d v="2025-11-17T22:40:00"/>
    <x v="47"/>
    <x v="18"/>
    <n v="2839"/>
    <n v="2"/>
    <n v="5678"/>
    <x v="2"/>
  </r>
  <r>
    <n v="462"/>
    <n v="133"/>
    <x v="8"/>
    <x v="243"/>
    <x v="1"/>
    <n v="6"/>
    <x v="0"/>
    <d v="2025-11-17T22:40:00"/>
    <x v="47"/>
    <x v="18"/>
    <n v="7561"/>
    <n v="2"/>
    <n v="15122"/>
    <x v="1"/>
  </r>
  <r>
    <n v="780"/>
    <n v="72"/>
    <x v="9"/>
    <x v="130"/>
    <x v="1"/>
    <n v="6"/>
    <x v="0"/>
    <d v="2025-11-17T22:59:00"/>
    <x v="47"/>
    <x v="18"/>
    <n v="11249"/>
    <n v="3"/>
    <n v="33747"/>
    <x v="0"/>
  </r>
  <r>
    <n v="227"/>
    <n v="190"/>
    <x v="7"/>
    <x v="12"/>
    <x v="5"/>
    <n v="4"/>
    <x v="1"/>
    <d v="2025-11-17T23:00:00"/>
    <x v="47"/>
    <x v="19"/>
    <n v="420"/>
    <n v="0"/>
    <n v="0"/>
    <x v="3"/>
  </r>
  <r>
    <n v="734"/>
    <n v="82"/>
    <x v="7"/>
    <x v="83"/>
    <x v="3"/>
    <n v="1"/>
    <x v="1"/>
    <d v="2025-11-17T23:09:00"/>
    <x v="47"/>
    <x v="19"/>
    <n v="5601"/>
    <n v="0"/>
    <n v="0"/>
    <x v="1"/>
  </r>
  <r>
    <n v="731"/>
    <n v="226"/>
    <x v="7"/>
    <x v="236"/>
    <x v="5"/>
    <n v="4"/>
    <x v="0"/>
    <d v="2025-11-17T23:41:00"/>
    <x v="47"/>
    <x v="19"/>
    <n v="1336"/>
    <n v="2"/>
    <n v="2672"/>
    <x v="2"/>
  </r>
  <r>
    <n v="623"/>
    <n v="150"/>
    <x v="4"/>
    <x v="200"/>
    <x v="1"/>
    <n v="6"/>
    <x v="0"/>
    <d v="2025-11-17T23:43:00"/>
    <x v="47"/>
    <x v="19"/>
    <n v="6710"/>
    <n v="2"/>
    <n v="13420"/>
    <x v="1"/>
  </r>
  <r>
    <n v="217"/>
    <n v="299"/>
    <x v="5"/>
    <x v="257"/>
    <x v="3"/>
    <n v="1"/>
    <x v="0"/>
    <d v="2025-11-18T00:31:00"/>
    <x v="48"/>
    <x v="0"/>
    <n v="4078"/>
    <n v="3"/>
    <n v="12234"/>
    <x v="2"/>
  </r>
  <r>
    <n v="266"/>
    <n v="187"/>
    <x v="9"/>
    <x v="303"/>
    <x v="2"/>
    <n v="3"/>
    <x v="0"/>
    <d v="2025-11-18T00:32:00"/>
    <x v="48"/>
    <x v="0"/>
    <n v="3856"/>
    <n v="4"/>
    <n v="15424"/>
    <x v="2"/>
  </r>
  <r>
    <n v="489"/>
    <n v="88"/>
    <x v="3"/>
    <x v="230"/>
    <x v="1"/>
    <n v="6"/>
    <x v="0"/>
    <d v="2025-11-18T00:39:00"/>
    <x v="48"/>
    <x v="0"/>
    <n v="10513"/>
    <n v="2"/>
    <n v="21026"/>
    <x v="0"/>
  </r>
  <r>
    <n v="514"/>
    <n v="161"/>
    <x v="4"/>
    <x v="19"/>
    <x v="5"/>
    <n v="4"/>
    <x v="0"/>
    <d v="2025-11-18T01:15:00"/>
    <x v="48"/>
    <x v="1"/>
    <n v="883"/>
    <n v="2"/>
    <n v="1766"/>
    <x v="3"/>
  </r>
  <r>
    <n v="664"/>
    <n v="87"/>
    <x v="2"/>
    <x v="148"/>
    <x v="3"/>
    <n v="1"/>
    <x v="0"/>
    <d v="2025-11-18T01:25:00"/>
    <x v="48"/>
    <x v="1"/>
    <n v="5278"/>
    <n v="1"/>
    <n v="5278"/>
    <x v="1"/>
  </r>
  <r>
    <n v="389"/>
    <n v="8"/>
    <x v="4"/>
    <x v="66"/>
    <x v="3"/>
    <n v="1"/>
    <x v="0"/>
    <d v="2025-11-18T01:28:00"/>
    <x v="48"/>
    <x v="1"/>
    <n v="5348"/>
    <n v="1"/>
    <n v="5348"/>
    <x v="1"/>
  </r>
  <r>
    <n v="317"/>
    <n v="106"/>
    <x v="6"/>
    <x v="53"/>
    <x v="5"/>
    <n v="4"/>
    <x v="0"/>
    <d v="2025-11-18T01:40:00"/>
    <x v="48"/>
    <x v="1"/>
    <n v="1252"/>
    <n v="3"/>
    <n v="3756"/>
    <x v="2"/>
  </r>
  <r>
    <n v="797"/>
    <n v="62"/>
    <x v="7"/>
    <x v="94"/>
    <x v="5"/>
    <n v="4"/>
    <x v="0"/>
    <d v="2025-11-18T01:48:00"/>
    <x v="48"/>
    <x v="1"/>
    <n v="385"/>
    <n v="3"/>
    <n v="1155"/>
    <x v="3"/>
  </r>
  <r>
    <n v="471"/>
    <n v="292"/>
    <x v="6"/>
    <x v="28"/>
    <x v="0"/>
    <n v="2"/>
    <x v="0"/>
    <d v="2025-11-18T02:37:00"/>
    <x v="48"/>
    <x v="2"/>
    <n v="14549"/>
    <n v="2"/>
    <n v="29098"/>
    <x v="0"/>
  </r>
  <r>
    <n v="760"/>
    <n v="104"/>
    <x v="3"/>
    <x v="311"/>
    <x v="2"/>
    <n v="3"/>
    <x v="0"/>
    <d v="2025-11-18T02:47:00"/>
    <x v="48"/>
    <x v="2"/>
    <n v="1781"/>
    <n v="1"/>
    <n v="1781"/>
    <x v="2"/>
  </r>
  <r>
    <n v="642"/>
    <n v="51"/>
    <x v="0"/>
    <x v="154"/>
    <x v="3"/>
    <n v="1"/>
    <x v="0"/>
    <d v="2025-11-18T03:28:00"/>
    <x v="48"/>
    <x v="3"/>
    <n v="4118"/>
    <n v="2"/>
    <n v="8236"/>
    <x v="2"/>
  </r>
  <r>
    <n v="567"/>
    <n v="274"/>
    <x v="1"/>
    <x v="199"/>
    <x v="5"/>
    <n v="4"/>
    <x v="0"/>
    <d v="2025-11-18T04:27:00"/>
    <x v="48"/>
    <x v="4"/>
    <n v="783"/>
    <n v="1"/>
    <n v="783"/>
    <x v="3"/>
  </r>
  <r>
    <n v="581"/>
    <n v="268"/>
    <x v="0"/>
    <x v="322"/>
    <x v="5"/>
    <n v="4"/>
    <x v="0"/>
    <d v="2025-11-18T04:42:00"/>
    <x v="48"/>
    <x v="4"/>
    <n v="991"/>
    <n v="2"/>
    <n v="1982"/>
    <x v="3"/>
  </r>
  <r>
    <n v="707"/>
    <n v="126"/>
    <x v="7"/>
    <x v="288"/>
    <x v="2"/>
    <n v="3"/>
    <x v="0"/>
    <d v="2025-11-18T05:46:00"/>
    <x v="48"/>
    <x v="20"/>
    <n v="3456"/>
    <n v="3"/>
    <n v="10368"/>
    <x v="2"/>
  </r>
  <r>
    <n v="42"/>
    <n v="137"/>
    <x v="8"/>
    <x v="114"/>
    <x v="2"/>
    <n v="3"/>
    <x v="0"/>
    <d v="2025-11-18T05:59:00"/>
    <x v="48"/>
    <x v="20"/>
    <n v="3523"/>
    <n v="1"/>
    <n v="3523"/>
    <x v="2"/>
  </r>
  <r>
    <n v="751"/>
    <n v="33"/>
    <x v="1"/>
    <x v="16"/>
    <x v="5"/>
    <n v="4"/>
    <x v="1"/>
    <d v="2025-11-18T07:27:00"/>
    <x v="48"/>
    <x v="6"/>
    <n v="1122"/>
    <n v="0"/>
    <n v="0"/>
    <x v="2"/>
  </r>
  <r>
    <n v="213"/>
    <n v="117"/>
    <x v="7"/>
    <x v="377"/>
    <x v="1"/>
    <n v="6"/>
    <x v="0"/>
    <d v="2025-11-18T07:29:00"/>
    <x v="48"/>
    <x v="6"/>
    <n v="4238"/>
    <n v="2"/>
    <n v="8476"/>
    <x v="2"/>
  </r>
  <r>
    <n v="476"/>
    <n v="51"/>
    <x v="9"/>
    <x v="18"/>
    <x v="3"/>
    <n v="1"/>
    <x v="0"/>
    <d v="2025-11-18T08:00:00"/>
    <x v="48"/>
    <x v="7"/>
    <n v="3097"/>
    <n v="3"/>
    <n v="9291"/>
    <x v="2"/>
  </r>
  <r>
    <n v="650"/>
    <n v="38"/>
    <x v="0"/>
    <x v="67"/>
    <x v="3"/>
    <n v="1"/>
    <x v="0"/>
    <d v="2025-11-18T08:18:00"/>
    <x v="48"/>
    <x v="7"/>
    <n v="5598"/>
    <n v="3"/>
    <n v="16794"/>
    <x v="1"/>
  </r>
  <r>
    <n v="86"/>
    <n v="244"/>
    <x v="1"/>
    <x v="173"/>
    <x v="5"/>
    <n v="4"/>
    <x v="0"/>
    <d v="2025-11-18T08:31:00"/>
    <x v="48"/>
    <x v="7"/>
    <n v="496"/>
    <n v="1"/>
    <n v="496"/>
    <x v="3"/>
  </r>
  <r>
    <n v="221"/>
    <n v="250"/>
    <x v="3"/>
    <x v="370"/>
    <x v="5"/>
    <n v="4"/>
    <x v="0"/>
    <d v="2025-11-18T08:57:00"/>
    <x v="48"/>
    <x v="7"/>
    <n v="305"/>
    <n v="1"/>
    <n v="305"/>
    <x v="3"/>
  </r>
  <r>
    <n v="441"/>
    <n v="58"/>
    <x v="0"/>
    <x v="323"/>
    <x v="0"/>
    <n v="2"/>
    <x v="0"/>
    <d v="2025-11-18T09:30:00"/>
    <x v="48"/>
    <x v="8"/>
    <n v="9005"/>
    <n v="3"/>
    <n v="27015"/>
    <x v="1"/>
  </r>
  <r>
    <n v="651"/>
    <n v="234"/>
    <x v="5"/>
    <x v="34"/>
    <x v="0"/>
    <n v="2"/>
    <x v="1"/>
    <d v="2025-11-18T09:30:00"/>
    <x v="48"/>
    <x v="8"/>
    <n v="11450"/>
    <n v="0"/>
    <n v="0"/>
    <x v="0"/>
  </r>
  <r>
    <n v="278"/>
    <n v="253"/>
    <x v="2"/>
    <x v="263"/>
    <x v="4"/>
    <n v="7"/>
    <x v="0"/>
    <d v="2025-11-18T09:35:00"/>
    <x v="48"/>
    <x v="8"/>
    <n v="1500"/>
    <n v="2"/>
    <n v="3000"/>
    <x v="2"/>
  </r>
  <r>
    <n v="495"/>
    <n v="264"/>
    <x v="6"/>
    <x v="135"/>
    <x v="3"/>
    <n v="1"/>
    <x v="0"/>
    <d v="2025-11-18T10:08:00"/>
    <x v="48"/>
    <x v="9"/>
    <n v="6060"/>
    <n v="1"/>
    <n v="6060"/>
    <x v="1"/>
  </r>
  <r>
    <n v="545"/>
    <n v="128"/>
    <x v="7"/>
    <x v="275"/>
    <x v="1"/>
    <n v="6"/>
    <x v="0"/>
    <d v="2025-11-18T10:37:00"/>
    <x v="48"/>
    <x v="9"/>
    <n v="6779"/>
    <n v="3"/>
    <n v="20337"/>
    <x v="1"/>
  </r>
  <r>
    <n v="317"/>
    <n v="226"/>
    <x v="3"/>
    <x v="370"/>
    <x v="5"/>
    <n v="4"/>
    <x v="1"/>
    <d v="2025-11-18T12:06:00"/>
    <x v="48"/>
    <x v="11"/>
    <n v="688"/>
    <n v="0"/>
    <n v="0"/>
    <x v="3"/>
  </r>
  <r>
    <n v="7"/>
    <n v="164"/>
    <x v="4"/>
    <x v="216"/>
    <x v="6"/>
    <n v="5"/>
    <x v="0"/>
    <d v="2025-11-18T12:44:00"/>
    <x v="48"/>
    <x v="11"/>
    <n v="1443"/>
    <n v="2"/>
    <n v="2886"/>
    <x v="2"/>
  </r>
  <r>
    <n v="184"/>
    <n v="34"/>
    <x v="8"/>
    <x v="386"/>
    <x v="6"/>
    <n v="5"/>
    <x v="1"/>
    <d v="2025-11-18T14:04:00"/>
    <x v="48"/>
    <x v="12"/>
    <n v="2927"/>
    <n v="0"/>
    <n v="0"/>
    <x v="2"/>
  </r>
  <r>
    <n v="454"/>
    <n v="176"/>
    <x v="7"/>
    <x v="152"/>
    <x v="4"/>
    <n v="7"/>
    <x v="0"/>
    <d v="2025-11-18T14:36:00"/>
    <x v="48"/>
    <x v="12"/>
    <n v="7750"/>
    <n v="3"/>
    <n v="23250"/>
    <x v="1"/>
  </r>
  <r>
    <n v="199"/>
    <n v="56"/>
    <x v="3"/>
    <x v="35"/>
    <x v="5"/>
    <n v="4"/>
    <x v="0"/>
    <d v="2025-11-18T14:46:00"/>
    <x v="48"/>
    <x v="12"/>
    <n v="1500"/>
    <n v="2"/>
    <n v="3000"/>
    <x v="2"/>
  </r>
  <r>
    <n v="313"/>
    <n v="164"/>
    <x v="7"/>
    <x v="94"/>
    <x v="5"/>
    <n v="4"/>
    <x v="0"/>
    <d v="2025-11-18T14:49:00"/>
    <x v="48"/>
    <x v="12"/>
    <n v="433"/>
    <n v="2"/>
    <n v="866"/>
    <x v="3"/>
  </r>
  <r>
    <n v="702"/>
    <n v="154"/>
    <x v="8"/>
    <x v="30"/>
    <x v="3"/>
    <n v="1"/>
    <x v="0"/>
    <d v="2025-11-18T15:29:00"/>
    <x v="48"/>
    <x v="13"/>
    <n v="7349"/>
    <n v="1"/>
    <n v="7349"/>
    <x v="1"/>
  </r>
  <r>
    <n v="332"/>
    <n v="81"/>
    <x v="9"/>
    <x v="312"/>
    <x v="5"/>
    <n v="4"/>
    <x v="0"/>
    <d v="2025-11-18T15:56:00"/>
    <x v="48"/>
    <x v="13"/>
    <n v="1205"/>
    <n v="1"/>
    <n v="1205"/>
    <x v="2"/>
  </r>
  <r>
    <n v="162"/>
    <n v="81"/>
    <x v="2"/>
    <x v="185"/>
    <x v="3"/>
    <n v="1"/>
    <x v="0"/>
    <d v="2025-11-18T15:58:00"/>
    <x v="48"/>
    <x v="13"/>
    <n v="2764"/>
    <n v="2"/>
    <n v="5528"/>
    <x v="2"/>
  </r>
  <r>
    <n v="427"/>
    <n v="138"/>
    <x v="8"/>
    <x v="210"/>
    <x v="6"/>
    <n v="5"/>
    <x v="0"/>
    <d v="2025-11-18T16:09:00"/>
    <x v="48"/>
    <x v="14"/>
    <n v="2197"/>
    <n v="1"/>
    <n v="2197"/>
    <x v="2"/>
  </r>
  <r>
    <n v="380"/>
    <n v="75"/>
    <x v="8"/>
    <x v="129"/>
    <x v="5"/>
    <n v="4"/>
    <x v="0"/>
    <d v="2025-11-18T17:33:00"/>
    <x v="48"/>
    <x v="15"/>
    <n v="452"/>
    <n v="1"/>
    <n v="452"/>
    <x v="3"/>
  </r>
  <r>
    <n v="323"/>
    <n v="231"/>
    <x v="6"/>
    <x v="203"/>
    <x v="3"/>
    <n v="1"/>
    <x v="0"/>
    <d v="2025-11-18T17:51:00"/>
    <x v="48"/>
    <x v="15"/>
    <n v="3478"/>
    <n v="2"/>
    <n v="6956"/>
    <x v="2"/>
  </r>
  <r>
    <n v="781"/>
    <n v="214"/>
    <x v="9"/>
    <x v="182"/>
    <x v="5"/>
    <n v="4"/>
    <x v="0"/>
    <d v="2025-11-18T18:06:00"/>
    <x v="48"/>
    <x v="16"/>
    <n v="697"/>
    <n v="2"/>
    <n v="1394"/>
    <x v="3"/>
  </r>
  <r>
    <n v="419"/>
    <n v="182"/>
    <x v="2"/>
    <x v="341"/>
    <x v="5"/>
    <n v="4"/>
    <x v="1"/>
    <d v="2025-11-18T18:22:00"/>
    <x v="48"/>
    <x v="16"/>
    <n v="251"/>
    <n v="0"/>
    <n v="0"/>
    <x v="3"/>
  </r>
  <r>
    <n v="20"/>
    <n v="104"/>
    <x v="8"/>
    <x v="103"/>
    <x v="3"/>
    <n v="1"/>
    <x v="0"/>
    <d v="2025-11-18T18:29:00"/>
    <x v="48"/>
    <x v="16"/>
    <n v="6161"/>
    <n v="1"/>
    <n v="6161"/>
    <x v="1"/>
  </r>
  <r>
    <n v="383"/>
    <n v="13"/>
    <x v="7"/>
    <x v="83"/>
    <x v="3"/>
    <n v="1"/>
    <x v="0"/>
    <d v="2025-11-18T18:41:00"/>
    <x v="48"/>
    <x v="16"/>
    <n v="2846"/>
    <n v="3"/>
    <n v="8538"/>
    <x v="2"/>
  </r>
  <r>
    <n v="572"/>
    <n v="287"/>
    <x v="2"/>
    <x v="104"/>
    <x v="5"/>
    <n v="4"/>
    <x v="0"/>
    <d v="2025-11-18T18:53:00"/>
    <x v="48"/>
    <x v="16"/>
    <n v="727"/>
    <n v="2"/>
    <n v="1454"/>
    <x v="3"/>
  </r>
  <r>
    <n v="516"/>
    <n v="226"/>
    <x v="5"/>
    <x v="183"/>
    <x v="3"/>
    <n v="1"/>
    <x v="0"/>
    <d v="2025-11-18T18:54:00"/>
    <x v="48"/>
    <x v="16"/>
    <n v="6956"/>
    <n v="3"/>
    <n v="20868"/>
    <x v="1"/>
  </r>
  <r>
    <n v="165"/>
    <n v="167"/>
    <x v="1"/>
    <x v="20"/>
    <x v="3"/>
    <n v="1"/>
    <x v="0"/>
    <d v="2025-11-18T19:33:00"/>
    <x v="48"/>
    <x v="22"/>
    <n v="3098"/>
    <n v="4"/>
    <n v="12392"/>
    <x v="2"/>
  </r>
  <r>
    <n v="48"/>
    <n v="200"/>
    <x v="9"/>
    <x v="182"/>
    <x v="5"/>
    <n v="4"/>
    <x v="0"/>
    <d v="2025-11-18T19:47:00"/>
    <x v="48"/>
    <x v="22"/>
    <n v="1201"/>
    <n v="2"/>
    <n v="2402"/>
    <x v="2"/>
  </r>
  <r>
    <n v="287"/>
    <n v="193"/>
    <x v="8"/>
    <x v="166"/>
    <x v="3"/>
    <n v="1"/>
    <x v="0"/>
    <d v="2025-11-18T20:33:00"/>
    <x v="48"/>
    <x v="17"/>
    <n v="6795"/>
    <n v="5"/>
    <n v="33975"/>
    <x v="1"/>
  </r>
  <r>
    <n v="351"/>
    <n v="142"/>
    <x v="0"/>
    <x v="39"/>
    <x v="3"/>
    <n v="1"/>
    <x v="0"/>
    <d v="2025-11-18T21:23:00"/>
    <x v="48"/>
    <x v="23"/>
    <n v="1336"/>
    <n v="2"/>
    <n v="2672"/>
    <x v="2"/>
  </r>
  <r>
    <n v="114"/>
    <n v="242"/>
    <x v="8"/>
    <x v="243"/>
    <x v="1"/>
    <n v="6"/>
    <x v="0"/>
    <d v="2025-11-18T21:30:00"/>
    <x v="48"/>
    <x v="23"/>
    <n v="10801"/>
    <n v="3"/>
    <n v="32403"/>
    <x v="0"/>
  </r>
  <r>
    <n v="794"/>
    <n v="212"/>
    <x v="1"/>
    <x v="116"/>
    <x v="3"/>
    <n v="1"/>
    <x v="0"/>
    <d v="2025-11-18T21:58:00"/>
    <x v="48"/>
    <x v="23"/>
    <n v="2283"/>
    <n v="2"/>
    <n v="4566"/>
    <x v="2"/>
  </r>
  <r>
    <n v="588"/>
    <n v="103"/>
    <x v="9"/>
    <x v="274"/>
    <x v="2"/>
    <n v="3"/>
    <x v="0"/>
    <d v="2025-11-18T22:15:00"/>
    <x v="48"/>
    <x v="18"/>
    <n v="2620"/>
    <n v="3"/>
    <n v="7860"/>
    <x v="2"/>
  </r>
  <r>
    <n v="336"/>
    <n v="294"/>
    <x v="8"/>
    <x v="387"/>
    <x v="4"/>
    <n v="7"/>
    <x v="0"/>
    <d v="2025-11-18T23:11:00"/>
    <x v="48"/>
    <x v="19"/>
    <n v="5947"/>
    <n v="1"/>
    <n v="5947"/>
    <x v="1"/>
  </r>
  <r>
    <n v="544"/>
    <n v="150"/>
    <x v="7"/>
    <x v="61"/>
    <x v="1"/>
    <n v="6"/>
    <x v="0"/>
    <d v="2025-11-18T23:18:00"/>
    <x v="48"/>
    <x v="19"/>
    <n v="11145"/>
    <n v="2"/>
    <n v="22290"/>
    <x v="0"/>
  </r>
  <r>
    <n v="717"/>
    <n v="161"/>
    <x v="4"/>
    <x v="102"/>
    <x v="3"/>
    <n v="1"/>
    <x v="0"/>
    <d v="2025-11-18T23:48:00"/>
    <x v="48"/>
    <x v="19"/>
    <n v="6459"/>
    <n v="1"/>
    <n v="6459"/>
    <x v="1"/>
  </r>
  <r>
    <n v="189"/>
    <n v="165"/>
    <x v="8"/>
    <x v="386"/>
    <x v="6"/>
    <n v="5"/>
    <x v="0"/>
    <d v="2025-11-19T00:13:00"/>
    <x v="49"/>
    <x v="0"/>
    <n v="2474"/>
    <n v="3"/>
    <n v="7422"/>
    <x v="2"/>
  </r>
  <r>
    <n v="342"/>
    <n v="102"/>
    <x v="8"/>
    <x v="243"/>
    <x v="1"/>
    <n v="6"/>
    <x v="0"/>
    <d v="2025-11-19T00:22:00"/>
    <x v="49"/>
    <x v="0"/>
    <n v="9589"/>
    <n v="4"/>
    <n v="38356"/>
    <x v="1"/>
  </r>
  <r>
    <n v="619"/>
    <n v="12"/>
    <x v="7"/>
    <x v="181"/>
    <x v="5"/>
    <n v="4"/>
    <x v="0"/>
    <d v="2025-11-19T00:26:00"/>
    <x v="49"/>
    <x v="0"/>
    <n v="1500"/>
    <n v="1"/>
    <n v="1500"/>
    <x v="2"/>
  </r>
  <r>
    <n v="406"/>
    <n v="250"/>
    <x v="2"/>
    <x v="108"/>
    <x v="5"/>
    <n v="4"/>
    <x v="0"/>
    <d v="2025-11-19T00:54:00"/>
    <x v="49"/>
    <x v="0"/>
    <n v="198"/>
    <n v="1"/>
    <n v="198"/>
    <x v="3"/>
  </r>
  <r>
    <n v="525"/>
    <n v="192"/>
    <x v="3"/>
    <x v="49"/>
    <x v="3"/>
    <n v="1"/>
    <x v="0"/>
    <d v="2025-11-19T01:29:00"/>
    <x v="49"/>
    <x v="1"/>
    <n v="7362"/>
    <n v="2"/>
    <n v="14724"/>
    <x v="1"/>
  </r>
  <r>
    <n v="517"/>
    <n v="168"/>
    <x v="2"/>
    <x v="7"/>
    <x v="0"/>
    <n v="2"/>
    <x v="0"/>
    <d v="2025-11-19T01:39:00"/>
    <x v="49"/>
    <x v="1"/>
    <n v="4354"/>
    <n v="2"/>
    <n v="8708"/>
    <x v="2"/>
  </r>
  <r>
    <n v="342"/>
    <n v="35"/>
    <x v="7"/>
    <x v="25"/>
    <x v="0"/>
    <n v="2"/>
    <x v="1"/>
    <d v="2025-11-19T02:07:00"/>
    <x v="49"/>
    <x v="2"/>
    <n v="12878"/>
    <n v="0"/>
    <n v="0"/>
    <x v="0"/>
  </r>
  <r>
    <n v="572"/>
    <n v="58"/>
    <x v="9"/>
    <x v="330"/>
    <x v="4"/>
    <n v="7"/>
    <x v="0"/>
    <d v="2025-11-19T02:20:00"/>
    <x v="49"/>
    <x v="2"/>
    <n v="7354"/>
    <n v="3"/>
    <n v="22062"/>
    <x v="1"/>
  </r>
  <r>
    <n v="588"/>
    <n v="240"/>
    <x v="3"/>
    <x v="365"/>
    <x v="6"/>
    <n v="5"/>
    <x v="0"/>
    <d v="2025-11-19T02:53:00"/>
    <x v="49"/>
    <x v="2"/>
    <n v="2859"/>
    <n v="4"/>
    <n v="11436"/>
    <x v="2"/>
  </r>
  <r>
    <n v="786"/>
    <n v="221"/>
    <x v="5"/>
    <x v="10"/>
    <x v="1"/>
    <n v="6"/>
    <x v="0"/>
    <d v="2025-11-19T02:59:00"/>
    <x v="49"/>
    <x v="2"/>
    <n v="12000"/>
    <n v="2"/>
    <n v="24000"/>
    <x v="0"/>
  </r>
  <r>
    <n v="667"/>
    <n v="170"/>
    <x v="8"/>
    <x v="386"/>
    <x v="6"/>
    <n v="5"/>
    <x v="1"/>
    <d v="2025-11-19T03:57:00"/>
    <x v="49"/>
    <x v="3"/>
    <n v="1972"/>
    <n v="0"/>
    <n v="0"/>
    <x v="2"/>
  </r>
  <r>
    <n v="465"/>
    <n v="271"/>
    <x v="9"/>
    <x v="231"/>
    <x v="3"/>
    <n v="1"/>
    <x v="0"/>
    <d v="2025-11-19T04:06:00"/>
    <x v="49"/>
    <x v="4"/>
    <n v="1491"/>
    <n v="3"/>
    <n v="4473"/>
    <x v="2"/>
  </r>
  <r>
    <n v="412"/>
    <n v="295"/>
    <x v="2"/>
    <x v="45"/>
    <x v="3"/>
    <n v="1"/>
    <x v="0"/>
    <d v="2025-11-19T04:19:00"/>
    <x v="49"/>
    <x v="4"/>
    <n v="7552"/>
    <n v="2"/>
    <n v="15104"/>
    <x v="1"/>
  </r>
  <r>
    <n v="20"/>
    <n v="5"/>
    <x v="9"/>
    <x v="182"/>
    <x v="5"/>
    <n v="4"/>
    <x v="1"/>
    <d v="2025-11-19T04:20:00"/>
    <x v="49"/>
    <x v="4"/>
    <n v="454"/>
    <n v="0"/>
    <n v="0"/>
    <x v="3"/>
  </r>
  <r>
    <n v="266"/>
    <n v="115"/>
    <x v="2"/>
    <x v="291"/>
    <x v="1"/>
    <n v="6"/>
    <x v="0"/>
    <d v="2025-11-19T04:23:00"/>
    <x v="49"/>
    <x v="4"/>
    <n v="5655"/>
    <n v="3"/>
    <n v="16965"/>
    <x v="1"/>
  </r>
  <r>
    <n v="469"/>
    <n v="103"/>
    <x v="6"/>
    <x v="135"/>
    <x v="3"/>
    <n v="1"/>
    <x v="0"/>
    <d v="2025-11-19T04:43:00"/>
    <x v="49"/>
    <x v="4"/>
    <n v="5932"/>
    <n v="2"/>
    <n v="11864"/>
    <x v="1"/>
  </r>
  <r>
    <n v="591"/>
    <n v="79"/>
    <x v="6"/>
    <x v="203"/>
    <x v="3"/>
    <n v="1"/>
    <x v="0"/>
    <d v="2025-11-19T04:51:00"/>
    <x v="49"/>
    <x v="4"/>
    <n v="7401"/>
    <n v="4"/>
    <n v="29604"/>
    <x v="1"/>
  </r>
  <r>
    <n v="316"/>
    <n v="93"/>
    <x v="4"/>
    <x v="200"/>
    <x v="1"/>
    <n v="6"/>
    <x v="0"/>
    <d v="2025-11-19T05:39:00"/>
    <x v="49"/>
    <x v="20"/>
    <n v="5289"/>
    <n v="3"/>
    <n v="15867"/>
    <x v="1"/>
  </r>
  <r>
    <n v="41"/>
    <n v="66"/>
    <x v="3"/>
    <x v="338"/>
    <x v="4"/>
    <n v="7"/>
    <x v="0"/>
    <d v="2025-11-19T05:39:00"/>
    <x v="49"/>
    <x v="20"/>
    <n v="2139"/>
    <n v="1"/>
    <n v="2139"/>
    <x v="2"/>
  </r>
  <r>
    <n v="323"/>
    <n v="118"/>
    <x v="1"/>
    <x v="276"/>
    <x v="4"/>
    <n v="7"/>
    <x v="0"/>
    <d v="2025-11-19T05:52:00"/>
    <x v="49"/>
    <x v="20"/>
    <n v="5902"/>
    <n v="4"/>
    <n v="23608"/>
    <x v="1"/>
  </r>
  <r>
    <n v="168"/>
    <n v="218"/>
    <x v="5"/>
    <x v="189"/>
    <x v="0"/>
    <n v="2"/>
    <x v="0"/>
    <d v="2025-11-19T06:03:00"/>
    <x v="49"/>
    <x v="5"/>
    <n v="14689"/>
    <n v="1"/>
    <n v="14689"/>
    <x v="0"/>
  </r>
  <r>
    <n v="28"/>
    <n v="71"/>
    <x v="5"/>
    <x v="313"/>
    <x v="6"/>
    <n v="5"/>
    <x v="0"/>
    <d v="2025-11-19T06:03:00"/>
    <x v="49"/>
    <x v="5"/>
    <n v="1829"/>
    <n v="1"/>
    <n v="1829"/>
    <x v="2"/>
  </r>
  <r>
    <n v="455"/>
    <n v="107"/>
    <x v="2"/>
    <x v="45"/>
    <x v="3"/>
    <n v="1"/>
    <x v="0"/>
    <d v="2025-11-19T06:07:00"/>
    <x v="49"/>
    <x v="5"/>
    <n v="4464"/>
    <n v="3"/>
    <n v="13392"/>
    <x v="2"/>
  </r>
  <r>
    <n v="409"/>
    <n v="102"/>
    <x v="8"/>
    <x v="37"/>
    <x v="3"/>
    <n v="1"/>
    <x v="0"/>
    <d v="2025-11-19T06:21:00"/>
    <x v="49"/>
    <x v="5"/>
    <n v="3941"/>
    <n v="1"/>
    <n v="3941"/>
    <x v="2"/>
  </r>
  <r>
    <n v="128"/>
    <n v="48"/>
    <x v="2"/>
    <x v="169"/>
    <x v="2"/>
    <n v="3"/>
    <x v="0"/>
    <d v="2025-11-19T06:39:00"/>
    <x v="49"/>
    <x v="5"/>
    <n v="3378"/>
    <n v="3"/>
    <n v="10134"/>
    <x v="2"/>
  </r>
  <r>
    <n v="125"/>
    <n v="84"/>
    <x v="9"/>
    <x v="100"/>
    <x v="5"/>
    <n v="4"/>
    <x v="1"/>
    <d v="2025-11-19T06:52:00"/>
    <x v="49"/>
    <x v="5"/>
    <n v="467"/>
    <n v="0"/>
    <n v="0"/>
    <x v="3"/>
  </r>
  <r>
    <n v="620"/>
    <n v="184"/>
    <x v="8"/>
    <x v="207"/>
    <x v="0"/>
    <n v="2"/>
    <x v="0"/>
    <d v="2025-11-19T07:13:00"/>
    <x v="49"/>
    <x v="6"/>
    <n v="7295"/>
    <n v="2"/>
    <n v="14590"/>
    <x v="1"/>
  </r>
  <r>
    <n v="216"/>
    <n v="47"/>
    <x v="2"/>
    <x v="185"/>
    <x v="3"/>
    <n v="1"/>
    <x v="0"/>
    <d v="2025-11-19T07:36:00"/>
    <x v="49"/>
    <x v="6"/>
    <n v="7103"/>
    <n v="2"/>
    <n v="14206"/>
    <x v="1"/>
  </r>
  <r>
    <n v="521"/>
    <n v="58"/>
    <x v="8"/>
    <x v="243"/>
    <x v="1"/>
    <n v="6"/>
    <x v="0"/>
    <d v="2025-11-19T07:37:00"/>
    <x v="49"/>
    <x v="6"/>
    <n v="10289"/>
    <n v="1"/>
    <n v="10289"/>
    <x v="0"/>
  </r>
  <r>
    <n v="431"/>
    <n v="205"/>
    <x v="0"/>
    <x v="227"/>
    <x v="2"/>
    <n v="3"/>
    <x v="0"/>
    <d v="2025-11-19T07:53:00"/>
    <x v="49"/>
    <x v="6"/>
    <n v="5051"/>
    <n v="3"/>
    <n v="15153"/>
    <x v="1"/>
  </r>
  <r>
    <n v="67"/>
    <n v="223"/>
    <x v="6"/>
    <x v="219"/>
    <x v="3"/>
    <n v="1"/>
    <x v="0"/>
    <d v="2025-11-19T09:21:00"/>
    <x v="49"/>
    <x v="8"/>
    <n v="1800"/>
    <n v="4"/>
    <n v="7200"/>
    <x v="2"/>
  </r>
  <r>
    <n v="660"/>
    <n v="200"/>
    <x v="1"/>
    <x v="1"/>
    <x v="1"/>
    <n v="6"/>
    <x v="0"/>
    <d v="2025-11-19T09:40:00"/>
    <x v="49"/>
    <x v="8"/>
    <n v="6843"/>
    <n v="1"/>
    <n v="6843"/>
    <x v="1"/>
  </r>
  <r>
    <n v="663"/>
    <n v="166"/>
    <x v="7"/>
    <x v="245"/>
    <x v="1"/>
    <n v="6"/>
    <x v="1"/>
    <d v="2025-11-19T10:10:00"/>
    <x v="49"/>
    <x v="9"/>
    <n v="9530"/>
    <n v="0"/>
    <n v="0"/>
    <x v="1"/>
  </r>
  <r>
    <n v="579"/>
    <n v="5"/>
    <x v="5"/>
    <x v="141"/>
    <x v="5"/>
    <n v="4"/>
    <x v="0"/>
    <d v="2025-11-19T10:20:00"/>
    <x v="49"/>
    <x v="9"/>
    <n v="50"/>
    <n v="1"/>
    <n v="50"/>
    <x v="3"/>
  </r>
  <r>
    <n v="712"/>
    <n v="241"/>
    <x v="4"/>
    <x v="331"/>
    <x v="2"/>
    <n v="3"/>
    <x v="1"/>
    <d v="2025-11-19T11:00:00"/>
    <x v="49"/>
    <x v="10"/>
    <n v="2613"/>
    <n v="0"/>
    <n v="0"/>
    <x v="2"/>
  </r>
  <r>
    <n v="215"/>
    <n v="151"/>
    <x v="0"/>
    <x v="160"/>
    <x v="3"/>
    <n v="1"/>
    <x v="0"/>
    <d v="2025-11-19T11:39:00"/>
    <x v="49"/>
    <x v="10"/>
    <n v="7063"/>
    <n v="1"/>
    <n v="7063"/>
    <x v="1"/>
  </r>
  <r>
    <n v="430"/>
    <n v="89"/>
    <x v="2"/>
    <x v="291"/>
    <x v="1"/>
    <n v="6"/>
    <x v="1"/>
    <d v="2025-11-19T11:58:00"/>
    <x v="49"/>
    <x v="10"/>
    <n v="8205"/>
    <n v="0"/>
    <n v="0"/>
    <x v="1"/>
  </r>
  <r>
    <n v="374"/>
    <n v="57"/>
    <x v="4"/>
    <x v="331"/>
    <x v="2"/>
    <n v="3"/>
    <x v="0"/>
    <d v="2025-11-19T13:37:00"/>
    <x v="49"/>
    <x v="21"/>
    <n v="2995"/>
    <n v="3"/>
    <n v="8985"/>
    <x v="2"/>
  </r>
  <r>
    <n v="314"/>
    <n v="207"/>
    <x v="8"/>
    <x v="47"/>
    <x v="5"/>
    <n v="4"/>
    <x v="0"/>
    <d v="2025-11-19T13:41:00"/>
    <x v="49"/>
    <x v="21"/>
    <n v="197"/>
    <n v="2"/>
    <n v="394"/>
    <x v="3"/>
  </r>
  <r>
    <n v="329"/>
    <n v="15"/>
    <x v="7"/>
    <x v="85"/>
    <x v="4"/>
    <n v="7"/>
    <x v="0"/>
    <d v="2025-11-19T13:41:00"/>
    <x v="49"/>
    <x v="21"/>
    <n v="6613"/>
    <n v="2"/>
    <n v="13226"/>
    <x v="1"/>
  </r>
  <r>
    <n v="36"/>
    <n v="74"/>
    <x v="0"/>
    <x v="283"/>
    <x v="0"/>
    <n v="2"/>
    <x v="0"/>
    <d v="2025-11-19T14:20:00"/>
    <x v="49"/>
    <x v="12"/>
    <n v="4392"/>
    <n v="4"/>
    <n v="17568"/>
    <x v="2"/>
  </r>
  <r>
    <n v="781"/>
    <n v="269"/>
    <x v="3"/>
    <x v="84"/>
    <x v="5"/>
    <n v="4"/>
    <x v="0"/>
    <d v="2025-11-19T15:04:00"/>
    <x v="49"/>
    <x v="13"/>
    <n v="707"/>
    <n v="1"/>
    <n v="707"/>
    <x v="3"/>
  </r>
  <r>
    <n v="358"/>
    <n v="115"/>
    <x v="1"/>
    <x v="253"/>
    <x v="2"/>
    <n v="3"/>
    <x v="0"/>
    <d v="2025-11-19T15:07:00"/>
    <x v="49"/>
    <x v="13"/>
    <n v="2770"/>
    <n v="2"/>
    <n v="5540"/>
    <x v="2"/>
  </r>
  <r>
    <n v="488"/>
    <n v="238"/>
    <x v="1"/>
    <x v="9"/>
    <x v="5"/>
    <n v="4"/>
    <x v="0"/>
    <d v="2025-11-19T15:15:00"/>
    <x v="49"/>
    <x v="13"/>
    <n v="252"/>
    <n v="4"/>
    <n v="1008"/>
    <x v="3"/>
  </r>
  <r>
    <n v="618"/>
    <n v="1"/>
    <x v="8"/>
    <x v="166"/>
    <x v="3"/>
    <n v="1"/>
    <x v="1"/>
    <d v="2025-11-19T15:16:00"/>
    <x v="49"/>
    <x v="13"/>
    <n v="4474"/>
    <n v="0"/>
    <n v="0"/>
    <x v="2"/>
  </r>
  <r>
    <n v="132"/>
    <n v="166"/>
    <x v="8"/>
    <x v="155"/>
    <x v="0"/>
    <n v="2"/>
    <x v="0"/>
    <d v="2025-11-19T15:25:00"/>
    <x v="49"/>
    <x v="13"/>
    <n v="9145"/>
    <n v="4"/>
    <n v="36580"/>
    <x v="1"/>
  </r>
  <r>
    <n v="685"/>
    <n v="50"/>
    <x v="6"/>
    <x v="135"/>
    <x v="3"/>
    <n v="1"/>
    <x v="0"/>
    <d v="2025-11-19T16:04:00"/>
    <x v="49"/>
    <x v="14"/>
    <n v="6453"/>
    <n v="1"/>
    <n v="6453"/>
    <x v="1"/>
  </r>
  <r>
    <n v="129"/>
    <n v="113"/>
    <x v="9"/>
    <x v="88"/>
    <x v="6"/>
    <n v="5"/>
    <x v="0"/>
    <d v="2025-11-19T16:24:00"/>
    <x v="49"/>
    <x v="14"/>
    <n v="2809"/>
    <n v="2"/>
    <n v="5618"/>
    <x v="2"/>
  </r>
  <r>
    <n v="676"/>
    <n v="43"/>
    <x v="4"/>
    <x v="153"/>
    <x v="5"/>
    <n v="4"/>
    <x v="0"/>
    <d v="2025-11-19T16:35:00"/>
    <x v="49"/>
    <x v="14"/>
    <n v="970"/>
    <n v="2"/>
    <n v="1940"/>
    <x v="3"/>
  </r>
  <r>
    <n v="630"/>
    <n v="54"/>
    <x v="2"/>
    <x v="228"/>
    <x v="2"/>
    <n v="3"/>
    <x v="0"/>
    <d v="2025-11-19T16:47:00"/>
    <x v="49"/>
    <x v="14"/>
    <n v="2443"/>
    <n v="2"/>
    <n v="4886"/>
    <x v="2"/>
  </r>
  <r>
    <n v="748"/>
    <n v="155"/>
    <x v="7"/>
    <x v="124"/>
    <x v="5"/>
    <n v="4"/>
    <x v="0"/>
    <d v="2025-11-19T16:47:00"/>
    <x v="49"/>
    <x v="14"/>
    <n v="476"/>
    <n v="3"/>
    <n v="1428"/>
    <x v="3"/>
  </r>
  <r>
    <n v="533"/>
    <n v="265"/>
    <x v="8"/>
    <x v="22"/>
    <x v="2"/>
    <n v="3"/>
    <x v="1"/>
    <d v="2025-11-19T16:57:00"/>
    <x v="49"/>
    <x v="14"/>
    <n v="4355"/>
    <n v="0"/>
    <n v="0"/>
    <x v="2"/>
  </r>
  <r>
    <n v="433"/>
    <n v="192"/>
    <x v="4"/>
    <x v="190"/>
    <x v="3"/>
    <n v="1"/>
    <x v="0"/>
    <d v="2025-11-19T17:24:00"/>
    <x v="49"/>
    <x v="15"/>
    <n v="5664"/>
    <n v="2"/>
    <n v="11328"/>
    <x v="1"/>
  </r>
  <r>
    <n v="395"/>
    <n v="25"/>
    <x v="0"/>
    <x v="211"/>
    <x v="1"/>
    <n v="6"/>
    <x v="0"/>
    <d v="2025-11-19T19:01:00"/>
    <x v="49"/>
    <x v="22"/>
    <n v="4475"/>
    <n v="1"/>
    <n v="4475"/>
    <x v="2"/>
  </r>
  <r>
    <n v="650"/>
    <n v="18"/>
    <x v="0"/>
    <x v="353"/>
    <x v="1"/>
    <n v="6"/>
    <x v="0"/>
    <d v="2025-11-19T19:51:00"/>
    <x v="49"/>
    <x v="22"/>
    <n v="5135"/>
    <n v="5"/>
    <n v="25675"/>
    <x v="1"/>
  </r>
  <r>
    <n v="12"/>
    <n v="293"/>
    <x v="2"/>
    <x v="38"/>
    <x v="6"/>
    <n v="5"/>
    <x v="0"/>
    <d v="2025-11-19T19:52:00"/>
    <x v="49"/>
    <x v="22"/>
    <n v="1656"/>
    <n v="1"/>
    <n v="1656"/>
    <x v="2"/>
  </r>
  <r>
    <n v="644"/>
    <n v="296"/>
    <x v="6"/>
    <x v="53"/>
    <x v="5"/>
    <n v="4"/>
    <x v="0"/>
    <d v="2025-11-19T20:52:00"/>
    <x v="49"/>
    <x v="17"/>
    <n v="1081"/>
    <n v="4"/>
    <n v="4324"/>
    <x v="2"/>
  </r>
  <r>
    <n v="637"/>
    <n v="135"/>
    <x v="5"/>
    <x v="50"/>
    <x v="5"/>
    <n v="4"/>
    <x v="0"/>
    <d v="2025-11-19T21:33:00"/>
    <x v="49"/>
    <x v="23"/>
    <n v="911"/>
    <n v="4"/>
    <n v="3644"/>
    <x v="3"/>
  </r>
  <r>
    <n v="287"/>
    <n v="264"/>
    <x v="1"/>
    <x v="1"/>
    <x v="1"/>
    <n v="6"/>
    <x v="0"/>
    <d v="2025-11-19T22:13:00"/>
    <x v="49"/>
    <x v="18"/>
    <n v="10968"/>
    <n v="2"/>
    <n v="21936"/>
    <x v="0"/>
  </r>
  <r>
    <n v="350"/>
    <n v="250"/>
    <x v="4"/>
    <x v="63"/>
    <x v="2"/>
    <n v="3"/>
    <x v="0"/>
    <d v="2025-11-19T22:29:00"/>
    <x v="49"/>
    <x v="18"/>
    <n v="4235"/>
    <n v="2"/>
    <n v="8470"/>
    <x v="2"/>
  </r>
  <r>
    <n v="351"/>
    <n v="266"/>
    <x v="1"/>
    <x v="356"/>
    <x v="0"/>
    <n v="2"/>
    <x v="0"/>
    <d v="2025-11-19T22:43:00"/>
    <x v="49"/>
    <x v="18"/>
    <n v="13026"/>
    <n v="2"/>
    <n v="26052"/>
    <x v="0"/>
  </r>
  <r>
    <n v="658"/>
    <n v="14"/>
    <x v="6"/>
    <x v="317"/>
    <x v="3"/>
    <n v="1"/>
    <x v="1"/>
    <d v="2025-11-19T22:52:00"/>
    <x v="49"/>
    <x v="18"/>
    <n v="2985"/>
    <n v="0"/>
    <n v="0"/>
    <x v="2"/>
  </r>
  <r>
    <n v="469"/>
    <n v="57"/>
    <x v="1"/>
    <x v="157"/>
    <x v="4"/>
    <n v="7"/>
    <x v="0"/>
    <d v="2025-11-19T22:54:00"/>
    <x v="49"/>
    <x v="18"/>
    <n v="5814"/>
    <n v="3"/>
    <n v="17442"/>
    <x v="1"/>
  </r>
  <r>
    <n v="356"/>
    <n v="158"/>
    <x v="7"/>
    <x v="289"/>
    <x v="1"/>
    <n v="6"/>
    <x v="0"/>
    <d v="2025-11-19T23:01:00"/>
    <x v="49"/>
    <x v="19"/>
    <n v="4051"/>
    <n v="2"/>
    <n v="8102"/>
    <x v="2"/>
  </r>
  <r>
    <n v="517"/>
    <n v="94"/>
    <x v="3"/>
    <x v="49"/>
    <x v="3"/>
    <n v="1"/>
    <x v="0"/>
    <d v="2025-11-19T23:08:00"/>
    <x v="49"/>
    <x v="19"/>
    <n v="4730"/>
    <n v="4"/>
    <n v="18920"/>
    <x v="2"/>
  </r>
  <r>
    <n v="697"/>
    <n v="114"/>
    <x v="5"/>
    <x v="246"/>
    <x v="3"/>
    <n v="1"/>
    <x v="0"/>
    <d v="2025-11-19T23:26:00"/>
    <x v="49"/>
    <x v="19"/>
    <n v="4317"/>
    <n v="2"/>
    <n v="8634"/>
    <x v="2"/>
  </r>
  <r>
    <n v="616"/>
    <n v="78"/>
    <x v="6"/>
    <x v="96"/>
    <x v="5"/>
    <n v="4"/>
    <x v="0"/>
    <d v="2025-11-20T00:02:00"/>
    <x v="50"/>
    <x v="0"/>
    <n v="50"/>
    <n v="4"/>
    <n v="200"/>
    <x v="3"/>
  </r>
  <r>
    <n v="546"/>
    <n v="186"/>
    <x v="3"/>
    <x v="49"/>
    <x v="3"/>
    <n v="1"/>
    <x v="0"/>
    <d v="2025-11-20T00:19:00"/>
    <x v="50"/>
    <x v="0"/>
    <n v="5682"/>
    <n v="3"/>
    <n v="17046"/>
    <x v="1"/>
  </r>
  <r>
    <n v="384"/>
    <n v="82"/>
    <x v="3"/>
    <x v="91"/>
    <x v="3"/>
    <n v="1"/>
    <x v="0"/>
    <d v="2025-11-20T00:21:00"/>
    <x v="50"/>
    <x v="0"/>
    <n v="5336"/>
    <n v="2"/>
    <n v="10672"/>
    <x v="1"/>
  </r>
  <r>
    <n v="650"/>
    <n v="116"/>
    <x v="4"/>
    <x v="380"/>
    <x v="0"/>
    <n v="2"/>
    <x v="1"/>
    <d v="2025-11-20T01:45:00"/>
    <x v="50"/>
    <x v="1"/>
    <n v="5788"/>
    <n v="0"/>
    <n v="0"/>
    <x v="1"/>
  </r>
  <r>
    <n v="208"/>
    <n v="143"/>
    <x v="9"/>
    <x v="98"/>
    <x v="0"/>
    <n v="2"/>
    <x v="0"/>
    <d v="2025-11-20T03:01:00"/>
    <x v="50"/>
    <x v="3"/>
    <n v="6567"/>
    <n v="3"/>
    <n v="19701"/>
    <x v="1"/>
  </r>
  <r>
    <n v="535"/>
    <n v="216"/>
    <x v="7"/>
    <x v="156"/>
    <x v="0"/>
    <n v="2"/>
    <x v="0"/>
    <d v="2025-11-20T03:41:00"/>
    <x v="50"/>
    <x v="3"/>
    <n v="4806"/>
    <n v="4"/>
    <n v="19224"/>
    <x v="2"/>
  </r>
  <r>
    <n v="739"/>
    <n v="154"/>
    <x v="6"/>
    <x v="146"/>
    <x v="3"/>
    <n v="1"/>
    <x v="0"/>
    <d v="2025-11-20T05:47:00"/>
    <x v="50"/>
    <x v="20"/>
    <n v="4942"/>
    <n v="3"/>
    <n v="14826"/>
    <x v="2"/>
  </r>
  <r>
    <n v="570"/>
    <n v="160"/>
    <x v="7"/>
    <x v="117"/>
    <x v="3"/>
    <n v="1"/>
    <x v="0"/>
    <d v="2025-11-20T06:08:00"/>
    <x v="50"/>
    <x v="5"/>
    <n v="1000"/>
    <n v="2"/>
    <n v="2000"/>
    <x v="2"/>
  </r>
  <r>
    <n v="69"/>
    <n v="31"/>
    <x v="9"/>
    <x v="121"/>
    <x v="4"/>
    <n v="7"/>
    <x v="1"/>
    <d v="2025-11-20T07:35:00"/>
    <x v="50"/>
    <x v="6"/>
    <n v="3385"/>
    <n v="0"/>
    <n v="0"/>
    <x v="2"/>
  </r>
  <r>
    <n v="493"/>
    <n v="83"/>
    <x v="4"/>
    <x v="367"/>
    <x v="4"/>
    <n v="7"/>
    <x v="1"/>
    <d v="2025-11-20T07:37:00"/>
    <x v="50"/>
    <x v="6"/>
    <n v="7696"/>
    <n v="0"/>
    <n v="0"/>
    <x v="1"/>
  </r>
  <r>
    <n v="401"/>
    <n v="100"/>
    <x v="4"/>
    <x v="93"/>
    <x v="5"/>
    <n v="4"/>
    <x v="0"/>
    <d v="2025-11-20T07:49:00"/>
    <x v="50"/>
    <x v="6"/>
    <n v="546"/>
    <n v="2"/>
    <n v="1092"/>
    <x v="3"/>
  </r>
  <r>
    <n v="283"/>
    <n v="72"/>
    <x v="1"/>
    <x v="161"/>
    <x v="0"/>
    <n v="2"/>
    <x v="0"/>
    <d v="2025-11-20T07:56:00"/>
    <x v="50"/>
    <x v="6"/>
    <n v="8051"/>
    <n v="2"/>
    <n v="16102"/>
    <x v="1"/>
  </r>
  <r>
    <n v="156"/>
    <n v="106"/>
    <x v="9"/>
    <x v="180"/>
    <x v="3"/>
    <n v="1"/>
    <x v="0"/>
    <d v="2025-11-20T08:02:00"/>
    <x v="50"/>
    <x v="7"/>
    <n v="4151"/>
    <n v="4"/>
    <n v="16604"/>
    <x v="2"/>
  </r>
  <r>
    <n v="12"/>
    <n v="61"/>
    <x v="7"/>
    <x v="83"/>
    <x v="3"/>
    <n v="1"/>
    <x v="0"/>
    <d v="2025-11-20T08:06:00"/>
    <x v="50"/>
    <x v="7"/>
    <n v="4504"/>
    <n v="3"/>
    <n v="13512"/>
    <x v="2"/>
  </r>
  <r>
    <n v="791"/>
    <n v="242"/>
    <x v="3"/>
    <x v="365"/>
    <x v="6"/>
    <n v="5"/>
    <x v="1"/>
    <d v="2025-11-20T08:32:00"/>
    <x v="50"/>
    <x v="7"/>
    <n v="2891"/>
    <n v="0"/>
    <n v="0"/>
    <x v="2"/>
  </r>
  <r>
    <n v="128"/>
    <n v="278"/>
    <x v="8"/>
    <x v="155"/>
    <x v="0"/>
    <n v="2"/>
    <x v="0"/>
    <d v="2025-11-20T09:12:00"/>
    <x v="50"/>
    <x v="8"/>
    <n v="7942"/>
    <n v="2"/>
    <n v="15884"/>
    <x v="1"/>
  </r>
  <r>
    <n v="773"/>
    <n v="175"/>
    <x v="4"/>
    <x v="126"/>
    <x v="0"/>
    <n v="2"/>
    <x v="0"/>
    <d v="2025-11-20T09:35:00"/>
    <x v="50"/>
    <x v="8"/>
    <n v="14026"/>
    <n v="2"/>
    <n v="28052"/>
    <x v="0"/>
  </r>
  <r>
    <n v="116"/>
    <n v="239"/>
    <x v="2"/>
    <x v="250"/>
    <x v="3"/>
    <n v="1"/>
    <x v="0"/>
    <d v="2025-11-20T09:39:00"/>
    <x v="50"/>
    <x v="8"/>
    <n v="3049"/>
    <n v="3"/>
    <n v="9147"/>
    <x v="2"/>
  </r>
  <r>
    <n v="709"/>
    <n v="250"/>
    <x v="4"/>
    <x v="36"/>
    <x v="3"/>
    <n v="1"/>
    <x v="0"/>
    <d v="2025-11-20T10:23:00"/>
    <x v="50"/>
    <x v="9"/>
    <n v="4588"/>
    <n v="1"/>
    <n v="4588"/>
    <x v="2"/>
  </r>
  <r>
    <n v="91"/>
    <n v="186"/>
    <x v="3"/>
    <x v="304"/>
    <x v="1"/>
    <n v="6"/>
    <x v="0"/>
    <d v="2025-11-20T10:50:00"/>
    <x v="50"/>
    <x v="9"/>
    <n v="6684"/>
    <n v="1"/>
    <n v="6684"/>
    <x v="1"/>
  </r>
  <r>
    <n v="443"/>
    <n v="216"/>
    <x v="8"/>
    <x v="207"/>
    <x v="0"/>
    <n v="2"/>
    <x v="1"/>
    <d v="2025-11-20T11:03:00"/>
    <x v="50"/>
    <x v="10"/>
    <n v="8093"/>
    <n v="0"/>
    <n v="0"/>
    <x v="1"/>
  </r>
  <r>
    <n v="742"/>
    <n v="142"/>
    <x v="1"/>
    <x v="199"/>
    <x v="5"/>
    <n v="4"/>
    <x v="0"/>
    <d v="2025-11-20T11:33:00"/>
    <x v="50"/>
    <x v="10"/>
    <n v="292"/>
    <n v="1"/>
    <n v="292"/>
    <x v="3"/>
  </r>
  <r>
    <n v="430"/>
    <n v="129"/>
    <x v="3"/>
    <x v="118"/>
    <x v="3"/>
    <n v="1"/>
    <x v="0"/>
    <d v="2025-11-20T11:41:00"/>
    <x v="50"/>
    <x v="10"/>
    <n v="3188"/>
    <n v="3"/>
    <n v="9564"/>
    <x v="2"/>
  </r>
  <r>
    <n v="731"/>
    <n v="249"/>
    <x v="0"/>
    <x v="172"/>
    <x v="5"/>
    <n v="4"/>
    <x v="0"/>
    <d v="2025-11-20T11:52:00"/>
    <x v="50"/>
    <x v="10"/>
    <n v="622"/>
    <n v="1"/>
    <n v="622"/>
    <x v="3"/>
  </r>
  <r>
    <n v="606"/>
    <n v="223"/>
    <x v="8"/>
    <x v="41"/>
    <x v="0"/>
    <n v="2"/>
    <x v="1"/>
    <d v="2025-11-20T12:58:00"/>
    <x v="50"/>
    <x v="11"/>
    <n v="8076"/>
    <n v="0"/>
    <n v="0"/>
    <x v="1"/>
  </r>
  <r>
    <n v="500"/>
    <n v="288"/>
    <x v="1"/>
    <x v="356"/>
    <x v="0"/>
    <n v="2"/>
    <x v="0"/>
    <d v="2025-11-20T13:07:00"/>
    <x v="50"/>
    <x v="21"/>
    <n v="14841"/>
    <n v="4"/>
    <n v="59364"/>
    <x v="0"/>
  </r>
  <r>
    <n v="532"/>
    <n v="196"/>
    <x v="2"/>
    <x v="325"/>
    <x v="1"/>
    <n v="6"/>
    <x v="0"/>
    <d v="2025-11-20T13:24:00"/>
    <x v="50"/>
    <x v="21"/>
    <n v="12000"/>
    <n v="3"/>
    <n v="36000"/>
    <x v="0"/>
  </r>
  <r>
    <n v="659"/>
    <n v="51"/>
    <x v="1"/>
    <x v="23"/>
    <x v="5"/>
    <n v="4"/>
    <x v="1"/>
    <d v="2025-11-20T14:22:00"/>
    <x v="50"/>
    <x v="12"/>
    <n v="244"/>
    <n v="0"/>
    <n v="0"/>
    <x v="3"/>
  </r>
  <r>
    <n v="370"/>
    <n v="298"/>
    <x v="1"/>
    <x v="327"/>
    <x v="1"/>
    <n v="6"/>
    <x v="0"/>
    <d v="2025-11-20T14:55:00"/>
    <x v="50"/>
    <x v="12"/>
    <n v="11279"/>
    <n v="2"/>
    <n v="22558"/>
    <x v="0"/>
  </r>
  <r>
    <n v="404"/>
    <n v="21"/>
    <x v="9"/>
    <x v="287"/>
    <x v="4"/>
    <n v="7"/>
    <x v="0"/>
    <d v="2025-11-20T14:57:00"/>
    <x v="50"/>
    <x v="12"/>
    <n v="7173"/>
    <n v="2"/>
    <n v="14346"/>
    <x v="1"/>
  </r>
  <r>
    <n v="588"/>
    <n v="268"/>
    <x v="8"/>
    <x v="140"/>
    <x v="5"/>
    <n v="4"/>
    <x v="0"/>
    <d v="2025-11-20T15:01:00"/>
    <x v="50"/>
    <x v="13"/>
    <n v="892"/>
    <n v="3"/>
    <n v="2676"/>
    <x v="3"/>
  </r>
  <r>
    <n v="222"/>
    <n v="291"/>
    <x v="2"/>
    <x v="2"/>
    <x v="2"/>
    <n v="3"/>
    <x v="1"/>
    <d v="2025-11-20T15:01:00"/>
    <x v="50"/>
    <x v="13"/>
    <n v="1809"/>
    <n v="0"/>
    <n v="0"/>
    <x v="2"/>
  </r>
  <r>
    <n v="300"/>
    <n v="212"/>
    <x v="6"/>
    <x v="385"/>
    <x v="0"/>
    <n v="2"/>
    <x v="0"/>
    <d v="2025-11-20T15:28:00"/>
    <x v="50"/>
    <x v="13"/>
    <n v="6773"/>
    <n v="4"/>
    <n v="27092"/>
    <x v="1"/>
  </r>
  <r>
    <n v="368"/>
    <n v="177"/>
    <x v="8"/>
    <x v="103"/>
    <x v="3"/>
    <n v="1"/>
    <x v="0"/>
    <d v="2025-11-20T15:43:00"/>
    <x v="50"/>
    <x v="13"/>
    <n v="7383"/>
    <n v="1"/>
    <n v="7383"/>
    <x v="1"/>
  </r>
  <r>
    <n v="49"/>
    <n v="167"/>
    <x v="7"/>
    <x v="255"/>
    <x v="6"/>
    <n v="5"/>
    <x v="0"/>
    <d v="2025-11-20T15:47:00"/>
    <x v="50"/>
    <x v="13"/>
    <n v="2170"/>
    <n v="2"/>
    <n v="4340"/>
    <x v="2"/>
  </r>
  <r>
    <n v="215"/>
    <n v="286"/>
    <x v="7"/>
    <x v="209"/>
    <x v="0"/>
    <n v="2"/>
    <x v="1"/>
    <d v="2025-11-20T17:11:00"/>
    <x v="50"/>
    <x v="15"/>
    <n v="11664"/>
    <n v="0"/>
    <n v="0"/>
    <x v="0"/>
  </r>
  <r>
    <n v="411"/>
    <n v="179"/>
    <x v="6"/>
    <x v="203"/>
    <x v="3"/>
    <n v="1"/>
    <x v="0"/>
    <d v="2025-11-20T17:31:00"/>
    <x v="50"/>
    <x v="15"/>
    <n v="7394"/>
    <n v="1"/>
    <n v="7394"/>
    <x v="1"/>
  </r>
  <r>
    <n v="342"/>
    <n v="181"/>
    <x v="8"/>
    <x v="30"/>
    <x v="3"/>
    <n v="1"/>
    <x v="0"/>
    <d v="2025-11-20T17:38:00"/>
    <x v="50"/>
    <x v="15"/>
    <n v="7285"/>
    <n v="2"/>
    <n v="14570"/>
    <x v="1"/>
  </r>
  <r>
    <n v="314"/>
    <n v="52"/>
    <x v="5"/>
    <x v="119"/>
    <x v="1"/>
    <n v="6"/>
    <x v="0"/>
    <d v="2025-11-20T17:57:00"/>
    <x v="50"/>
    <x v="15"/>
    <n v="10996"/>
    <n v="1"/>
    <n v="10996"/>
    <x v="0"/>
  </r>
  <r>
    <n v="637"/>
    <n v="255"/>
    <x v="2"/>
    <x v="104"/>
    <x v="5"/>
    <n v="4"/>
    <x v="0"/>
    <d v="2025-11-20T18:27:00"/>
    <x v="50"/>
    <x v="16"/>
    <n v="362"/>
    <n v="3"/>
    <n v="1086"/>
    <x v="3"/>
  </r>
  <r>
    <n v="272"/>
    <n v="249"/>
    <x v="2"/>
    <x v="291"/>
    <x v="1"/>
    <n v="6"/>
    <x v="1"/>
    <d v="2025-11-20T18:29:00"/>
    <x v="50"/>
    <x v="16"/>
    <n v="5237"/>
    <n v="0"/>
    <n v="0"/>
    <x v="1"/>
  </r>
  <r>
    <n v="773"/>
    <n v="82"/>
    <x v="8"/>
    <x v="243"/>
    <x v="1"/>
    <n v="6"/>
    <x v="0"/>
    <d v="2025-11-20T18:38:00"/>
    <x v="50"/>
    <x v="16"/>
    <n v="7716"/>
    <n v="3"/>
    <n v="23148"/>
    <x v="1"/>
  </r>
  <r>
    <n v="195"/>
    <n v="298"/>
    <x v="0"/>
    <x v="101"/>
    <x v="1"/>
    <n v="6"/>
    <x v="0"/>
    <d v="2025-11-20T19:21:00"/>
    <x v="50"/>
    <x v="22"/>
    <n v="4726"/>
    <n v="1"/>
    <n v="4726"/>
    <x v="2"/>
  </r>
  <r>
    <n v="775"/>
    <n v="287"/>
    <x v="3"/>
    <x v="234"/>
    <x v="6"/>
    <n v="5"/>
    <x v="0"/>
    <d v="2025-11-20T19:37:00"/>
    <x v="50"/>
    <x v="22"/>
    <n v="2130"/>
    <n v="3"/>
    <n v="6390"/>
    <x v="2"/>
  </r>
  <r>
    <n v="713"/>
    <n v="39"/>
    <x v="2"/>
    <x v="21"/>
    <x v="3"/>
    <n v="1"/>
    <x v="1"/>
    <d v="2025-11-20T19:58:00"/>
    <x v="50"/>
    <x v="22"/>
    <n v="5300"/>
    <n v="0"/>
    <n v="0"/>
    <x v="1"/>
  </r>
  <r>
    <n v="613"/>
    <n v="208"/>
    <x v="1"/>
    <x v="194"/>
    <x v="3"/>
    <n v="1"/>
    <x v="0"/>
    <d v="2025-11-20T20:13:00"/>
    <x v="50"/>
    <x v="17"/>
    <n v="2474"/>
    <n v="2"/>
    <n v="4948"/>
    <x v="2"/>
  </r>
  <r>
    <n v="363"/>
    <n v="204"/>
    <x v="6"/>
    <x v="145"/>
    <x v="0"/>
    <n v="2"/>
    <x v="0"/>
    <d v="2025-11-20T20:15:00"/>
    <x v="50"/>
    <x v="17"/>
    <n v="8189"/>
    <n v="4"/>
    <n v="32756"/>
    <x v="1"/>
  </r>
  <r>
    <n v="301"/>
    <n v="292"/>
    <x v="1"/>
    <x v="356"/>
    <x v="0"/>
    <n v="2"/>
    <x v="0"/>
    <d v="2025-11-20T20:19:00"/>
    <x v="50"/>
    <x v="17"/>
    <n v="6176"/>
    <n v="2"/>
    <n v="12352"/>
    <x v="1"/>
  </r>
  <r>
    <n v="42"/>
    <n v="126"/>
    <x v="5"/>
    <x v="147"/>
    <x v="3"/>
    <n v="1"/>
    <x v="0"/>
    <d v="2025-11-20T20:35:00"/>
    <x v="50"/>
    <x v="17"/>
    <n v="1638"/>
    <n v="2"/>
    <n v="3276"/>
    <x v="2"/>
  </r>
  <r>
    <n v="507"/>
    <n v="115"/>
    <x v="7"/>
    <x v="12"/>
    <x v="5"/>
    <n v="4"/>
    <x v="0"/>
    <d v="2025-11-20T20:41:00"/>
    <x v="50"/>
    <x v="17"/>
    <n v="1051"/>
    <n v="1"/>
    <n v="1051"/>
    <x v="2"/>
  </r>
  <r>
    <n v="451"/>
    <n v="111"/>
    <x v="5"/>
    <x v="375"/>
    <x v="4"/>
    <n v="7"/>
    <x v="0"/>
    <d v="2025-11-20T20:43:00"/>
    <x v="50"/>
    <x v="17"/>
    <n v="7106"/>
    <n v="2"/>
    <n v="14212"/>
    <x v="1"/>
  </r>
  <r>
    <n v="22"/>
    <n v="248"/>
    <x v="7"/>
    <x v="289"/>
    <x v="1"/>
    <n v="6"/>
    <x v="0"/>
    <d v="2025-11-20T21:32:00"/>
    <x v="50"/>
    <x v="23"/>
    <n v="4187"/>
    <n v="2"/>
    <n v="8374"/>
    <x v="2"/>
  </r>
  <r>
    <n v="582"/>
    <n v="99"/>
    <x v="3"/>
    <x v="326"/>
    <x v="6"/>
    <n v="5"/>
    <x v="0"/>
    <d v="2025-11-20T23:17:00"/>
    <x v="50"/>
    <x v="19"/>
    <n v="2609"/>
    <n v="1"/>
    <n v="2609"/>
    <x v="2"/>
  </r>
  <r>
    <n v="410"/>
    <n v="295"/>
    <x v="3"/>
    <x v="326"/>
    <x v="6"/>
    <n v="5"/>
    <x v="0"/>
    <d v="2025-11-20T23:59:00"/>
    <x v="50"/>
    <x v="19"/>
    <n v="2383"/>
    <n v="2"/>
    <n v="4766"/>
    <x v="2"/>
  </r>
  <r>
    <n v="270"/>
    <n v="221"/>
    <x v="7"/>
    <x v="73"/>
    <x v="2"/>
    <n v="3"/>
    <x v="0"/>
    <d v="2025-11-21T00:50:00"/>
    <x v="51"/>
    <x v="0"/>
    <n v="4853"/>
    <n v="2"/>
    <n v="9706"/>
    <x v="2"/>
  </r>
  <r>
    <n v="554"/>
    <n v="183"/>
    <x v="5"/>
    <x v="313"/>
    <x v="6"/>
    <n v="5"/>
    <x v="0"/>
    <d v="2025-11-21T00:57:00"/>
    <x v="51"/>
    <x v="0"/>
    <n v="2302"/>
    <n v="3"/>
    <n v="6906"/>
    <x v="2"/>
  </r>
  <r>
    <n v="720"/>
    <n v="127"/>
    <x v="4"/>
    <x v="198"/>
    <x v="0"/>
    <n v="2"/>
    <x v="0"/>
    <d v="2025-11-21T02:23:00"/>
    <x v="51"/>
    <x v="2"/>
    <n v="5416"/>
    <n v="2"/>
    <n v="10832"/>
    <x v="1"/>
  </r>
  <r>
    <n v="520"/>
    <n v="244"/>
    <x v="4"/>
    <x v="271"/>
    <x v="2"/>
    <n v="3"/>
    <x v="0"/>
    <d v="2025-11-21T02:29:00"/>
    <x v="51"/>
    <x v="2"/>
    <n v="6000"/>
    <n v="4"/>
    <n v="24000"/>
    <x v="1"/>
  </r>
  <r>
    <n v="234"/>
    <n v="179"/>
    <x v="1"/>
    <x v="266"/>
    <x v="6"/>
    <n v="5"/>
    <x v="0"/>
    <d v="2025-11-21T03:49:00"/>
    <x v="51"/>
    <x v="3"/>
    <n v="2952"/>
    <n v="1"/>
    <n v="2952"/>
    <x v="2"/>
  </r>
  <r>
    <n v="477"/>
    <n v="138"/>
    <x v="3"/>
    <x v="91"/>
    <x v="3"/>
    <n v="1"/>
    <x v="0"/>
    <d v="2025-11-21T06:08:00"/>
    <x v="51"/>
    <x v="5"/>
    <n v="7037"/>
    <n v="3"/>
    <n v="21111"/>
    <x v="1"/>
  </r>
  <r>
    <n v="449"/>
    <n v="255"/>
    <x v="8"/>
    <x v="31"/>
    <x v="0"/>
    <n v="2"/>
    <x v="1"/>
    <d v="2025-11-21T06:41:00"/>
    <x v="51"/>
    <x v="5"/>
    <n v="13235"/>
    <n v="0"/>
    <n v="0"/>
    <x v="0"/>
  </r>
  <r>
    <n v="23"/>
    <n v="287"/>
    <x v="1"/>
    <x v="327"/>
    <x v="1"/>
    <n v="6"/>
    <x v="0"/>
    <d v="2025-11-21T08:26:00"/>
    <x v="51"/>
    <x v="7"/>
    <n v="11706"/>
    <n v="1"/>
    <n v="11706"/>
    <x v="0"/>
  </r>
  <r>
    <n v="489"/>
    <n v="76"/>
    <x v="0"/>
    <x v="67"/>
    <x v="3"/>
    <n v="1"/>
    <x v="0"/>
    <d v="2025-11-21T08:49:00"/>
    <x v="51"/>
    <x v="7"/>
    <n v="4759"/>
    <n v="1"/>
    <n v="4759"/>
    <x v="2"/>
  </r>
  <r>
    <n v="737"/>
    <n v="142"/>
    <x v="6"/>
    <x v="385"/>
    <x v="0"/>
    <n v="2"/>
    <x v="0"/>
    <d v="2025-11-21T08:57:00"/>
    <x v="51"/>
    <x v="7"/>
    <n v="5193"/>
    <n v="1"/>
    <n v="5193"/>
    <x v="1"/>
  </r>
  <r>
    <n v="613"/>
    <n v="252"/>
    <x v="0"/>
    <x v="39"/>
    <x v="3"/>
    <n v="1"/>
    <x v="0"/>
    <d v="2025-11-21T09:12:00"/>
    <x v="51"/>
    <x v="8"/>
    <n v="5596"/>
    <n v="3"/>
    <n v="16788"/>
    <x v="1"/>
  </r>
  <r>
    <n v="221"/>
    <n v="232"/>
    <x v="4"/>
    <x v="142"/>
    <x v="0"/>
    <n v="2"/>
    <x v="0"/>
    <d v="2025-11-21T09:36:00"/>
    <x v="51"/>
    <x v="8"/>
    <n v="11218"/>
    <n v="1"/>
    <n v="11218"/>
    <x v="0"/>
  </r>
  <r>
    <n v="239"/>
    <n v="292"/>
    <x v="7"/>
    <x v="83"/>
    <x v="3"/>
    <n v="1"/>
    <x v="1"/>
    <d v="2025-11-21T09:38:00"/>
    <x v="51"/>
    <x v="8"/>
    <n v="3613"/>
    <n v="0"/>
    <n v="0"/>
    <x v="2"/>
  </r>
  <r>
    <n v="698"/>
    <n v="162"/>
    <x v="4"/>
    <x v="223"/>
    <x v="4"/>
    <n v="7"/>
    <x v="0"/>
    <d v="2025-11-21T10:04:00"/>
    <x v="51"/>
    <x v="9"/>
    <n v="5669"/>
    <n v="3"/>
    <n v="17007"/>
    <x v="1"/>
  </r>
  <r>
    <n v="773"/>
    <n v="184"/>
    <x v="0"/>
    <x v="344"/>
    <x v="4"/>
    <n v="7"/>
    <x v="0"/>
    <d v="2025-11-21T11:49:00"/>
    <x v="51"/>
    <x v="10"/>
    <n v="1667"/>
    <n v="2"/>
    <n v="3334"/>
    <x v="2"/>
  </r>
  <r>
    <n v="66"/>
    <n v="272"/>
    <x v="1"/>
    <x v="149"/>
    <x v="0"/>
    <n v="2"/>
    <x v="0"/>
    <d v="2025-11-21T11:54:00"/>
    <x v="51"/>
    <x v="10"/>
    <n v="13485"/>
    <n v="2"/>
    <n v="26970"/>
    <x v="0"/>
  </r>
  <r>
    <n v="200"/>
    <n v="128"/>
    <x v="4"/>
    <x v="380"/>
    <x v="0"/>
    <n v="2"/>
    <x v="0"/>
    <d v="2025-11-21T12:36:00"/>
    <x v="51"/>
    <x v="11"/>
    <n v="10951"/>
    <n v="4"/>
    <n v="43804"/>
    <x v="0"/>
  </r>
  <r>
    <n v="31"/>
    <n v="254"/>
    <x v="4"/>
    <x v="200"/>
    <x v="1"/>
    <n v="6"/>
    <x v="0"/>
    <d v="2025-11-21T13:39:00"/>
    <x v="51"/>
    <x v="21"/>
    <n v="12000"/>
    <n v="1"/>
    <n v="12000"/>
    <x v="0"/>
  </r>
  <r>
    <n v="414"/>
    <n v="294"/>
    <x v="1"/>
    <x v="366"/>
    <x v="0"/>
    <n v="2"/>
    <x v="1"/>
    <d v="2025-11-21T14:56:00"/>
    <x v="51"/>
    <x v="12"/>
    <n v="5926"/>
    <n v="0"/>
    <n v="0"/>
    <x v="1"/>
  </r>
  <r>
    <n v="391"/>
    <n v="243"/>
    <x v="2"/>
    <x v="148"/>
    <x v="3"/>
    <n v="1"/>
    <x v="0"/>
    <d v="2025-11-21T16:21:00"/>
    <x v="51"/>
    <x v="14"/>
    <n v="6892"/>
    <n v="2"/>
    <n v="13784"/>
    <x v="1"/>
  </r>
  <r>
    <n v="319"/>
    <n v="182"/>
    <x v="4"/>
    <x v="196"/>
    <x v="5"/>
    <n v="4"/>
    <x v="0"/>
    <d v="2025-11-21T16:40:00"/>
    <x v="51"/>
    <x v="14"/>
    <n v="308"/>
    <n v="2"/>
    <n v="616"/>
    <x v="3"/>
  </r>
  <r>
    <n v="512"/>
    <n v="47"/>
    <x v="2"/>
    <x v="250"/>
    <x v="3"/>
    <n v="1"/>
    <x v="0"/>
    <d v="2025-11-21T18:21:00"/>
    <x v="51"/>
    <x v="16"/>
    <n v="2615"/>
    <n v="2"/>
    <n v="5230"/>
    <x v="2"/>
  </r>
  <r>
    <n v="233"/>
    <n v="180"/>
    <x v="2"/>
    <x v="185"/>
    <x v="3"/>
    <n v="1"/>
    <x v="0"/>
    <d v="2025-11-21T18:58:00"/>
    <x v="51"/>
    <x v="16"/>
    <n v="2444"/>
    <n v="3"/>
    <n v="7332"/>
    <x v="2"/>
  </r>
  <r>
    <n v="463"/>
    <n v="49"/>
    <x v="1"/>
    <x v="199"/>
    <x v="5"/>
    <n v="4"/>
    <x v="0"/>
    <d v="2025-11-21T19:03:00"/>
    <x v="51"/>
    <x v="22"/>
    <n v="1499"/>
    <n v="2"/>
    <n v="2998"/>
    <x v="2"/>
  </r>
  <r>
    <n v="63"/>
    <n v="286"/>
    <x v="0"/>
    <x v="160"/>
    <x v="3"/>
    <n v="1"/>
    <x v="0"/>
    <d v="2025-11-21T19:20:00"/>
    <x v="51"/>
    <x v="22"/>
    <n v="5222"/>
    <n v="4"/>
    <n v="20888"/>
    <x v="1"/>
  </r>
  <r>
    <n v="173"/>
    <n v="1"/>
    <x v="6"/>
    <x v="385"/>
    <x v="0"/>
    <n v="2"/>
    <x v="0"/>
    <d v="2025-11-21T19:54:00"/>
    <x v="51"/>
    <x v="22"/>
    <n v="5118"/>
    <n v="2"/>
    <n v="10236"/>
    <x v="1"/>
  </r>
  <r>
    <n v="394"/>
    <n v="157"/>
    <x v="0"/>
    <x v="67"/>
    <x v="3"/>
    <n v="1"/>
    <x v="0"/>
    <d v="2025-11-21T20:01:00"/>
    <x v="51"/>
    <x v="17"/>
    <n v="5140"/>
    <n v="1"/>
    <n v="5140"/>
    <x v="1"/>
  </r>
  <r>
    <n v="72"/>
    <n v="89"/>
    <x v="9"/>
    <x v="274"/>
    <x v="2"/>
    <n v="3"/>
    <x v="0"/>
    <d v="2025-11-21T20:28:00"/>
    <x v="51"/>
    <x v="17"/>
    <n v="1816"/>
    <n v="4"/>
    <n v="7264"/>
    <x v="2"/>
  </r>
  <r>
    <n v="187"/>
    <n v="275"/>
    <x v="9"/>
    <x v="287"/>
    <x v="4"/>
    <n v="7"/>
    <x v="1"/>
    <d v="2025-11-21T20:57:00"/>
    <x v="51"/>
    <x v="17"/>
    <n v="3169"/>
    <n v="0"/>
    <n v="0"/>
    <x v="2"/>
  </r>
  <r>
    <n v="615"/>
    <n v="192"/>
    <x v="1"/>
    <x v="16"/>
    <x v="5"/>
    <n v="4"/>
    <x v="1"/>
    <d v="2025-11-21T21:02:00"/>
    <x v="51"/>
    <x v="23"/>
    <n v="473"/>
    <n v="0"/>
    <n v="0"/>
    <x v="3"/>
  </r>
  <r>
    <n v="791"/>
    <n v="91"/>
    <x v="8"/>
    <x v="207"/>
    <x v="0"/>
    <n v="2"/>
    <x v="0"/>
    <d v="2025-11-21T21:24:00"/>
    <x v="51"/>
    <x v="23"/>
    <n v="13294"/>
    <n v="1"/>
    <n v="13294"/>
    <x v="0"/>
  </r>
  <r>
    <n v="638"/>
    <n v="20"/>
    <x v="8"/>
    <x v="214"/>
    <x v="5"/>
    <n v="4"/>
    <x v="0"/>
    <d v="2025-11-21T22:03:00"/>
    <x v="51"/>
    <x v="18"/>
    <n v="965"/>
    <n v="2"/>
    <n v="1930"/>
    <x v="3"/>
  </r>
  <r>
    <n v="111"/>
    <n v="179"/>
    <x v="7"/>
    <x v="73"/>
    <x v="2"/>
    <n v="3"/>
    <x v="0"/>
    <d v="2025-11-21T22:22:00"/>
    <x v="51"/>
    <x v="18"/>
    <n v="5764"/>
    <n v="2"/>
    <n v="11528"/>
    <x v="1"/>
  </r>
  <r>
    <n v="172"/>
    <n v="52"/>
    <x v="9"/>
    <x v="121"/>
    <x v="4"/>
    <n v="7"/>
    <x v="0"/>
    <d v="2025-11-21T22:22:00"/>
    <x v="51"/>
    <x v="18"/>
    <n v="6987"/>
    <n v="1"/>
    <n v="6987"/>
    <x v="1"/>
  </r>
  <r>
    <n v="628"/>
    <n v="173"/>
    <x v="9"/>
    <x v="202"/>
    <x v="1"/>
    <n v="6"/>
    <x v="0"/>
    <d v="2025-11-21T22:22:00"/>
    <x v="51"/>
    <x v="18"/>
    <n v="10051"/>
    <n v="1"/>
    <n v="10051"/>
    <x v="0"/>
  </r>
  <r>
    <n v="459"/>
    <n v="60"/>
    <x v="3"/>
    <x v="68"/>
    <x v="2"/>
    <n v="3"/>
    <x v="0"/>
    <d v="2025-11-21T22:34:00"/>
    <x v="51"/>
    <x v="18"/>
    <n v="5361"/>
    <n v="3"/>
    <n v="16083"/>
    <x v="1"/>
  </r>
  <r>
    <n v="253"/>
    <n v="188"/>
    <x v="1"/>
    <x v="199"/>
    <x v="5"/>
    <n v="4"/>
    <x v="0"/>
    <d v="2025-11-21T23:43:00"/>
    <x v="51"/>
    <x v="19"/>
    <n v="1500"/>
    <n v="4"/>
    <n v="6000"/>
    <x v="2"/>
  </r>
  <r>
    <n v="414"/>
    <n v="22"/>
    <x v="8"/>
    <x v="41"/>
    <x v="0"/>
    <n v="2"/>
    <x v="0"/>
    <d v="2025-11-21T23:50:00"/>
    <x v="51"/>
    <x v="19"/>
    <n v="6238"/>
    <n v="3"/>
    <n v="18714"/>
    <x v="1"/>
  </r>
  <r>
    <n v="725"/>
    <n v="51"/>
    <x v="8"/>
    <x v="364"/>
    <x v="4"/>
    <n v="7"/>
    <x v="0"/>
    <d v="2025-11-22T00:17:00"/>
    <x v="52"/>
    <x v="0"/>
    <n v="4265"/>
    <n v="1"/>
    <n v="4265"/>
    <x v="2"/>
  </r>
  <r>
    <n v="671"/>
    <n v="165"/>
    <x v="1"/>
    <x v="194"/>
    <x v="3"/>
    <n v="1"/>
    <x v="0"/>
    <d v="2025-11-22T00:23:00"/>
    <x v="52"/>
    <x v="0"/>
    <n v="8000"/>
    <n v="1"/>
    <n v="8000"/>
    <x v="1"/>
  </r>
  <r>
    <n v="535"/>
    <n v="202"/>
    <x v="9"/>
    <x v="100"/>
    <x v="5"/>
    <n v="4"/>
    <x v="0"/>
    <d v="2025-11-22T00:33:00"/>
    <x v="52"/>
    <x v="0"/>
    <n v="1217"/>
    <n v="1"/>
    <n v="1217"/>
    <x v="2"/>
  </r>
  <r>
    <n v="329"/>
    <n v="70"/>
    <x v="5"/>
    <x v="313"/>
    <x v="6"/>
    <n v="5"/>
    <x v="0"/>
    <d v="2025-11-22T01:23:00"/>
    <x v="52"/>
    <x v="1"/>
    <n v="3979"/>
    <n v="2"/>
    <n v="7958"/>
    <x v="2"/>
  </r>
  <r>
    <n v="642"/>
    <n v="219"/>
    <x v="5"/>
    <x v="78"/>
    <x v="5"/>
    <n v="4"/>
    <x v="1"/>
    <d v="2025-11-22T01:58:00"/>
    <x v="52"/>
    <x v="1"/>
    <n v="1157"/>
    <n v="0"/>
    <n v="0"/>
    <x v="2"/>
  </r>
  <r>
    <n v="503"/>
    <n v="13"/>
    <x v="2"/>
    <x v="45"/>
    <x v="3"/>
    <n v="1"/>
    <x v="0"/>
    <d v="2025-11-22T02:01:00"/>
    <x v="52"/>
    <x v="2"/>
    <n v="4333"/>
    <n v="3"/>
    <n v="12999"/>
    <x v="2"/>
  </r>
  <r>
    <n v="496"/>
    <n v="200"/>
    <x v="6"/>
    <x v="145"/>
    <x v="0"/>
    <n v="2"/>
    <x v="0"/>
    <d v="2025-11-22T02:15:00"/>
    <x v="52"/>
    <x v="2"/>
    <n v="11901"/>
    <n v="2"/>
    <n v="23802"/>
    <x v="0"/>
  </r>
  <r>
    <n v="716"/>
    <n v="29"/>
    <x v="7"/>
    <x v="117"/>
    <x v="3"/>
    <n v="1"/>
    <x v="0"/>
    <d v="2025-11-22T02:16:00"/>
    <x v="52"/>
    <x v="2"/>
    <n v="3559"/>
    <n v="1"/>
    <n v="3559"/>
    <x v="2"/>
  </r>
  <r>
    <n v="315"/>
    <n v="293"/>
    <x v="5"/>
    <x v="109"/>
    <x v="0"/>
    <n v="2"/>
    <x v="0"/>
    <d v="2025-11-22T02:34:00"/>
    <x v="52"/>
    <x v="2"/>
    <n v="12464"/>
    <n v="1"/>
    <n v="12464"/>
    <x v="0"/>
  </r>
  <r>
    <n v="50"/>
    <n v="274"/>
    <x v="6"/>
    <x v="203"/>
    <x v="3"/>
    <n v="1"/>
    <x v="1"/>
    <d v="2025-11-22T03:02:00"/>
    <x v="52"/>
    <x v="3"/>
    <n v="5334"/>
    <n v="0"/>
    <n v="0"/>
    <x v="1"/>
  </r>
  <r>
    <n v="193"/>
    <n v="181"/>
    <x v="7"/>
    <x v="54"/>
    <x v="3"/>
    <n v="1"/>
    <x v="0"/>
    <d v="2025-11-22T03:06:00"/>
    <x v="52"/>
    <x v="3"/>
    <n v="1053"/>
    <n v="1"/>
    <n v="1053"/>
    <x v="2"/>
  </r>
  <r>
    <n v="521"/>
    <n v="269"/>
    <x v="2"/>
    <x v="332"/>
    <x v="4"/>
    <n v="7"/>
    <x v="0"/>
    <d v="2025-11-22T03:15:00"/>
    <x v="52"/>
    <x v="3"/>
    <n v="5731"/>
    <n v="2"/>
    <n v="11462"/>
    <x v="1"/>
  </r>
  <r>
    <n v="716"/>
    <n v="23"/>
    <x v="6"/>
    <x v="369"/>
    <x v="1"/>
    <n v="6"/>
    <x v="0"/>
    <d v="2025-11-22T03:28:00"/>
    <x v="52"/>
    <x v="3"/>
    <n v="4981"/>
    <n v="1"/>
    <n v="4981"/>
    <x v="2"/>
  </r>
  <r>
    <n v="227"/>
    <n v="164"/>
    <x v="8"/>
    <x v="47"/>
    <x v="5"/>
    <n v="4"/>
    <x v="0"/>
    <d v="2025-11-22T04:35:00"/>
    <x v="52"/>
    <x v="4"/>
    <n v="339"/>
    <n v="4"/>
    <n v="1356"/>
    <x v="3"/>
  </r>
  <r>
    <n v="212"/>
    <n v="293"/>
    <x v="5"/>
    <x v="297"/>
    <x v="2"/>
    <n v="3"/>
    <x v="0"/>
    <d v="2025-11-22T06:47:00"/>
    <x v="52"/>
    <x v="5"/>
    <n v="2262"/>
    <n v="2"/>
    <n v="4524"/>
    <x v="2"/>
  </r>
  <r>
    <n v="706"/>
    <n v="60"/>
    <x v="2"/>
    <x v="291"/>
    <x v="1"/>
    <n v="6"/>
    <x v="0"/>
    <d v="2025-11-22T06:49:00"/>
    <x v="52"/>
    <x v="5"/>
    <n v="2078"/>
    <n v="2"/>
    <n v="4156"/>
    <x v="2"/>
  </r>
  <r>
    <n v="339"/>
    <n v="91"/>
    <x v="5"/>
    <x v="222"/>
    <x v="0"/>
    <n v="2"/>
    <x v="1"/>
    <d v="2025-11-22T07:27:00"/>
    <x v="52"/>
    <x v="6"/>
    <n v="8560"/>
    <n v="0"/>
    <n v="0"/>
    <x v="1"/>
  </r>
  <r>
    <n v="46"/>
    <n v="80"/>
    <x v="6"/>
    <x v="317"/>
    <x v="3"/>
    <n v="1"/>
    <x v="0"/>
    <d v="2025-11-22T07:39:00"/>
    <x v="52"/>
    <x v="6"/>
    <n v="4110"/>
    <n v="1"/>
    <n v="4110"/>
    <x v="2"/>
  </r>
  <r>
    <n v="685"/>
    <n v="133"/>
    <x v="5"/>
    <x v="34"/>
    <x v="0"/>
    <n v="2"/>
    <x v="0"/>
    <d v="2025-11-22T07:52:00"/>
    <x v="52"/>
    <x v="6"/>
    <n v="6427"/>
    <n v="1"/>
    <n v="6427"/>
    <x v="1"/>
  </r>
  <r>
    <n v="642"/>
    <n v="159"/>
    <x v="9"/>
    <x v="260"/>
    <x v="1"/>
    <n v="6"/>
    <x v="0"/>
    <d v="2025-11-22T08:29:00"/>
    <x v="52"/>
    <x v="7"/>
    <n v="9075"/>
    <n v="1"/>
    <n v="9075"/>
    <x v="1"/>
  </r>
  <r>
    <n v="707"/>
    <n v="6"/>
    <x v="7"/>
    <x v="236"/>
    <x v="5"/>
    <n v="4"/>
    <x v="0"/>
    <d v="2025-11-22T09:36:00"/>
    <x v="52"/>
    <x v="8"/>
    <n v="603"/>
    <n v="1"/>
    <n v="603"/>
    <x v="3"/>
  </r>
  <r>
    <n v="195"/>
    <n v="250"/>
    <x v="2"/>
    <x v="104"/>
    <x v="5"/>
    <n v="4"/>
    <x v="0"/>
    <d v="2025-11-22T10:56:00"/>
    <x v="52"/>
    <x v="9"/>
    <n v="912"/>
    <n v="3"/>
    <n v="2736"/>
    <x v="3"/>
  </r>
  <r>
    <n v="710"/>
    <n v="203"/>
    <x v="0"/>
    <x v="344"/>
    <x v="4"/>
    <n v="7"/>
    <x v="0"/>
    <d v="2025-11-22T11:18:00"/>
    <x v="52"/>
    <x v="10"/>
    <n v="3683"/>
    <n v="2"/>
    <n v="7366"/>
    <x v="2"/>
  </r>
  <r>
    <n v="679"/>
    <n v="115"/>
    <x v="8"/>
    <x v="166"/>
    <x v="3"/>
    <n v="1"/>
    <x v="0"/>
    <d v="2025-11-22T11:30:00"/>
    <x v="52"/>
    <x v="10"/>
    <n v="1498"/>
    <n v="3"/>
    <n v="4494"/>
    <x v="2"/>
  </r>
  <r>
    <n v="163"/>
    <n v="251"/>
    <x v="1"/>
    <x v="60"/>
    <x v="3"/>
    <n v="1"/>
    <x v="0"/>
    <d v="2025-11-22T12:11:00"/>
    <x v="52"/>
    <x v="11"/>
    <n v="1703"/>
    <n v="3"/>
    <n v="5109"/>
    <x v="2"/>
  </r>
  <r>
    <n v="172"/>
    <n v="132"/>
    <x v="3"/>
    <x v="56"/>
    <x v="5"/>
    <n v="4"/>
    <x v="0"/>
    <d v="2025-11-22T12:19:00"/>
    <x v="52"/>
    <x v="11"/>
    <n v="79"/>
    <n v="2"/>
    <n v="158"/>
    <x v="3"/>
  </r>
  <r>
    <n v="292"/>
    <n v="292"/>
    <x v="3"/>
    <x v="354"/>
    <x v="0"/>
    <n v="2"/>
    <x v="0"/>
    <d v="2025-11-22T12:41:00"/>
    <x v="52"/>
    <x v="11"/>
    <n v="10469"/>
    <n v="2"/>
    <n v="20938"/>
    <x v="0"/>
  </r>
  <r>
    <n v="207"/>
    <n v="45"/>
    <x v="1"/>
    <x v="178"/>
    <x v="4"/>
    <n v="7"/>
    <x v="0"/>
    <d v="2025-11-22T12:53:00"/>
    <x v="52"/>
    <x v="11"/>
    <n v="3497"/>
    <n v="3"/>
    <n v="10491"/>
    <x v="2"/>
  </r>
  <r>
    <n v="531"/>
    <n v="19"/>
    <x v="5"/>
    <x v="285"/>
    <x v="1"/>
    <n v="6"/>
    <x v="0"/>
    <d v="2025-11-22T13:21:00"/>
    <x v="52"/>
    <x v="21"/>
    <n v="11143"/>
    <n v="1"/>
    <n v="11143"/>
    <x v="0"/>
  </r>
  <r>
    <n v="235"/>
    <n v="20"/>
    <x v="1"/>
    <x v="9"/>
    <x v="5"/>
    <n v="4"/>
    <x v="1"/>
    <d v="2025-11-22T13:28:00"/>
    <x v="52"/>
    <x v="21"/>
    <n v="1055"/>
    <n v="0"/>
    <n v="0"/>
    <x v="2"/>
  </r>
  <r>
    <n v="70"/>
    <n v="124"/>
    <x v="1"/>
    <x v="1"/>
    <x v="1"/>
    <n v="6"/>
    <x v="0"/>
    <d v="2025-11-22T13:34:00"/>
    <x v="52"/>
    <x v="21"/>
    <n v="8252"/>
    <n v="2"/>
    <n v="16504"/>
    <x v="1"/>
  </r>
  <r>
    <n v="757"/>
    <n v="74"/>
    <x v="6"/>
    <x v="224"/>
    <x v="4"/>
    <n v="7"/>
    <x v="0"/>
    <d v="2025-11-22T14:40:00"/>
    <x v="52"/>
    <x v="12"/>
    <n v="5186"/>
    <n v="3"/>
    <n v="15558"/>
    <x v="1"/>
  </r>
  <r>
    <n v="516"/>
    <n v="97"/>
    <x v="0"/>
    <x v="0"/>
    <x v="0"/>
    <n v="2"/>
    <x v="1"/>
    <d v="2025-11-22T14:43:00"/>
    <x v="52"/>
    <x v="12"/>
    <n v="11347"/>
    <n v="0"/>
    <n v="0"/>
    <x v="0"/>
  </r>
  <r>
    <n v="583"/>
    <n v="8"/>
    <x v="6"/>
    <x v="40"/>
    <x v="5"/>
    <n v="4"/>
    <x v="1"/>
    <d v="2025-11-22T15:02:00"/>
    <x v="52"/>
    <x v="13"/>
    <n v="651"/>
    <n v="0"/>
    <n v="0"/>
    <x v="3"/>
  </r>
  <r>
    <n v="359"/>
    <n v="237"/>
    <x v="7"/>
    <x v="337"/>
    <x v="3"/>
    <n v="1"/>
    <x v="0"/>
    <d v="2025-11-22T15:08:00"/>
    <x v="52"/>
    <x v="13"/>
    <n v="2225"/>
    <n v="4"/>
    <n v="8900"/>
    <x v="2"/>
  </r>
  <r>
    <n v="390"/>
    <n v="79"/>
    <x v="0"/>
    <x v="154"/>
    <x v="3"/>
    <n v="1"/>
    <x v="0"/>
    <d v="2025-11-22T15:09:00"/>
    <x v="52"/>
    <x v="13"/>
    <n v="2772"/>
    <n v="1"/>
    <n v="2772"/>
    <x v="2"/>
  </r>
  <r>
    <n v="189"/>
    <n v="100"/>
    <x v="1"/>
    <x v="157"/>
    <x v="4"/>
    <n v="7"/>
    <x v="0"/>
    <d v="2025-11-22T15:10:00"/>
    <x v="52"/>
    <x v="13"/>
    <n v="3948"/>
    <n v="2"/>
    <n v="7896"/>
    <x v="2"/>
  </r>
  <r>
    <n v="452"/>
    <n v="36"/>
    <x v="8"/>
    <x v="214"/>
    <x v="5"/>
    <n v="4"/>
    <x v="0"/>
    <d v="2025-11-22T15:15:00"/>
    <x v="52"/>
    <x v="13"/>
    <n v="873"/>
    <n v="1"/>
    <n v="873"/>
    <x v="3"/>
  </r>
  <r>
    <n v="571"/>
    <n v="83"/>
    <x v="3"/>
    <x v="354"/>
    <x v="0"/>
    <n v="2"/>
    <x v="0"/>
    <d v="2025-11-22T16:09:00"/>
    <x v="52"/>
    <x v="14"/>
    <n v="8134"/>
    <n v="2"/>
    <n v="16268"/>
    <x v="1"/>
  </r>
  <r>
    <n v="115"/>
    <n v="34"/>
    <x v="6"/>
    <x v="40"/>
    <x v="5"/>
    <n v="4"/>
    <x v="1"/>
    <d v="2025-11-22T16:18:00"/>
    <x v="52"/>
    <x v="14"/>
    <n v="423"/>
    <n v="0"/>
    <n v="0"/>
    <x v="3"/>
  </r>
  <r>
    <n v="634"/>
    <n v="87"/>
    <x v="3"/>
    <x v="365"/>
    <x v="6"/>
    <n v="5"/>
    <x v="1"/>
    <d v="2025-11-22T17:37:00"/>
    <x v="52"/>
    <x v="15"/>
    <n v="2544"/>
    <n v="0"/>
    <n v="0"/>
    <x v="2"/>
  </r>
  <r>
    <n v="147"/>
    <n v="54"/>
    <x v="6"/>
    <x v="296"/>
    <x v="4"/>
    <n v="7"/>
    <x v="0"/>
    <d v="2025-11-22T18:00:00"/>
    <x v="52"/>
    <x v="16"/>
    <n v="7395"/>
    <n v="2"/>
    <n v="14790"/>
    <x v="1"/>
  </r>
  <r>
    <n v="577"/>
    <n v="30"/>
    <x v="2"/>
    <x v="2"/>
    <x v="2"/>
    <n v="3"/>
    <x v="0"/>
    <d v="2025-11-22T18:15:00"/>
    <x v="52"/>
    <x v="16"/>
    <n v="3217"/>
    <n v="3"/>
    <n v="9651"/>
    <x v="2"/>
  </r>
  <r>
    <n v="230"/>
    <n v="19"/>
    <x v="9"/>
    <x v="286"/>
    <x v="0"/>
    <n v="2"/>
    <x v="1"/>
    <d v="2025-11-22T18:38:00"/>
    <x v="52"/>
    <x v="16"/>
    <n v="10542"/>
    <n v="0"/>
    <n v="0"/>
    <x v="0"/>
  </r>
  <r>
    <n v="586"/>
    <n v="198"/>
    <x v="0"/>
    <x v="227"/>
    <x v="2"/>
    <n v="3"/>
    <x v="0"/>
    <d v="2025-11-22T18:58:00"/>
    <x v="52"/>
    <x v="16"/>
    <n v="5806"/>
    <n v="3"/>
    <n v="17418"/>
    <x v="1"/>
  </r>
  <r>
    <n v="461"/>
    <n v="122"/>
    <x v="9"/>
    <x v="182"/>
    <x v="5"/>
    <n v="4"/>
    <x v="0"/>
    <d v="2025-11-22T19:35:00"/>
    <x v="52"/>
    <x v="22"/>
    <n v="779"/>
    <n v="3"/>
    <n v="2337"/>
    <x v="3"/>
  </r>
  <r>
    <n v="354"/>
    <n v="233"/>
    <x v="9"/>
    <x v="231"/>
    <x v="3"/>
    <n v="1"/>
    <x v="1"/>
    <d v="2025-11-22T19:44:00"/>
    <x v="52"/>
    <x v="22"/>
    <n v="6645"/>
    <n v="0"/>
    <n v="0"/>
    <x v="1"/>
  </r>
  <r>
    <n v="369"/>
    <n v="115"/>
    <x v="8"/>
    <x v="272"/>
    <x v="3"/>
    <n v="1"/>
    <x v="1"/>
    <d v="2025-11-22T19:56:00"/>
    <x v="52"/>
    <x v="22"/>
    <n v="4803"/>
    <n v="0"/>
    <n v="0"/>
    <x v="2"/>
  </r>
  <r>
    <n v="264"/>
    <n v="83"/>
    <x v="4"/>
    <x v="142"/>
    <x v="0"/>
    <n v="2"/>
    <x v="0"/>
    <d v="2025-11-22T20:55:00"/>
    <x v="52"/>
    <x v="17"/>
    <n v="6311"/>
    <n v="2"/>
    <n v="12622"/>
    <x v="1"/>
  </r>
  <r>
    <n v="308"/>
    <n v="74"/>
    <x v="0"/>
    <x v="322"/>
    <x v="5"/>
    <n v="4"/>
    <x v="0"/>
    <d v="2025-11-22T22:13:00"/>
    <x v="52"/>
    <x v="18"/>
    <n v="981"/>
    <n v="3"/>
    <n v="2943"/>
    <x v="3"/>
  </r>
  <r>
    <n v="233"/>
    <n v="206"/>
    <x v="2"/>
    <x v="162"/>
    <x v="6"/>
    <n v="5"/>
    <x v="0"/>
    <d v="2025-11-22T23:12:00"/>
    <x v="52"/>
    <x v="19"/>
    <n v="1009"/>
    <n v="2"/>
    <n v="2018"/>
    <x v="2"/>
  </r>
  <r>
    <n v="416"/>
    <n v="216"/>
    <x v="6"/>
    <x v="279"/>
    <x v="4"/>
    <n v="7"/>
    <x v="0"/>
    <d v="2025-11-22T23:26:00"/>
    <x v="52"/>
    <x v="19"/>
    <n v="2644"/>
    <n v="1"/>
    <n v="2644"/>
    <x v="2"/>
  </r>
  <r>
    <n v="398"/>
    <n v="238"/>
    <x v="8"/>
    <x v="134"/>
    <x v="0"/>
    <n v="2"/>
    <x v="0"/>
    <d v="2025-11-23T00:06:00"/>
    <x v="53"/>
    <x v="0"/>
    <n v="10879"/>
    <n v="1"/>
    <n v="10879"/>
    <x v="0"/>
  </r>
  <r>
    <n v="409"/>
    <n v="69"/>
    <x v="6"/>
    <x v="76"/>
    <x v="0"/>
    <n v="2"/>
    <x v="0"/>
    <d v="2025-11-23T00:24:00"/>
    <x v="53"/>
    <x v="0"/>
    <n v="9928"/>
    <n v="2"/>
    <n v="19856"/>
    <x v="1"/>
  </r>
  <r>
    <n v="223"/>
    <n v="98"/>
    <x v="5"/>
    <x v="246"/>
    <x v="3"/>
    <n v="1"/>
    <x v="0"/>
    <d v="2025-11-23T00:42:00"/>
    <x v="53"/>
    <x v="0"/>
    <n v="6996"/>
    <n v="1"/>
    <n v="6996"/>
    <x v="1"/>
  </r>
  <r>
    <n v="475"/>
    <n v="281"/>
    <x v="9"/>
    <x v="75"/>
    <x v="0"/>
    <n v="2"/>
    <x v="0"/>
    <d v="2025-11-23T00:48:00"/>
    <x v="53"/>
    <x v="0"/>
    <n v="13211"/>
    <n v="4"/>
    <n v="52844"/>
    <x v="0"/>
  </r>
  <r>
    <n v="403"/>
    <n v="73"/>
    <x v="7"/>
    <x v="209"/>
    <x v="0"/>
    <n v="2"/>
    <x v="0"/>
    <d v="2025-11-23T01:12:00"/>
    <x v="53"/>
    <x v="1"/>
    <n v="10679"/>
    <n v="2"/>
    <n v="21358"/>
    <x v="0"/>
  </r>
  <r>
    <n v="308"/>
    <n v="212"/>
    <x v="3"/>
    <x v="84"/>
    <x v="5"/>
    <n v="4"/>
    <x v="0"/>
    <d v="2025-11-23T01:17:00"/>
    <x v="53"/>
    <x v="1"/>
    <n v="868"/>
    <n v="1"/>
    <n v="868"/>
    <x v="3"/>
  </r>
  <r>
    <n v="565"/>
    <n v="81"/>
    <x v="5"/>
    <x v="195"/>
    <x v="4"/>
    <n v="7"/>
    <x v="0"/>
    <d v="2025-11-23T01:28:00"/>
    <x v="53"/>
    <x v="1"/>
    <n v="1818"/>
    <n v="4"/>
    <n v="7272"/>
    <x v="2"/>
  </r>
  <r>
    <n v="185"/>
    <n v="227"/>
    <x v="3"/>
    <x v="324"/>
    <x v="4"/>
    <n v="7"/>
    <x v="0"/>
    <d v="2025-11-23T02:19:00"/>
    <x v="53"/>
    <x v="2"/>
    <n v="6899"/>
    <n v="3"/>
    <n v="20697"/>
    <x v="1"/>
  </r>
  <r>
    <n v="582"/>
    <n v="89"/>
    <x v="5"/>
    <x v="244"/>
    <x v="1"/>
    <n v="6"/>
    <x v="1"/>
    <d v="2025-11-23T02:25:00"/>
    <x v="53"/>
    <x v="2"/>
    <n v="2545"/>
    <n v="0"/>
    <n v="0"/>
    <x v="2"/>
  </r>
  <r>
    <n v="657"/>
    <n v="206"/>
    <x v="9"/>
    <x v="349"/>
    <x v="2"/>
    <n v="3"/>
    <x v="0"/>
    <d v="2025-11-23T02:27:00"/>
    <x v="53"/>
    <x v="2"/>
    <n v="3920"/>
    <n v="3"/>
    <n v="11760"/>
    <x v="2"/>
  </r>
  <r>
    <n v="422"/>
    <n v="163"/>
    <x v="5"/>
    <x v="246"/>
    <x v="3"/>
    <n v="1"/>
    <x v="0"/>
    <d v="2025-11-23T02:29:00"/>
    <x v="53"/>
    <x v="2"/>
    <n v="5910"/>
    <n v="1"/>
    <n v="5910"/>
    <x v="1"/>
  </r>
  <r>
    <n v="324"/>
    <n v="272"/>
    <x v="4"/>
    <x v="216"/>
    <x v="6"/>
    <n v="5"/>
    <x v="0"/>
    <d v="2025-11-23T03:44:00"/>
    <x v="53"/>
    <x v="3"/>
    <n v="2644"/>
    <n v="3"/>
    <n v="7932"/>
    <x v="2"/>
  </r>
  <r>
    <n v="100"/>
    <n v="34"/>
    <x v="0"/>
    <x v="39"/>
    <x v="3"/>
    <n v="1"/>
    <x v="0"/>
    <d v="2025-11-23T04:03:00"/>
    <x v="53"/>
    <x v="4"/>
    <n v="7144"/>
    <n v="1"/>
    <n v="7144"/>
    <x v="1"/>
  </r>
  <r>
    <n v="340"/>
    <n v="47"/>
    <x v="0"/>
    <x v="347"/>
    <x v="0"/>
    <n v="2"/>
    <x v="1"/>
    <d v="2025-11-23T04:16:00"/>
    <x v="53"/>
    <x v="4"/>
    <n v="5214"/>
    <n v="0"/>
    <n v="0"/>
    <x v="1"/>
  </r>
  <r>
    <n v="155"/>
    <n v="110"/>
    <x v="5"/>
    <x v="339"/>
    <x v="1"/>
    <n v="6"/>
    <x v="1"/>
    <d v="2025-11-23T05:01:00"/>
    <x v="53"/>
    <x v="20"/>
    <n v="7115"/>
    <n v="0"/>
    <n v="0"/>
    <x v="1"/>
  </r>
  <r>
    <n v="324"/>
    <n v="299"/>
    <x v="6"/>
    <x v="302"/>
    <x v="4"/>
    <n v="7"/>
    <x v="0"/>
    <d v="2025-11-23T05:48:00"/>
    <x v="53"/>
    <x v="20"/>
    <n v="3852"/>
    <n v="1"/>
    <n v="3852"/>
    <x v="2"/>
  </r>
  <r>
    <n v="721"/>
    <n v="90"/>
    <x v="8"/>
    <x v="103"/>
    <x v="3"/>
    <n v="1"/>
    <x v="0"/>
    <d v="2025-11-23T05:59:00"/>
    <x v="53"/>
    <x v="20"/>
    <n v="7813"/>
    <n v="2"/>
    <n v="15626"/>
    <x v="1"/>
  </r>
  <r>
    <n v="164"/>
    <n v="78"/>
    <x v="1"/>
    <x v="149"/>
    <x v="0"/>
    <n v="2"/>
    <x v="0"/>
    <d v="2025-11-23T06:31:00"/>
    <x v="53"/>
    <x v="5"/>
    <n v="8702"/>
    <n v="3"/>
    <n v="26106"/>
    <x v="1"/>
  </r>
  <r>
    <n v="634"/>
    <n v="210"/>
    <x v="1"/>
    <x v="220"/>
    <x v="4"/>
    <n v="7"/>
    <x v="0"/>
    <d v="2025-11-23T07:10:00"/>
    <x v="53"/>
    <x v="6"/>
    <n v="2849"/>
    <n v="4"/>
    <n v="11396"/>
    <x v="2"/>
  </r>
  <r>
    <n v="481"/>
    <n v="144"/>
    <x v="3"/>
    <x v="305"/>
    <x v="3"/>
    <n v="1"/>
    <x v="0"/>
    <d v="2025-11-23T07:38:00"/>
    <x v="53"/>
    <x v="6"/>
    <n v="2383"/>
    <n v="2"/>
    <n v="4766"/>
    <x v="2"/>
  </r>
  <r>
    <n v="151"/>
    <n v="228"/>
    <x v="1"/>
    <x v="268"/>
    <x v="4"/>
    <n v="7"/>
    <x v="0"/>
    <d v="2025-11-23T07:42:00"/>
    <x v="53"/>
    <x v="6"/>
    <n v="7079"/>
    <n v="2"/>
    <n v="14158"/>
    <x v="1"/>
  </r>
  <r>
    <n v="391"/>
    <n v="243"/>
    <x v="0"/>
    <x v="353"/>
    <x v="1"/>
    <n v="6"/>
    <x v="1"/>
    <d v="2025-11-23T08:37:00"/>
    <x v="53"/>
    <x v="7"/>
    <n v="3776"/>
    <n v="0"/>
    <n v="0"/>
    <x v="2"/>
  </r>
  <r>
    <n v="601"/>
    <n v="186"/>
    <x v="4"/>
    <x v="271"/>
    <x v="2"/>
    <n v="3"/>
    <x v="0"/>
    <d v="2025-11-23T08:58:00"/>
    <x v="53"/>
    <x v="7"/>
    <n v="4651"/>
    <n v="3"/>
    <n v="13953"/>
    <x v="2"/>
  </r>
  <r>
    <n v="459"/>
    <n v="11"/>
    <x v="9"/>
    <x v="202"/>
    <x v="1"/>
    <n v="6"/>
    <x v="1"/>
    <d v="2025-11-23T09:07:00"/>
    <x v="53"/>
    <x v="8"/>
    <n v="9323"/>
    <n v="0"/>
    <n v="0"/>
    <x v="1"/>
  </r>
  <r>
    <n v="348"/>
    <n v="44"/>
    <x v="9"/>
    <x v="113"/>
    <x v="5"/>
    <n v="4"/>
    <x v="0"/>
    <d v="2025-11-23T09:21:00"/>
    <x v="53"/>
    <x v="8"/>
    <n v="1200"/>
    <n v="1"/>
    <n v="1200"/>
    <x v="2"/>
  </r>
  <r>
    <n v="640"/>
    <n v="154"/>
    <x v="4"/>
    <x v="153"/>
    <x v="5"/>
    <n v="4"/>
    <x v="0"/>
    <d v="2025-11-23T09:22:00"/>
    <x v="53"/>
    <x v="8"/>
    <n v="642"/>
    <n v="2"/>
    <n v="1284"/>
    <x v="3"/>
  </r>
  <r>
    <n v="202"/>
    <n v="165"/>
    <x v="1"/>
    <x v="356"/>
    <x v="0"/>
    <n v="2"/>
    <x v="0"/>
    <d v="2025-11-23T09:26:00"/>
    <x v="53"/>
    <x v="8"/>
    <n v="10325"/>
    <n v="3"/>
    <n v="30975"/>
    <x v="0"/>
  </r>
  <r>
    <n v="618"/>
    <n v="254"/>
    <x v="1"/>
    <x v="24"/>
    <x v="0"/>
    <n v="2"/>
    <x v="0"/>
    <d v="2025-11-23T10:04:00"/>
    <x v="53"/>
    <x v="9"/>
    <n v="8953"/>
    <n v="4"/>
    <n v="35812"/>
    <x v="1"/>
  </r>
  <r>
    <n v="174"/>
    <n v="187"/>
    <x v="9"/>
    <x v="182"/>
    <x v="5"/>
    <n v="4"/>
    <x v="0"/>
    <d v="2025-11-23T10:04:00"/>
    <x v="53"/>
    <x v="9"/>
    <n v="200"/>
    <n v="5"/>
    <n v="1000"/>
    <x v="3"/>
  </r>
  <r>
    <n v="533"/>
    <n v="13"/>
    <x v="3"/>
    <x v="56"/>
    <x v="5"/>
    <n v="4"/>
    <x v="0"/>
    <d v="2025-11-23T10:19:00"/>
    <x v="53"/>
    <x v="9"/>
    <n v="465"/>
    <n v="2"/>
    <n v="930"/>
    <x v="3"/>
  </r>
  <r>
    <n v="665"/>
    <n v="123"/>
    <x v="4"/>
    <x v="150"/>
    <x v="1"/>
    <n v="6"/>
    <x v="1"/>
    <d v="2025-11-23T10:38:00"/>
    <x v="53"/>
    <x v="9"/>
    <n v="9984"/>
    <n v="0"/>
    <n v="0"/>
    <x v="1"/>
  </r>
  <r>
    <n v="346"/>
    <n v="21"/>
    <x v="8"/>
    <x v="17"/>
    <x v="2"/>
    <n v="3"/>
    <x v="0"/>
    <d v="2025-11-23T10:40:00"/>
    <x v="53"/>
    <x v="9"/>
    <n v="3945"/>
    <n v="1"/>
    <n v="3945"/>
    <x v="2"/>
  </r>
  <r>
    <n v="341"/>
    <n v="283"/>
    <x v="8"/>
    <x v="214"/>
    <x v="5"/>
    <n v="4"/>
    <x v="0"/>
    <d v="2025-11-23T12:16:00"/>
    <x v="53"/>
    <x v="11"/>
    <n v="791"/>
    <n v="4"/>
    <n v="3164"/>
    <x v="3"/>
  </r>
  <r>
    <n v="753"/>
    <n v="294"/>
    <x v="9"/>
    <x v="51"/>
    <x v="3"/>
    <n v="1"/>
    <x v="1"/>
    <d v="2025-11-23T12:22:00"/>
    <x v="53"/>
    <x v="11"/>
    <n v="1123"/>
    <n v="0"/>
    <n v="0"/>
    <x v="2"/>
  </r>
  <r>
    <n v="482"/>
    <n v="195"/>
    <x v="2"/>
    <x v="32"/>
    <x v="5"/>
    <n v="4"/>
    <x v="1"/>
    <d v="2025-11-23T12:32:00"/>
    <x v="53"/>
    <x v="11"/>
    <n v="50"/>
    <n v="0"/>
    <n v="0"/>
    <x v="3"/>
  </r>
  <r>
    <n v="344"/>
    <n v="188"/>
    <x v="7"/>
    <x v="236"/>
    <x v="5"/>
    <n v="4"/>
    <x v="0"/>
    <d v="2025-11-23T12:42:00"/>
    <x v="53"/>
    <x v="11"/>
    <n v="663"/>
    <n v="1"/>
    <n v="663"/>
    <x v="3"/>
  </r>
  <r>
    <n v="136"/>
    <n v="178"/>
    <x v="2"/>
    <x v="104"/>
    <x v="5"/>
    <n v="4"/>
    <x v="0"/>
    <d v="2025-11-23T12:49:00"/>
    <x v="53"/>
    <x v="11"/>
    <n v="1116"/>
    <n v="3"/>
    <n v="3348"/>
    <x v="2"/>
  </r>
  <r>
    <n v="501"/>
    <n v="145"/>
    <x v="3"/>
    <x v="14"/>
    <x v="4"/>
    <n v="7"/>
    <x v="1"/>
    <d v="2025-11-23T12:49:00"/>
    <x v="53"/>
    <x v="11"/>
    <n v="7324"/>
    <n v="0"/>
    <n v="0"/>
    <x v="1"/>
  </r>
  <r>
    <n v="87"/>
    <n v="164"/>
    <x v="8"/>
    <x v="343"/>
    <x v="3"/>
    <n v="1"/>
    <x v="1"/>
    <d v="2025-11-23T13:23:00"/>
    <x v="53"/>
    <x v="21"/>
    <n v="3026"/>
    <n v="0"/>
    <n v="0"/>
    <x v="2"/>
  </r>
  <r>
    <n v="781"/>
    <n v="55"/>
    <x v="0"/>
    <x v="269"/>
    <x v="0"/>
    <n v="2"/>
    <x v="0"/>
    <d v="2025-11-23T14:53:00"/>
    <x v="53"/>
    <x v="12"/>
    <n v="12194"/>
    <n v="3"/>
    <n v="36582"/>
    <x v="0"/>
  </r>
  <r>
    <n v="67"/>
    <n v="79"/>
    <x v="4"/>
    <x v="63"/>
    <x v="2"/>
    <n v="3"/>
    <x v="0"/>
    <d v="2025-11-23T15:00:00"/>
    <x v="53"/>
    <x v="13"/>
    <n v="3328"/>
    <n v="2"/>
    <n v="6656"/>
    <x v="2"/>
  </r>
  <r>
    <n v="10"/>
    <n v="7"/>
    <x v="1"/>
    <x v="60"/>
    <x v="3"/>
    <n v="1"/>
    <x v="0"/>
    <d v="2025-11-23T15:29:00"/>
    <x v="53"/>
    <x v="13"/>
    <n v="5606"/>
    <n v="4"/>
    <n v="22424"/>
    <x v="1"/>
  </r>
  <r>
    <n v="597"/>
    <n v="236"/>
    <x v="1"/>
    <x v="161"/>
    <x v="0"/>
    <n v="2"/>
    <x v="0"/>
    <d v="2025-11-23T16:05:00"/>
    <x v="53"/>
    <x v="14"/>
    <n v="9705"/>
    <n v="1"/>
    <n v="9705"/>
    <x v="1"/>
  </r>
  <r>
    <n v="125"/>
    <n v="29"/>
    <x v="1"/>
    <x v="220"/>
    <x v="4"/>
    <n v="7"/>
    <x v="0"/>
    <d v="2025-11-23T16:55:00"/>
    <x v="53"/>
    <x v="14"/>
    <n v="6638"/>
    <n v="2"/>
    <n v="13276"/>
    <x v="1"/>
  </r>
  <r>
    <n v="94"/>
    <n v="47"/>
    <x v="1"/>
    <x v="327"/>
    <x v="1"/>
    <n v="6"/>
    <x v="0"/>
    <d v="2025-11-23T17:09:00"/>
    <x v="53"/>
    <x v="15"/>
    <n v="4174"/>
    <n v="1"/>
    <n v="4174"/>
    <x v="2"/>
  </r>
  <r>
    <n v="52"/>
    <n v="41"/>
    <x v="5"/>
    <x v="13"/>
    <x v="6"/>
    <n v="5"/>
    <x v="0"/>
    <d v="2025-11-23T17:19:00"/>
    <x v="53"/>
    <x v="15"/>
    <n v="836"/>
    <n v="3"/>
    <n v="2508"/>
    <x v="3"/>
  </r>
  <r>
    <n v="488"/>
    <n v="102"/>
    <x v="3"/>
    <x v="14"/>
    <x v="4"/>
    <n v="7"/>
    <x v="0"/>
    <d v="2025-11-23T17:29:00"/>
    <x v="53"/>
    <x v="15"/>
    <n v="4633"/>
    <n v="3"/>
    <n v="13899"/>
    <x v="2"/>
  </r>
  <r>
    <n v="295"/>
    <n v="32"/>
    <x v="4"/>
    <x v="142"/>
    <x v="0"/>
    <n v="2"/>
    <x v="0"/>
    <d v="2025-11-23T18:02:00"/>
    <x v="53"/>
    <x v="16"/>
    <n v="12224"/>
    <n v="2"/>
    <n v="24448"/>
    <x v="0"/>
  </r>
  <r>
    <n v="82"/>
    <n v="91"/>
    <x v="3"/>
    <x v="264"/>
    <x v="0"/>
    <n v="2"/>
    <x v="0"/>
    <d v="2025-11-23T18:47:00"/>
    <x v="53"/>
    <x v="16"/>
    <n v="11144"/>
    <n v="2"/>
    <n v="22288"/>
    <x v="0"/>
  </r>
  <r>
    <n v="590"/>
    <n v="97"/>
    <x v="4"/>
    <x v="65"/>
    <x v="0"/>
    <n v="2"/>
    <x v="0"/>
    <d v="2025-11-23T18:53:00"/>
    <x v="53"/>
    <x v="16"/>
    <n v="7173"/>
    <n v="1"/>
    <n v="7173"/>
    <x v="1"/>
  </r>
  <r>
    <n v="192"/>
    <n v="165"/>
    <x v="1"/>
    <x v="20"/>
    <x v="3"/>
    <n v="1"/>
    <x v="0"/>
    <d v="2025-11-23T19:05:00"/>
    <x v="53"/>
    <x v="22"/>
    <n v="6597"/>
    <n v="3"/>
    <n v="19791"/>
    <x v="1"/>
  </r>
  <r>
    <n v="651"/>
    <n v="152"/>
    <x v="4"/>
    <x v="66"/>
    <x v="3"/>
    <n v="1"/>
    <x v="0"/>
    <d v="2025-11-23T20:07:00"/>
    <x v="53"/>
    <x v="17"/>
    <n v="7111"/>
    <n v="4"/>
    <n v="28444"/>
    <x v="1"/>
  </r>
  <r>
    <n v="293"/>
    <n v="112"/>
    <x v="3"/>
    <x v="305"/>
    <x v="3"/>
    <n v="1"/>
    <x v="0"/>
    <d v="2025-11-23T20:50:00"/>
    <x v="53"/>
    <x v="17"/>
    <n v="5938"/>
    <n v="4"/>
    <n v="23752"/>
    <x v="1"/>
  </r>
  <r>
    <n v="247"/>
    <n v="272"/>
    <x v="6"/>
    <x v="76"/>
    <x v="0"/>
    <n v="2"/>
    <x v="0"/>
    <d v="2025-11-23T22:41:00"/>
    <x v="53"/>
    <x v="18"/>
    <n v="10916"/>
    <n v="4"/>
    <n v="43664"/>
    <x v="0"/>
  </r>
  <r>
    <n v="773"/>
    <n v="83"/>
    <x v="7"/>
    <x v="83"/>
    <x v="3"/>
    <n v="1"/>
    <x v="0"/>
    <d v="2025-11-23T23:18:00"/>
    <x v="53"/>
    <x v="19"/>
    <n v="1192"/>
    <n v="1"/>
    <n v="1192"/>
    <x v="2"/>
  </r>
  <r>
    <n v="353"/>
    <n v="31"/>
    <x v="1"/>
    <x v="173"/>
    <x v="5"/>
    <n v="4"/>
    <x v="0"/>
    <d v="2025-11-23T23:32:00"/>
    <x v="53"/>
    <x v="19"/>
    <n v="50"/>
    <n v="3"/>
    <n v="150"/>
    <x v="3"/>
  </r>
  <r>
    <n v="691"/>
    <n v="229"/>
    <x v="2"/>
    <x v="45"/>
    <x v="3"/>
    <n v="1"/>
    <x v="0"/>
    <d v="2025-11-23T23:55:00"/>
    <x v="53"/>
    <x v="19"/>
    <n v="6263"/>
    <n v="3"/>
    <n v="18789"/>
    <x v="1"/>
  </r>
  <r>
    <n v="603"/>
    <n v="186"/>
    <x v="1"/>
    <x v="116"/>
    <x v="3"/>
    <n v="1"/>
    <x v="0"/>
    <d v="2025-11-24T00:24:00"/>
    <x v="54"/>
    <x v="0"/>
    <n v="1279"/>
    <n v="2"/>
    <n v="2558"/>
    <x v="2"/>
  </r>
  <r>
    <n v="269"/>
    <n v="164"/>
    <x v="1"/>
    <x v="346"/>
    <x v="1"/>
    <n v="6"/>
    <x v="0"/>
    <d v="2025-11-24T00:26:00"/>
    <x v="54"/>
    <x v="0"/>
    <n v="12000"/>
    <n v="2"/>
    <n v="24000"/>
    <x v="0"/>
  </r>
  <r>
    <n v="512"/>
    <n v="154"/>
    <x v="8"/>
    <x v="155"/>
    <x v="0"/>
    <n v="2"/>
    <x v="0"/>
    <d v="2025-11-24T00:47:00"/>
    <x v="54"/>
    <x v="0"/>
    <n v="11368"/>
    <n v="5"/>
    <n v="56840"/>
    <x v="0"/>
  </r>
  <r>
    <n v="234"/>
    <n v="88"/>
    <x v="3"/>
    <x v="311"/>
    <x v="2"/>
    <n v="3"/>
    <x v="0"/>
    <d v="2025-11-24T01:20:00"/>
    <x v="54"/>
    <x v="1"/>
    <n v="5466"/>
    <n v="5"/>
    <n v="27330"/>
    <x v="1"/>
  </r>
  <r>
    <n v="477"/>
    <n v="237"/>
    <x v="6"/>
    <x v="33"/>
    <x v="5"/>
    <n v="4"/>
    <x v="0"/>
    <d v="2025-11-24T01:24:00"/>
    <x v="54"/>
    <x v="1"/>
    <n v="290"/>
    <n v="2"/>
    <n v="580"/>
    <x v="3"/>
  </r>
  <r>
    <n v="464"/>
    <n v="79"/>
    <x v="8"/>
    <x v="37"/>
    <x v="3"/>
    <n v="1"/>
    <x v="0"/>
    <d v="2025-11-24T02:05:00"/>
    <x v="54"/>
    <x v="2"/>
    <n v="3663"/>
    <n v="5"/>
    <n v="18315"/>
    <x v="2"/>
  </r>
  <r>
    <n v="26"/>
    <n v="72"/>
    <x v="2"/>
    <x v="362"/>
    <x v="4"/>
    <n v="7"/>
    <x v="0"/>
    <d v="2025-11-24T02:28:00"/>
    <x v="54"/>
    <x v="2"/>
    <n v="2840"/>
    <n v="2"/>
    <n v="5680"/>
    <x v="2"/>
  </r>
  <r>
    <n v="153"/>
    <n v="205"/>
    <x v="2"/>
    <x v="69"/>
    <x v="3"/>
    <n v="1"/>
    <x v="0"/>
    <d v="2025-11-24T03:48:00"/>
    <x v="54"/>
    <x v="3"/>
    <n v="7419"/>
    <n v="5"/>
    <n v="37095"/>
    <x v="1"/>
  </r>
  <r>
    <n v="155"/>
    <n v="95"/>
    <x v="2"/>
    <x v="32"/>
    <x v="5"/>
    <n v="4"/>
    <x v="1"/>
    <d v="2025-11-24T03:50:00"/>
    <x v="54"/>
    <x v="3"/>
    <n v="605"/>
    <n v="0"/>
    <n v="0"/>
    <x v="3"/>
  </r>
  <r>
    <n v="484"/>
    <n v="77"/>
    <x v="0"/>
    <x v="254"/>
    <x v="4"/>
    <n v="7"/>
    <x v="1"/>
    <d v="2025-11-24T03:58:00"/>
    <x v="54"/>
    <x v="3"/>
    <n v="3125"/>
    <n v="0"/>
    <n v="0"/>
    <x v="2"/>
  </r>
  <r>
    <n v="510"/>
    <n v="201"/>
    <x v="5"/>
    <x v="382"/>
    <x v="6"/>
    <n v="5"/>
    <x v="1"/>
    <d v="2025-11-24T04:22:00"/>
    <x v="54"/>
    <x v="4"/>
    <n v="1881"/>
    <n v="0"/>
    <n v="0"/>
    <x v="2"/>
  </r>
  <r>
    <n v="234"/>
    <n v="98"/>
    <x v="3"/>
    <x v="118"/>
    <x v="3"/>
    <n v="1"/>
    <x v="0"/>
    <d v="2025-11-24T04:32:00"/>
    <x v="54"/>
    <x v="4"/>
    <n v="2251"/>
    <n v="2"/>
    <n v="4502"/>
    <x v="2"/>
  </r>
  <r>
    <n v="446"/>
    <n v="82"/>
    <x v="8"/>
    <x v="44"/>
    <x v="6"/>
    <n v="5"/>
    <x v="1"/>
    <d v="2025-11-24T05:05:00"/>
    <x v="54"/>
    <x v="20"/>
    <n v="2902"/>
    <n v="0"/>
    <n v="0"/>
    <x v="2"/>
  </r>
  <r>
    <n v="109"/>
    <n v="35"/>
    <x v="0"/>
    <x v="67"/>
    <x v="3"/>
    <n v="1"/>
    <x v="0"/>
    <d v="2025-11-24T05:42:00"/>
    <x v="54"/>
    <x v="20"/>
    <n v="5132"/>
    <n v="5"/>
    <n v="25660"/>
    <x v="1"/>
  </r>
  <r>
    <n v="297"/>
    <n v="73"/>
    <x v="8"/>
    <x v="31"/>
    <x v="0"/>
    <n v="2"/>
    <x v="0"/>
    <d v="2025-11-24T05:45:00"/>
    <x v="54"/>
    <x v="20"/>
    <n v="9457"/>
    <n v="5"/>
    <n v="47285"/>
    <x v="1"/>
  </r>
  <r>
    <n v="427"/>
    <n v="252"/>
    <x v="8"/>
    <x v="386"/>
    <x v="6"/>
    <n v="5"/>
    <x v="0"/>
    <d v="2025-11-24T06:04:00"/>
    <x v="54"/>
    <x v="5"/>
    <n v="1828"/>
    <n v="5"/>
    <n v="9140"/>
    <x v="2"/>
  </r>
  <r>
    <n v="646"/>
    <n v="160"/>
    <x v="4"/>
    <x v="277"/>
    <x v="5"/>
    <n v="4"/>
    <x v="0"/>
    <d v="2025-11-24T06:23:00"/>
    <x v="54"/>
    <x v="5"/>
    <n v="50"/>
    <n v="2"/>
    <n v="100"/>
    <x v="3"/>
  </r>
  <r>
    <n v="125"/>
    <n v="67"/>
    <x v="2"/>
    <x v="226"/>
    <x v="5"/>
    <n v="4"/>
    <x v="0"/>
    <d v="2025-11-24T06:35:00"/>
    <x v="54"/>
    <x v="5"/>
    <n v="1500"/>
    <n v="2"/>
    <n v="3000"/>
    <x v="2"/>
  </r>
  <r>
    <n v="706"/>
    <n v="66"/>
    <x v="6"/>
    <x v="360"/>
    <x v="6"/>
    <n v="5"/>
    <x v="0"/>
    <d v="2025-11-24T07:47:00"/>
    <x v="54"/>
    <x v="6"/>
    <n v="2913"/>
    <n v="5"/>
    <n v="14565"/>
    <x v="2"/>
  </r>
  <r>
    <n v="19"/>
    <n v="229"/>
    <x v="8"/>
    <x v="214"/>
    <x v="5"/>
    <n v="4"/>
    <x v="0"/>
    <d v="2025-11-24T08:34:00"/>
    <x v="54"/>
    <x v="7"/>
    <n v="895"/>
    <n v="5"/>
    <n v="4475"/>
    <x v="3"/>
  </r>
  <r>
    <n v="335"/>
    <n v="120"/>
    <x v="5"/>
    <x v="285"/>
    <x v="1"/>
    <n v="6"/>
    <x v="0"/>
    <d v="2025-11-24T09:05:00"/>
    <x v="54"/>
    <x v="8"/>
    <n v="8075"/>
    <n v="2"/>
    <n v="16150"/>
    <x v="1"/>
  </r>
  <r>
    <n v="569"/>
    <n v="175"/>
    <x v="8"/>
    <x v="155"/>
    <x v="0"/>
    <n v="2"/>
    <x v="0"/>
    <d v="2025-11-24T09:38:00"/>
    <x v="54"/>
    <x v="8"/>
    <n v="9244"/>
    <n v="2"/>
    <n v="18488"/>
    <x v="1"/>
  </r>
  <r>
    <n v="330"/>
    <n v="294"/>
    <x v="5"/>
    <x v="89"/>
    <x v="2"/>
    <n v="3"/>
    <x v="0"/>
    <d v="2025-11-24T09:55:00"/>
    <x v="54"/>
    <x v="8"/>
    <n v="4369"/>
    <n v="5"/>
    <n v="21845"/>
    <x v="2"/>
  </r>
  <r>
    <n v="243"/>
    <n v="128"/>
    <x v="9"/>
    <x v="48"/>
    <x v="2"/>
    <n v="3"/>
    <x v="0"/>
    <d v="2025-11-24T11:02:00"/>
    <x v="54"/>
    <x v="10"/>
    <n v="3537"/>
    <n v="2"/>
    <n v="7074"/>
    <x v="2"/>
  </r>
  <r>
    <n v="321"/>
    <n v="262"/>
    <x v="8"/>
    <x v="30"/>
    <x v="3"/>
    <n v="1"/>
    <x v="0"/>
    <d v="2025-11-24T11:34:00"/>
    <x v="54"/>
    <x v="10"/>
    <n v="5090"/>
    <n v="5"/>
    <n v="25450"/>
    <x v="1"/>
  </r>
  <r>
    <n v="330"/>
    <n v="42"/>
    <x v="4"/>
    <x v="19"/>
    <x v="5"/>
    <n v="4"/>
    <x v="0"/>
    <d v="2025-11-24T12:08:00"/>
    <x v="54"/>
    <x v="11"/>
    <n v="241"/>
    <n v="5"/>
    <n v="1205"/>
    <x v="3"/>
  </r>
  <r>
    <n v="746"/>
    <n v="137"/>
    <x v="8"/>
    <x v="272"/>
    <x v="3"/>
    <n v="1"/>
    <x v="0"/>
    <d v="2025-11-24T13:01:00"/>
    <x v="54"/>
    <x v="21"/>
    <n v="5386"/>
    <n v="5"/>
    <n v="26930"/>
    <x v="1"/>
  </r>
  <r>
    <n v="789"/>
    <n v="142"/>
    <x v="2"/>
    <x v="90"/>
    <x v="0"/>
    <n v="2"/>
    <x v="0"/>
    <d v="2025-11-24T13:09:00"/>
    <x v="54"/>
    <x v="21"/>
    <n v="5126"/>
    <n v="5"/>
    <n v="25630"/>
    <x v="1"/>
  </r>
  <r>
    <n v="253"/>
    <n v="115"/>
    <x v="0"/>
    <x v="227"/>
    <x v="2"/>
    <n v="3"/>
    <x v="0"/>
    <d v="2025-11-24T13:53:00"/>
    <x v="54"/>
    <x v="21"/>
    <n v="2658"/>
    <n v="5"/>
    <n v="13290"/>
    <x v="2"/>
  </r>
  <r>
    <n v="636"/>
    <n v="248"/>
    <x v="6"/>
    <x v="261"/>
    <x v="4"/>
    <n v="7"/>
    <x v="0"/>
    <d v="2025-11-24T13:58:00"/>
    <x v="54"/>
    <x v="21"/>
    <n v="6487"/>
    <n v="5"/>
    <n v="32435"/>
    <x v="1"/>
  </r>
  <r>
    <n v="497"/>
    <n v="161"/>
    <x v="7"/>
    <x v="275"/>
    <x v="1"/>
    <n v="6"/>
    <x v="1"/>
    <d v="2025-11-24T14:10:00"/>
    <x v="54"/>
    <x v="12"/>
    <n v="11079"/>
    <n v="0"/>
    <n v="0"/>
    <x v="0"/>
  </r>
  <r>
    <n v="193"/>
    <n v="62"/>
    <x v="5"/>
    <x v="164"/>
    <x v="3"/>
    <n v="1"/>
    <x v="0"/>
    <d v="2025-11-24T14:20:00"/>
    <x v="54"/>
    <x v="12"/>
    <n v="6028"/>
    <n v="5"/>
    <n v="30140"/>
    <x v="1"/>
  </r>
  <r>
    <n v="537"/>
    <n v="259"/>
    <x v="0"/>
    <x v="87"/>
    <x v="5"/>
    <n v="4"/>
    <x v="0"/>
    <d v="2025-11-24T16:02:00"/>
    <x v="54"/>
    <x v="14"/>
    <n v="830"/>
    <n v="5"/>
    <n v="4150"/>
    <x v="3"/>
  </r>
  <r>
    <n v="718"/>
    <n v="6"/>
    <x v="2"/>
    <x v="362"/>
    <x v="4"/>
    <n v="7"/>
    <x v="0"/>
    <d v="2025-11-24T16:54:00"/>
    <x v="54"/>
    <x v="14"/>
    <n v="3740"/>
    <n v="5"/>
    <n v="18700"/>
    <x v="2"/>
  </r>
  <r>
    <n v="304"/>
    <n v="13"/>
    <x v="5"/>
    <x v="141"/>
    <x v="5"/>
    <n v="4"/>
    <x v="0"/>
    <d v="2025-11-24T17:26:00"/>
    <x v="54"/>
    <x v="15"/>
    <n v="593"/>
    <n v="2"/>
    <n v="1186"/>
    <x v="3"/>
  </r>
  <r>
    <n v="378"/>
    <n v="239"/>
    <x v="2"/>
    <x v="205"/>
    <x v="6"/>
    <n v="5"/>
    <x v="0"/>
    <d v="2025-11-24T18:00:00"/>
    <x v="54"/>
    <x v="16"/>
    <n v="1051"/>
    <n v="5"/>
    <n v="5255"/>
    <x v="2"/>
  </r>
  <r>
    <n v="161"/>
    <n v="228"/>
    <x v="2"/>
    <x v="226"/>
    <x v="5"/>
    <n v="4"/>
    <x v="0"/>
    <d v="2025-11-24T18:22:00"/>
    <x v="54"/>
    <x v="16"/>
    <n v="380"/>
    <n v="5"/>
    <n v="1900"/>
    <x v="3"/>
  </r>
  <r>
    <n v="467"/>
    <n v="142"/>
    <x v="1"/>
    <x v="206"/>
    <x v="6"/>
    <n v="5"/>
    <x v="0"/>
    <d v="2025-11-24T19:40:00"/>
    <x v="54"/>
    <x v="22"/>
    <n v="3866"/>
    <n v="2"/>
    <n v="7732"/>
    <x v="2"/>
  </r>
  <r>
    <n v="292"/>
    <n v="84"/>
    <x v="9"/>
    <x v="98"/>
    <x v="0"/>
    <n v="2"/>
    <x v="0"/>
    <d v="2025-11-24T19:58:00"/>
    <x v="54"/>
    <x v="22"/>
    <n v="7401"/>
    <n v="5"/>
    <n v="37005"/>
    <x v="1"/>
  </r>
  <r>
    <n v="127"/>
    <n v="27"/>
    <x v="6"/>
    <x v="385"/>
    <x v="0"/>
    <n v="2"/>
    <x v="0"/>
    <d v="2025-11-24T20:11:00"/>
    <x v="54"/>
    <x v="17"/>
    <n v="13473"/>
    <n v="2"/>
    <n v="26946"/>
    <x v="0"/>
  </r>
  <r>
    <n v="146"/>
    <n v="162"/>
    <x v="8"/>
    <x v="129"/>
    <x v="5"/>
    <n v="4"/>
    <x v="0"/>
    <d v="2025-11-24T20:15:00"/>
    <x v="54"/>
    <x v="17"/>
    <n v="800"/>
    <n v="5"/>
    <n v="4000"/>
    <x v="3"/>
  </r>
  <r>
    <n v="445"/>
    <n v="166"/>
    <x v="0"/>
    <x v="211"/>
    <x v="1"/>
    <n v="6"/>
    <x v="0"/>
    <d v="2025-11-24T20:56:00"/>
    <x v="54"/>
    <x v="17"/>
    <n v="8225"/>
    <n v="2"/>
    <n v="16450"/>
    <x v="1"/>
  </r>
  <r>
    <n v="779"/>
    <n v="18"/>
    <x v="6"/>
    <x v="170"/>
    <x v="6"/>
    <n v="5"/>
    <x v="0"/>
    <d v="2025-11-24T21:31:00"/>
    <x v="54"/>
    <x v="23"/>
    <n v="2311"/>
    <n v="5"/>
    <n v="11555"/>
    <x v="2"/>
  </r>
  <r>
    <n v="775"/>
    <n v="292"/>
    <x v="6"/>
    <x v="96"/>
    <x v="5"/>
    <n v="4"/>
    <x v="0"/>
    <d v="2025-11-24T21:44:00"/>
    <x v="54"/>
    <x v="23"/>
    <n v="1312"/>
    <n v="5"/>
    <n v="6560"/>
    <x v="2"/>
  </r>
  <r>
    <n v="509"/>
    <n v="33"/>
    <x v="0"/>
    <x v="87"/>
    <x v="5"/>
    <n v="4"/>
    <x v="0"/>
    <d v="2025-11-24T21:45:00"/>
    <x v="54"/>
    <x v="23"/>
    <n v="191"/>
    <n v="2"/>
    <n v="382"/>
    <x v="3"/>
  </r>
  <r>
    <n v="536"/>
    <n v="84"/>
    <x v="4"/>
    <x v="271"/>
    <x v="2"/>
    <n v="3"/>
    <x v="0"/>
    <d v="2025-11-24T22:33:00"/>
    <x v="54"/>
    <x v="18"/>
    <n v="1927"/>
    <n v="5"/>
    <n v="9635"/>
    <x v="2"/>
  </r>
  <r>
    <n v="347"/>
    <n v="42"/>
    <x v="6"/>
    <x v="57"/>
    <x v="0"/>
    <n v="2"/>
    <x v="0"/>
    <d v="2025-11-24T22:34:00"/>
    <x v="54"/>
    <x v="18"/>
    <n v="7697"/>
    <n v="2"/>
    <n v="15394"/>
    <x v="1"/>
  </r>
  <r>
    <n v="411"/>
    <n v="280"/>
    <x v="1"/>
    <x v="251"/>
    <x v="0"/>
    <n v="2"/>
    <x v="0"/>
    <d v="2025-11-24T23:06:00"/>
    <x v="54"/>
    <x v="19"/>
    <n v="10735"/>
    <n v="2"/>
    <n v="21470"/>
    <x v="0"/>
  </r>
  <r>
    <n v="406"/>
    <n v="80"/>
    <x v="2"/>
    <x v="69"/>
    <x v="3"/>
    <n v="1"/>
    <x v="0"/>
    <d v="2025-11-25T00:39:00"/>
    <x v="55"/>
    <x v="0"/>
    <n v="1577"/>
    <n v="5"/>
    <n v="7885"/>
    <x v="2"/>
  </r>
  <r>
    <n v="163"/>
    <n v="60"/>
    <x v="5"/>
    <x v="306"/>
    <x v="0"/>
    <n v="2"/>
    <x v="0"/>
    <d v="2025-11-25T00:54:00"/>
    <x v="55"/>
    <x v="0"/>
    <n v="12825"/>
    <n v="2"/>
    <n v="25650"/>
    <x v="0"/>
  </r>
  <r>
    <n v="661"/>
    <n v="286"/>
    <x v="5"/>
    <x v="352"/>
    <x v="2"/>
    <n v="3"/>
    <x v="0"/>
    <d v="2025-11-25T01:01:00"/>
    <x v="55"/>
    <x v="1"/>
    <n v="3552"/>
    <n v="5"/>
    <n v="17760"/>
    <x v="2"/>
  </r>
  <r>
    <n v="44"/>
    <n v="22"/>
    <x v="5"/>
    <x v="147"/>
    <x v="3"/>
    <n v="1"/>
    <x v="0"/>
    <d v="2025-11-25T01:34:00"/>
    <x v="55"/>
    <x v="1"/>
    <n v="1024"/>
    <n v="5"/>
    <n v="5120"/>
    <x v="2"/>
  </r>
  <r>
    <n v="141"/>
    <n v="257"/>
    <x v="5"/>
    <x v="246"/>
    <x v="3"/>
    <n v="1"/>
    <x v="0"/>
    <d v="2025-11-25T02:19:00"/>
    <x v="55"/>
    <x v="2"/>
    <n v="2982"/>
    <n v="5"/>
    <n v="14910"/>
    <x v="2"/>
  </r>
  <r>
    <n v="687"/>
    <n v="203"/>
    <x v="2"/>
    <x v="46"/>
    <x v="0"/>
    <n v="2"/>
    <x v="1"/>
    <d v="2025-11-25T02:40:00"/>
    <x v="55"/>
    <x v="2"/>
    <n v="9199"/>
    <n v="0"/>
    <n v="0"/>
    <x v="1"/>
  </r>
  <r>
    <n v="25"/>
    <n v="213"/>
    <x v="7"/>
    <x v="156"/>
    <x v="0"/>
    <n v="2"/>
    <x v="0"/>
    <d v="2025-11-25T04:10:00"/>
    <x v="55"/>
    <x v="4"/>
    <n v="4376"/>
    <n v="5"/>
    <n v="21880"/>
    <x v="2"/>
  </r>
  <r>
    <n v="604"/>
    <n v="19"/>
    <x v="0"/>
    <x v="15"/>
    <x v="3"/>
    <n v="1"/>
    <x v="0"/>
    <d v="2025-11-25T04:11:00"/>
    <x v="55"/>
    <x v="4"/>
    <n v="5339"/>
    <n v="5"/>
    <n v="26695"/>
    <x v="1"/>
  </r>
  <r>
    <n v="8"/>
    <n v="179"/>
    <x v="9"/>
    <x v="18"/>
    <x v="3"/>
    <n v="1"/>
    <x v="0"/>
    <d v="2025-11-25T04:30:00"/>
    <x v="55"/>
    <x v="4"/>
    <n v="2627"/>
    <n v="5"/>
    <n v="13135"/>
    <x v="2"/>
  </r>
  <r>
    <n v="169"/>
    <n v="204"/>
    <x v="6"/>
    <x v="139"/>
    <x v="2"/>
    <n v="3"/>
    <x v="1"/>
    <d v="2025-11-25T05:04:00"/>
    <x v="55"/>
    <x v="20"/>
    <n v="2257"/>
    <n v="0"/>
    <n v="0"/>
    <x v="2"/>
  </r>
  <r>
    <n v="643"/>
    <n v="145"/>
    <x v="3"/>
    <x v="290"/>
    <x v="5"/>
    <n v="4"/>
    <x v="0"/>
    <d v="2025-11-25T05:56:00"/>
    <x v="55"/>
    <x v="20"/>
    <n v="362"/>
    <n v="5"/>
    <n v="1810"/>
    <x v="3"/>
  </r>
  <r>
    <n v="398"/>
    <n v="82"/>
    <x v="6"/>
    <x v="135"/>
    <x v="3"/>
    <n v="1"/>
    <x v="0"/>
    <d v="2025-11-25T06:01:00"/>
    <x v="55"/>
    <x v="5"/>
    <n v="3260"/>
    <n v="5"/>
    <n v="16300"/>
    <x v="2"/>
  </r>
  <r>
    <n v="343"/>
    <n v="101"/>
    <x v="9"/>
    <x v="113"/>
    <x v="5"/>
    <n v="4"/>
    <x v="0"/>
    <d v="2025-11-25T06:44:00"/>
    <x v="55"/>
    <x v="5"/>
    <n v="648"/>
    <n v="5"/>
    <n v="3240"/>
    <x v="3"/>
  </r>
  <r>
    <n v="667"/>
    <n v="147"/>
    <x v="2"/>
    <x v="333"/>
    <x v="4"/>
    <n v="7"/>
    <x v="0"/>
    <d v="2025-11-25T07:05:00"/>
    <x v="55"/>
    <x v="6"/>
    <n v="4112"/>
    <n v="5"/>
    <n v="20560"/>
    <x v="2"/>
  </r>
  <r>
    <n v="668"/>
    <n v="263"/>
    <x v="8"/>
    <x v="272"/>
    <x v="3"/>
    <n v="1"/>
    <x v="0"/>
    <d v="2025-11-25T07:19:00"/>
    <x v="55"/>
    <x v="6"/>
    <n v="4513"/>
    <n v="5"/>
    <n v="22565"/>
    <x v="2"/>
  </r>
  <r>
    <n v="43"/>
    <n v="199"/>
    <x v="4"/>
    <x v="196"/>
    <x v="5"/>
    <n v="4"/>
    <x v="0"/>
    <d v="2025-11-25T07:23:00"/>
    <x v="55"/>
    <x v="6"/>
    <n v="784"/>
    <n v="2"/>
    <n v="1568"/>
    <x v="3"/>
  </r>
  <r>
    <n v="778"/>
    <n v="292"/>
    <x v="5"/>
    <x v="89"/>
    <x v="2"/>
    <n v="3"/>
    <x v="0"/>
    <d v="2025-11-25T08:16:00"/>
    <x v="55"/>
    <x v="7"/>
    <n v="2554"/>
    <n v="5"/>
    <n v="12770"/>
    <x v="2"/>
  </r>
  <r>
    <n v="691"/>
    <n v="110"/>
    <x v="7"/>
    <x v="133"/>
    <x v="4"/>
    <n v="7"/>
    <x v="0"/>
    <d v="2025-11-25T08:20:00"/>
    <x v="55"/>
    <x v="7"/>
    <n v="7708"/>
    <n v="5"/>
    <n v="38540"/>
    <x v="1"/>
  </r>
  <r>
    <n v="56"/>
    <n v="118"/>
    <x v="6"/>
    <x v="317"/>
    <x v="3"/>
    <n v="1"/>
    <x v="0"/>
    <d v="2025-11-25T08:30:00"/>
    <x v="55"/>
    <x v="7"/>
    <n v="5814"/>
    <n v="2"/>
    <n v="11628"/>
    <x v="1"/>
  </r>
  <r>
    <n v="25"/>
    <n v="159"/>
    <x v="5"/>
    <x v="171"/>
    <x v="4"/>
    <n v="7"/>
    <x v="1"/>
    <d v="2025-11-25T08:39:00"/>
    <x v="55"/>
    <x v="7"/>
    <n v="6072"/>
    <n v="0"/>
    <n v="0"/>
    <x v="1"/>
  </r>
  <r>
    <n v="212"/>
    <n v="256"/>
    <x v="4"/>
    <x v="198"/>
    <x v="0"/>
    <n v="2"/>
    <x v="0"/>
    <d v="2025-11-25T09:33:00"/>
    <x v="55"/>
    <x v="8"/>
    <n v="4112"/>
    <n v="5"/>
    <n v="20560"/>
    <x v="2"/>
  </r>
  <r>
    <n v="401"/>
    <n v="85"/>
    <x v="6"/>
    <x v="317"/>
    <x v="3"/>
    <n v="1"/>
    <x v="0"/>
    <d v="2025-11-25T10:03:00"/>
    <x v="55"/>
    <x v="9"/>
    <n v="6895"/>
    <n v="5"/>
    <n v="34475"/>
    <x v="1"/>
  </r>
  <r>
    <n v="293"/>
    <n v="128"/>
    <x v="3"/>
    <x v="370"/>
    <x v="5"/>
    <n v="4"/>
    <x v="1"/>
    <d v="2025-11-25T10:45:00"/>
    <x v="55"/>
    <x v="9"/>
    <n v="1101"/>
    <n v="0"/>
    <n v="0"/>
    <x v="2"/>
  </r>
  <r>
    <n v="32"/>
    <n v="26"/>
    <x v="1"/>
    <x v="366"/>
    <x v="0"/>
    <n v="2"/>
    <x v="0"/>
    <d v="2025-11-25T10:53:00"/>
    <x v="55"/>
    <x v="9"/>
    <n v="5387"/>
    <n v="2"/>
    <n v="10774"/>
    <x v="1"/>
  </r>
  <r>
    <n v="456"/>
    <n v="196"/>
    <x v="0"/>
    <x v="192"/>
    <x v="1"/>
    <n v="6"/>
    <x v="0"/>
    <d v="2025-11-25T11:19:00"/>
    <x v="55"/>
    <x v="10"/>
    <n v="2123"/>
    <n v="2"/>
    <n v="4246"/>
    <x v="2"/>
  </r>
  <r>
    <n v="55"/>
    <n v="189"/>
    <x v="4"/>
    <x v="242"/>
    <x v="4"/>
    <n v="7"/>
    <x v="0"/>
    <d v="2025-11-25T11:41:00"/>
    <x v="55"/>
    <x v="10"/>
    <n v="7559"/>
    <n v="5"/>
    <n v="37795"/>
    <x v="1"/>
  </r>
  <r>
    <n v="760"/>
    <n v="191"/>
    <x v="5"/>
    <x v="50"/>
    <x v="5"/>
    <n v="4"/>
    <x v="0"/>
    <d v="2025-11-25T12:29:00"/>
    <x v="55"/>
    <x v="11"/>
    <n v="620"/>
    <n v="5"/>
    <n v="3100"/>
    <x v="3"/>
  </r>
  <r>
    <n v="23"/>
    <n v="153"/>
    <x v="2"/>
    <x v="46"/>
    <x v="0"/>
    <n v="2"/>
    <x v="0"/>
    <d v="2025-11-25T13:31:00"/>
    <x v="55"/>
    <x v="21"/>
    <n v="5189"/>
    <n v="2"/>
    <n v="10378"/>
    <x v="1"/>
  </r>
  <r>
    <n v="270"/>
    <n v="234"/>
    <x v="7"/>
    <x v="209"/>
    <x v="0"/>
    <n v="2"/>
    <x v="0"/>
    <d v="2025-11-25T13:32:00"/>
    <x v="55"/>
    <x v="21"/>
    <n v="4434"/>
    <n v="5"/>
    <n v="22170"/>
    <x v="2"/>
  </r>
  <r>
    <n v="179"/>
    <n v="8"/>
    <x v="0"/>
    <x v="319"/>
    <x v="1"/>
    <n v="6"/>
    <x v="0"/>
    <d v="2025-11-25T14:01:00"/>
    <x v="55"/>
    <x v="12"/>
    <n v="5214"/>
    <n v="5"/>
    <n v="26070"/>
    <x v="1"/>
  </r>
  <r>
    <n v="594"/>
    <n v="286"/>
    <x v="5"/>
    <x v="147"/>
    <x v="3"/>
    <n v="1"/>
    <x v="0"/>
    <d v="2025-11-25T14:03:00"/>
    <x v="55"/>
    <x v="12"/>
    <n v="1766"/>
    <n v="5"/>
    <n v="8830"/>
    <x v="2"/>
  </r>
  <r>
    <n v="492"/>
    <n v="33"/>
    <x v="0"/>
    <x v="292"/>
    <x v="6"/>
    <n v="5"/>
    <x v="0"/>
    <d v="2025-11-25T14:24:00"/>
    <x v="55"/>
    <x v="12"/>
    <n v="1856"/>
    <n v="5"/>
    <n v="9280"/>
    <x v="2"/>
  </r>
  <r>
    <n v="408"/>
    <n v="194"/>
    <x v="5"/>
    <x v="29"/>
    <x v="5"/>
    <n v="4"/>
    <x v="0"/>
    <d v="2025-11-25T14:33:00"/>
    <x v="55"/>
    <x v="12"/>
    <n v="1344"/>
    <n v="5"/>
    <n v="6720"/>
    <x v="2"/>
  </r>
  <r>
    <n v="477"/>
    <n v="212"/>
    <x v="8"/>
    <x v="140"/>
    <x v="5"/>
    <n v="4"/>
    <x v="0"/>
    <d v="2025-11-25T14:43:00"/>
    <x v="55"/>
    <x v="12"/>
    <n v="50"/>
    <n v="5"/>
    <n v="250"/>
    <x v="3"/>
  </r>
  <r>
    <n v="673"/>
    <n v="33"/>
    <x v="9"/>
    <x v="51"/>
    <x v="3"/>
    <n v="1"/>
    <x v="0"/>
    <d v="2025-11-25T14:54:00"/>
    <x v="55"/>
    <x v="12"/>
    <n v="2239"/>
    <n v="5"/>
    <n v="11195"/>
    <x v="2"/>
  </r>
  <r>
    <n v="491"/>
    <n v="104"/>
    <x v="7"/>
    <x v="235"/>
    <x v="0"/>
    <n v="2"/>
    <x v="0"/>
    <d v="2025-11-25T15:20:00"/>
    <x v="55"/>
    <x v="13"/>
    <n v="8764"/>
    <n v="5"/>
    <n v="43820"/>
    <x v="1"/>
  </r>
  <r>
    <n v="241"/>
    <n v="230"/>
    <x v="7"/>
    <x v="122"/>
    <x v="4"/>
    <n v="7"/>
    <x v="0"/>
    <d v="2025-11-25T15:31:00"/>
    <x v="55"/>
    <x v="13"/>
    <n v="3501"/>
    <n v="5"/>
    <n v="17505"/>
    <x v="2"/>
  </r>
  <r>
    <n v="446"/>
    <n v="287"/>
    <x v="0"/>
    <x v="292"/>
    <x v="6"/>
    <n v="5"/>
    <x v="0"/>
    <d v="2025-11-25T16:06:00"/>
    <x v="55"/>
    <x v="14"/>
    <n v="939"/>
    <n v="2"/>
    <n v="1878"/>
    <x v="3"/>
  </r>
  <r>
    <n v="761"/>
    <n v="25"/>
    <x v="5"/>
    <x v="164"/>
    <x v="3"/>
    <n v="1"/>
    <x v="0"/>
    <d v="2025-11-25T16:19:00"/>
    <x v="55"/>
    <x v="14"/>
    <n v="6808"/>
    <n v="5"/>
    <n v="34040"/>
    <x v="1"/>
  </r>
  <r>
    <n v="377"/>
    <n v="234"/>
    <x v="1"/>
    <x v="149"/>
    <x v="0"/>
    <n v="2"/>
    <x v="0"/>
    <d v="2025-11-25T16:21:00"/>
    <x v="55"/>
    <x v="14"/>
    <n v="8680"/>
    <n v="5"/>
    <n v="43400"/>
    <x v="1"/>
  </r>
  <r>
    <n v="675"/>
    <n v="191"/>
    <x v="4"/>
    <x v="198"/>
    <x v="0"/>
    <n v="2"/>
    <x v="0"/>
    <d v="2025-11-25T17:02:00"/>
    <x v="55"/>
    <x v="15"/>
    <n v="11819"/>
    <n v="5"/>
    <n v="59095"/>
    <x v="0"/>
  </r>
  <r>
    <n v="753"/>
    <n v="178"/>
    <x v="4"/>
    <x v="363"/>
    <x v="1"/>
    <n v="6"/>
    <x v="0"/>
    <d v="2025-11-25T17:11:00"/>
    <x v="55"/>
    <x v="15"/>
    <n v="11103"/>
    <n v="5"/>
    <n v="55515"/>
    <x v="0"/>
  </r>
  <r>
    <n v="382"/>
    <n v="240"/>
    <x v="9"/>
    <x v="18"/>
    <x v="3"/>
    <n v="1"/>
    <x v="0"/>
    <d v="2025-11-25T17:26:00"/>
    <x v="55"/>
    <x v="15"/>
    <n v="4223"/>
    <n v="2"/>
    <n v="8446"/>
    <x v="2"/>
  </r>
  <r>
    <n v="689"/>
    <n v="254"/>
    <x v="7"/>
    <x v="337"/>
    <x v="3"/>
    <n v="1"/>
    <x v="0"/>
    <d v="2025-11-25T17:56:00"/>
    <x v="55"/>
    <x v="15"/>
    <n v="4038"/>
    <n v="5"/>
    <n v="20190"/>
    <x v="2"/>
  </r>
  <r>
    <n v="443"/>
    <n v="45"/>
    <x v="2"/>
    <x v="250"/>
    <x v="3"/>
    <n v="1"/>
    <x v="0"/>
    <d v="2025-11-25T18:07:00"/>
    <x v="55"/>
    <x v="16"/>
    <n v="6612"/>
    <n v="2"/>
    <n v="13224"/>
    <x v="1"/>
  </r>
  <r>
    <n v="368"/>
    <n v="239"/>
    <x v="4"/>
    <x v="137"/>
    <x v="6"/>
    <n v="5"/>
    <x v="0"/>
    <d v="2025-11-25T18:09:00"/>
    <x v="55"/>
    <x v="16"/>
    <n v="3195"/>
    <n v="5"/>
    <n v="15975"/>
    <x v="2"/>
  </r>
  <r>
    <n v="169"/>
    <n v="22"/>
    <x v="3"/>
    <x v="305"/>
    <x v="3"/>
    <n v="1"/>
    <x v="0"/>
    <d v="2025-11-25T18:21:00"/>
    <x v="55"/>
    <x v="16"/>
    <n v="4877"/>
    <n v="5"/>
    <n v="24385"/>
    <x v="2"/>
  </r>
  <r>
    <n v="350"/>
    <n v="277"/>
    <x v="4"/>
    <x v="19"/>
    <x v="5"/>
    <n v="4"/>
    <x v="0"/>
    <d v="2025-11-25T19:38:00"/>
    <x v="55"/>
    <x v="22"/>
    <n v="812"/>
    <n v="5"/>
    <n v="4060"/>
    <x v="3"/>
  </r>
  <r>
    <n v="143"/>
    <n v="106"/>
    <x v="4"/>
    <x v="19"/>
    <x v="5"/>
    <n v="4"/>
    <x v="0"/>
    <d v="2025-11-25T20:05:00"/>
    <x v="55"/>
    <x v="17"/>
    <n v="1500"/>
    <n v="2"/>
    <n v="3000"/>
    <x v="2"/>
  </r>
  <r>
    <n v="514"/>
    <n v="279"/>
    <x v="2"/>
    <x v="7"/>
    <x v="0"/>
    <n v="2"/>
    <x v="1"/>
    <d v="2025-11-25T20:34:00"/>
    <x v="55"/>
    <x v="17"/>
    <n v="10334"/>
    <n v="0"/>
    <n v="0"/>
    <x v="0"/>
  </r>
  <r>
    <n v="5"/>
    <n v="131"/>
    <x v="1"/>
    <x v="23"/>
    <x v="5"/>
    <n v="4"/>
    <x v="0"/>
    <d v="2025-11-25T21:01:00"/>
    <x v="55"/>
    <x v="23"/>
    <n v="201"/>
    <n v="5"/>
    <n v="1005"/>
    <x v="3"/>
  </r>
  <r>
    <n v="233"/>
    <n v="172"/>
    <x v="4"/>
    <x v="36"/>
    <x v="3"/>
    <n v="1"/>
    <x v="0"/>
    <d v="2025-11-25T21:07:00"/>
    <x v="55"/>
    <x v="23"/>
    <n v="5649"/>
    <n v="5"/>
    <n v="28245"/>
    <x v="1"/>
  </r>
  <r>
    <n v="562"/>
    <n v="203"/>
    <x v="6"/>
    <x v="360"/>
    <x v="6"/>
    <n v="5"/>
    <x v="0"/>
    <d v="2025-11-25T21:21:00"/>
    <x v="55"/>
    <x v="23"/>
    <n v="2662"/>
    <n v="5"/>
    <n v="13310"/>
    <x v="2"/>
  </r>
  <r>
    <n v="591"/>
    <n v="180"/>
    <x v="2"/>
    <x v="361"/>
    <x v="6"/>
    <n v="5"/>
    <x v="0"/>
    <d v="2025-11-25T21:58:00"/>
    <x v="55"/>
    <x v="23"/>
    <n v="3078"/>
    <n v="5"/>
    <n v="15390"/>
    <x v="2"/>
  </r>
  <r>
    <n v="656"/>
    <n v="233"/>
    <x v="1"/>
    <x v="20"/>
    <x v="3"/>
    <n v="1"/>
    <x v="1"/>
    <d v="2025-11-25T22:01:00"/>
    <x v="55"/>
    <x v="18"/>
    <n v="7150"/>
    <n v="0"/>
    <n v="0"/>
    <x v="1"/>
  </r>
  <r>
    <n v="1"/>
    <n v="259"/>
    <x v="5"/>
    <x v="164"/>
    <x v="3"/>
    <n v="1"/>
    <x v="0"/>
    <d v="2025-11-25T22:09:00"/>
    <x v="55"/>
    <x v="18"/>
    <n v="2430"/>
    <n v="5"/>
    <n v="12150"/>
    <x v="2"/>
  </r>
  <r>
    <n v="712"/>
    <n v="157"/>
    <x v="4"/>
    <x v="242"/>
    <x v="4"/>
    <n v="7"/>
    <x v="1"/>
    <d v="2025-11-25T22:18:00"/>
    <x v="55"/>
    <x v="18"/>
    <n v="2436"/>
    <n v="0"/>
    <n v="0"/>
    <x v="2"/>
  </r>
  <r>
    <n v="215"/>
    <n v="278"/>
    <x v="2"/>
    <x v="104"/>
    <x v="5"/>
    <n v="4"/>
    <x v="0"/>
    <d v="2025-11-25T22:33:00"/>
    <x v="55"/>
    <x v="18"/>
    <n v="731"/>
    <n v="5"/>
    <n v="3655"/>
    <x v="3"/>
  </r>
  <r>
    <n v="32"/>
    <n v="152"/>
    <x v="0"/>
    <x v="273"/>
    <x v="2"/>
    <n v="3"/>
    <x v="1"/>
    <d v="2025-11-26T00:17:00"/>
    <x v="56"/>
    <x v="0"/>
    <n v="2188"/>
    <n v="0"/>
    <n v="0"/>
    <x v="2"/>
  </r>
  <r>
    <n v="74"/>
    <n v="35"/>
    <x v="4"/>
    <x v="159"/>
    <x v="4"/>
    <n v="7"/>
    <x v="1"/>
    <d v="2025-11-26T00:19:00"/>
    <x v="56"/>
    <x v="0"/>
    <n v="2397"/>
    <n v="0"/>
    <n v="0"/>
    <x v="2"/>
  </r>
  <r>
    <n v="367"/>
    <n v="207"/>
    <x v="1"/>
    <x v="251"/>
    <x v="0"/>
    <n v="2"/>
    <x v="0"/>
    <d v="2025-11-26T00:38:00"/>
    <x v="56"/>
    <x v="0"/>
    <n v="8183"/>
    <n v="2"/>
    <n v="16366"/>
    <x v="1"/>
  </r>
  <r>
    <n v="352"/>
    <n v="199"/>
    <x v="9"/>
    <x v="274"/>
    <x v="2"/>
    <n v="3"/>
    <x v="0"/>
    <d v="2025-11-26T00:44:00"/>
    <x v="56"/>
    <x v="0"/>
    <n v="1743"/>
    <n v="5"/>
    <n v="8715"/>
    <x v="2"/>
  </r>
  <r>
    <n v="635"/>
    <n v="245"/>
    <x v="7"/>
    <x v="255"/>
    <x v="6"/>
    <n v="5"/>
    <x v="0"/>
    <d v="2025-11-26T02:17:00"/>
    <x v="56"/>
    <x v="2"/>
    <n v="2241"/>
    <n v="5"/>
    <n v="11205"/>
    <x v="2"/>
  </r>
  <r>
    <n v="696"/>
    <n v="252"/>
    <x v="9"/>
    <x v="51"/>
    <x v="3"/>
    <n v="1"/>
    <x v="0"/>
    <d v="2025-11-26T02:20:00"/>
    <x v="56"/>
    <x v="2"/>
    <n v="6317"/>
    <n v="5"/>
    <n v="31585"/>
    <x v="1"/>
  </r>
  <r>
    <n v="32"/>
    <n v="131"/>
    <x v="6"/>
    <x v="57"/>
    <x v="0"/>
    <n v="2"/>
    <x v="0"/>
    <d v="2025-11-26T02:34:00"/>
    <x v="56"/>
    <x v="2"/>
    <n v="4571"/>
    <n v="5"/>
    <n v="22855"/>
    <x v="2"/>
  </r>
  <r>
    <n v="433"/>
    <n v="180"/>
    <x v="3"/>
    <x v="304"/>
    <x v="1"/>
    <n v="6"/>
    <x v="0"/>
    <d v="2025-11-26T03:09:00"/>
    <x v="56"/>
    <x v="3"/>
    <n v="9755"/>
    <n v="5"/>
    <n v="48775"/>
    <x v="1"/>
  </r>
  <r>
    <n v="40"/>
    <n v="250"/>
    <x v="0"/>
    <x v="322"/>
    <x v="5"/>
    <n v="4"/>
    <x v="0"/>
    <d v="2025-11-26T03:42:00"/>
    <x v="56"/>
    <x v="3"/>
    <n v="1500"/>
    <n v="2"/>
    <n v="3000"/>
    <x v="2"/>
  </r>
  <r>
    <n v="557"/>
    <n v="48"/>
    <x v="8"/>
    <x v="379"/>
    <x v="6"/>
    <n v="5"/>
    <x v="0"/>
    <d v="2025-11-26T03:56:00"/>
    <x v="56"/>
    <x v="3"/>
    <n v="3753"/>
    <n v="5"/>
    <n v="18765"/>
    <x v="2"/>
  </r>
  <r>
    <n v="389"/>
    <n v="173"/>
    <x v="1"/>
    <x v="376"/>
    <x v="2"/>
    <n v="3"/>
    <x v="0"/>
    <d v="2025-11-26T04:08:00"/>
    <x v="56"/>
    <x v="4"/>
    <n v="2104"/>
    <n v="5"/>
    <n v="10520"/>
    <x v="2"/>
  </r>
  <r>
    <n v="331"/>
    <n v="159"/>
    <x v="8"/>
    <x v="293"/>
    <x v="1"/>
    <n v="6"/>
    <x v="0"/>
    <d v="2025-11-26T04:21:00"/>
    <x v="56"/>
    <x v="4"/>
    <n v="6063"/>
    <n v="5"/>
    <n v="30315"/>
    <x v="1"/>
  </r>
  <r>
    <n v="629"/>
    <n v="211"/>
    <x v="8"/>
    <x v="387"/>
    <x v="4"/>
    <n v="7"/>
    <x v="0"/>
    <d v="2025-11-26T04:29:00"/>
    <x v="56"/>
    <x v="4"/>
    <n v="6224"/>
    <n v="5"/>
    <n v="31120"/>
    <x v="1"/>
  </r>
  <r>
    <n v="692"/>
    <n v="15"/>
    <x v="4"/>
    <x v="19"/>
    <x v="5"/>
    <n v="4"/>
    <x v="0"/>
    <d v="2025-11-26T04:35:00"/>
    <x v="56"/>
    <x v="4"/>
    <n v="50"/>
    <n v="5"/>
    <n v="250"/>
    <x v="3"/>
  </r>
  <r>
    <n v="186"/>
    <n v="238"/>
    <x v="1"/>
    <x v="266"/>
    <x v="6"/>
    <n v="5"/>
    <x v="0"/>
    <d v="2025-11-26T04:53:00"/>
    <x v="56"/>
    <x v="4"/>
    <n v="2900"/>
    <n v="5"/>
    <n v="14500"/>
    <x v="2"/>
  </r>
  <r>
    <n v="549"/>
    <n v="25"/>
    <x v="9"/>
    <x v="287"/>
    <x v="4"/>
    <n v="7"/>
    <x v="0"/>
    <d v="2025-11-26T05:01:00"/>
    <x v="56"/>
    <x v="20"/>
    <n v="3906"/>
    <n v="5"/>
    <n v="19530"/>
    <x v="2"/>
  </r>
  <r>
    <n v="503"/>
    <n v="90"/>
    <x v="1"/>
    <x v="359"/>
    <x v="2"/>
    <n v="3"/>
    <x v="0"/>
    <d v="2025-11-26T05:10:00"/>
    <x v="56"/>
    <x v="20"/>
    <n v="3673"/>
    <n v="5"/>
    <n v="18365"/>
    <x v="2"/>
  </r>
  <r>
    <n v="298"/>
    <n v="170"/>
    <x v="4"/>
    <x v="196"/>
    <x v="5"/>
    <n v="4"/>
    <x v="0"/>
    <d v="2025-11-26T05:38:00"/>
    <x v="56"/>
    <x v="20"/>
    <n v="925"/>
    <n v="5"/>
    <n v="4625"/>
    <x v="3"/>
  </r>
  <r>
    <n v="204"/>
    <n v="247"/>
    <x v="4"/>
    <x v="102"/>
    <x v="3"/>
    <n v="1"/>
    <x v="1"/>
    <d v="2025-11-26T07:10:00"/>
    <x v="56"/>
    <x v="6"/>
    <n v="4351"/>
    <n v="0"/>
    <n v="0"/>
    <x v="2"/>
  </r>
  <r>
    <n v="795"/>
    <n v="91"/>
    <x v="0"/>
    <x v="187"/>
    <x v="6"/>
    <n v="5"/>
    <x v="0"/>
    <d v="2025-11-26T07:34:00"/>
    <x v="56"/>
    <x v="6"/>
    <n v="2718"/>
    <n v="2"/>
    <n v="5436"/>
    <x v="2"/>
  </r>
  <r>
    <n v="188"/>
    <n v="115"/>
    <x v="0"/>
    <x v="67"/>
    <x v="3"/>
    <n v="1"/>
    <x v="0"/>
    <d v="2025-11-26T07:37:00"/>
    <x v="56"/>
    <x v="6"/>
    <n v="7320"/>
    <n v="2"/>
    <n v="14640"/>
    <x v="1"/>
  </r>
  <r>
    <n v="235"/>
    <n v="228"/>
    <x v="9"/>
    <x v="287"/>
    <x v="4"/>
    <n v="7"/>
    <x v="0"/>
    <d v="2025-11-26T07:39:00"/>
    <x v="56"/>
    <x v="6"/>
    <n v="4434"/>
    <n v="5"/>
    <n v="22170"/>
    <x v="2"/>
  </r>
  <r>
    <n v="143"/>
    <n v="68"/>
    <x v="1"/>
    <x v="157"/>
    <x v="4"/>
    <n v="7"/>
    <x v="0"/>
    <d v="2025-11-26T08:59:00"/>
    <x v="56"/>
    <x v="7"/>
    <n v="7099"/>
    <n v="2"/>
    <n v="14198"/>
    <x v="1"/>
  </r>
  <r>
    <n v="509"/>
    <n v="188"/>
    <x v="0"/>
    <x v="322"/>
    <x v="5"/>
    <n v="4"/>
    <x v="0"/>
    <d v="2025-11-26T09:08:00"/>
    <x v="56"/>
    <x v="8"/>
    <n v="1377"/>
    <n v="5"/>
    <n v="6885"/>
    <x v="2"/>
  </r>
  <r>
    <n v="726"/>
    <n v="269"/>
    <x v="2"/>
    <x v="45"/>
    <x v="3"/>
    <n v="1"/>
    <x v="0"/>
    <d v="2025-11-26T09:11:00"/>
    <x v="56"/>
    <x v="8"/>
    <n v="7664"/>
    <n v="2"/>
    <n v="15328"/>
    <x v="1"/>
  </r>
  <r>
    <n v="429"/>
    <n v="243"/>
    <x v="3"/>
    <x v="290"/>
    <x v="5"/>
    <n v="4"/>
    <x v="0"/>
    <d v="2025-11-26T09:35:00"/>
    <x v="56"/>
    <x v="8"/>
    <n v="1458"/>
    <n v="2"/>
    <n v="2916"/>
    <x v="2"/>
  </r>
  <r>
    <n v="719"/>
    <n v="217"/>
    <x v="2"/>
    <x v="226"/>
    <x v="5"/>
    <n v="4"/>
    <x v="0"/>
    <d v="2025-11-26T10:01:00"/>
    <x v="56"/>
    <x v="9"/>
    <n v="60"/>
    <n v="2"/>
    <n v="120"/>
    <x v="3"/>
  </r>
  <r>
    <n v="681"/>
    <n v="184"/>
    <x v="1"/>
    <x v="199"/>
    <x v="5"/>
    <n v="4"/>
    <x v="0"/>
    <d v="2025-11-26T10:29:00"/>
    <x v="56"/>
    <x v="9"/>
    <n v="50"/>
    <n v="5"/>
    <n v="250"/>
    <x v="3"/>
  </r>
  <r>
    <n v="141"/>
    <n v="62"/>
    <x v="3"/>
    <x v="91"/>
    <x v="3"/>
    <n v="1"/>
    <x v="0"/>
    <d v="2025-11-26T10:37:00"/>
    <x v="56"/>
    <x v="9"/>
    <n v="4893"/>
    <n v="5"/>
    <n v="24465"/>
    <x v="2"/>
  </r>
  <r>
    <n v="192"/>
    <n v="101"/>
    <x v="1"/>
    <x v="23"/>
    <x v="5"/>
    <n v="4"/>
    <x v="0"/>
    <d v="2025-11-26T10:37:00"/>
    <x v="56"/>
    <x v="9"/>
    <n v="50"/>
    <n v="5"/>
    <n v="250"/>
    <x v="3"/>
  </r>
  <r>
    <n v="571"/>
    <n v="135"/>
    <x v="3"/>
    <x v="56"/>
    <x v="5"/>
    <n v="4"/>
    <x v="0"/>
    <d v="2025-11-26T12:06:00"/>
    <x v="56"/>
    <x v="11"/>
    <n v="1100"/>
    <n v="2"/>
    <n v="2200"/>
    <x v="2"/>
  </r>
  <r>
    <n v="424"/>
    <n v="60"/>
    <x v="4"/>
    <x v="241"/>
    <x v="1"/>
    <n v="6"/>
    <x v="1"/>
    <d v="2025-11-26T12:14:00"/>
    <x v="56"/>
    <x v="11"/>
    <n v="9663"/>
    <n v="0"/>
    <n v="0"/>
    <x v="1"/>
  </r>
  <r>
    <n v="151"/>
    <n v="154"/>
    <x v="5"/>
    <x v="285"/>
    <x v="1"/>
    <n v="6"/>
    <x v="0"/>
    <d v="2025-11-26T12:44:00"/>
    <x v="56"/>
    <x v="11"/>
    <n v="10989"/>
    <n v="5"/>
    <n v="54945"/>
    <x v="0"/>
  </r>
  <r>
    <n v="381"/>
    <n v="31"/>
    <x v="2"/>
    <x v="341"/>
    <x v="5"/>
    <n v="4"/>
    <x v="0"/>
    <d v="2025-11-26T13:16:00"/>
    <x v="56"/>
    <x v="21"/>
    <n v="504"/>
    <n v="5"/>
    <n v="2520"/>
    <x v="3"/>
  </r>
  <r>
    <n v="682"/>
    <n v="137"/>
    <x v="1"/>
    <x v="23"/>
    <x v="5"/>
    <n v="4"/>
    <x v="1"/>
    <d v="2025-11-26T13:41:00"/>
    <x v="56"/>
    <x v="21"/>
    <n v="900"/>
    <n v="0"/>
    <n v="0"/>
    <x v="3"/>
  </r>
  <r>
    <n v="141"/>
    <n v="164"/>
    <x v="0"/>
    <x v="300"/>
    <x v="6"/>
    <n v="5"/>
    <x v="1"/>
    <d v="2025-11-26T13:51:00"/>
    <x v="56"/>
    <x v="21"/>
    <n v="3269"/>
    <n v="0"/>
    <n v="0"/>
    <x v="2"/>
  </r>
  <r>
    <n v="680"/>
    <n v="244"/>
    <x v="5"/>
    <x v="141"/>
    <x v="5"/>
    <n v="4"/>
    <x v="0"/>
    <d v="2025-11-26T13:59:00"/>
    <x v="56"/>
    <x v="21"/>
    <n v="594"/>
    <n v="5"/>
    <n v="2970"/>
    <x v="3"/>
  </r>
  <r>
    <n v="177"/>
    <n v="199"/>
    <x v="5"/>
    <x v="352"/>
    <x v="2"/>
    <n v="3"/>
    <x v="0"/>
    <d v="2025-11-26T14:23:00"/>
    <x v="56"/>
    <x v="12"/>
    <n v="5463"/>
    <n v="2"/>
    <n v="10926"/>
    <x v="1"/>
  </r>
  <r>
    <n v="523"/>
    <n v="75"/>
    <x v="4"/>
    <x v="331"/>
    <x v="2"/>
    <n v="3"/>
    <x v="0"/>
    <d v="2025-11-26T15:17:00"/>
    <x v="56"/>
    <x v="13"/>
    <n v="5771"/>
    <n v="5"/>
    <n v="28855"/>
    <x v="1"/>
  </r>
  <r>
    <n v="75"/>
    <n v="290"/>
    <x v="8"/>
    <x v="272"/>
    <x v="3"/>
    <n v="1"/>
    <x v="0"/>
    <d v="2025-11-26T16:34:00"/>
    <x v="56"/>
    <x v="14"/>
    <n v="7064"/>
    <n v="5"/>
    <n v="35320"/>
    <x v="1"/>
  </r>
  <r>
    <n v="371"/>
    <n v="116"/>
    <x v="2"/>
    <x v="340"/>
    <x v="1"/>
    <n v="6"/>
    <x v="0"/>
    <d v="2025-11-26T16:37:00"/>
    <x v="56"/>
    <x v="14"/>
    <n v="4624"/>
    <n v="5"/>
    <n v="23120"/>
    <x v="2"/>
  </r>
  <r>
    <n v="44"/>
    <n v="165"/>
    <x v="0"/>
    <x v="227"/>
    <x v="2"/>
    <n v="3"/>
    <x v="0"/>
    <d v="2025-11-26T16:42:00"/>
    <x v="56"/>
    <x v="14"/>
    <n v="3658"/>
    <n v="2"/>
    <n v="7316"/>
    <x v="2"/>
  </r>
  <r>
    <n v="401"/>
    <n v="231"/>
    <x v="5"/>
    <x v="78"/>
    <x v="5"/>
    <n v="4"/>
    <x v="0"/>
    <d v="2025-11-26T17:59:00"/>
    <x v="56"/>
    <x v="15"/>
    <n v="672"/>
    <n v="5"/>
    <n v="3360"/>
    <x v="3"/>
  </r>
  <r>
    <n v="630"/>
    <n v="261"/>
    <x v="4"/>
    <x v="270"/>
    <x v="2"/>
    <n v="3"/>
    <x v="1"/>
    <d v="2025-11-26T18:34:00"/>
    <x v="56"/>
    <x v="16"/>
    <n v="3523"/>
    <n v="0"/>
    <n v="0"/>
    <x v="2"/>
  </r>
  <r>
    <n v="614"/>
    <n v="267"/>
    <x v="4"/>
    <x v="153"/>
    <x v="5"/>
    <n v="4"/>
    <x v="0"/>
    <d v="2025-11-26T19:31:00"/>
    <x v="56"/>
    <x v="22"/>
    <n v="1012"/>
    <n v="2"/>
    <n v="2024"/>
    <x v="2"/>
  </r>
  <r>
    <n v="615"/>
    <n v="16"/>
    <x v="1"/>
    <x v="173"/>
    <x v="5"/>
    <n v="4"/>
    <x v="0"/>
    <d v="2025-11-26T19:37:00"/>
    <x v="56"/>
    <x v="22"/>
    <n v="693"/>
    <n v="2"/>
    <n v="1386"/>
    <x v="3"/>
  </r>
  <r>
    <n v="722"/>
    <n v="75"/>
    <x v="3"/>
    <x v="304"/>
    <x v="1"/>
    <n v="6"/>
    <x v="0"/>
    <d v="2025-11-26T20:00:00"/>
    <x v="56"/>
    <x v="17"/>
    <n v="8670"/>
    <n v="5"/>
    <n v="43350"/>
    <x v="1"/>
  </r>
  <r>
    <n v="403"/>
    <n v="144"/>
    <x v="6"/>
    <x v="57"/>
    <x v="0"/>
    <n v="2"/>
    <x v="1"/>
    <d v="2025-11-26T20:32:00"/>
    <x v="56"/>
    <x v="17"/>
    <n v="14328"/>
    <n v="0"/>
    <n v="0"/>
    <x v="0"/>
  </r>
  <r>
    <n v="549"/>
    <n v="168"/>
    <x v="6"/>
    <x v="336"/>
    <x v="1"/>
    <n v="6"/>
    <x v="0"/>
    <d v="2025-11-26T21:02:00"/>
    <x v="56"/>
    <x v="23"/>
    <n v="9742"/>
    <n v="2"/>
    <n v="19484"/>
    <x v="1"/>
  </r>
  <r>
    <n v="396"/>
    <n v="287"/>
    <x v="3"/>
    <x v="68"/>
    <x v="2"/>
    <n v="3"/>
    <x v="0"/>
    <d v="2025-11-26T21:16:00"/>
    <x v="56"/>
    <x v="23"/>
    <n v="4064"/>
    <n v="5"/>
    <n v="20320"/>
    <x v="2"/>
  </r>
  <r>
    <n v="588"/>
    <n v="71"/>
    <x v="9"/>
    <x v="180"/>
    <x v="3"/>
    <n v="1"/>
    <x v="1"/>
    <d v="2025-11-26T21:17:00"/>
    <x v="56"/>
    <x v="23"/>
    <n v="6697"/>
    <n v="0"/>
    <n v="0"/>
    <x v="1"/>
  </r>
  <r>
    <n v="502"/>
    <n v="176"/>
    <x v="1"/>
    <x v="194"/>
    <x v="3"/>
    <n v="1"/>
    <x v="1"/>
    <d v="2025-11-26T21:40:00"/>
    <x v="56"/>
    <x v="23"/>
    <n v="4816"/>
    <n v="0"/>
    <n v="0"/>
    <x v="2"/>
  </r>
  <r>
    <n v="258"/>
    <n v="138"/>
    <x v="9"/>
    <x v="151"/>
    <x v="5"/>
    <n v="4"/>
    <x v="1"/>
    <d v="2025-11-26T21:48:00"/>
    <x v="56"/>
    <x v="23"/>
    <n v="1205"/>
    <n v="0"/>
    <n v="0"/>
    <x v="2"/>
  </r>
  <r>
    <n v="234"/>
    <n v="161"/>
    <x v="9"/>
    <x v="112"/>
    <x v="3"/>
    <n v="1"/>
    <x v="0"/>
    <d v="2025-11-26T22:03:00"/>
    <x v="56"/>
    <x v="18"/>
    <n v="3169"/>
    <n v="5"/>
    <n v="15845"/>
    <x v="2"/>
  </r>
  <r>
    <n v="357"/>
    <n v="157"/>
    <x v="9"/>
    <x v="128"/>
    <x v="0"/>
    <n v="2"/>
    <x v="1"/>
    <d v="2025-11-26T23:27:00"/>
    <x v="56"/>
    <x v="19"/>
    <n v="9233"/>
    <n v="0"/>
    <n v="0"/>
    <x v="1"/>
  </r>
  <r>
    <n v="422"/>
    <n v="143"/>
    <x v="3"/>
    <x v="247"/>
    <x v="1"/>
    <n v="6"/>
    <x v="0"/>
    <d v="2025-11-26T23:41:00"/>
    <x v="56"/>
    <x v="19"/>
    <n v="5114"/>
    <n v="2"/>
    <n v="10228"/>
    <x v="1"/>
  </r>
  <r>
    <n v="787"/>
    <n v="72"/>
    <x v="2"/>
    <x v="361"/>
    <x v="6"/>
    <n v="5"/>
    <x v="0"/>
    <d v="2025-11-27T00:29:00"/>
    <x v="57"/>
    <x v="0"/>
    <n v="1986"/>
    <n v="5"/>
    <n v="9930"/>
    <x v="2"/>
  </r>
  <r>
    <n v="556"/>
    <n v="284"/>
    <x v="6"/>
    <x v="76"/>
    <x v="0"/>
    <n v="2"/>
    <x v="0"/>
    <d v="2025-11-27T00:35:00"/>
    <x v="57"/>
    <x v="0"/>
    <n v="8730"/>
    <n v="5"/>
    <n v="43650"/>
    <x v="1"/>
  </r>
  <r>
    <n v="533"/>
    <n v="89"/>
    <x v="8"/>
    <x v="272"/>
    <x v="3"/>
    <n v="1"/>
    <x v="0"/>
    <d v="2025-11-27T01:04:00"/>
    <x v="57"/>
    <x v="1"/>
    <n v="3534"/>
    <n v="2"/>
    <n v="7068"/>
    <x v="2"/>
  </r>
  <r>
    <n v="211"/>
    <n v="173"/>
    <x v="7"/>
    <x v="288"/>
    <x v="2"/>
    <n v="3"/>
    <x v="0"/>
    <d v="2025-11-27T02:44:00"/>
    <x v="57"/>
    <x v="2"/>
    <n v="2630"/>
    <n v="2"/>
    <n v="5260"/>
    <x v="2"/>
  </r>
  <r>
    <n v="252"/>
    <n v="201"/>
    <x v="8"/>
    <x v="243"/>
    <x v="1"/>
    <n v="6"/>
    <x v="0"/>
    <d v="2025-11-27T02:47:00"/>
    <x v="57"/>
    <x v="2"/>
    <n v="5130"/>
    <n v="5"/>
    <n v="25650"/>
    <x v="1"/>
  </r>
  <r>
    <n v="471"/>
    <n v="276"/>
    <x v="7"/>
    <x v="25"/>
    <x v="0"/>
    <n v="2"/>
    <x v="0"/>
    <d v="2025-11-27T02:47:00"/>
    <x v="57"/>
    <x v="2"/>
    <n v="12102"/>
    <n v="2"/>
    <n v="24204"/>
    <x v="0"/>
  </r>
  <r>
    <n v="74"/>
    <n v="130"/>
    <x v="7"/>
    <x v="163"/>
    <x v="3"/>
    <n v="1"/>
    <x v="1"/>
    <d v="2025-11-27T03:02:00"/>
    <x v="57"/>
    <x v="3"/>
    <n v="3670"/>
    <n v="0"/>
    <n v="0"/>
    <x v="2"/>
  </r>
  <r>
    <n v="4"/>
    <n v="35"/>
    <x v="3"/>
    <x v="324"/>
    <x v="4"/>
    <n v="7"/>
    <x v="0"/>
    <d v="2025-11-27T03:05:00"/>
    <x v="57"/>
    <x v="3"/>
    <n v="2511"/>
    <n v="5"/>
    <n v="12555"/>
    <x v="2"/>
  </r>
  <r>
    <n v="564"/>
    <n v="299"/>
    <x v="8"/>
    <x v="140"/>
    <x v="5"/>
    <n v="4"/>
    <x v="1"/>
    <d v="2025-11-27T03:42:00"/>
    <x v="57"/>
    <x v="3"/>
    <n v="366"/>
    <n v="0"/>
    <n v="0"/>
    <x v="3"/>
  </r>
  <r>
    <n v="204"/>
    <n v="137"/>
    <x v="9"/>
    <x v="287"/>
    <x v="4"/>
    <n v="7"/>
    <x v="0"/>
    <d v="2025-11-27T04:47:00"/>
    <x v="57"/>
    <x v="4"/>
    <n v="3830"/>
    <n v="2"/>
    <n v="7660"/>
    <x v="2"/>
  </r>
  <r>
    <n v="111"/>
    <n v="244"/>
    <x v="8"/>
    <x v="272"/>
    <x v="3"/>
    <n v="1"/>
    <x v="1"/>
    <d v="2025-11-27T05:02:00"/>
    <x v="57"/>
    <x v="20"/>
    <n v="1435"/>
    <n v="0"/>
    <n v="0"/>
    <x v="2"/>
  </r>
  <r>
    <n v="144"/>
    <n v="93"/>
    <x v="6"/>
    <x v="296"/>
    <x v="4"/>
    <n v="7"/>
    <x v="0"/>
    <d v="2025-11-27T05:10:00"/>
    <x v="57"/>
    <x v="20"/>
    <n v="5079"/>
    <n v="5"/>
    <n v="25395"/>
    <x v="1"/>
  </r>
  <r>
    <n v="72"/>
    <n v="143"/>
    <x v="0"/>
    <x v="172"/>
    <x v="5"/>
    <n v="4"/>
    <x v="0"/>
    <d v="2025-11-27T05:25:00"/>
    <x v="57"/>
    <x v="20"/>
    <n v="286"/>
    <n v="5"/>
    <n v="1430"/>
    <x v="3"/>
  </r>
  <r>
    <n v="131"/>
    <n v="50"/>
    <x v="3"/>
    <x v="74"/>
    <x v="1"/>
    <n v="6"/>
    <x v="0"/>
    <d v="2025-11-27T05:59:00"/>
    <x v="57"/>
    <x v="20"/>
    <n v="3840"/>
    <n v="5"/>
    <n v="19200"/>
    <x v="2"/>
  </r>
  <r>
    <n v="677"/>
    <n v="291"/>
    <x v="5"/>
    <x v="29"/>
    <x v="5"/>
    <n v="4"/>
    <x v="0"/>
    <d v="2025-11-27T05:59:00"/>
    <x v="57"/>
    <x v="20"/>
    <n v="1472"/>
    <n v="5"/>
    <n v="7360"/>
    <x v="2"/>
  </r>
  <r>
    <n v="640"/>
    <n v="142"/>
    <x v="1"/>
    <x v="199"/>
    <x v="5"/>
    <n v="4"/>
    <x v="0"/>
    <d v="2025-11-27T06:23:00"/>
    <x v="57"/>
    <x v="5"/>
    <n v="50"/>
    <n v="5"/>
    <n v="250"/>
    <x v="3"/>
  </r>
  <r>
    <n v="226"/>
    <n v="293"/>
    <x v="5"/>
    <x v="179"/>
    <x v="0"/>
    <n v="2"/>
    <x v="0"/>
    <d v="2025-11-27T06:48:00"/>
    <x v="57"/>
    <x v="5"/>
    <n v="8676"/>
    <n v="2"/>
    <n v="17352"/>
    <x v="1"/>
  </r>
  <r>
    <n v="156"/>
    <n v="12"/>
    <x v="6"/>
    <x v="310"/>
    <x v="0"/>
    <n v="2"/>
    <x v="1"/>
    <d v="2025-11-27T07:15:00"/>
    <x v="57"/>
    <x v="6"/>
    <n v="8452"/>
    <n v="0"/>
    <n v="0"/>
    <x v="1"/>
  </r>
  <r>
    <n v="176"/>
    <n v="197"/>
    <x v="6"/>
    <x v="279"/>
    <x v="4"/>
    <n v="7"/>
    <x v="0"/>
    <d v="2025-11-27T07:22:00"/>
    <x v="57"/>
    <x v="6"/>
    <n v="6134"/>
    <n v="5"/>
    <n v="30670"/>
    <x v="1"/>
  </r>
  <r>
    <n v="165"/>
    <n v="47"/>
    <x v="9"/>
    <x v="51"/>
    <x v="3"/>
    <n v="1"/>
    <x v="0"/>
    <d v="2025-11-27T07:55:00"/>
    <x v="57"/>
    <x v="6"/>
    <n v="2741"/>
    <n v="5"/>
    <n v="13705"/>
    <x v="2"/>
  </r>
  <r>
    <n v="498"/>
    <n v="64"/>
    <x v="9"/>
    <x v="113"/>
    <x v="5"/>
    <n v="4"/>
    <x v="0"/>
    <d v="2025-11-27T07:58:00"/>
    <x v="57"/>
    <x v="6"/>
    <n v="1398"/>
    <n v="2"/>
    <n v="2796"/>
    <x v="2"/>
  </r>
  <r>
    <n v="248"/>
    <n v="236"/>
    <x v="2"/>
    <x v="291"/>
    <x v="1"/>
    <n v="6"/>
    <x v="0"/>
    <d v="2025-11-27T08:04:00"/>
    <x v="57"/>
    <x v="7"/>
    <n v="3493"/>
    <n v="5"/>
    <n v="17465"/>
    <x v="2"/>
  </r>
  <r>
    <n v="287"/>
    <n v="55"/>
    <x v="4"/>
    <x v="316"/>
    <x v="0"/>
    <n v="2"/>
    <x v="1"/>
    <d v="2025-11-27T08:59:00"/>
    <x v="57"/>
    <x v="7"/>
    <n v="13871"/>
    <n v="0"/>
    <n v="0"/>
    <x v="0"/>
  </r>
  <r>
    <n v="594"/>
    <n v="198"/>
    <x v="7"/>
    <x v="255"/>
    <x v="6"/>
    <n v="5"/>
    <x v="1"/>
    <d v="2025-11-27T09:35:00"/>
    <x v="57"/>
    <x v="8"/>
    <n v="800"/>
    <n v="0"/>
    <n v="0"/>
    <x v="3"/>
  </r>
  <r>
    <n v="84"/>
    <n v="210"/>
    <x v="5"/>
    <x v="382"/>
    <x v="6"/>
    <n v="5"/>
    <x v="0"/>
    <d v="2025-11-27T09:35:00"/>
    <x v="57"/>
    <x v="8"/>
    <n v="2536"/>
    <n v="2"/>
    <n v="5072"/>
    <x v="2"/>
  </r>
  <r>
    <n v="394"/>
    <n v="195"/>
    <x v="4"/>
    <x v="380"/>
    <x v="0"/>
    <n v="2"/>
    <x v="1"/>
    <d v="2025-11-27T09:43:00"/>
    <x v="57"/>
    <x v="8"/>
    <n v="11302"/>
    <n v="0"/>
    <n v="0"/>
    <x v="0"/>
  </r>
  <r>
    <n v="690"/>
    <n v="252"/>
    <x v="7"/>
    <x v="209"/>
    <x v="0"/>
    <n v="2"/>
    <x v="0"/>
    <d v="2025-11-27T09:49:00"/>
    <x v="57"/>
    <x v="8"/>
    <n v="4454"/>
    <n v="5"/>
    <n v="22270"/>
    <x v="2"/>
  </r>
  <r>
    <n v="22"/>
    <n v="256"/>
    <x v="6"/>
    <x v="57"/>
    <x v="0"/>
    <n v="2"/>
    <x v="0"/>
    <d v="2025-11-27T09:58:00"/>
    <x v="57"/>
    <x v="8"/>
    <n v="11222"/>
    <n v="2"/>
    <n v="22444"/>
    <x v="0"/>
  </r>
  <r>
    <n v="622"/>
    <n v="106"/>
    <x v="2"/>
    <x v="97"/>
    <x v="6"/>
    <n v="5"/>
    <x v="0"/>
    <d v="2025-11-27T10:05:00"/>
    <x v="57"/>
    <x v="9"/>
    <n v="2993"/>
    <n v="5"/>
    <n v="14965"/>
    <x v="2"/>
  </r>
  <r>
    <n v="716"/>
    <n v="194"/>
    <x v="1"/>
    <x v="23"/>
    <x v="5"/>
    <n v="4"/>
    <x v="0"/>
    <d v="2025-11-27T10:07:00"/>
    <x v="57"/>
    <x v="9"/>
    <n v="686"/>
    <n v="5"/>
    <n v="3430"/>
    <x v="3"/>
  </r>
  <r>
    <n v="322"/>
    <n v="181"/>
    <x v="5"/>
    <x v="89"/>
    <x v="2"/>
    <n v="3"/>
    <x v="0"/>
    <d v="2025-11-27T10:23:00"/>
    <x v="57"/>
    <x v="9"/>
    <n v="2885"/>
    <n v="2"/>
    <n v="5770"/>
    <x v="2"/>
  </r>
  <r>
    <n v="298"/>
    <n v="119"/>
    <x v="5"/>
    <x v="164"/>
    <x v="3"/>
    <n v="1"/>
    <x v="1"/>
    <d v="2025-11-27T10:58:00"/>
    <x v="57"/>
    <x v="9"/>
    <n v="4258"/>
    <n v="0"/>
    <n v="0"/>
    <x v="2"/>
  </r>
  <r>
    <n v="703"/>
    <n v="289"/>
    <x v="8"/>
    <x v="214"/>
    <x v="5"/>
    <n v="4"/>
    <x v="0"/>
    <d v="2025-11-27T11:23:00"/>
    <x v="57"/>
    <x v="10"/>
    <n v="934"/>
    <n v="5"/>
    <n v="4670"/>
    <x v="3"/>
  </r>
  <r>
    <n v="731"/>
    <n v="12"/>
    <x v="1"/>
    <x v="70"/>
    <x v="6"/>
    <n v="5"/>
    <x v="0"/>
    <d v="2025-11-27T11:52:00"/>
    <x v="57"/>
    <x v="10"/>
    <n v="1929"/>
    <n v="5"/>
    <n v="9645"/>
    <x v="2"/>
  </r>
  <r>
    <n v="391"/>
    <n v="11"/>
    <x v="6"/>
    <x v="262"/>
    <x v="5"/>
    <n v="4"/>
    <x v="0"/>
    <d v="2025-11-27T11:55:00"/>
    <x v="57"/>
    <x v="10"/>
    <n v="938"/>
    <n v="5"/>
    <n v="4690"/>
    <x v="3"/>
  </r>
  <r>
    <n v="92"/>
    <n v="224"/>
    <x v="8"/>
    <x v="37"/>
    <x v="3"/>
    <n v="1"/>
    <x v="0"/>
    <d v="2025-11-27T13:15:00"/>
    <x v="57"/>
    <x v="21"/>
    <n v="5044"/>
    <n v="5"/>
    <n v="25220"/>
    <x v="1"/>
  </r>
  <r>
    <n v="376"/>
    <n v="134"/>
    <x v="5"/>
    <x v="86"/>
    <x v="2"/>
    <n v="3"/>
    <x v="1"/>
    <d v="2025-11-27T14:03:00"/>
    <x v="57"/>
    <x v="12"/>
    <n v="3566"/>
    <n v="0"/>
    <n v="0"/>
    <x v="2"/>
  </r>
  <r>
    <n v="600"/>
    <n v="265"/>
    <x v="4"/>
    <x v="120"/>
    <x v="6"/>
    <n v="5"/>
    <x v="0"/>
    <d v="2025-11-27T14:46:00"/>
    <x v="57"/>
    <x v="12"/>
    <n v="2640"/>
    <n v="2"/>
    <n v="5280"/>
    <x v="2"/>
  </r>
  <r>
    <n v="391"/>
    <n v="187"/>
    <x v="5"/>
    <x v="29"/>
    <x v="5"/>
    <n v="4"/>
    <x v="1"/>
    <d v="2025-11-27T15:32:00"/>
    <x v="57"/>
    <x v="13"/>
    <n v="1347"/>
    <n v="0"/>
    <n v="0"/>
    <x v="2"/>
  </r>
  <r>
    <n v="725"/>
    <n v="82"/>
    <x v="5"/>
    <x v="257"/>
    <x v="3"/>
    <n v="1"/>
    <x v="0"/>
    <d v="2025-11-27T16:44:00"/>
    <x v="57"/>
    <x v="14"/>
    <n v="1582"/>
    <n v="5"/>
    <n v="7910"/>
    <x v="2"/>
  </r>
  <r>
    <n v="257"/>
    <n v="41"/>
    <x v="3"/>
    <x v="365"/>
    <x v="6"/>
    <n v="5"/>
    <x v="1"/>
    <d v="2025-11-27T17:05:00"/>
    <x v="57"/>
    <x v="15"/>
    <n v="1293"/>
    <n v="0"/>
    <n v="0"/>
    <x v="2"/>
  </r>
  <r>
    <n v="301"/>
    <n v="73"/>
    <x v="8"/>
    <x v="41"/>
    <x v="0"/>
    <n v="2"/>
    <x v="0"/>
    <d v="2025-11-27T17:11:00"/>
    <x v="57"/>
    <x v="15"/>
    <n v="12535"/>
    <n v="5"/>
    <n v="62675"/>
    <x v="0"/>
  </r>
  <r>
    <n v="420"/>
    <n v="160"/>
    <x v="4"/>
    <x v="153"/>
    <x v="5"/>
    <n v="4"/>
    <x v="0"/>
    <d v="2025-11-27T17:36:00"/>
    <x v="57"/>
    <x v="15"/>
    <n v="884"/>
    <n v="2"/>
    <n v="1768"/>
    <x v="3"/>
  </r>
  <r>
    <n v="95"/>
    <n v="27"/>
    <x v="1"/>
    <x v="161"/>
    <x v="0"/>
    <n v="2"/>
    <x v="0"/>
    <d v="2025-11-27T18:12:00"/>
    <x v="57"/>
    <x v="16"/>
    <n v="6796"/>
    <n v="5"/>
    <n v="33980"/>
    <x v="1"/>
  </r>
  <r>
    <n v="562"/>
    <n v="241"/>
    <x v="4"/>
    <x v="190"/>
    <x v="3"/>
    <n v="1"/>
    <x v="1"/>
    <d v="2025-11-27T18:47:00"/>
    <x v="57"/>
    <x v="16"/>
    <n v="5825"/>
    <n v="0"/>
    <n v="0"/>
    <x v="1"/>
  </r>
  <r>
    <n v="201"/>
    <n v="40"/>
    <x v="5"/>
    <x v="29"/>
    <x v="5"/>
    <n v="4"/>
    <x v="0"/>
    <d v="2025-11-27T19:07:00"/>
    <x v="57"/>
    <x v="22"/>
    <n v="801"/>
    <n v="5"/>
    <n v="4005"/>
    <x v="3"/>
  </r>
  <r>
    <n v="184"/>
    <n v="274"/>
    <x v="1"/>
    <x v="199"/>
    <x v="5"/>
    <n v="4"/>
    <x v="1"/>
    <d v="2025-11-27T19:09:00"/>
    <x v="57"/>
    <x v="22"/>
    <n v="382"/>
    <n v="0"/>
    <n v="0"/>
    <x v="3"/>
  </r>
  <r>
    <n v="780"/>
    <n v="189"/>
    <x v="8"/>
    <x v="272"/>
    <x v="3"/>
    <n v="1"/>
    <x v="0"/>
    <d v="2025-11-27T19:21:00"/>
    <x v="57"/>
    <x v="22"/>
    <n v="2214"/>
    <n v="5"/>
    <n v="11070"/>
    <x v="2"/>
  </r>
  <r>
    <n v="252"/>
    <n v="5"/>
    <x v="3"/>
    <x v="123"/>
    <x v="1"/>
    <n v="6"/>
    <x v="1"/>
    <d v="2025-11-27T20:28:00"/>
    <x v="57"/>
    <x v="17"/>
    <n v="4809"/>
    <n v="0"/>
    <n v="0"/>
    <x v="2"/>
  </r>
  <r>
    <n v="22"/>
    <n v="257"/>
    <x v="7"/>
    <x v="26"/>
    <x v="6"/>
    <n v="5"/>
    <x v="0"/>
    <d v="2025-11-27T20:52:00"/>
    <x v="57"/>
    <x v="17"/>
    <n v="2020"/>
    <n v="5"/>
    <n v="10100"/>
    <x v="2"/>
  </r>
  <r>
    <n v="172"/>
    <n v="25"/>
    <x v="2"/>
    <x v="291"/>
    <x v="1"/>
    <n v="6"/>
    <x v="0"/>
    <d v="2025-11-27T21:12:00"/>
    <x v="57"/>
    <x v="23"/>
    <n v="10094"/>
    <n v="5"/>
    <n v="50470"/>
    <x v="0"/>
  </r>
  <r>
    <n v="624"/>
    <n v="189"/>
    <x v="4"/>
    <x v="6"/>
    <x v="3"/>
    <n v="1"/>
    <x v="0"/>
    <d v="2025-11-27T21:20:00"/>
    <x v="57"/>
    <x v="23"/>
    <n v="4721"/>
    <n v="5"/>
    <n v="23605"/>
    <x v="2"/>
  </r>
  <r>
    <n v="252"/>
    <n v="233"/>
    <x v="7"/>
    <x v="236"/>
    <x v="5"/>
    <n v="4"/>
    <x v="0"/>
    <d v="2025-11-27T21:33:00"/>
    <x v="57"/>
    <x v="23"/>
    <n v="1425"/>
    <n v="5"/>
    <n v="7125"/>
    <x v="2"/>
  </r>
  <r>
    <n v="255"/>
    <n v="83"/>
    <x v="1"/>
    <x v="194"/>
    <x v="3"/>
    <n v="1"/>
    <x v="0"/>
    <d v="2025-11-27T22:32:00"/>
    <x v="57"/>
    <x v="18"/>
    <n v="2597"/>
    <n v="5"/>
    <n v="12985"/>
    <x v="2"/>
  </r>
  <r>
    <n v="387"/>
    <n v="70"/>
    <x v="0"/>
    <x v="105"/>
    <x v="3"/>
    <n v="1"/>
    <x v="0"/>
    <d v="2025-11-27T23:01:00"/>
    <x v="57"/>
    <x v="19"/>
    <n v="6353"/>
    <n v="2"/>
    <n v="12706"/>
    <x v="1"/>
  </r>
  <r>
    <n v="502"/>
    <n v="203"/>
    <x v="8"/>
    <x v="350"/>
    <x v="1"/>
    <n v="6"/>
    <x v="0"/>
    <d v="2025-11-27T23:42:00"/>
    <x v="57"/>
    <x v="19"/>
    <n v="2000"/>
    <n v="5"/>
    <n v="10000"/>
    <x v="2"/>
  </r>
  <r>
    <n v="478"/>
    <n v="267"/>
    <x v="2"/>
    <x v="64"/>
    <x v="0"/>
    <n v="2"/>
    <x v="0"/>
    <d v="2025-11-27T23:59:00"/>
    <x v="57"/>
    <x v="19"/>
    <n v="13093"/>
    <n v="5"/>
    <n v="65465"/>
    <x v="0"/>
  </r>
  <r>
    <n v="770"/>
    <n v="129"/>
    <x v="9"/>
    <x v="182"/>
    <x v="5"/>
    <n v="4"/>
    <x v="0"/>
    <d v="2025-11-28T00:25:00"/>
    <x v="58"/>
    <x v="0"/>
    <n v="884"/>
    <n v="5"/>
    <n v="4420"/>
    <x v="3"/>
  </r>
  <r>
    <n v="512"/>
    <n v="65"/>
    <x v="4"/>
    <x v="335"/>
    <x v="6"/>
    <n v="5"/>
    <x v="0"/>
    <d v="2025-11-28T00:32:00"/>
    <x v="58"/>
    <x v="0"/>
    <n v="2952"/>
    <n v="5"/>
    <n v="14760"/>
    <x v="2"/>
  </r>
  <r>
    <n v="377"/>
    <n v="153"/>
    <x v="1"/>
    <x v="266"/>
    <x v="6"/>
    <n v="5"/>
    <x v="0"/>
    <d v="2025-11-28T01:05:00"/>
    <x v="58"/>
    <x v="1"/>
    <n v="854"/>
    <n v="5"/>
    <n v="4270"/>
    <x v="3"/>
  </r>
  <r>
    <n v="385"/>
    <n v="154"/>
    <x v="2"/>
    <x v="108"/>
    <x v="5"/>
    <n v="4"/>
    <x v="0"/>
    <d v="2025-11-28T01:20:00"/>
    <x v="58"/>
    <x v="1"/>
    <n v="395"/>
    <n v="5"/>
    <n v="1975"/>
    <x v="3"/>
  </r>
  <r>
    <n v="204"/>
    <n v="9"/>
    <x v="6"/>
    <x v="373"/>
    <x v="1"/>
    <n v="6"/>
    <x v="0"/>
    <d v="2025-11-28T01:35:00"/>
    <x v="58"/>
    <x v="1"/>
    <n v="7933"/>
    <n v="5"/>
    <n v="39665"/>
    <x v="1"/>
  </r>
  <r>
    <n v="605"/>
    <n v="72"/>
    <x v="4"/>
    <x v="93"/>
    <x v="5"/>
    <n v="4"/>
    <x v="0"/>
    <d v="2025-11-28T02:03:00"/>
    <x v="58"/>
    <x v="2"/>
    <n v="513"/>
    <n v="5"/>
    <n v="2565"/>
    <x v="3"/>
  </r>
  <r>
    <n v="146"/>
    <n v="9"/>
    <x v="2"/>
    <x v="90"/>
    <x v="0"/>
    <n v="2"/>
    <x v="0"/>
    <d v="2025-11-28T03:16:00"/>
    <x v="58"/>
    <x v="3"/>
    <n v="14588"/>
    <n v="2"/>
    <n v="29176"/>
    <x v="0"/>
  </r>
  <r>
    <n v="409"/>
    <n v="239"/>
    <x v="7"/>
    <x v="54"/>
    <x v="3"/>
    <n v="1"/>
    <x v="0"/>
    <d v="2025-11-28T03:18:00"/>
    <x v="58"/>
    <x v="3"/>
    <n v="2884"/>
    <n v="2"/>
    <n v="5768"/>
    <x v="2"/>
  </r>
  <r>
    <n v="475"/>
    <n v="67"/>
    <x v="6"/>
    <x v="294"/>
    <x v="6"/>
    <n v="5"/>
    <x v="0"/>
    <d v="2025-11-28T04:04:00"/>
    <x v="58"/>
    <x v="4"/>
    <n v="3757"/>
    <n v="5"/>
    <n v="18785"/>
    <x v="2"/>
  </r>
  <r>
    <n v="656"/>
    <n v="52"/>
    <x v="5"/>
    <x v="285"/>
    <x v="1"/>
    <n v="6"/>
    <x v="1"/>
    <d v="2025-11-28T04:13:00"/>
    <x v="58"/>
    <x v="4"/>
    <n v="8638"/>
    <n v="0"/>
    <n v="0"/>
    <x v="1"/>
  </r>
  <r>
    <n v="477"/>
    <n v="198"/>
    <x v="0"/>
    <x v="218"/>
    <x v="5"/>
    <n v="4"/>
    <x v="0"/>
    <d v="2025-11-28T04:28:00"/>
    <x v="58"/>
    <x v="4"/>
    <n v="646"/>
    <n v="5"/>
    <n v="3230"/>
    <x v="3"/>
  </r>
  <r>
    <n v="302"/>
    <n v="182"/>
    <x v="1"/>
    <x v="8"/>
    <x v="3"/>
    <n v="1"/>
    <x v="0"/>
    <d v="2025-11-28T04:29:00"/>
    <x v="58"/>
    <x v="4"/>
    <n v="6373"/>
    <n v="5"/>
    <n v="31865"/>
    <x v="1"/>
  </r>
  <r>
    <n v="42"/>
    <n v="246"/>
    <x v="3"/>
    <x v="232"/>
    <x v="3"/>
    <n v="1"/>
    <x v="0"/>
    <d v="2025-11-28T04:39:00"/>
    <x v="58"/>
    <x v="4"/>
    <n v="7788"/>
    <n v="5"/>
    <n v="38940"/>
    <x v="1"/>
  </r>
  <r>
    <n v="318"/>
    <n v="260"/>
    <x v="6"/>
    <x v="11"/>
    <x v="2"/>
    <n v="3"/>
    <x v="0"/>
    <d v="2025-11-28T04:57:00"/>
    <x v="58"/>
    <x v="4"/>
    <n v="2035"/>
    <n v="5"/>
    <n v="10175"/>
    <x v="2"/>
  </r>
  <r>
    <n v="763"/>
    <n v="288"/>
    <x v="1"/>
    <x v="16"/>
    <x v="5"/>
    <n v="4"/>
    <x v="0"/>
    <d v="2025-11-28T04:59:00"/>
    <x v="58"/>
    <x v="4"/>
    <n v="194"/>
    <n v="5"/>
    <n v="970"/>
    <x v="3"/>
  </r>
  <r>
    <n v="224"/>
    <n v="267"/>
    <x v="0"/>
    <x v="323"/>
    <x v="0"/>
    <n v="2"/>
    <x v="0"/>
    <d v="2025-11-28T05:16:00"/>
    <x v="58"/>
    <x v="20"/>
    <n v="8247"/>
    <n v="5"/>
    <n v="41235"/>
    <x v="1"/>
  </r>
  <r>
    <n v="343"/>
    <n v="236"/>
    <x v="8"/>
    <x v="17"/>
    <x v="2"/>
    <n v="3"/>
    <x v="0"/>
    <d v="2025-11-28T06:26:00"/>
    <x v="58"/>
    <x v="5"/>
    <n v="4353"/>
    <n v="5"/>
    <n v="21765"/>
    <x v="2"/>
  </r>
  <r>
    <n v="377"/>
    <n v="27"/>
    <x v="6"/>
    <x v="262"/>
    <x v="5"/>
    <n v="4"/>
    <x v="0"/>
    <d v="2025-11-28T06:29:00"/>
    <x v="58"/>
    <x v="5"/>
    <n v="878"/>
    <n v="5"/>
    <n v="4390"/>
    <x v="3"/>
  </r>
  <r>
    <n v="449"/>
    <n v="250"/>
    <x v="9"/>
    <x v="51"/>
    <x v="3"/>
    <n v="1"/>
    <x v="1"/>
    <d v="2025-11-28T07:07:00"/>
    <x v="58"/>
    <x v="6"/>
    <n v="7627"/>
    <n v="0"/>
    <n v="0"/>
    <x v="1"/>
  </r>
  <r>
    <n v="683"/>
    <n v="281"/>
    <x v="3"/>
    <x v="290"/>
    <x v="5"/>
    <n v="4"/>
    <x v="0"/>
    <d v="2025-11-28T07:21:00"/>
    <x v="58"/>
    <x v="6"/>
    <n v="1127"/>
    <n v="2"/>
    <n v="2254"/>
    <x v="2"/>
  </r>
  <r>
    <n v="387"/>
    <n v="170"/>
    <x v="1"/>
    <x v="16"/>
    <x v="5"/>
    <n v="4"/>
    <x v="1"/>
    <d v="2025-11-28T07:49:00"/>
    <x v="58"/>
    <x v="6"/>
    <n v="1268"/>
    <n v="0"/>
    <n v="0"/>
    <x v="2"/>
  </r>
  <r>
    <n v="148"/>
    <n v="73"/>
    <x v="8"/>
    <x v="129"/>
    <x v="5"/>
    <n v="4"/>
    <x v="1"/>
    <d v="2025-11-28T07:57:00"/>
    <x v="58"/>
    <x v="6"/>
    <n v="1500"/>
    <n v="0"/>
    <n v="0"/>
    <x v="2"/>
  </r>
  <r>
    <n v="394"/>
    <n v="142"/>
    <x v="1"/>
    <x v="8"/>
    <x v="3"/>
    <n v="1"/>
    <x v="0"/>
    <d v="2025-11-28T08:02:00"/>
    <x v="58"/>
    <x v="7"/>
    <n v="7143"/>
    <n v="5"/>
    <n v="35715"/>
    <x v="1"/>
  </r>
  <r>
    <n v="311"/>
    <n v="7"/>
    <x v="0"/>
    <x v="172"/>
    <x v="5"/>
    <n v="4"/>
    <x v="0"/>
    <d v="2025-11-28T08:07:00"/>
    <x v="58"/>
    <x v="7"/>
    <n v="769"/>
    <n v="5"/>
    <n v="3845"/>
    <x v="3"/>
  </r>
  <r>
    <n v="199"/>
    <n v="214"/>
    <x v="2"/>
    <x v="21"/>
    <x v="3"/>
    <n v="1"/>
    <x v="0"/>
    <d v="2025-11-28T08:08:00"/>
    <x v="58"/>
    <x v="7"/>
    <n v="1988"/>
    <n v="5"/>
    <n v="9940"/>
    <x v="2"/>
  </r>
  <r>
    <n v="262"/>
    <n v="108"/>
    <x v="3"/>
    <x v="370"/>
    <x v="5"/>
    <n v="4"/>
    <x v="0"/>
    <d v="2025-11-28T08:14:00"/>
    <x v="58"/>
    <x v="7"/>
    <n v="378"/>
    <n v="2"/>
    <n v="756"/>
    <x v="3"/>
  </r>
  <r>
    <n v="272"/>
    <n v="248"/>
    <x v="4"/>
    <x v="196"/>
    <x v="5"/>
    <n v="4"/>
    <x v="0"/>
    <d v="2025-11-28T08:43:00"/>
    <x v="58"/>
    <x v="7"/>
    <n v="50"/>
    <n v="2"/>
    <n v="100"/>
    <x v="3"/>
  </r>
  <r>
    <n v="689"/>
    <n v="253"/>
    <x v="8"/>
    <x v="386"/>
    <x v="6"/>
    <n v="5"/>
    <x v="0"/>
    <d v="2025-11-28T09:39:00"/>
    <x v="58"/>
    <x v="8"/>
    <n v="982"/>
    <n v="5"/>
    <n v="4910"/>
    <x v="3"/>
  </r>
  <r>
    <n v="632"/>
    <n v="191"/>
    <x v="8"/>
    <x v="129"/>
    <x v="5"/>
    <n v="4"/>
    <x v="0"/>
    <d v="2025-11-28T10:24:00"/>
    <x v="58"/>
    <x v="9"/>
    <n v="123"/>
    <n v="5"/>
    <n v="615"/>
    <x v="3"/>
  </r>
  <r>
    <n v="562"/>
    <n v="170"/>
    <x v="9"/>
    <x v="55"/>
    <x v="6"/>
    <n v="5"/>
    <x v="0"/>
    <d v="2025-11-28T10:55:00"/>
    <x v="58"/>
    <x v="9"/>
    <n v="2652"/>
    <n v="5"/>
    <n v="13260"/>
    <x v="2"/>
  </r>
  <r>
    <n v="160"/>
    <n v="267"/>
    <x v="6"/>
    <x v="170"/>
    <x v="6"/>
    <n v="5"/>
    <x v="0"/>
    <d v="2025-11-28T10:58:00"/>
    <x v="58"/>
    <x v="9"/>
    <n v="3526"/>
    <n v="5"/>
    <n v="17630"/>
    <x v="2"/>
  </r>
  <r>
    <n v="23"/>
    <n v="223"/>
    <x v="5"/>
    <x v="179"/>
    <x v="0"/>
    <n v="2"/>
    <x v="0"/>
    <d v="2025-11-28T11:07:00"/>
    <x v="58"/>
    <x v="10"/>
    <n v="8674"/>
    <n v="5"/>
    <n v="43370"/>
    <x v="1"/>
  </r>
  <r>
    <n v="308"/>
    <n v="256"/>
    <x v="6"/>
    <x v="139"/>
    <x v="2"/>
    <n v="3"/>
    <x v="1"/>
    <d v="2025-11-28T11:17:00"/>
    <x v="58"/>
    <x v="10"/>
    <n v="5398"/>
    <n v="0"/>
    <n v="0"/>
    <x v="1"/>
  </r>
  <r>
    <n v="264"/>
    <n v="55"/>
    <x v="9"/>
    <x v="113"/>
    <x v="5"/>
    <n v="4"/>
    <x v="0"/>
    <d v="2025-11-28T11:24:00"/>
    <x v="58"/>
    <x v="10"/>
    <n v="704"/>
    <n v="2"/>
    <n v="1408"/>
    <x v="3"/>
  </r>
  <r>
    <n v="255"/>
    <n v="238"/>
    <x v="5"/>
    <x v="89"/>
    <x v="2"/>
    <n v="3"/>
    <x v="0"/>
    <d v="2025-11-28T11:43:00"/>
    <x v="58"/>
    <x v="10"/>
    <n v="2796"/>
    <n v="5"/>
    <n v="13980"/>
    <x v="2"/>
  </r>
  <r>
    <n v="372"/>
    <n v="212"/>
    <x v="3"/>
    <x v="3"/>
    <x v="3"/>
    <n v="1"/>
    <x v="0"/>
    <d v="2025-11-28T12:04:00"/>
    <x v="58"/>
    <x v="11"/>
    <n v="2105"/>
    <n v="5"/>
    <n v="10525"/>
    <x v="2"/>
  </r>
  <r>
    <n v="340"/>
    <n v="154"/>
    <x v="2"/>
    <x v="162"/>
    <x v="6"/>
    <n v="5"/>
    <x v="0"/>
    <d v="2025-11-28T12:15:00"/>
    <x v="58"/>
    <x v="11"/>
    <n v="3845"/>
    <n v="5"/>
    <n v="19225"/>
    <x v="2"/>
  </r>
  <r>
    <n v="493"/>
    <n v="34"/>
    <x v="4"/>
    <x v="335"/>
    <x v="6"/>
    <n v="5"/>
    <x v="0"/>
    <d v="2025-11-28T12:27:00"/>
    <x v="58"/>
    <x v="11"/>
    <n v="1056"/>
    <n v="5"/>
    <n v="5280"/>
    <x v="2"/>
  </r>
  <r>
    <n v="443"/>
    <n v="79"/>
    <x v="2"/>
    <x v="197"/>
    <x v="1"/>
    <n v="6"/>
    <x v="0"/>
    <d v="2025-11-28T13:14:00"/>
    <x v="58"/>
    <x v="21"/>
    <n v="6972"/>
    <n v="5"/>
    <n v="34860"/>
    <x v="1"/>
  </r>
  <r>
    <n v="380"/>
    <n v="61"/>
    <x v="0"/>
    <x v="300"/>
    <x v="6"/>
    <n v="5"/>
    <x v="0"/>
    <d v="2025-11-28T13:55:00"/>
    <x v="58"/>
    <x v="21"/>
    <n v="2538"/>
    <n v="5"/>
    <n v="12690"/>
    <x v="2"/>
  </r>
  <r>
    <n v="406"/>
    <n v="110"/>
    <x v="8"/>
    <x v="37"/>
    <x v="3"/>
    <n v="1"/>
    <x v="0"/>
    <d v="2025-11-28T14:05:00"/>
    <x v="58"/>
    <x v="12"/>
    <n v="3443"/>
    <n v="2"/>
    <n v="6886"/>
    <x v="2"/>
  </r>
  <r>
    <n v="250"/>
    <n v="85"/>
    <x v="5"/>
    <x v="259"/>
    <x v="3"/>
    <n v="1"/>
    <x v="0"/>
    <d v="2025-11-28T15:10:00"/>
    <x v="58"/>
    <x v="13"/>
    <n v="4340"/>
    <n v="2"/>
    <n v="8680"/>
    <x v="2"/>
  </r>
  <r>
    <n v="608"/>
    <n v="193"/>
    <x v="9"/>
    <x v="75"/>
    <x v="0"/>
    <n v="2"/>
    <x v="0"/>
    <d v="2025-11-28T16:30:00"/>
    <x v="58"/>
    <x v="14"/>
    <n v="9387"/>
    <n v="5"/>
    <n v="46935"/>
    <x v="1"/>
  </r>
  <r>
    <n v="756"/>
    <n v="5"/>
    <x v="1"/>
    <x v="9"/>
    <x v="5"/>
    <n v="4"/>
    <x v="0"/>
    <d v="2025-11-28T16:41:00"/>
    <x v="58"/>
    <x v="14"/>
    <n v="70"/>
    <n v="5"/>
    <n v="350"/>
    <x v="3"/>
  </r>
  <r>
    <n v="95"/>
    <n v="78"/>
    <x v="2"/>
    <x v="127"/>
    <x v="2"/>
    <n v="3"/>
    <x v="0"/>
    <d v="2025-11-28T16:53:00"/>
    <x v="58"/>
    <x v="14"/>
    <n v="2805"/>
    <n v="2"/>
    <n v="5610"/>
    <x v="2"/>
  </r>
  <r>
    <n v="34"/>
    <n v="69"/>
    <x v="8"/>
    <x v="47"/>
    <x v="5"/>
    <n v="4"/>
    <x v="0"/>
    <d v="2025-11-28T17:11:00"/>
    <x v="58"/>
    <x v="15"/>
    <n v="50"/>
    <n v="5"/>
    <n v="250"/>
    <x v="3"/>
  </r>
  <r>
    <n v="586"/>
    <n v="45"/>
    <x v="6"/>
    <x v="76"/>
    <x v="0"/>
    <n v="2"/>
    <x v="0"/>
    <d v="2025-11-28T18:26:00"/>
    <x v="58"/>
    <x v="16"/>
    <n v="8761"/>
    <n v="2"/>
    <n v="17522"/>
    <x v="1"/>
  </r>
  <r>
    <n v="103"/>
    <n v="20"/>
    <x v="7"/>
    <x v="184"/>
    <x v="6"/>
    <n v="5"/>
    <x v="0"/>
    <d v="2025-11-28T19:22:00"/>
    <x v="58"/>
    <x v="22"/>
    <n v="849"/>
    <n v="2"/>
    <n v="1698"/>
    <x v="3"/>
  </r>
  <r>
    <n v="1"/>
    <n v="99"/>
    <x v="0"/>
    <x v="334"/>
    <x v="4"/>
    <n v="7"/>
    <x v="0"/>
    <d v="2025-11-28T19:25:00"/>
    <x v="58"/>
    <x v="22"/>
    <n v="6116"/>
    <n v="5"/>
    <n v="30580"/>
    <x v="1"/>
  </r>
  <r>
    <n v="274"/>
    <n v="150"/>
    <x v="8"/>
    <x v="193"/>
    <x v="0"/>
    <n v="2"/>
    <x v="0"/>
    <d v="2025-11-28T19:38:00"/>
    <x v="58"/>
    <x v="22"/>
    <n v="6784"/>
    <n v="2"/>
    <n v="13568"/>
    <x v="1"/>
  </r>
  <r>
    <n v="292"/>
    <n v="71"/>
    <x v="1"/>
    <x v="266"/>
    <x v="6"/>
    <n v="5"/>
    <x v="0"/>
    <d v="2025-11-28T19:59:00"/>
    <x v="58"/>
    <x v="22"/>
    <n v="3389"/>
    <n v="5"/>
    <n v="16945"/>
    <x v="2"/>
  </r>
  <r>
    <n v="162"/>
    <n v="264"/>
    <x v="9"/>
    <x v="274"/>
    <x v="2"/>
    <n v="3"/>
    <x v="0"/>
    <d v="2025-11-28T20:18:00"/>
    <x v="58"/>
    <x v="17"/>
    <n v="2068"/>
    <n v="5"/>
    <n v="10340"/>
    <x v="2"/>
  </r>
  <r>
    <n v="706"/>
    <n v="146"/>
    <x v="9"/>
    <x v="106"/>
    <x v="3"/>
    <n v="1"/>
    <x v="0"/>
    <d v="2025-11-28T20:23:00"/>
    <x v="58"/>
    <x v="17"/>
    <n v="1841"/>
    <n v="5"/>
    <n v="9205"/>
    <x v="2"/>
  </r>
  <r>
    <n v="167"/>
    <n v="243"/>
    <x v="6"/>
    <x v="76"/>
    <x v="0"/>
    <n v="2"/>
    <x v="0"/>
    <d v="2025-11-28T21:15:00"/>
    <x v="58"/>
    <x v="23"/>
    <n v="4525"/>
    <n v="2"/>
    <n v="9050"/>
    <x v="2"/>
  </r>
  <r>
    <n v="314"/>
    <n v="151"/>
    <x v="6"/>
    <x v="135"/>
    <x v="3"/>
    <n v="1"/>
    <x v="0"/>
    <d v="2025-11-28T21:45:00"/>
    <x v="58"/>
    <x v="23"/>
    <n v="7668"/>
    <n v="5"/>
    <n v="38340"/>
    <x v="1"/>
  </r>
  <r>
    <n v="241"/>
    <n v="159"/>
    <x v="2"/>
    <x v="362"/>
    <x v="4"/>
    <n v="7"/>
    <x v="0"/>
    <d v="2025-11-28T22:33:00"/>
    <x v="58"/>
    <x v="18"/>
    <n v="7014"/>
    <n v="5"/>
    <n v="35070"/>
    <x v="1"/>
  </r>
  <r>
    <n v="473"/>
    <n v="77"/>
    <x v="5"/>
    <x v="246"/>
    <x v="3"/>
    <n v="1"/>
    <x v="0"/>
    <d v="2025-11-28T23:25:00"/>
    <x v="58"/>
    <x v="19"/>
    <n v="6424"/>
    <n v="2"/>
    <n v="12848"/>
    <x v="1"/>
  </r>
  <r>
    <n v="61"/>
    <n v="61"/>
    <x v="0"/>
    <x v="172"/>
    <x v="5"/>
    <n v="4"/>
    <x v="0"/>
    <d v="2025-11-29T00:02:00"/>
    <x v="59"/>
    <x v="0"/>
    <n v="1369"/>
    <n v="2"/>
    <n v="2738"/>
    <x v="2"/>
  </r>
  <r>
    <n v="153"/>
    <n v="38"/>
    <x v="8"/>
    <x v="114"/>
    <x v="2"/>
    <n v="3"/>
    <x v="1"/>
    <d v="2025-11-29T00:17:00"/>
    <x v="59"/>
    <x v="0"/>
    <n v="2564"/>
    <n v="0"/>
    <n v="0"/>
    <x v="2"/>
  </r>
  <r>
    <n v="328"/>
    <n v="297"/>
    <x v="6"/>
    <x v="203"/>
    <x v="3"/>
    <n v="1"/>
    <x v="0"/>
    <d v="2025-11-29T00:42:00"/>
    <x v="59"/>
    <x v="0"/>
    <n v="3508"/>
    <n v="2"/>
    <n v="7016"/>
    <x v="2"/>
  </r>
  <r>
    <n v="420"/>
    <n v="63"/>
    <x v="8"/>
    <x v="140"/>
    <x v="5"/>
    <n v="4"/>
    <x v="0"/>
    <d v="2025-11-29T00:47:00"/>
    <x v="59"/>
    <x v="0"/>
    <n v="706"/>
    <n v="3"/>
    <n v="2118"/>
    <x v="3"/>
  </r>
  <r>
    <n v="310"/>
    <n v="108"/>
    <x v="3"/>
    <x v="326"/>
    <x v="6"/>
    <n v="5"/>
    <x v="0"/>
    <d v="2025-11-29T01:16:00"/>
    <x v="59"/>
    <x v="1"/>
    <n v="3581"/>
    <n v="5"/>
    <n v="17905"/>
    <x v="2"/>
  </r>
  <r>
    <n v="161"/>
    <n v="201"/>
    <x v="0"/>
    <x v="233"/>
    <x v="4"/>
    <n v="7"/>
    <x v="0"/>
    <d v="2025-11-29T01:22:00"/>
    <x v="59"/>
    <x v="1"/>
    <n v="5511"/>
    <n v="2"/>
    <n v="11022"/>
    <x v="1"/>
  </r>
  <r>
    <n v="33"/>
    <n v="130"/>
    <x v="1"/>
    <x v="320"/>
    <x v="4"/>
    <n v="7"/>
    <x v="0"/>
    <d v="2025-11-29T01:53:00"/>
    <x v="59"/>
    <x v="1"/>
    <n v="3044"/>
    <n v="2"/>
    <n v="6088"/>
    <x v="2"/>
  </r>
  <r>
    <n v="675"/>
    <n v="204"/>
    <x v="8"/>
    <x v="44"/>
    <x v="6"/>
    <n v="5"/>
    <x v="0"/>
    <d v="2025-11-29T02:00:00"/>
    <x v="59"/>
    <x v="2"/>
    <n v="2290"/>
    <n v="2"/>
    <n v="4580"/>
    <x v="2"/>
  </r>
  <r>
    <n v="764"/>
    <n v="217"/>
    <x v="4"/>
    <x v="63"/>
    <x v="2"/>
    <n v="3"/>
    <x v="0"/>
    <d v="2025-11-29T02:03:00"/>
    <x v="59"/>
    <x v="2"/>
    <n v="4180"/>
    <n v="2"/>
    <n v="8360"/>
    <x v="2"/>
  </r>
  <r>
    <n v="189"/>
    <n v="4"/>
    <x v="9"/>
    <x v="237"/>
    <x v="0"/>
    <n v="2"/>
    <x v="0"/>
    <d v="2025-11-29T02:08:00"/>
    <x v="59"/>
    <x v="2"/>
    <n v="14748"/>
    <n v="1"/>
    <n v="14748"/>
    <x v="0"/>
  </r>
  <r>
    <n v="96"/>
    <n v="250"/>
    <x v="7"/>
    <x v="54"/>
    <x v="3"/>
    <n v="1"/>
    <x v="1"/>
    <d v="2025-11-29T02:08:00"/>
    <x v="59"/>
    <x v="2"/>
    <n v="7300"/>
    <n v="0"/>
    <n v="0"/>
    <x v="1"/>
  </r>
  <r>
    <n v="246"/>
    <n v="263"/>
    <x v="0"/>
    <x v="87"/>
    <x v="5"/>
    <n v="4"/>
    <x v="0"/>
    <d v="2025-11-29T02:42:00"/>
    <x v="59"/>
    <x v="2"/>
    <n v="610"/>
    <n v="4"/>
    <n v="2440"/>
    <x v="3"/>
  </r>
  <r>
    <n v="739"/>
    <n v="93"/>
    <x v="7"/>
    <x v="209"/>
    <x v="0"/>
    <n v="2"/>
    <x v="1"/>
    <d v="2025-11-29T03:17:00"/>
    <x v="59"/>
    <x v="3"/>
    <n v="13947"/>
    <n v="0"/>
    <n v="0"/>
    <x v="0"/>
  </r>
  <r>
    <n v="370"/>
    <n v="176"/>
    <x v="0"/>
    <x v="0"/>
    <x v="0"/>
    <n v="2"/>
    <x v="0"/>
    <d v="2025-11-29T03:36:00"/>
    <x v="59"/>
    <x v="3"/>
    <n v="10665"/>
    <n v="1"/>
    <n v="10665"/>
    <x v="0"/>
  </r>
  <r>
    <n v="3"/>
    <n v="54"/>
    <x v="6"/>
    <x v="219"/>
    <x v="3"/>
    <n v="1"/>
    <x v="1"/>
    <d v="2025-11-29T03:40:00"/>
    <x v="59"/>
    <x v="3"/>
    <n v="7669"/>
    <n v="0"/>
    <n v="0"/>
    <x v="1"/>
  </r>
  <r>
    <n v="217"/>
    <n v="76"/>
    <x v="3"/>
    <x v="248"/>
    <x v="0"/>
    <n v="2"/>
    <x v="1"/>
    <d v="2025-11-29T03:43:00"/>
    <x v="59"/>
    <x v="3"/>
    <n v="12105"/>
    <n v="0"/>
    <n v="0"/>
    <x v="0"/>
  </r>
  <r>
    <n v="544"/>
    <n v="201"/>
    <x v="3"/>
    <x v="267"/>
    <x v="4"/>
    <n v="7"/>
    <x v="0"/>
    <d v="2025-11-29T03:43:00"/>
    <x v="59"/>
    <x v="3"/>
    <n v="4371"/>
    <n v="1"/>
    <n v="4371"/>
    <x v="2"/>
  </r>
  <r>
    <n v="202"/>
    <n v="223"/>
    <x v="9"/>
    <x v="112"/>
    <x v="3"/>
    <n v="1"/>
    <x v="0"/>
    <d v="2025-11-29T03:48:00"/>
    <x v="59"/>
    <x v="3"/>
    <n v="5433"/>
    <n v="2"/>
    <n v="10866"/>
    <x v="1"/>
  </r>
  <r>
    <n v="298"/>
    <n v="276"/>
    <x v="9"/>
    <x v="48"/>
    <x v="2"/>
    <n v="3"/>
    <x v="1"/>
    <d v="2025-11-29T04:47:00"/>
    <x v="59"/>
    <x v="4"/>
    <n v="1854"/>
    <n v="0"/>
    <n v="0"/>
    <x v="2"/>
  </r>
  <r>
    <n v="19"/>
    <n v="209"/>
    <x v="7"/>
    <x v="181"/>
    <x v="5"/>
    <n v="4"/>
    <x v="0"/>
    <d v="2025-11-29T04:54:00"/>
    <x v="59"/>
    <x v="4"/>
    <n v="806"/>
    <n v="2"/>
    <n v="1612"/>
    <x v="3"/>
  </r>
  <r>
    <n v="428"/>
    <n v="238"/>
    <x v="1"/>
    <x v="77"/>
    <x v="3"/>
    <n v="1"/>
    <x v="0"/>
    <d v="2025-11-29T05:06:00"/>
    <x v="59"/>
    <x v="20"/>
    <n v="5948"/>
    <n v="1"/>
    <n v="5948"/>
    <x v="1"/>
  </r>
  <r>
    <n v="606"/>
    <n v="115"/>
    <x v="5"/>
    <x v="78"/>
    <x v="5"/>
    <n v="4"/>
    <x v="0"/>
    <d v="2025-11-29T05:09:00"/>
    <x v="59"/>
    <x v="20"/>
    <n v="1388"/>
    <n v="3"/>
    <n v="4164"/>
    <x v="2"/>
  </r>
  <r>
    <n v="235"/>
    <n v="297"/>
    <x v="7"/>
    <x v="12"/>
    <x v="5"/>
    <n v="4"/>
    <x v="0"/>
    <d v="2025-11-29T05:15:00"/>
    <x v="59"/>
    <x v="20"/>
    <n v="905"/>
    <n v="2"/>
    <n v="1810"/>
    <x v="3"/>
  </r>
  <r>
    <n v="544"/>
    <n v="118"/>
    <x v="7"/>
    <x v="152"/>
    <x v="4"/>
    <n v="7"/>
    <x v="0"/>
    <d v="2025-11-29T05:35:00"/>
    <x v="59"/>
    <x v="20"/>
    <n v="3583"/>
    <n v="1"/>
    <n v="3583"/>
    <x v="2"/>
  </r>
  <r>
    <n v="407"/>
    <n v="2"/>
    <x v="8"/>
    <x v="41"/>
    <x v="0"/>
    <n v="2"/>
    <x v="0"/>
    <d v="2025-11-29T05:59:00"/>
    <x v="59"/>
    <x v="20"/>
    <n v="4577"/>
    <n v="1"/>
    <n v="4577"/>
    <x v="2"/>
  </r>
  <r>
    <n v="549"/>
    <n v="280"/>
    <x v="1"/>
    <x v="199"/>
    <x v="5"/>
    <n v="4"/>
    <x v="0"/>
    <d v="2025-11-29T06:07:00"/>
    <x v="59"/>
    <x v="5"/>
    <n v="754"/>
    <n v="2"/>
    <n v="1508"/>
    <x v="3"/>
  </r>
  <r>
    <n v="788"/>
    <n v="27"/>
    <x v="3"/>
    <x v="59"/>
    <x v="2"/>
    <n v="3"/>
    <x v="0"/>
    <d v="2025-11-29T06:09:00"/>
    <x v="59"/>
    <x v="5"/>
    <n v="4722"/>
    <n v="3"/>
    <n v="14166"/>
    <x v="2"/>
  </r>
  <r>
    <n v="678"/>
    <n v="283"/>
    <x v="5"/>
    <x v="34"/>
    <x v="0"/>
    <n v="2"/>
    <x v="0"/>
    <d v="2025-11-29T06:22:00"/>
    <x v="59"/>
    <x v="5"/>
    <n v="12233"/>
    <n v="2"/>
    <n v="24466"/>
    <x v="0"/>
  </r>
  <r>
    <n v="399"/>
    <n v="288"/>
    <x v="1"/>
    <x v="20"/>
    <x v="3"/>
    <n v="1"/>
    <x v="0"/>
    <d v="2025-11-29T06:29:00"/>
    <x v="59"/>
    <x v="5"/>
    <n v="3554"/>
    <n v="3"/>
    <n v="10662"/>
    <x v="2"/>
  </r>
  <r>
    <n v="15"/>
    <n v="220"/>
    <x v="3"/>
    <x v="35"/>
    <x v="5"/>
    <n v="4"/>
    <x v="1"/>
    <d v="2025-11-29T06:35:00"/>
    <x v="59"/>
    <x v="5"/>
    <n v="612"/>
    <n v="0"/>
    <n v="0"/>
    <x v="3"/>
  </r>
  <r>
    <n v="22"/>
    <n v="51"/>
    <x v="5"/>
    <x v="72"/>
    <x v="6"/>
    <n v="5"/>
    <x v="0"/>
    <d v="2025-11-29T08:00:00"/>
    <x v="59"/>
    <x v="7"/>
    <n v="1094"/>
    <n v="2"/>
    <n v="2188"/>
    <x v="2"/>
  </r>
  <r>
    <n v="674"/>
    <n v="150"/>
    <x v="7"/>
    <x v="288"/>
    <x v="2"/>
    <n v="3"/>
    <x v="0"/>
    <d v="2025-11-29T08:26:00"/>
    <x v="59"/>
    <x v="7"/>
    <n v="2746"/>
    <n v="4"/>
    <n v="10984"/>
    <x v="2"/>
  </r>
  <r>
    <n v="437"/>
    <n v="105"/>
    <x v="2"/>
    <x v="256"/>
    <x v="4"/>
    <n v="7"/>
    <x v="0"/>
    <d v="2025-11-29T08:47:00"/>
    <x v="59"/>
    <x v="7"/>
    <n v="6934"/>
    <n v="1"/>
    <n v="6934"/>
    <x v="1"/>
  </r>
  <r>
    <n v="317"/>
    <n v="278"/>
    <x v="1"/>
    <x v="199"/>
    <x v="5"/>
    <n v="4"/>
    <x v="0"/>
    <d v="2025-11-29T09:02:00"/>
    <x v="59"/>
    <x v="8"/>
    <n v="370"/>
    <n v="2"/>
    <n v="740"/>
    <x v="3"/>
  </r>
  <r>
    <n v="160"/>
    <n v="63"/>
    <x v="1"/>
    <x v="320"/>
    <x v="4"/>
    <n v="7"/>
    <x v="0"/>
    <d v="2025-11-29T09:17:00"/>
    <x v="59"/>
    <x v="8"/>
    <n v="7245"/>
    <n v="1"/>
    <n v="7245"/>
    <x v="1"/>
  </r>
  <r>
    <n v="184"/>
    <n v="59"/>
    <x v="1"/>
    <x v="276"/>
    <x v="4"/>
    <n v="7"/>
    <x v="0"/>
    <d v="2025-11-29T09:37:00"/>
    <x v="59"/>
    <x v="8"/>
    <n v="1500"/>
    <n v="3"/>
    <n v="4500"/>
    <x v="2"/>
  </r>
  <r>
    <n v="785"/>
    <n v="274"/>
    <x v="1"/>
    <x v="23"/>
    <x v="5"/>
    <n v="4"/>
    <x v="0"/>
    <d v="2025-11-29T10:09:00"/>
    <x v="59"/>
    <x v="9"/>
    <n v="946"/>
    <n v="2"/>
    <n v="1892"/>
    <x v="3"/>
  </r>
  <r>
    <n v="685"/>
    <n v="143"/>
    <x v="1"/>
    <x v="376"/>
    <x v="2"/>
    <n v="3"/>
    <x v="0"/>
    <d v="2025-11-29T10:41:00"/>
    <x v="59"/>
    <x v="9"/>
    <n v="5372"/>
    <n v="4"/>
    <n v="21488"/>
    <x v="1"/>
  </r>
  <r>
    <n v="181"/>
    <n v="199"/>
    <x v="1"/>
    <x v="199"/>
    <x v="5"/>
    <n v="4"/>
    <x v="1"/>
    <d v="2025-11-29T10:46:00"/>
    <x v="59"/>
    <x v="9"/>
    <n v="202"/>
    <n v="0"/>
    <n v="0"/>
    <x v="3"/>
  </r>
  <r>
    <n v="636"/>
    <n v="45"/>
    <x v="7"/>
    <x v="144"/>
    <x v="2"/>
    <n v="3"/>
    <x v="0"/>
    <d v="2025-11-29T11:04:00"/>
    <x v="59"/>
    <x v="10"/>
    <n v="3129"/>
    <n v="2"/>
    <n v="6258"/>
    <x v="2"/>
  </r>
  <r>
    <n v="165"/>
    <n v="268"/>
    <x v="4"/>
    <x v="363"/>
    <x v="1"/>
    <n v="6"/>
    <x v="0"/>
    <d v="2025-11-29T11:18:00"/>
    <x v="59"/>
    <x v="10"/>
    <n v="2922"/>
    <n v="5"/>
    <n v="14610"/>
    <x v="2"/>
  </r>
  <r>
    <n v="776"/>
    <n v="180"/>
    <x v="5"/>
    <x v="50"/>
    <x v="5"/>
    <n v="4"/>
    <x v="0"/>
    <d v="2025-11-29T12:12:00"/>
    <x v="59"/>
    <x v="11"/>
    <n v="1500"/>
    <n v="5"/>
    <n v="7500"/>
    <x v="2"/>
  </r>
  <r>
    <n v="107"/>
    <n v="263"/>
    <x v="2"/>
    <x v="197"/>
    <x v="1"/>
    <n v="6"/>
    <x v="1"/>
    <d v="2025-11-29T12:39:00"/>
    <x v="59"/>
    <x v="11"/>
    <n v="2462"/>
    <n v="0"/>
    <n v="0"/>
    <x v="2"/>
  </r>
  <r>
    <n v="636"/>
    <n v="248"/>
    <x v="4"/>
    <x v="316"/>
    <x v="0"/>
    <n v="2"/>
    <x v="0"/>
    <d v="2025-11-29T12:59:00"/>
    <x v="59"/>
    <x v="11"/>
    <n v="10501"/>
    <n v="4"/>
    <n v="42004"/>
    <x v="0"/>
  </r>
  <r>
    <n v="673"/>
    <n v="254"/>
    <x v="1"/>
    <x v="355"/>
    <x v="6"/>
    <n v="5"/>
    <x v="0"/>
    <d v="2025-11-29T13:02:00"/>
    <x v="59"/>
    <x v="21"/>
    <n v="4000"/>
    <n v="3"/>
    <n v="12000"/>
    <x v="2"/>
  </r>
  <r>
    <n v="204"/>
    <n v="22"/>
    <x v="6"/>
    <x v="371"/>
    <x v="2"/>
    <n v="3"/>
    <x v="0"/>
    <d v="2025-11-29T13:27:00"/>
    <x v="59"/>
    <x v="21"/>
    <n v="5248"/>
    <n v="2"/>
    <n v="10496"/>
    <x v="1"/>
  </r>
  <r>
    <n v="585"/>
    <n v="182"/>
    <x v="5"/>
    <x v="42"/>
    <x v="4"/>
    <n v="7"/>
    <x v="0"/>
    <d v="2025-11-29T13:30:00"/>
    <x v="59"/>
    <x v="21"/>
    <n v="1829"/>
    <n v="2"/>
    <n v="3658"/>
    <x v="2"/>
  </r>
  <r>
    <n v="426"/>
    <n v="4"/>
    <x v="6"/>
    <x v="262"/>
    <x v="5"/>
    <n v="4"/>
    <x v="1"/>
    <d v="2025-11-29T13:41:00"/>
    <x v="59"/>
    <x v="21"/>
    <n v="225"/>
    <n v="0"/>
    <n v="0"/>
    <x v="3"/>
  </r>
  <r>
    <n v="99"/>
    <n v="267"/>
    <x v="1"/>
    <x v="16"/>
    <x v="5"/>
    <n v="4"/>
    <x v="0"/>
    <d v="2025-11-29T13:45:00"/>
    <x v="59"/>
    <x v="21"/>
    <n v="732"/>
    <n v="2"/>
    <n v="1464"/>
    <x v="3"/>
  </r>
  <r>
    <n v="140"/>
    <n v="243"/>
    <x v="1"/>
    <x v="266"/>
    <x v="6"/>
    <n v="5"/>
    <x v="0"/>
    <d v="2025-11-29T14:16:00"/>
    <x v="59"/>
    <x v="12"/>
    <n v="3291"/>
    <n v="5"/>
    <n v="16455"/>
    <x v="2"/>
  </r>
  <r>
    <n v="780"/>
    <n v="175"/>
    <x v="3"/>
    <x v="305"/>
    <x v="3"/>
    <n v="1"/>
    <x v="0"/>
    <d v="2025-11-29T14:23:00"/>
    <x v="59"/>
    <x v="12"/>
    <n v="5132"/>
    <n v="2"/>
    <n v="10264"/>
    <x v="1"/>
  </r>
  <r>
    <n v="325"/>
    <n v="126"/>
    <x v="0"/>
    <x v="39"/>
    <x v="3"/>
    <n v="1"/>
    <x v="0"/>
    <d v="2025-11-29T14:36:00"/>
    <x v="59"/>
    <x v="12"/>
    <n v="2100"/>
    <n v="3"/>
    <n v="6300"/>
    <x v="2"/>
  </r>
  <r>
    <n v="40"/>
    <n v="55"/>
    <x v="2"/>
    <x v="250"/>
    <x v="3"/>
    <n v="1"/>
    <x v="0"/>
    <d v="2025-11-29T15:36:00"/>
    <x v="59"/>
    <x v="13"/>
    <n v="3630"/>
    <n v="2"/>
    <n v="7260"/>
    <x v="2"/>
  </r>
  <r>
    <n v="389"/>
    <n v="79"/>
    <x v="4"/>
    <x v="277"/>
    <x v="5"/>
    <n v="4"/>
    <x v="0"/>
    <d v="2025-11-29T15:42:00"/>
    <x v="59"/>
    <x v="13"/>
    <n v="115"/>
    <n v="2"/>
    <n v="230"/>
    <x v="3"/>
  </r>
  <r>
    <n v="544"/>
    <n v="187"/>
    <x v="2"/>
    <x v="7"/>
    <x v="0"/>
    <n v="2"/>
    <x v="0"/>
    <d v="2025-11-29T16:00:00"/>
    <x v="59"/>
    <x v="14"/>
    <n v="8572"/>
    <n v="1"/>
    <n v="8572"/>
    <x v="1"/>
  </r>
  <r>
    <n v="308"/>
    <n v="209"/>
    <x v="7"/>
    <x v="117"/>
    <x v="3"/>
    <n v="1"/>
    <x v="0"/>
    <d v="2025-11-29T16:15:00"/>
    <x v="59"/>
    <x v="14"/>
    <n v="1670"/>
    <n v="2"/>
    <n v="3340"/>
    <x v="2"/>
  </r>
  <r>
    <n v="190"/>
    <n v="48"/>
    <x v="7"/>
    <x v="83"/>
    <x v="3"/>
    <n v="1"/>
    <x v="0"/>
    <d v="2025-11-29T16:15:00"/>
    <x v="59"/>
    <x v="14"/>
    <n v="1000"/>
    <n v="2"/>
    <n v="2000"/>
    <x v="2"/>
  </r>
  <r>
    <n v="103"/>
    <n v="186"/>
    <x v="9"/>
    <x v="100"/>
    <x v="5"/>
    <n v="4"/>
    <x v="0"/>
    <d v="2025-11-29T16:57:00"/>
    <x v="59"/>
    <x v="14"/>
    <n v="399"/>
    <n v="2"/>
    <n v="798"/>
    <x v="3"/>
  </r>
  <r>
    <n v="326"/>
    <n v="64"/>
    <x v="7"/>
    <x v="348"/>
    <x v="0"/>
    <n v="2"/>
    <x v="0"/>
    <d v="2025-11-29T16:59:00"/>
    <x v="59"/>
    <x v="14"/>
    <n v="5705"/>
    <n v="2"/>
    <n v="11410"/>
    <x v="1"/>
  </r>
  <r>
    <n v="81"/>
    <n v="119"/>
    <x v="5"/>
    <x v="258"/>
    <x v="2"/>
    <n v="3"/>
    <x v="0"/>
    <d v="2025-11-29T17:16:00"/>
    <x v="59"/>
    <x v="15"/>
    <n v="3091"/>
    <n v="2"/>
    <n v="6182"/>
    <x v="2"/>
  </r>
  <r>
    <n v="773"/>
    <n v="278"/>
    <x v="7"/>
    <x v="25"/>
    <x v="0"/>
    <n v="2"/>
    <x v="0"/>
    <d v="2025-11-29T17:38:00"/>
    <x v="59"/>
    <x v="15"/>
    <n v="4745"/>
    <n v="2"/>
    <n v="9490"/>
    <x v="2"/>
  </r>
  <r>
    <n v="708"/>
    <n v="280"/>
    <x v="3"/>
    <x v="370"/>
    <x v="5"/>
    <n v="4"/>
    <x v="1"/>
    <d v="2025-11-29T18:04:00"/>
    <x v="59"/>
    <x v="16"/>
    <n v="377"/>
    <n v="0"/>
    <n v="0"/>
    <x v="3"/>
  </r>
  <r>
    <n v="414"/>
    <n v="21"/>
    <x v="7"/>
    <x v="357"/>
    <x v="3"/>
    <n v="1"/>
    <x v="0"/>
    <d v="2025-11-29T18:35:00"/>
    <x v="59"/>
    <x v="16"/>
    <n v="3516"/>
    <n v="4"/>
    <n v="14064"/>
    <x v="2"/>
  </r>
  <r>
    <n v="276"/>
    <n v="27"/>
    <x v="1"/>
    <x v="95"/>
    <x v="2"/>
    <n v="3"/>
    <x v="0"/>
    <d v="2025-11-29T18:43:00"/>
    <x v="59"/>
    <x v="16"/>
    <n v="4070"/>
    <n v="4"/>
    <n v="16280"/>
    <x v="2"/>
  </r>
  <r>
    <n v="5"/>
    <n v="55"/>
    <x v="1"/>
    <x v="359"/>
    <x v="2"/>
    <n v="3"/>
    <x v="0"/>
    <d v="2025-11-29T18:43:00"/>
    <x v="59"/>
    <x v="16"/>
    <n v="2456"/>
    <n v="2"/>
    <n v="4912"/>
    <x v="2"/>
  </r>
  <r>
    <n v="416"/>
    <n v="278"/>
    <x v="8"/>
    <x v="71"/>
    <x v="2"/>
    <n v="3"/>
    <x v="0"/>
    <d v="2025-11-29T19:17:00"/>
    <x v="59"/>
    <x v="22"/>
    <n v="5228"/>
    <n v="1"/>
    <n v="5228"/>
    <x v="1"/>
  </r>
  <r>
    <n v="575"/>
    <n v="127"/>
    <x v="4"/>
    <x v="131"/>
    <x v="2"/>
    <n v="3"/>
    <x v="0"/>
    <d v="2025-11-29T19:37:00"/>
    <x v="59"/>
    <x v="22"/>
    <n v="2310"/>
    <n v="1"/>
    <n v="2310"/>
    <x v="2"/>
  </r>
  <r>
    <n v="665"/>
    <n v="292"/>
    <x v="4"/>
    <x v="153"/>
    <x v="5"/>
    <n v="4"/>
    <x v="0"/>
    <d v="2025-11-29T20:25:00"/>
    <x v="59"/>
    <x v="17"/>
    <n v="188"/>
    <n v="1"/>
    <n v="188"/>
    <x v="3"/>
  </r>
  <r>
    <n v="224"/>
    <n v="65"/>
    <x v="0"/>
    <x v="254"/>
    <x v="4"/>
    <n v="7"/>
    <x v="1"/>
    <d v="2025-11-29T21:11:00"/>
    <x v="59"/>
    <x v="23"/>
    <n v="7093"/>
    <n v="0"/>
    <n v="0"/>
    <x v="1"/>
  </r>
  <r>
    <n v="418"/>
    <n v="3"/>
    <x v="3"/>
    <x v="91"/>
    <x v="3"/>
    <n v="1"/>
    <x v="0"/>
    <d v="2025-11-29T22:00:00"/>
    <x v="59"/>
    <x v="18"/>
    <n v="2564"/>
    <n v="3"/>
    <n v="7692"/>
    <x v="2"/>
  </r>
  <r>
    <n v="748"/>
    <n v="97"/>
    <x v="7"/>
    <x v="163"/>
    <x v="3"/>
    <n v="1"/>
    <x v="0"/>
    <d v="2025-11-29T22:18:00"/>
    <x v="59"/>
    <x v="18"/>
    <n v="6649"/>
    <n v="2"/>
    <n v="13298"/>
    <x v="1"/>
  </r>
  <r>
    <n v="441"/>
    <n v="109"/>
    <x v="5"/>
    <x v="382"/>
    <x v="6"/>
    <n v="5"/>
    <x v="0"/>
    <d v="2025-11-29T22:28:00"/>
    <x v="59"/>
    <x v="18"/>
    <n v="2897"/>
    <n v="2"/>
    <n v="5794"/>
    <x v="2"/>
  </r>
  <r>
    <n v="541"/>
    <n v="150"/>
    <x v="2"/>
    <x v="256"/>
    <x v="4"/>
    <n v="7"/>
    <x v="0"/>
    <d v="2025-11-29T23:10:00"/>
    <x v="59"/>
    <x v="19"/>
    <n v="6664"/>
    <n v="4"/>
    <n v="26656"/>
    <x v="1"/>
  </r>
  <r>
    <n v="422"/>
    <n v="297"/>
    <x v="2"/>
    <x v="21"/>
    <x v="3"/>
    <n v="1"/>
    <x v="0"/>
    <d v="2025-11-29T23:26:00"/>
    <x v="59"/>
    <x v="19"/>
    <n v="3689"/>
    <n v="2"/>
    <n v="7378"/>
    <x v="2"/>
  </r>
  <r>
    <n v="128"/>
    <n v="216"/>
    <x v="5"/>
    <x v="186"/>
    <x v="5"/>
    <n v="4"/>
    <x v="0"/>
    <d v="2025-11-29T23:31:00"/>
    <x v="59"/>
    <x v="19"/>
    <n v="576"/>
    <n v="3"/>
    <n v="1728"/>
    <x v="3"/>
  </r>
  <r>
    <n v="2"/>
    <n v="59"/>
    <x v="9"/>
    <x v="182"/>
    <x v="5"/>
    <n v="4"/>
    <x v="0"/>
    <d v="2025-11-30T00:22:00"/>
    <x v="60"/>
    <x v="0"/>
    <n v="703"/>
    <n v="2"/>
    <n v="1406"/>
    <x v="3"/>
  </r>
  <r>
    <n v="708"/>
    <n v="66"/>
    <x v="5"/>
    <x v="78"/>
    <x v="5"/>
    <n v="4"/>
    <x v="0"/>
    <d v="2025-11-30T01:19:00"/>
    <x v="60"/>
    <x v="1"/>
    <n v="982"/>
    <n v="3"/>
    <n v="2946"/>
    <x v="3"/>
  </r>
  <r>
    <n v="688"/>
    <n v="128"/>
    <x v="9"/>
    <x v="51"/>
    <x v="3"/>
    <n v="1"/>
    <x v="0"/>
    <d v="2025-11-30T01:36:00"/>
    <x v="60"/>
    <x v="1"/>
    <n v="5617"/>
    <n v="2"/>
    <n v="11234"/>
    <x v="1"/>
  </r>
  <r>
    <n v="256"/>
    <n v="24"/>
    <x v="0"/>
    <x v="353"/>
    <x v="1"/>
    <n v="6"/>
    <x v="0"/>
    <d v="2025-11-30T01:38:00"/>
    <x v="60"/>
    <x v="1"/>
    <n v="4334"/>
    <n v="2"/>
    <n v="8668"/>
    <x v="2"/>
  </r>
  <r>
    <n v="224"/>
    <n v="142"/>
    <x v="2"/>
    <x v="90"/>
    <x v="0"/>
    <n v="2"/>
    <x v="1"/>
    <d v="2025-11-30T01:51:00"/>
    <x v="60"/>
    <x v="1"/>
    <n v="5332"/>
    <n v="0"/>
    <n v="0"/>
    <x v="1"/>
  </r>
  <r>
    <n v="216"/>
    <n v="57"/>
    <x v="0"/>
    <x v="0"/>
    <x v="0"/>
    <n v="2"/>
    <x v="0"/>
    <d v="2025-11-30T02:34:00"/>
    <x v="60"/>
    <x v="2"/>
    <n v="5939"/>
    <n v="2"/>
    <n v="11878"/>
    <x v="1"/>
  </r>
  <r>
    <n v="350"/>
    <n v="106"/>
    <x v="2"/>
    <x v="205"/>
    <x v="6"/>
    <n v="5"/>
    <x v="0"/>
    <d v="2025-11-30T03:35:00"/>
    <x v="60"/>
    <x v="3"/>
    <n v="3458"/>
    <n v="3"/>
    <n v="10374"/>
    <x v="2"/>
  </r>
  <r>
    <n v="664"/>
    <n v="64"/>
    <x v="4"/>
    <x v="380"/>
    <x v="0"/>
    <n v="2"/>
    <x v="0"/>
    <d v="2025-11-30T03:41:00"/>
    <x v="60"/>
    <x v="3"/>
    <n v="11197"/>
    <n v="3"/>
    <n v="33591"/>
    <x v="0"/>
  </r>
  <r>
    <n v="676"/>
    <n v="266"/>
    <x v="2"/>
    <x v="148"/>
    <x v="3"/>
    <n v="1"/>
    <x v="1"/>
    <d v="2025-11-30T03:43:00"/>
    <x v="60"/>
    <x v="3"/>
    <n v="3986"/>
    <n v="0"/>
    <n v="0"/>
    <x v="2"/>
  </r>
  <r>
    <n v="207"/>
    <n v="75"/>
    <x v="8"/>
    <x v="343"/>
    <x v="3"/>
    <n v="1"/>
    <x v="0"/>
    <d v="2025-11-30T04:39:00"/>
    <x v="60"/>
    <x v="4"/>
    <n v="6513"/>
    <n v="4"/>
    <n v="26052"/>
    <x v="1"/>
  </r>
  <r>
    <n v="682"/>
    <n v="125"/>
    <x v="6"/>
    <x v="310"/>
    <x v="0"/>
    <n v="2"/>
    <x v="0"/>
    <d v="2025-11-30T04:52:00"/>
    <x v="60"/>
    <x v="4"/>
    <n v="7386"/>
    <n v="2"/>
    <n v="14772"/>
    <x v="1"/>
  </r>
  <r>
    <n v="51"/>
    <n v="130"/>
    <x v="7"/>
    <x v="236"/>
    <x v="5"/>
    <n v="4"/>
    <x v="1"/>
    <d v="2025-11-30T05:13:00"/>
    <x v="60"/>
    <x v="20"/>
    <n v="1103"/>
    <n v="0"/>
    <n v="0"/>
    <x v="2"/>
  </r>
  <r>
    <n v="63"/>
    <n v="31"/>
    <x v="8"/>
    <x v="41"/>
    <x v="0"/>
    <n v="2"/>
    <x v="0"/>
    <d v="2025-11-30T06:44:00"/>
    <x v="60"/>
    <x v="5"/>
    <n v="4071"/>
    <n v="4"/>
    <n v="16284"/>
    <x v="2"/>
  </r>
  <r>
    <n v="209"/>
    <n v="212"/>
    <x v="3"/>
    <x v="118"/>
    <x v="3"/>
    <n v="1"/>
    <x v="0"/>
    <d v="2025-11-30T06:46:00"/>
    <x v="60"/>
    <x v="5"/>
    <n v="7164"/>
    <n v="2"/>
    <n v="14328"/>
    <x v="1"/>
  </r>
  <r>
    <n v="287"/>
    <n v="91"/>
    <x v="4"/>
    <x v="277"/>
    <x v="5"/>
    <n v="4"/>
    <x v="0"/>
    <d v="2025-11-30T07:13:00"/>
    <x v="60"/>
    <x v="6"/>
    <n v="223"/>
    <n v="3"/>
    <n v="669"/>
    <x v="3"/>
  </r>
  <r>
    <n v="781"/>
    <n v="272"/>
    <x v="0"/>
    <x v="322"/>
    <x v="5"/>
    <n v="4"/>
    <x v="0"/>
    <d v="2025-11-30T07:15:00"/>
    <x v="60"/>
    <x v="6"/>
    <n v="1115"/>
    <n v="2"/>
    <n v="2230"/>
    <x v="2"/>
  </r>
  <r>
    <n v="311"/>
    <n v="115"/>
    <x v="8"/>
    <x v="71"/>
    <x v="2"/>
    <n v="3"/>
    <x v="0"/>
    <d v="2025-11-30T07:28:00"/>
    <x v="60"/>
    <x v="6"/>
    <n v="2134"/>
    <n v="3"/>
    <n v="6402"/>
    <x v="2"/>
  </r>
  <r>
    <n v="400"/>
    <n v="139"/>
    <x v="7"/>
    <x v="54"/>
    <x v="3"/>
    <n v="1"/>
    <x v="1"/>
    <d v="2025-11-30T08:11:00"/>
    <x v="60"/>
    <x v="7"/>
    <n v="4583"/>
    <n v="0"/>
    <n v="0"/>
    <x v="2"/>
  </r>
  <r>
    <n v="137"/>
    <n v="9"/>
    <x v="5"/>
    <x v="306"/>
    <x v="0"/>
    <n v="2"/>
    <x v="0"/>
    <d v="2025-11-30T08:26:00"/>
    <x v="60"/>
    <x v="7"/>
    <n v="6673"/>
    <n v="2"/>
    <n v="13346"/>
    <x v="1"/>
  </r>
  <r>
    <n v="225"/>
    <n v="283"/>
    <x v="8"/>
    <x v="134"/>
    <x v="0"/>
    <n v="2"/>
    <x v="0"/>
    <d v="2025-11-30T11:02:00"/>
    <x v="60"/>
    <x v="10"/>
    <n v="7970"/>
    <n v="2"/>
    <n v="15940"/>
    <x v="1"/>
  </r>
  <r>
    <n v="275"/>
    <n v="190"/>
    <x v="4"/>
    <x v="126"/>
    <x v="0"/>
    <n v="2"/>
    <x v="0"/>
    <d v="2025-11-30T11:23:00"/>
    <x v="60"/>
    <x v="10"/>
    <n v="12478"/>
    <n v="2"/>
    <n v="24956"/>
    <x v="0"/>
  </r>
  <r>
    <n v="675"/>
    <n v="265"/>
    <x v="1"/>
    <x v="116"/>
    <x v="3"/>
    <n v="1"/>
    <x v="0"/>
    <d v="2025-11-30T11:34:00"/>
    <x v="60"/>
    <x v="10"/>
    <n v="5206"/>
    <n v="2"/>
    <n v="10412"/>
    <x v="1"/>
  </r>
  <r>
    <n v="65"/>
    <n v="291"/>
    <x v="2"/>
    <x v="341"/>
    <x v="5"/>
    <n v="4"/>
    <x v="0"/>
    <d v="2025-11-30T11:40:00"/>
    <x v="60"/>
    <x v="10"/>
    <n v="867"/>
    <n v="2"/>
    <n v="1734"/>
    <x v="3"/>
  </r>
  <r>
    <n v="251"/>
    <n v="285"/>
    <x v="7"/>
    <x v="184"/>
    <x v="6"/>
    <n v="5"/>
    <x v="0"/>
    <d v="2025-11-30T11:52:00"/>
    <x v="60"/>
    <x v="10"/>
    <n v="1161"/>
    <n v="4"/>
    <n v="4644"/>
    <x v="2"/>
  </r>
  <r>
    <n v="643"/>
    <n v="255"/>
    <x v="3"/>
    <x v="91"/>
    <x v="3"/>
    <n v="1"/>
    <x v="1"/>
    <d v="2025-11-30T12:04:00"/>
    <x v="60"/>
    <x v="11"/>
    <n v="6120"/>
    <n v="0"/>
    <n v="0"/>
    <x v="1"/>
  </r>
  <r>
    <n v="336"/>
    <n v="284"/>
    <x v="4"/>
    <x v="378"/>
    <x v="6"/>
    <n v="5"/>
    <x v="0"/>
    <d v="2025-11-30T12:06:00"/>
    <x v="60"/>
    <x v="11"/>
    <n v="2765"/>
    <n v="1"/>
    <n v="2765"/>
    <x v="2"/>
  </r>
  <r>
    <n v="493"/>
    <n v="100"/>
    <x v="6"/>
    <x v="385"/>
    <x v="0"/>
    <n v="2"/>
    <x v="0"/>
    <d v="2025-11-30T12:18:00"/>
    <x v="60"/>
    <x v="11"/>
    <n v="10966"/>
    <n v="1"/>
    <n v="10966"/>
    <x v="0"/>
  </r>
  <r>
    <n v="258"/>
    <n v="140"/>
    <x v="7"/>
    <x v="236"/>
    <x v="5"/>
    <n v="4"/>
    <x v="0"/>
    <d v="2025-11-30T12:35:00"/>
    <x v="60"/>
    <x v="11"/>
    <n v="288"/>
    <n v="1"/>
    <n v="288"/>
    <x v="3"/>
  </r>
  <r>
    <n v="617"/>
    <n v="290"/>
    <x v="2"/>
    <x v="69"/>
    <x v="3"/>
    <n v="1"/>
    <x v="0"/>
    <d v="2025-11-30T13:09:00"/>
    <x v="60"/>
    <x v="21"/>
    <n v="5704"/>
    <n v="1"/>
    <n v="5704"/>
    <x v="1"/>
  </r>
  <r>
    <n v="484"/>
    <n v="101"/>
    <x v="1"/>
    <x v="173"/>
    <x v="5"/>
    <n v="4"/>
    <x v="0"/>
    <d v="2025-11-30T13:37:00"/>
    <x v="60"/>
    <x v="21"/>
    <n v="1187"/>
    <n v="1"/>
    <n v="1187"/>
    <x v="2"/>
  </r>
  <r>
    <n v="366"/>
    <n v="242"/>
    <x v="0"/>
    <x v="192"/>
    <x v="1"/>
    <n v="6"/>
    <x v="0"/>
    <d v="2025-11-30T14:10:00"/>
    <x v="60"/>
    <x v="12"/>
    <n v="5978"/>
    <n v="2"/>
    <n v="11956"/>
    <x v="1"/>
  </r>
  <r>
    <n v="505"/>
    <n v="117"/>
    <x v="3"/>
    <x v="267"/>
    <x v="4"/>
    <n v="7"/>
    <x v="0"/>
    <d v="2025-11-30T14:10:00"/>
    <x v="60"/>
    <x v="12"/>
    <n v="7640"/>
    <n v="2"/>
    <n v="15280"/>
    <x v="1"/>
  </r>
  <r>
    <n v="79"/>
    <n v="53"/>
    <x v="0"/>
    <x v="0"/>
    <x v="0"/>
    <n v="2"/>
    <x v="0"/>
    <d v="2025-11-30T14:16:00"/>
    <x v="60"/>
    <x v="12"/>
    <n v="11145"/>
    <n v="3"/>
    <n v="33435"/>
    <x v="0"/>
  </r>
  <r>
    <n v="45"/>
    <n v="105"/>
    <x v="5"/>
    <x v="147"/>
    <x v="3"/>
    <n v="1"/>
    <x v="1"/>
    <d v="2025-11-30T14:45:00"/>
    <x v="60"/>
    <x v="12"/>
    <n v="5499"/>
    <n v="0"/>
    <n v="0"/>
    <x v="1"/>
  </r>
  <r>
    <n v="106"/>
    <n v="281"/>
    <x v="3"/>
    <x v="177"/>
    <x v="2"/>
    <n v="3"/>
    <x v="0"/>
    <d v="2025-11-30T15:03:00"/>
    <x v="60"/>
    <x v="13"/>
    <n v="5337"/>
    <n v="2"/>
    <n v="10674"/>
    <x v="1"/>
  </r>
  <r>
    <n v="756"/>
    <n v="110"/>
    <x v="4"/>
    <x v="316"/>
    <x v="0"/>
    <n v="2"/>
    <x v="1"/>
    <d v="2025-11-30T15:03:00"/>
    <x v="60"/>
    <x v="13"/>
    <n v="11396"/>
    <n v="0"/>
    <n v="0"/>
    <x v="0"/>
  </r>
  <r>
    <n v="263"/>
    <n v="6"/>
    <x v="1"/>
    <x v="60"/>
    <x v="3"/>
    <n v="1"/>
    <x v="0"/>
    <d v="2025-11-30T15:46:00"/>
    <x v="60"/>
    <x v="13"/>
    <n v="2778"/>
    <n v="1"/>
    <n v="2778"/>
    <x v="2"/>
  </r>
  <r>
    <n v="659"/>
    <n v="231"/>
    <x v="1"/>
    <x v="199"/>
    <x v="5"/>
    <n v="4"/>
    <x v="0"/>
    <d v="2025-11-30T16:25:00"/>
    <x v="60"/>
    <x v="14"/>
    <n v="1262"/>
    <n v="2"/>
    <n v="2524"/>
    <x v="2"/>
  </r>
  <r>
    <n v="627"/>
    <n v="61"/>
    <x v="6"/>
    <x v="384"/>
    <x v="1"/>
    <n v="6"/>
    <x v="0"/>
    <d v="2025-11-30T16:46:00"/>
    <x v="60"/>
    <x v="14"/>
    <n v="5272"/>
    <n v="2"/>
    <n v="10544"/>
    <x v="1"/>
  </r>
  <r>
    <n v="765"/>
    <n v="124"/>
    <x v="9"/>
    <x v="100"/>
    <x v="5"/>
    <n v="4"/>
    <x v="0"/>
    <d v="2025-11-30T16:48:00"/>
    <x v="60"/>
    <x v="14"/>
    <n v="169"/>
    <n v="1"/>
    <n v="169"/>
    <x v="3"/>
  </r>
  <r>
    <n v="172"/>
    <n v="4"/>
    <x v="7"/>
    <x v="26"/>
    <x v="6"/>
    <n v="5"/>
    <x v="0"/>
    <d v="2025-11-30T17:27:00"/>
    <x v="60"/>
    <x v="15"/>
    <n v="1023"/>
    <n v="1"/>
    <n v="1023"/>
    <x v="2"/>
  </r>
  <r>
    <n v="103"/>
    <n v="46"/>
    <x v="2"/>
    <x v="80"/>
    <x v="0"/>
    <n v="2"/>
    <x v="0"/>
    <d v="2025-11-30T17:50:00"/>
    <x v="60"/>
    <x v="15"/>
    <n v="11930"/>
    <n v="1"/>
    <n v="11930"/>
    <x v="0"/>
  </r>
  <r>
    <n v="285"/>
    <n v="1"/>
    <x v="5"/>
    <x v="183"/>
    <x v="3"/>
    <n v="1"/>
    <x v="0"/>
    <d v="2025-11-30T18:30:00"/>
    <x v="60"/>
    <x v="16"/>
    <n v="5224"/>
    <n v="2"/>
    <n v="10448"/>
    <x v="1"/>
  </r>
  <r>
    <n v="772"/>
    <n v="232"/>
    <x v="6"/>
    <x v="219"/>
    <x v="3"/>
    <n v="1"/>
    <x v="0"/>
    <d v="2025-11-30T19:07:00"/>
    <x v="60"/>
    <x v="22"/>
    <n v="4654"/>
    <n v="3"/>
    <n v="13962"/>
    <x v="2"/>
  </r>
  <r>
    <n v="757"/>
    <n v="50"/>
    <x v="4"/>
    <x v="150"/>
    <x v="1"/>
    <n v="6"/>
    <x v="0"/>
    <d v="2025-11-30T19:50:00"/>
    <x v="60"/>
    <x v="22"/>
    <n v="11270"/>
    <n v="4"/>
    <n v="45080"/>
    <x v="0"/>
  </r>
  <r>
    <n v="177"/>
    <n v="81"/>
    <x v="7"/>
    <x v="288"/>
    <x v="2"/>
    <n v="3"/>
    <x v="0"/>
    <d v="2025-11-30T20:10:00"/>
    <x v="60"/>
    <x v="17"/>
    <n v="1815"/>
    <n v="2"/>
    <n v="3630"/>
    <x v="2"/>
  </r>
  <r>
    <n v="201"/>
    <n v="108"/>
    <x v="0"/>
    <x v="168"/>
    <x v="6"/>
    <n v="5"/>
    <x v="1"/>
    <d v="2025-11-30T20:14:00"/>
    <x v="60"/>
    <x v="17"/>
    <n v="1936"/>
    <n v="0"/>
    <n v="0"/>
    <x v="2"/>
  </r>
  <r>
    <n v="63"/>
    <n v="231"/>
    <x v="7"/>
    <x v="236"/>
    <x v="5"/>
    <n v="4"/>
    <x v="0"/>
    <d v="2025-11-30T20:43:00"/>
    <x v="60"/>
    <x v="17"/>
    <n v="321"/>
    <n v="1"/>
    <n v="321"/>
    <x v="3"/>
  </r>
  <r>
    <n v="121"/>
    <n v="105"/>
    <x v="4"/>
    <x v="242"/>
    <x v="4"/>
    <n v="7"/>
    <x v="0"/>
    <d v="2025-11-30T21:09:00"/>
    <x v="60"/>
    <x v="23"/>
    <n v="3464"/>
    <n v="2"/>
    <n v="6928"/>
    <x v="2"/>
  </r>
  <r>
    <n v="158"/>
    <n v="33"/>
    <x v="7"/>
    <x v="236"/>
    <x v="5"/>
    <n v="4"/>
    <x v="1"/>
    <d v="2025-11-30T21:45:00"/>
    <x v="60"/>
    <x v="23"/>
    <n v="921"/>
    <n v="0"/>
    <n v="0"/>
    <x v="3"/>
  </r>
  <r>
    <n v="8"/>
    <n v="88"/>
    <x v="8"/>
    <x v="37"/>
    <x v="3"/>
    <n v="1"/>
    <x v="0"/>
    <d v="2025-11-30T21:50:00"/>
    <x v="60"/>
    <x v="23"/>
    <n v="7710"/>
    <n v="1"/>
    <n v="7710"/>
    <x v="1"/>
  </r>
  <r>
    <n v="701"/>
    <n v="216"/>
    <x v="3"/>
    <x v="238"/>
    <x v="6"/>
    <n v="5"/>
    <x v="0"/>
    <d v="2025-11-30T21:55:00"/>
    <x v="60"/>
    <x v="23"/>
    <n v="2151"/>
    <n v="1"/>
    <n v="2151"/>
    <x v="2"/>
  </r>
  <r>
    <n v="75"/>
    <n v="79"/>
    <x v="4"/>
    <x v="316"/>
    <x v="0"/>
    <n v="2"/>
    <x v="0"/>
    <d v="2025-11-30T22:54:00"/>
    <x v="60"/>
    <x v="18"/>
    <n v="5621"/>
    <n v="2"/>
    <n v="11242"/>
    <x v="1"/>
  </r>
  <r>
    <n v="717"/>
    <n v="86"/>
    <x v="2"/>
    <x v="256"/>
    <x v="4"/>
    <n v="7"/>
    <x v="1"/>
    <d v="2025-11-30T23:31:00"/>
    <x v="60"/>
    <x v="19"/>
    <n v="4755"/>
    <n v="0"/>
    <n v="0"/>
    <x v="2"/>
  </r>
  <r>
    <n v="569"/>
    <n v="272"/>
    <x v="3"/>
    <x v="295"/>
    <x v="0"/>
    <n v="2"/>
    <x v="0"/>
    <d v="2025-12-01T00:34:00"/>
    <x v="61"/>
    <x v="0"/>
    <n v="8525"/>
    <n v="2"/>
    <n v="17050"/>
    <x v="1"/>
  </r>
  <r>
    <n v="162"/>
    <n v="273"/>
    <x v="6"/>
    <x v="28"/>
    <x v="0"/>
    <n v="2"/>
    <x v="0"/>
    <d v="2025-12-01T01:12:00"/>
    <x v="61"/>
    <x v="1"/>
    <n v="13793"/>
    <n v="2"/>
    <n v="27586"/>
    <x v="0"/>
  </r>
  <r>
    <n v="177"/>
    <n v="228"/>
    <x v="8"/>
    <x v="239"/>
    <x v="1"/>
    <n v="6"/>
    <x v="0"/>
    <d v="2025-12-01T01:36:00"/>
    <x v="61"/>
    <x v="1"/>
    <n v="11204"/>
    <n v="2"/>
    <n v="22408"/>
    <x v="0"/>
  </r>
  <r>
    <n v="220"/>
    <n v="11"/>
    <x v="7"/>
    <x v="94"/>
    <x v="5"/>
    <n v="4"/>
    <x v="0"/>
    <d v="2025-12-01T02:04:00"/>
    <x v="61"/>
    <x v="2"/>
    <n v="582"/>
    <n v="4"/>
    <n v="2328"/>
    <x v="3"/>
  </r>
  <r>
    <n v="792"/>
    <n v="275"/>
    <x v="7"/>
    <x v="236"/>
    <x v="5"/>
    <n v="4"/>
    <x v="1"/>
    <d v="2025-12-01T03:02:00"/>
    <x v="61"/>
    <x v="3"/>
    <n v="458"/>
    <n v="0"/>
    <n v="0"/>
    <x v="3"/>
  </r>
  <r>
    <n v="712"/>
    <n v="65"/>
    <x v="9"/>
    <x v="151"/>
    <x v="5"/>
    <n v="4"/>
    <x v="0"/>
    <d v="2025-12-01T03:25:00"/>
    <x v="61"/>
    <x v="3"/>
    <n v="848"/>
    <n v="2"/>
    <n v="1696"/>
    <x v="3"/>
  </r>
  <r>
    <n v="574"/>
    <n v="246"/>
    <x v="3"/>
    <x v="304"/>
    <x v="1"/>
    <n v="6"/>
    <x v="0"/>
    <d v="2025-12-01T03:51:00"/>
    <x v="61"/>
    <x v="3"/>
    <n v="2798"/>
    <n v="2"/>
    <n v="5596"/>
    <x v="2"/>
  </r>
  <r>
    <n v="756"/>
    <n v="70"/>
    <x v="9"/>
    <x v="237"/>
    <x v="0"/>
    <n v="2"/>
    <x v="1"/>
    <d v="2025-12-01T03:56:00"/>
    <x v="61"/>
    <x v="3"/>
    <n v="10597"/>
    <n v="0"/>
    <n v="0"/>
    <x v="0"/>
  </r>
  <r>
    <n v="238"/>
    <n v="65"/>
    <x v="4"/>
    <x v="27"/>
    <x v="3"/>
    <n v="1"/>
    <x v="0"/>
    <d v="2025-12-01T04:13:00"/>
    <x v="61"/>
    <x v="4"/>
    <n v="1497"/>
    <n v="3"/>
    <n v="4491"/>
    <x v="2"/>
  </r>
  <r>
    <n v="557"/>
    <n v="38"/>
    <x v="3"/>
    <x v="370"/>
    <x v="5"/>
    <n v="4"/>
    <x v="0"/>
    <d v="2025-12-01T04:46:00"/>
    <x v="61"/>
    <x v="4"/>
    <n v="367"/>
    <n v="1"/>
    <n v="367"/>
    <x v="3"/>
  </r>
  <r>
    <n v="348"/>
    <n v="269"/>
    <x v="3"/>
    <x v="49"/>
    <x v="3"/>
    <n v="1"/>
    <x v="0"/>
    <d v="2025-12-01T04:55:00"/>
    <x v="61"/>
    <x v="4"/>
    <n v="3053"/>
    <n v="2"/>
    <n v="6106"/>
    <x v="2"/>
  </r>
  <r>
    <n v="341"/>
    <n v="282"/>
    <x v="7"/>
    <x v="83"/>
    <x v="3"/>
    <n v="1"/>
    <x v="0"/>
    <d v="2025-12-01T05:01:00"/>
    <x v="61"/>
    <x v="20"/>
    <n v="5250"/>
    <n v="2"/>
    <n v="10500"/>
    <x v="1"/>
  </r>
  <r>
    <n v="503"/>
    <n v="106"/>
    <x v="0"/>
    <x v="319"/>
    <x v="1"/>
    <n v="6"/>
    <x v="0"/>
    <d v="2025-12-01T05:11:00"/>
    <x v="61"/>
    <x v="20"/>
    <n v="4122"/>
    <n v="4"/>
    <n v="16488"/>
    <x v="2"/>
  </r>
  <r>
    <n v="152"/>
    <n v="227"/>
    <x v="1"/>
    <x v="266"/>
    <x v="6"/>
    <n v="5"/>
    <x v="0"/>
    <d v="2025-12-01T05:18:00"/>
    <x v="61"/>
    <x v="20"/>
    <n v="1284"/>
    <n v="1"/>
    <n v="1284"/>
    <x v="2"/>
  </r>
  <r>
    <n v="756"/>
    <n v="165"/>
    <x v="3"/>
    <x v="264"/>
    <x v="0"/>
    <n v="2"/>
    <x v="1"/>
    <d v="2025-12-01T05:24:00"/>
    <x v="61"/>
    <x v="20"/>
    <n v="5186"/>
    <n v="0"/>
    <n v="0"/>
    <x v="1"/>
  </r>
  <r>
    <n v="31"/>
    <n v="17"/>
    <x v="7"/>
    <x v="184"/>
    <x v="6"/>
    <n v="5"/>
    <x v="0"/>
    <d v="2025-12-01T05:39:00"/>
    <x v="61"/>
    <x v="20"/>
    <n v="2571"/>
    <n v="2"/>
    <n v="5142"/>
    <x v="2"/>
  </r>
  <r>
    <n v="708"/>
    <n v="13"/>
    <x v="0"/>
    <x v="211"/>
    <x v="1"/>
    <n v="6"/>
    <x v="0"/>
    <d v="2025-12-01T06:42:00"/>
    <x v="61"/>
    <x v="5"/>
    <n v="2387"/>
    <n v="3"/>
    <n v="7161"/>
    <x v="2"/>
  </r>
  <r>
    <n v="776"/>
    <n v="300"/>
    <x v="6"/>
    <x v="384"/>
    <x v="1"/>
    <n v="6"/>
    <x v="0"/>
    <d v="2025-12-01T07:01:00"/>
    <x v="61"/>
    <x v="6"/>
    <n v="2339"/>
    <n v="2"/>
    <n v="4678"/>
    <x v="2"/>
  </r>
  <r>
    <n v="101"/>
    <n v="225"/>
    <x v="5"/>
    <x v="50"/>
    <x v="5"/>
    <n v="4"/>
    <x v="0"/>
    <d v="2025-12-01T07:07:00"/>
    <x v="61"/>
    <x v="6"/>
    <n v="58"/>
    <n v="2"/>
    <n v="116"/>
    <x v="3"/>
  </r>
  <r>
    <n v="646"/>
    <n v="14"/>
    <x v="6"/>
    <x v="40"/>
    <x v="5"/>
    <n v="4"/>
    <x v="0"/>
    <d v="2025-12-01T07:09:00"/>
    <x v="61"/>
    <x v="6"/>
    <n v="1284"/>
    <n v="1"/>
    <n v="1284"/>
    <x v="2"/>
  </r>
  <r>
    <n v="389"/>
    <n v="59"/>
    <x v="6"/>
    <x v="360"/>
    <x v="6"/>
    <n v="5"/>
    <x v="0"/>
    <d v="2025-12-01T07:40:00"/>
    <x v="61"/>
    <x v="6"/>
    <n v="3621"/>
    <n v="1"/>
    <n v="3621"/>
    <x v="2"/>
  </r>
  <r>
    <n v="268"/>
    <n v="82"/>
    <x v="7"/>
    <x v="348"/>
    <x v="0"/>
    <n v="2"/>
    <x v="1"/>
    <d v="2025-12-01T07:53:00"/>
    <x v="61"/>
    <x v="6"/>
    <n v="12387"/>
    <n v="0"/>
    <n v="0"/>
    <x v="0"/>
  </r>
  <r>
    <n v="685"/>
    <n v="296"/>
    <x v="4"/>
    <x v="335"/>
    <x v="6"/>
    <n v="5"/>
    <x v="0"/>
    <d v="2025-12-01T08:39:00"/>
    <x v="61"/>
    <x v="7"/>
    <n v="1227"/>
    <n v="2"/>
    <n v="2454"/>
    <x v="2"/>
  </r>
  <r>
    <n v="535"/>
    <n v="40"/>
    <x v="7"/>
    <x v="143"/>
    <x v="4"/>
    <n v="7"/>
    <x v="0"/>
    <d v="2025-12-01T09:07:00"/>
    <x v="61"/>
    <x v="8"/>
    <n v="5967"/>
    <n v="1"/>
    <n v="5967"/>
    <x v="1"/>
  </r>
  <r>
    <n v="637"/>
    <n v="22"/>
    <x v="7"/>
    <x v="58"/>
    <x v="2"/>
    <n v="3"/>
    <x v="0"/>
    <d v="2025-12-01T09:49:00"/>
    <x v="61"/>
    <x v="8"/>
    <n v="2622"/>
    <n v="4"/>
    <n v="10488"/>
    <x v="2"/>
  </r>
  <r>
    <n v="520"/>
    <n v="223"/>
    <x v="8"/>
    <x v="111"/>
    <x v="2"/>
    <n v="3"/>
    <x v="0"/>
    <d v="2025-12-01T09:58:00"/>
    <x v="61"/>
    <x v="8"/>
    <n v="4067"/>
    <n v="1"/>
    <n v="4067"/>
    <x v="2"/>
  </r>
  <r>
    <n v="51"/>
    <n v="2"/>
    <x v="0"/>
    <x v="265"/>
    <x v="5"/>
    <n v="4"/>
    <x v="0"/>
    <d v="2025-12-01T10:29:00"/>
    <x v="61"/>
    <x v="9"/>
    <n v="820"/>
    <n v="3"/>
    <n v="2460"/>
    <x v="3"/>
  </r>
  <r>
    <n v="354"/>
    <n v="175"/>
    <x v="5"/>
    <x v="50"/>
    <x v="5"/>
    <n v="4"/>
    <x v="0"/>
    <d v="2025-12-01T10:37:00"/>
    <x v="61"/>
    <x v="9"/>
    <n v="1338"/>
    <n v="3"/>
    <n v="4014"/>
    <x v="2"/>
  </r>
  <r>
    <n v="543"/>
    <n v="77"/>
    <x v="3"/>
    <x v="118"/>
    <x v="3"/>
    <n v="1"/>
    <x v="0"/>
    <d v="2025-12-01T11:51:00"/>
    <x v="61"/>
    <x v="10"/>
    <n v="1711"/>
    <n v="1"/>
    <n v="1711"/>
    <x v="2"/>
  </r>
  <r>
    <n v="242"/>
    <n v="212"/>
    <x v="9"/>
    <x v="372"/>
    <x v="6"/>
    <n v="5"/>
    <x v="0"/>
    <d v="2025-12-01T12:18:00"/>
    <x v="61"/>
    <x v="11"/>
    <n v="2452"/>
    <n v="3"/>
    <n v="7356"/>
    <x v="2"/>
  </r>
  <r>
    <n v="330"/>
    <n v="190"/>
    <x v="3"/>
    <x v="91"/>
    <x v="3"/>
    <n v="1"/>
    <x v="0"/>
    <d v="2025-12-01T12:29:00"/>
    <x v="61"/>
    <x v="11"/>
    <n v="2159"/>
    <n v="2"/>
    <n v="4318"/>
    <x v="2"/>
  </r>
  <r>
    <n v="175"/>
    <n v="296"/>
    <x v="6"/>
    <x v="262"/>
    <x v="5"/>
    <n v="4"/>
    <x v="0"/>
    <d v="2025-12-01T12:37:00"/>
    <x v="61"/>
    <x v="11"/>
    <n v="1229"/>
    <n v="4"/>
    <n v="4916"/>
    <x v="2"/>
  </r>
  <r>
    <n v="732"/>
    <n v="21"/>
    <x v="0"/>
    <x v="358"/>
    <x v="1"/>
    <n v="6"/>
    <x v="0"/>
    <d v="2025-12-01T12:42:00"/>
    <x v="61"/>
    <x v="11"/>
    <n v="8322"/>
    <n v="2"/>
    <n v="16644"/>
    <x v="1"/>
  </r>
  <r>
    <n v="213"/>
    <n v="124"/>
    <x v="0"/>
    <x v="187"/>
    <x v="6"/>
    <n v="5"/>
    <x v="1"/>
    <d v="2025-12-01T13:14:00"/>
    <x v="61"/>
    <x v="21"/>
    <n v="3400"/>
    <n v="0"/>
    <n v="0"/>
    <x v="2"/>
  </r>
  <r>
    <n v="472"/>
    <n v="182"/>
    <x v="9"/>
    <x v="52"/>
    <x v="0"/>
    <n v="2"/>
    <x v="0"/>
    <d v="2025-12-01T13:20:00"/>
    <x v="61"/>
    <x v="21"/>
    <n v="10828"/>
    <n v="3"/>
    <n v="32484"/>
    <x v="0"/>
  </r>
  <r>
    <n v="190"/>
    <n v="65"/>
    <x v="9"/>
    <x v="100"/>
    <x v="5"/>
    <n v="4"/>
    <x v="1"/>
    <d v="2025-12-01T13:44:00"/>
    <x v="61"/>
    <x v="21"/>
    <n v="279"/>
    <n v="0"/>
    <n v="0"/>
    <x v="3"/>
  </r>
  <r>
    <n v="126"/>
    <n v="201"/>
    <x v="7"/>
    <x v="377"/>
    <x v="1"/>
    <n v="6"/>
    <x v="0"/>
    <d v="2025-12-01T13:53:00"/>
    <x v="61"/>
    <x v="21"/>
    <n v="2888"/>
    <n v="1"/>
    <n v="2888"/>
    <x v="2"/>
  </r>
  <r>
    <n v="542"/>
    <n v="3"/>
    <x v="1"/>
    <x v="346"/>
    <x v="1"/>
    <n v="6"/>
    <x v="0"/>
    <d v="2025-12-01T14:21:00"/>
    <x v="61"/>
    <x v="12"/>
    <n v="6212"/>
    <n v="2"/>
    <n v="12424"/>
    <x v="1"/>
  </r>
  <r>
    <n v="182"/>
    <n v="281"/>
    <x v="7"/>
    <x v="117"/>
    <x v="3"/>
    <n v="1"/>
    <x v="0"/>
    <d v="2025-12-01T15:06:00"/>
    <x v="61"/>
    <x v="13"/>
    <n v="3263"/>
    <n v="1"/>
    <n v="3263"/>
    <x v="2"/>
  </r>
  <r>
    <n v="199"/>
    <n v="194"/>
    <x v="5"/>
    <x v="284"/>
    <x v="6"/>
    <n v="5"/>
    <x v="1"/>
    <d v="2025-12-01T15:46:00"/>
    <x v="61"/>
    <x v="13"/>
    <n v="2795"/>
    <n v="0"/>
    <n v="0"/>
    <x v="2"/>
  </r>
  <r>
    <n v="275"/>
    <n v="125"/>
    <x v="1"/>
    <x v="173"/>
    <x v="5"/>
    <n v="4"/>
    <x v="1"/>
    <d v="2025-12-01T16:24:00"/>
    <x v="61"/>
    <x v="14"/>
    <n v="504"/>
    <n v="0"/>
    <n v="0"/>
    <x v="3"/>
  </r>
  <r>
    <n v="714"/>
    <n v="205"/>
    <x v="1"/>
    <x v="115"/>
    <x v="2"/>
    <n v="3"/>
    <x v="0"/>
    <d v="2025-12-01T16:29:00"/>
    <x v="61"/>
    <x v="14"/>
    <n v="2912"/>
    <n v="4"/>
    <n v="11648"/>
    <x v="2"/>
  </r>
  <r>
    <n v="535"/>
    <n v="293"/>
    <x v="7"/>
    <x v="281"/>
    <x v="6"/>
    <n v="5"/>
    <x v="0"/>
    <d v="2025-12-01T16:32:00"/>
    <x v="61"/>
    <x v="14"/>
    <n v="3482"/>
    <n v="4"/>
    <n v="13928"/>
    <x v="2"/>
  </r>
  <r>
    <n v="305"/>
    <n v="82"/>
    <x v="7"/>
    <x v="255"/>
    <x v="6"/>
    <n v="5"/>
    <x v="0"/>
    <d v="2025-12-01T17:04:00"/>
    <x v="61"/>
    <x v="15"/>
    <n v="3584"/>
    <n v="3"/>
    <n v="10752"/>
    <x v="2"/>
  </r>
  <r>
    <n v="134"/>
    <n v="189"/>
    <x v="2"/>
    <x v="69"/>
    <x v="3"/>
    <n v="1"/>
    <x v="0"/>
    <d v="2025-12-01T17:16:00"/>
    <x v="61"/>
    <x v="15"/>
    <n v="1093"/>
    <n v="3"/>
    <n v="3279"/>
    <x v="2"/>
  </r>
  <r>
    <n v="220"/>
    <n v="54"/>
    <x v="3"/>
    <x v="232"/>
    <x v="3"/>
    <n v="1"/>
    <x v="1"/>
    <d v="2025-12-01T17:31:00"/>
    <x v="61"/>
    <x v="15"/>
    <n v="7087"/>
    <n v="0"/>
    <n v="0"/>
    <x v="1"/>
  </r>
  <r>
    <n v="474"/>
    <n v="21"/>
    <x v="7"/>
    <x v="357"/>
    <x v="3"/>
    <n v="1"/>
    <x v="0"/>
    <d v="2025-12-01T17:32:00"/>
    <x v="61"/>
    <x v="15"/>
    <n v="3734"/>
    <n v="3"/>
    <n v="11202"/>
    <x v="2"/>
  </r>
  <r>
    <n v="364"/>
    <n v="192"/>
    <x v="2"/>
    <x v="32"/>
    <x v="5"/>
    <n v="4"/>
    <x v="1"/>
    <d v="2025-12-01T17:40:00"/>
    <x v="61"/>
    <x v="15"/>
    <n v="798"/>
    <n v="0"/>
    <n v="0"/>
    <x v="3"/>
  </r>
  <r>
    <n v="235"/>
    <n v="189"/>
    <x v="4"/>
    <x v="270"/>
    <x v="2"/>
    <n v="3"/>
    <x v="0"/>
    <d v="2025-12-01T17:40:00"/>
    <x v="61"/>
    <x v="15"/>
    <n v="3701"/>
    <n v="2"/>
    <n v="7402"/>
    <x v="2"/>
  </r>
  <r>
    <n v="197"/>
    <n v="12"/>
    <x v="4"/>
    <x v="363"/>
    <x v="1"/>
    <n v="6"/>
    <x v="1"/>
    <d v="2025-12-01T18:36:00"/>
    <x v="61"/>
    <x v="16"/>
    <n v="7647"/>
    <n v="0"/>
    <n v="0"/>
    <x v="1"/>
  </r>
  <r>
    <n v="316"/>
    <n v="211"/>
    <x v="8"/>
    <x v="225"/>
    <x v="4"/>
    <n v="7"/>
    <x v="0"/>
    <d v="2025-12-01T18:44:00"/>
    <x v="61"/>
    <x v="16"/>
    <n v="6820"/>
    <n v="2"/>
    <n v="13640"/>
    <x v="1"/>
  </r>
  <r>
    <n v="544"/>
    <n v="259"/>
    <x v="3"/>
    <x v="370"/>
    <x v="5"/>
    <n v="4"/>
    <x v="0"/>
    <d v="2025-12-01T19:05:00"/>
    <x v="61"/>
    <x v="22"/>
    <n v="571"/>
    <n v="5"/>
    <n v="2855"/>
    <x v="3"/>
  </r>
  <r>
    <n v="112"/>
    <n v="189"/>
    <x v="5"/>
    <x v="339"/>
    <x v="1"/>
    <n v="6"/>
    <x v="0"/>
    <d v="2025-12-01T19:06:00"/>
    <x v="61"/>
    <x v="22"/>
    <n v="2563"/>
    <n v="2"/>
    <n v="5126"/>
    <x v="2"/>
  </r>
  <r>
    <n v="183"/>
    <n v="142"/>
    <x v="3"/>
    <x v="370"/>
    <x v="5"/>
    <n v="4"/>
    <x v="0"/>
    <d v="2025-12-01T19:36:00"/>
    <x v="61"/>
    <x v="22"/>
    <n v="628"/>
    <n v="3"/>
    <n v="1884"/>
    <x v="3"/>
  </r>
  <r>
    <n v="625"/>
    <n v="32"/>
    <x v="4"/>
    <x v="329"/>
    <x v="1"/>
    <n v="6"/>
    <x v="0"/>
    <d v="2025-12-01T19:46:00"/>
    <x v="61"/>
    <x v="22"/>
    <n v="7603"/>
    <n v="2"/>
    <n v="15206"/>
    <x v="1"/>
  </r>
  <r>
    <n v="655"/>
    <n v="30"/>
    <x v="7"/>
    <x v="235"/>
    <x v="0"/>
    <n v="2"/>
    <x v="0"/>
    <d v="2025-12-01T20:46:00"/>
    <x v="61"/>
    <x v="17"/>
    <n v="9388"/>
    <n v="3"/>
    <n v="28164"/>
    <x v="1"/>
  </r>
  <r>
    <n v="214"/>
    <n v="182"/>
    <x v="5"/>
    <x v="179"/>
    <x v="0"/>
    <n v="2"/>
    <x v="0"/>
    <d v="2025-12-01T21:44:00"/>
    <x v="61"/>
    <x v="23"/>
    <n v="8695"/>
    <n v="2"/>
    <n v="17390"/>
    <x v="1"/>
  </r>
  <r>
    <n v="323"/>
    <n v="63"/>
    <x v="7"/>
    <x v="85"/>
    <x v="4"/>
    <n v="7"/>
    <x v="0"/>
    <d v="2025-12-01T21:55:00"/>
    <x v="61"/>
    <x v="23"/>
    <n v="3160"/>
    <n v="1"/>
    <n v="3160"/>
    <x v="2"/>
  </r>
  <r>
    <n v="105"/>
    <n v="47"/>
    <x v="5"/>
    <x v="246"/>
    <x v="3"/>
    <n v="1"/>
    <x v="0"/>
    <d v="2025-12-01T22:56:00"/>
    <x v="61"/>
    <x v="18"/>
    <n v="4405"/>
    <n v="1"/>
    <n v="4405"/>
    <x v="2"/>
  </r>
  <r>
    <n v="539"/>
    <n v="239"/>
    <x v="9"/>
    <x v="18"/>
    <x v="3"/>
    <n v="1"/>
    <x v="0"/>
    <d v="2025-12-02T01:23:00"/>
    <x v="62"/>
    <x v="1"/>
    <n v="1938"/>
    <n v="2"/>
    <n v="3876"/>
    <x v="2"/>
  </r>
  <r>
    <n v="204"/>
    <n v="124"/>
    <x v="0"/>
    <x v="323"/>
    <x v="0"/>
    <n v="2"/>
    <x v="0"/>
    <d v="2025-12-02T02:10:00"/>
    <x v="62"/>
    <x v="2"/>
    <n v="6105"/>
    <n v="1"/>
    <n v="6105"/>
    <x v="1"/>
  </r>
  <r>
    <n v="222"/>
    <n v="69"/>
    <x v="5"/>
    <x v="50"/>
    <x v="5"/>
    <n v="4"/>
    <x v="0"/>
    <d v="2025-12-02T02:59:00"/>
    <x v="62"/>
    <x v="2"/>
    <n v="1111"/>
    <n v="1"/>
    <n v="1111"/>
    <x v="2"/>
  </r>
  <r>
    <n v="41"/>
    <n v="209"/>
    <x v="6"/>
    <x v="53"/>
    <x v="5"/>
    <n v="4"/>
    <x v="0"/>
    <d v="2025-12-02T03:07:00"/>
    <x v="62"/>
    <x v="3"/>
    <n v="1008"/>
    <n v="1"/>
    <n v="1008"/>
    <x v="2"/>
  </r>
  <r>
    <n v="769"/>
    <n v="259"/>
    <x v="1"/>
    <x v="253"/>
    <x v="2"/>
    <n v="3"/>
    <x v="1"/>
    <d v="2025-12-02T03:29:00"/>
    <x v="62"/>
    <x v="3"/>
    <n v="1954"/>
    <n v="0"/>
    <n v="0"/>
    <x v="2"/>
  </r>
  <r>
    <n v="98"/>
    <n v="237"/>
    <x v="6"/>
    <x v="136"/>
    <x v="6"/>
    <n v="5"/>
    <x v="0"/>
    <d v="2025-12-02T03:31:00"/>
    <x v="62"/>
    <x v="3"/>
    <n v="3022"/>
    <n v="5"/>
    <n v="15110"/>
    <x v="2"/>
  </r>
  <r>
    <n v="538"/>
    <n v="5"/>
    <x v="3"/>
    <x v="305"/>
    <x v="3"/>
    <n v="1"/>
    <x v="0"/>
    <d v="2025-12-02T03:34:00"/>
    <x v="62"/>
    <x v="3"/>
    <n v="5109"/>
    <n v="4"/>
    <n v="20436"/>
    <x v="1"/>
  </r>
  <r>
    <n v="31"/>
    <n v="55"/>
    <x v="5"/>
    <x v="352"/>
    <x v="2"/>
    <n v="3"/>
    <x v="0"/>
    <d v="2025-12-02T06:34:00"/>
    <x v="62"/>
    <x v="5"/>
    <n v="1500"/>
    <n v="2"/>
    <n v="3000"/>
    <x v="2"/>
  </r>
  <r>
    <n v="563"/>
    <n v="66"/>
    <x v="2"/>
    <x v="205"/>
    <x v="6"/>
    <n v="5"/>
    <x v="1"/>
    <d v="2025-12-02T06:45:00"/>
    <x v="62"/>
    <x v="5"/>
    <n v="2368"/>
    <n v="0"/>
    <n v="0"/>
    <x v="2"/>
  </r>
  <r>
    <n v="705"/>
    <n v="194"/>
    <x v="0"/>
    <x v="353"/>
    <x v="1"/>
    <n v="6"/>
    <x v="0"/>
    <d v="2025-12-02T07:21:00"/>
    <x v="62"/>
    <x v="6"/>
    <n v="11852"/>
    <n v="3"/>
    <n v="35556"/>
    <x v="0"/>
  </r>
  <r>
    <n v="747"/>
    <n v="146"/>
    <x v="8"/>
    <x v="379"/>
    <x v="6"/>
    <n v="5"/>
    <x v="0"/>
    <d v="2025-12-02T08:05:00"/>
    <x v="62"/>
    <x v="7"/>
    <n v="2208"/>
    <n v="1"/>
    <n v="2208"/>
    <x v="2"/>
  </r>
  <r>
    <n v="636"/>
    <n v="110"/>
    <x v="2"/>
    <x v="7"/>
    <x v="0"/>
    <n v="2"/>
    <x v="0"/>
    <d v="2025-12-02T08:57:00"/>
    <x v="62"/>
    <x v="7"/>
    <n v="13627"/>
    <n v="2"/>
    <n v="27254"/>
    <x v="0"/>
  </r>
  <r>
    <n v="138"/>
    <n v="30"/>
    <x v="9"/>
    <x v="113"/>
    <x v="5"/>
    <n v="4"/>
    <x v="0"/>
    <d v="2025-12-02T11:37:00"/>
    <x v="62"/>
    <x v="10"/>
    <n v="840"/>
    <n v="3"/>
    <n v="2520"/>
    <x v="3"/>
  </r>
  <r>
    <n v="127"/>
    <n v="270"/>
    <x v="9"/>
    <x v="286"/>
    <x v="0"/>
    <n v="2"/>
    <x v="0"/>
    <d v="2025-12-02T11:44:00"/>
    <x v="62"/>
    <x v="10"/>
    <n v="5208"/>
    <n v="2"/>
    <n v="10416"/>
    <x v="1"/>
  </r>
  <r>
    <n v="112"/>
    <n v="277"/>
    <x v="9"/>
    <x v="75"/>
    <x v="0"/>
    <n v="2"/>
    <x v="0"/>
    <d v="2025-12-02T11:45:00"/>
    <x v="62"/>
    <x v="10"/>
    <n v="14669"/>
    <n v="5"/>
    <n v="73345"/>
    <x v="0"/>
  </r>
  <r>
    <n v="543"/>
    <n v="245"/>
    <x v="5"/>
    <x v="297"/>
    <x v="2"/>
    <n v="3"/>
    <x v="1"/>
    <d v="2025-12-02T11:59:00"/>
    <x v="62"/>
    <x v="10"/>
    <n v="3809"/>
    <n v="0"/>
    <n v="0"/>
    <x v="2"/>
  </r>
  <r>
    <n v="775"/>
    <n v="209"/>
    <x v="9"/>
    <x v="312"/>
    <x v="5"/>
    <n v="4"/>
    <x v="0"/>
    <d v="2025-12-02T12:03:00"/>
    <x v="62"/>
    <x v="11"/>
    <n v="565"/>
    <n v="1"/>
    <n v="565"/>
    <x v="3"/>
  </r>
  <r>
    <n v="622"/>
    <n v="259"/>
    <x v="4"/>
    <x v="153"/>
    <x v="5"/>
    <n v="4"/>
    <x v="1"/>
    <d v="2025-12-02T12:03:00"/>
    <x v="62"/>
    <x v="11"/>
    <n v="335"/>
    <n v="0"/>
    <n v="0"/>
    <x v="3"/>
  </r>
  <r>
    <n v="282"/>
    <n v="172"/>
    <x v="5"/>
    <x v="147"/>
    <x v="3"/>
    <n v="1"/>
    <x v="0"/>
    <d v="2025-12-02T12:15:00"/>
    <x v="62"/>
    <x v="11"/>
    <n v="2048"/>
    <n v="3"/>
    <n v="6144"/>
    <x v="2"/>
  </r>
  <r>
    <n v="262"/>
    <n v="19"/>
    <x v="1"/>
    <x v="366"/>
    <x v="0"/>
    <n v="2"/>
    <x v="0"/>
    <d v="2025-12-02T12:56:00"/>
    <x v="62"/>
    <x v="11"/>
    <n v="9546"/>
    <n v="2"/>
    <n v="19092"/>
    <x v="1"/>
  </r>
  <r>
    <n v="533"/>
    <n v="275"/>
    <x v="7"/>
    <x v="337"/>
    <x v="3"/>
    <n v="1"/>
    <x v="0"/>
    <d v="2025-12-02T13:18:00"/>
    <x v="62"/>
    <x v="21"/>
    <n v="6877"/>
    <n v="1"/>
    <n v="6877"/>
    <x v="1"/>
  </r>
  <r>
    <n v="646"/>
    <n v="11"/>
    <x v="0"/>
    <x v="212"/>
    <x v="0"/>
    <n v="2"/>
    <x v="0"/>
    <d v="2025-12-02T13:28:00"/>
    <x v="62"/>
    <x v="21"/>
    <n v="10854"/>
    <n v="1"/>
    <n v="10854"/>
    <x v="0"/>
  </r>
  <r>
    <n v="405"/>
    <n v="220"/>
    <x v="5"/>
    <x v="72"/>
    <x v="6"/>
    <n v="5"/>
    <x v="0"/>
    <d v="2025-12-02T13:56:00"/>
    <x v="62"/>
    <x v="21"/>
    <n v="3958"/>
    <n v="3"/>
    <n v="11874"/>
    <x v="2"/>
  </r>
  <r>
    <n v="711"/>
    <n v="50"/>
    <x v="0"/>
    <x v="160"/>
    <x v="3"/>
    <n v="1"/>
    <x v="0"/>
    <d v="2025-12-02T14:03:00"/>
    <x v="62"/>
    <x v="12"/>
    <n v="4746"/>
    <n v="3"/>
    <n v="14238"/>
    <x v="2"/>
  </r>
  <r>
    <n v="800"/>
    <n v="10"/>
    <x v="4"/>
    <x v="216"/>
    <x v="6"/>
    <n v="5"/>
    <x v="0"/>
    <d v="2025-12-02T14:03:00"/>
    <x v="62"/>
    <x v="12"/>
    <n v="1459"/>
    <n v="3"/>
    <n v="4377"/>
    <x v="2"/>
  </r>
  <r>
    <n v="209"/>
    <n v="185"/>
    <x v="0"/>
    <x v="334"/>
    <x v="4"/>
    <n v="7"/>
    <x v="0"/>
    <d v="2025-12-02T14:42:00"/>
    <x v="62"/>
    <x v="12"/>
    <n v="1743"/>
    <n v="1"/>
    <n v="1743"/>
    <x v="2"/>
  </r>
  <r>
    <n v="782"/>
    <n v="14"/>
    <x v="9"/>
    <x v="286"/>
    <x v="0"/>
    <n v="2"/>
    <x v="0"/>
    <d v="2025-12-02T15:08:00"/>
    <x v="62"/>
    <x v="13"/>
    <n v="10402"/>
    <n v="4"/>
    <n v="41608"/>
    <x v="0"/>
  </r>
  <r>
    <n v="329"/>
    <n v="109"/>
    <x v="8"/>
    <x v="30"/>
    <x v="3"/>
    <n v="1"/>
    <x v="0"/>
    <d v="2025-12-02T15:46:00"/>
    <x v="62"/>
    <x v="13"/>
    <n v="4042"/>
    <n v="3"/>
    <n v="12126"/>
    <x v="2"/>
  </r>
  <r>
    <n v="349"/>
    <n v="183"/>
    <x v="5"/>
    <x v="78"/>
    <x v="5"/>
    <n v="4"/>
    <x v="0"/>
    <d v="2025-12-02T15:47:00"/>
    <x v="62"/>
    <x v="13"/>
    <n v="143"/>
    <n v="1"/>
    <n v="143"/>
    <x v="3"/>
  </r>
  <r>
    <n v="188"/>
    <n v="224"/>
    <x v="3"/>
    <x v="326"/>
    <x v="6"/>
    <n v="5"/>
    <x v="0"/>
    <d v="2025-12-02T16:35:00"/>
    <x v="62"/>
    <x v="14"/>
    <n v="1033"/>
    <n v="4"/>
    <n v="4132"/>
    <x v="2"/>
  </r>
  <r>
    <n v="782"/>
    <n v="288"/>
    <x v="8"/>
    <x v="17"/>
    <x v="2"/>
    <n v="3"/>
    <x v="0"/>
    <d v="2025-12-02T17:00:00"/>
    <x v="62"/>
    <x v="15"/>
    <n v="2439"/>
    <n v="3"/>
    <n v="7317"/>
    <x v="2"/>
  </r>
  <r>
    <n v="538"/>
    <n v="136"/>
    <x v="9"/>
    <x v="106"/>
    <x v="3"/>
    <n v="1"/>
    <x v="0"/>
    <d v="2025-12-02T17:22:00"/>
    <x v="62"/>
    <x v="15"/>
    <n v="6149"/>
    <n v="2"/>
    <n v="12298"/>
    <x v="1"/>
  </r>
  <r>
    <n v="248"/>
    <n v="156"/>
    <x v="0"/>
    <x v="105"/>
    <x v="3"/>
    <n v="1"/>
    <x v="0"/>
    <d v="2025-12-02T17:48:00"/>
    <x v="62"/>
    <x v="15"/>
    <n v="3561"/>
    <n v="1"/>
    <n v="3561"/>
    <x v="2"/>
  </r>
  <r>
    <n v="799"/>
    <n v="100"/>
    <x v="3"/>
    <x v="232"/>
    <x v="3"/>
    <n v="1"/>
    <x v="0"/>
    <d v="2025-12-02T18:41:00"/>
    <x v="62"/>
    <x v="16"/>
    <n v="5344"/>
    <n v="2"/>
    <n v="10688"/>
    <x v="1"/>
  </r>
  <r>
    <n v="684"/>
    <n v="282"/>
    <x v="5"/>
    <x v="306"/>
    <x v="0"/>
    <n v="2"/>
    <x v="0"/>
    <d v="2025-12-02T19:05:00"/>
    <x v="62"/>
    <x v="22"/>
    <n v="9565"/>
    <n v="1"/>
    <n v="9565"/>
    <x v="1"/>
  </r>
  <r>
    <n v="218"/>
    <n v="120"/>
    <x v="2"/>
    <x v="7"/>
    <x v="0"/>
    <n v="2"/>
    <x v="0"/>
    <d v="2025-12-02T19:28:00"/>
    <x v="62"/>
    <x v="22"/>
    <n v="12529"/>
    <n v="1"/>
    <n v="12529"/>
    <x v="0"/>
  </r>
  <r>
    <n v="55"/>
    <n v="53"/>
    <x v="9"/>
    <x v="151"/>
    <x v="5"/>
    <n v="4"/>
    <x v="0"/>
    <d v="2025-12-02T21:32:00"/>
    <x v="62"/>
    <x v="23"/>
    <n v="1362"/>
    <n v="1"/>
    <n v="1362"/>
    <x v="2"/>
  </r>
  <r>
    <n v="711"/>
    <n v="10"/>
    <x v="8"/>
    <x v="343"/>
    <x v="3"/>
    <n v="1"/>
    <x v="0"/>
    <d v="2025-12-02T22:09:00"/>
    <x v="62"/>
    <x v="18"/>
    <n v="6453"/>
    <n v="3"/>
    <n v="19359"/>
    <x v="1"/>
  </r>
  <r>
    <n v="579"/>
    <n v="298"/>
    <x v="3"/>
    <x v="118"/>
    <x v="3"/>
    <n v="1"/>
    <x v="0"/>
    <d v="2025-12-02T22:25:00"/>
    <x v="62"/>
    <x v="18"/>
    <n v="5785"/>
    <n v="2"/>
    <n v="11570"/>
    <x v="1"/>
  </r>
  <r>
    <n v="187"/>
    <n v="9"/>
    <x v="7"/>
    <x v="25"/>
    <x v="0"/>
    <n v="2"/>
    <x v="0"/>
    <d v="2025-12-02T22:57:00"/>
    <x v="62"/>
    <x v="18"/>
    <n v="5010"/>
    <n v="2"/>
    <n v="10020"/>
    <x v="1"/>
  </r>
  <r>
    <n v="170"/>
    <n v="207"/>
    <x v="7"/>
    <x v="85"/>
    <x v="4"/>
    <n v="7"/>
    <x v="0"/>
    <d v="2025-12-02T23:10:00"/>
    <x v="62"/>
    <x v="19"/>
    <n v="7385"/>
    <n v="3"/>
    <n v="22155"/>
    <x v="1"/>
  </r>
  <r>
    <n v="641"/>
    <n v="216"/>
    <x v="9"/>
    <x v="112"/>
    <x v="3"/>
    <n v="1"/>
    <x v="0"/>
    <d v="2025-12-02T23:17:00"/>
    <x v="62"/>
    <x v="19"/>
    <n v="7300"/>
    <n v="1"/>
    <n v="7300"/>
    <x v="1"/>
  </r>
  <r>
    <n v="658"/>
    <n v="234"/>
    <x v="7"/>
    <x v="58"/>
    <x v="2"/>
    <n v="3"/>
    <x v="0"/>
    <d v="2025-12-02T23:41:00"/>
    <x v="62"/>
    <x v="19"/>
    <n v="4778"/>
    <n v="4"/>
    <n v="19112"/>
    <x v="2"/>
  </r>
  <r>
    <n v="549"/>
    <n v="188"/>
    <x v="7"/>
    <x v="209"/>
    <x v="0"/>
    <n v="2"/>
    <x v="0"/>
    <d v="2025-12-03T00:51:00"/>
    <x v="63"/>
    <x v="0"/>
    <n v="5535"/>
    <n v="3"/>
    <n v="16605"/>
    <x v="1"/>
  </r>
  <r>
    <n v="151"/>
    <n v="170"/>
    <x v="9"/>
    <x v="106"/>
    <x v="3"/>
    <n v="1"/>
    <x v="0"/>
    <d v="2025-12-03T02:01:00"/>
    <x v="63"/>
    <x v="2"/>
    <n v="5741"/>
    <n v="3"/>
    <n v="17223"/>
    <x v="1"/>
  </r>
  <r>
    <n v="791"/>
    <n v="257"/>
    <x v="7"/>
    <x v="152"/>
    <x v="4"/>
    <n v="7"/>
    <x v="0"/>
    <d v="2025-12-03T02:12:00"/>
    <x v="63"/>
    <x v="2"/>
    <n v="5983"/>
    <n v="1"/>
    <n v="5983"/>
    <x v="1"/>
  </r>
  <r>
    <n v="180"/>
    <n v="98"/>
    <x v="9"/>
    <x v="321"/>
    <x v="4"/>
    <n v="7"/>
    <x v="0"/>
    <d v="2025-12-03T02:32:00"/>
    <x v="63"/>
    <x v="2"/>
    <n v="4127"/>
    <n v="2"/>
    <n v="8254"/>
    <x v="2"/>
  </r>
  <r>
    <n v="800"/>
    <n v="73"/>
    <x v="5"/>
    <x v="119"/>
    <x v="1"/>
    <n v="6"/>
    <x v="0"/>
    <d v="2025-12-03T02:38:00"/>
    <x v="63"/>
    <x v="2"/>
    <n v="3669"/>
    <n v="1"/>
    <n v="3669"/>
    <x v="2"/>
  </r>
  <r>
    <n v="574"/>
    <n v="29"/>
    <x v="2"/>
    <x v="263"/>
    <x v="4"/>
    <n v="7"/>
    <x v="0"/>
    <d v="2025-12-03T05:02:00"/>
    <x v="63"/>
    <x v="20"/>
    <n v="7879"/>
    <n v="3"/>
    <n v="23637"/>
    <x v="1"/>
  </r>
  <r>
    <n v="485"/>
    <n v="80"/>
    <x v="0"/>
    <x v="160"/>
    <x v="3"/>
    <n v="1"/>
    <x v="1"/>
    <d v="2025-12-03T06:47:00"/>
    <x v="63"/>
    <x v="5"/>
    <n v="4458"/>
    <n v="0"/>
    <n v="0"/>
    <x v="2"/>
  </r>
  <r>
    <n v="783"/>
    <n v="214"/>
    <x v="1"/>
    <x v="376"/>
    <x v="2"/>
    <n v="3"/>
    <x v="0"/>
    <d v="2025-12-03T07:15:00"/>
    <x v="63"/>
    <x v="6"/>
    <n v="4887"/>
    <n v="3"/>
    <n v="14661"/>
    <x v="2"/>
  </r>
  <r>
    <n v="768"/>
    <n v="111"/>
    <x v="8"/>
    <x v="41"/>
    <x v="0"/>
    <n v="2"/>
    <x v="0"/>
    <d v="2025-12-03T07:59:00"/>
    <x v="63"/>
    <x v="6"/>
    <n v="4628"/>
    <n v="3"/>
    <n v="13884"/>
    <x v="2"/>
  </r>
  <r>
    <n v="622"/>
    <n v="113"/>
    <x v="5"/>
    <x v="171"/>
    <x v="4"/>
    <n v="7"/>
    <x v="0"/>
    <d v="2025-12-03T08:32:00"/>
    <x v="63"/>
    <x v="7"/>
    <n v="4122"/>
    <n v="1"/>
    <n v="4122"/>
    <x v="2"/>
  </r>
  <r>
    <n v="666"/>
    <n v="125"/>
    <x v="9"/>
    <x v="125"/>
    <x v="4"/>
    <n v="7"/>
    <x v="0"/>
    <d v="2025-12-03T08:56:00"/>
    <x v="63"/>
    <x v="7"/>
    <n v="4311"/>
    <n v="1"/>
    <n v="4311"/>
    <x v="2"/>
  </r>
  <r>
    <n v="292"/>
    <n v="2"/>
    <x v="3"/>
    <x v="49"/>
    <x v="3"/>
    <n v="1"/>
    <x v="0"/>
    <d v="2025-12-03T08:57:00"/>
    <x v="63"/>
    <x v="7"/>
    <n v="5131"/>
    <n v="2"/>
    <n v="10262"/>
    <x v="1"/>
  </r>
  <r>
    <n v="712"/>
    <n v="290"/>
    <x v="1"/>
    <x v="161"/>
    <x v="0"/>
    <n v="2"/>
    <x v="0"/>
    <d v="2025-12-03T09:13:00"/>
    <x v="63"/>
    <x v="8"/>
    <n v="9655"/>
    <n v="2"/>
    <n v="19310"/>
    <x v="1"/>
  </r>
  <r>
    <n v="563"/>
    <n v="76"/>
    <x v="6"/>
    <x v="278"/>
    <x v="3"/>
    <n v="1"/>
    <x v="0"/>
    <d v="2025-12-03T09:43:00"/>
    <x v="63"/>
    <x v="8"/>
    <n v="6019"/>
    <n v="3"/>
    <n v="18057"/>
    <x v="1"/>
  </r>
  <r>
    <n v="693"/>
    <n v="76"/>
    <x v="6"/>
    <x v="139"/>
    <x v="2"/>
    <n v="3"/>
    <x v="0"/>
    <d v="2025-12-03T10:13:00"/>
    <x v="63"/>
    <x v="9"/>
    <n v="4929"/>
    <n v="3"/>
    <n v="14787"/>
    <x v="2"/>
  </r>
  <r>
    <n v="564"/>
    <n v="196"/>
    <x v="7"/>
    <x v="158"/>
    <x v="0"/>
    <n v="2"/>
    <x v="0"/>
    <d v="2025-12-03T10:25:00"/>
    <x v="63"/>
    <x v="9"/>
    <n v="11251"/>
    <n v="2"/>
    <n v="22502"/>
    <x v="0"/>
  </r>
  <r>
    <n v="646"/>
    <n v="38"/>
    <x v="6"/>
    <x v="373"/>
    <x v="1"/>
    <n v="6"/>
    <x v="0"/>
    <d v="2025-12-03T11:41:00"/>
    <x v="63"/>
    <x v="10"/>
    <n v="11379"/>
    <n v="4"/>
    <n v="45516"/>
    <x v="0"/>
  </r>
  <r>
    <n v="437"/>
    <n v="51"/>
    <x v="3"/>
    <x v="324"/>
    <x v="4"/>
    <n v="7"/>
    <x v="0"/>
    <d v="2025-12-03T11:45:00"/>
    <x v="63"/>
    <x v="10"/>
    <n v="3081"/>
    <n v="1"/>
    <n v="3081"/>
    <x v="2"/>
  </r>
  <r>
    <n v="322"/>
    <n v="293"/>
    <x v="5"/>
    <x v="307"/>
    <x v="1"/>
    <n v="6"/>
    <x v="0"/>
    <d v="2025-12-03T12:04:00"/>
    <x v="63"/>
    <x v="11"/>
    <n v="4579"/>
    <n v="2"/>
    <n v="9158"/>
    <x v="2"/>
  </r>
  <r>
    <n v="197"/>
    <n v="137"/>
    <x v="1"/>
    <x v="199"/>
    <x v="5"/>
    <n v="4"/>
    <x v="0"/>
    <d v="2025-12-03T12:35:00"/>
    <x v="63"/>
    <x v="11"/>
    <n v="923"/>
    <n v="2"/>
    <n v="1846"/>
    <x v="3"/>
  </r>
  <r>
    <n v="602"/>
    <n v="160"/>
    <x v="4"/>
    <x v="6"/>
    <x v="3"/>
    <n v="1"/>
    <x v="0"/>
    <d v="2025-12-03T13:07:00"/>
    <x v="63"/>
    <x v="21"/>
    <n v="4342"/>
    <n v="2"/>
    <n v="8684"/>
    <x v="2"/>
  </r>
  <r>
    <n v="42"/>
    <n v="16"/>
    <x v="7"/>
    <x v="117"/>
    <x v="3"/>
    <n v="1"/>
    <x v="0"/>
    <d v="2025-12-03T13:34:00"/>
    <x v="63"/>
    <x v="21"/>
    <n v="8000"/>
    <n v="1"/>
    <n v="8000"/>
    <x v="1"/>
  </r>
  <r>
    <n v="7"/>
    <n v="264"/>
    <x v="5"/>
    <x v="42"/>
    <x v="4"/>
    <n v="7"/>
    <x v="0"/>
    <d v="2025-12-03T13:43:00"/>
    <x v="63"/>
    <x v="21"/>
    <n v="2889"/>
    <n v="2"/>
    <n v="5778"/>
    <x v="2"/>
  </r>
  <r>
    <n v="65"/>
    <n v="29"/>
    <x v="2"/>
    <x v="108"/>
    <x v="5"/>
    <n v="4"/>
    <x v="0"/>
    <d v="2025-12-03T13:47:00"/>
    <x v="63"/>
    <x v="21"/>
    <n v="1046"/>
    <n v="3"/>
    <n v="3138"/>
    <x v="2"/>
  </r>
  <r>
    <n v="207"/>
    <n v="39"/>
    <x v="2"/>
    <x v="263"/>
    <x v="4"/>
    <n v="7"/>
    <x v="0"/>
    <d v="2025-12-03T14:14:00"/>
    <x v="63"/>
    <x v="12"/>
    <n v="2646"/>
    <n v="3"/>
    <n v="7938"/>
    <x v="2"/>
  </r>
  <r>
    <n v="343"/>
    <n v="14"/>
    <x v="5"/>
    <x v="183"/>
    <x v="3"/>
    <n v="1"/>
    <x v="0"/>
    <d v="2025-12-03T14:38:00"/>
    <x v="63"/>
    <x v="12"/>
    <n v="1807"/>
    <n v="3"/>
    <n v="5421"/>
    <x v="2"/>
  </r>
  <r>
    <n v="58"/>
    <n v="143"/>
    <x v="2"/>
    <x v="162"/>
    <x v="6"/>
    <n v="5"/>
    <x v="0"/>
    <d v="2025-12-03T14:44:00"/>
    <x v="63"/>
    <x v="12"/>
    <n v="829"/>
    <n v="1"/>
    <n v="829"/>
    <x v="3"/>
  </r>
  <r>
    <n v="756"/>
    <n v="165"/>
    <x v="9"/>
    <x v="372"/>
    <x v="6"/>
    <n v="5"/>
    <x v="0"/>
    <d v="2025-12-03T15:16:00"/>
    <x v="63"/>
    <x v="13"/>
    <n v="1078"/>
    <n v="1"/>
    <n v="1078"/>
    <x v="2"/>
  </r>
  <r>
    <n v="645"/>
    <n v="268"/>
    <x v="2"/>
    <x v="256"/>
    <x v="4"/>
    <n v="7"/>
    <x v="0"/>
    <d v="2025-12-03T15:32:00"/>
    <x v="63"/>
    <x v="13"/>
    <n v="1977"/>
    <n v="2"/>
    <n v="3954"/>
    <x v="2"/>
  </r>
  <r>
    <n v="643"/>
    <n v="74"/>
    <x v="8"/>
    <x v="140"/>
    <x v="5"/>
    <n v="4"/>
    <x v="0"/>
    <d v="2025-12-03T16:01:00"/>
    <x v="63"/>
    <x v="14"/>
    <n v="549"/>
    <n v="2"/>
    <n v="1098"/>
    <x v="3"/>
  </r>
  <r>
    <n v="653"/>
    <n v="144"/>
    <x v="6"/>
    <x v="146"/>
    <x v="3"/>
    <n v="1"/>
    <x v="0"/>
    <d v="2025-12-03T16:49:00"/>
    <x v="63"/>
    <x v="14"/>
    <n v="1585"/>
    <n v="4"/>
    <n v="6340"/>
    <x v="2"/>
  </r>
  <r>
    <n v="454"/>
    <n v="145"/>
    <x v="8"/>
    <x v="37"/>
    <x v="3"/>
    <n v="1"/>
    <x v="1"/>
    <d v="2025-12-03T16:54:00"/>
    <x v="63"/>
    <x v="14"/>
    <n v="3020"/>
    <n v="0"/>
    <n v="0"/>
    <x v="2"/>
  </r>
  <r>
    <n v="460"/>
    <n v="72"/>
    <x v="0"/>
    <x v="211"/>
    <x v="1"/>
    <n v="6"/>
    <x v="0"/>
    <d v="2025-12-03T16:55:00"/>
    <x v="63"/>
    <x v="14"/>
    <n v="8284"/>
    <n v="3"/>
    <n v="24852"/>
    <x v="1"/>
  </r>
  <r>
    <n v="134"/>
    <n v="71"/>
    <x v="2"/>
    <x v="332"/>
    <x v="4"/>
    <n v="7"/>
    <x v="1"/>
    <d v="2025-12-03T17:35:00"/>
    <x v="63"/>
    <x v="15"/>
    <n v="7453"/>
    <n v="0"/>
    <n v="0"/>
    <x v="1"/>
  </r>
  <r>
    <n v="764"/>
    <n v="252"/>
    <x v="3"/>
    <x v="304"/>
    <x v="1"/>
    <n v="6"/>
    <x v="1"/>
    <d v="2025-12-03T18:00:00"/>
    <x v="63"/>
    <x v="16"/>
    <n v="7454"/>
    <n v="0"/>
    <n v="0"/>
    <x v="1"/>
  </r>
  <r>
    <n v="49"/>
    <n v="83"/>
    <x v="8"/>
    <x v="37"/>
    <x v="3"/>
    <n v="1"/>
    <x v="0"/>
    <d v="2025-12-03T18:32:00"/>
    <x v="63"/>
    <x v="16"/>
    <n v="7059"/>
    <n v="4"/>
    <n v="28236"/>
    <x v="1"/>
  </r>
  <r>
    <n v="788"/>
    <n v="135"/>
    <x v="9"/>
    <x v="151"/>
    <x v="5"/>
    <n v="4"/>
    <x v="0"/>
    <d v="2025-12-03T19:20:00"/>
    <x v="63"/>
    <x v="22"/>
    <n v="1365"/>
    <n v="1"/>
    <n v="1365"/>
    <x v="2"/>
  </r>
  <r>
    <n v="547"/>
    <n v="135"/>
    <x v="3"/>
    <x v="295"/>
    <x v="0"/>
    <n v="2"/>
    <x v="0"/>
    <d v="2025-12-03T20:03:00"/>
    <x v="63"/>
    <x v="17"/>
    <n v="4375"/>
    <n v="2"/>
    <n v="8750"/>
    <x v="2"/>
  </r>
  <r>
    <n v="465"/>
    <n v="119"/>
    <x v="5"/>
    <x v="246"/>
    <x v="3"/>
    <n v="1"/>
    <x v="1"/>
    <d v="2025-12-03T21:29:00"/>
    <x v="63"/>
    <x v="23"/>
    <n v="1449"/>
    <n v="0"/>
    <n v="0"/>
    <x v="2"/>
  </r>
  <r>
    <n v="733"/>
    <n v="88"/>
    <x v="6"/>
    <x v="360"/>
    <x v="6"/>
    <n v="5"/>
    <x v="0"/>
    <d v="2025-12-03T21:49:00"/>
    <x v="63"/>
    <x v="23"/>
    <n v="1032"/>
    <n v="3"/>
    <n v="3096"/>
    <x v="2"/>
  </r>
  <r>
    <n v="479"/>
    <n v="279"/>
    <x v="2"/>
    <x v="7"/>
    <x v="0"/>
    <n v="2"/>
    <x v="0"/>
    <d v="2025-12-03T22:07:00"/>
    <x v="63"/>
    <x v="18"/>
    <n v="7295"/>
    <n v="3"/>
    <n v="21885"/>
    <x v="1"/>
  </r>
  <r>
    <n v="169"/>
    <n v="53"/>
    <x v="0"/>
    <x v="15"/>
    <x v="3"/>
    <n v="1"/>
    <x v="1"/>
    <d v="2025-12-03T22:20:00"/>
    <x v="63"/>
    <x v="18"/>
    <n v="1685"/>
    <n v="0"/>
    <n v="0"/>
    <x v="2"/>
  </r>
  <r>
    <n v="389"/>
    <n v="58"/>
    <x v="4"/>
    <x v="102"/>
    <x v="3"/>
    <n v="1"/>
    <x v="0"/>
    <d v="2025-12-03T22:25:00"/>
    <x v="63"/>
    <x v="18"/>
    <n v="1751"/>
    <n v="1"/>
    <n v="1751"/>
    <x v="2"/>
  </r>
  <r>
    <n v="526"/>
    <n v="163"/>
    <x v="2"/>
    <x v="90"/>
    <x v="0"/>
    <n v="2"/>
    <x v="0"/>
    <d v="2025-12-03T22:47:00"/>
    <x v="63"/>
    <x v="18"/>
    <n v="7769"/>
    <n v="1"/>
    <n v="7769"/>
    <x v="1"/>
  </r>
  <r>
    <n v="588"/>
    <n v="177"/>
    <x v="8"/>
    <x v="22"/>
    <x v="2"/>
    <n v="3"/>
    <x v="0"/>
    <d v="2025-12-03T22:56:00"/>
    <x v="63"/>
    <x v="18"/>
    <n v="2623"/>
    <n v="3"/>
    <n v="7869"/>
    <x v="2"/>
  </r>
  <r>
    <n v="459"/>
    <n v="39"/>
    <x v="5"/>
    <x v="285"/>
    <x v="1"/>
    <n v="6"/>
    <x v="0"/>
    <d v="2025-12-04T00:03:00"/>
    <x v="64"/>
    <x v="0"/>
    <n v="8022"/>
    <n v="1"/>
    <n v="8022"/>
    <x v="1"/>
  </r>
  <r>
    <n v="271"/>
    <n v="26"/>
    <x v="7"/>
    <x v="181"/>
    <x v="5"/>
    <n v="4"/>
    <x v="0"/>
    <d v="2025-12-04T00:27:00"/>
    <x v="64"/>
    <x v="0"/>
    <n v="1496"/>
    <n v="2"/>
    <n v="2992"/>
    <x v="2"/>
  </r>
  <r>
    <n v="145"/>
    <n v="203"/>
    <x v="6"/>
    <x v="167"/>
    <x v="1"/>
    <n v="6"/>
    <x v="0"/>
    <d v="2025-12-04T00:50:00"/>
    <x v="64"/>
    <x v="0"/>
    <n v="4859"/>
    <n v="1"/>
    <n v="4859"/>
    <x v="2"/>
  </r>
  <r>
    <n v="442"/>
    <n v="142"/>
    <x v="0"/>
    <x v="347"/>
    <x v="0"/>
    <n v="2"/>
    <x v="0"/>
    <d v="2025-12-04T01:02:00"/>
    <x v="64"/>
    <x v="1"/>
    <n v="8878"/>
    <n v="2"/>
    <n v="17756"/>
    <x v="1"/>
  </r>
  <r>
    <n v="210"/>
    <n v="129"/>
    <x v="5"/>
    <x v="306"/>
    <x v="0"/>
    <n v="2"/>
    <x v="0"/>
    <d v="2025-12-04T01:03:00"/>
    <x v="64"/>
    <x v="1"/>
    <n v="8492"/>
    <n v="3"/>
    <n v="25476"/>
    <x v="1"/>
  </r>
  <r>
    <n v="111"/>
    <n v="73"/>
    <x v="8"/>
    <x v="22"/>
    <x v="2"/>
    <n v="3"/>
    <x v="1"/>
    <d v="2025-12-04T01:04:00"/>
    <x v="64"/>
    <x v="1"/>
    <n v="2335"/>
    <n v="0"/>
    <n v="0"/>
    <x v="2"/>
  </r>
  <r>
    <n v="175"/>
    <n v="96"/>
    <x v="8"/>
    <x v="132"/>
    <x v="5"/>
    <n v="4"/>
    <x v="0"/>
    <d v="2025-12-04T01:19:00"/>
    <x v="64"/>
    <x v="1"/>
    <n v="1177"/>
    <n v="1"/>
    <n v="1177"/>
    <x v="2"/>
  </r>
  <r>
    <n v="504"/>
    <n v="275"/>
    <x v="4"/>
    <x v="196"/>
    <x v="5"/>
    <n v="4"/>
    <x v="0"/>
    <d v="2025-12-04T01:21:00"/>
    <x v="64"/>
    <x v="1"/>
    <n v="50"/>
    <n v="4"/>
    <n v="200"/>
    <x v="3"/>
  </r>
  <r>
    <n v="532"/>
    <n v="215"/>
    <x v="5"/>
    <x v="78"/>
    <x v="5"/>
    <n v="4"/>
    <x v="0"/>
    <d v="2025-12-04T01:46:00"/>
    <x v="64"/>
    <x v="1"/>
    <n v="275"/>
    <n v="1"/>
    <n v="275"/>
    <x v="3"/>
  </r>
  <r>
    <n v="753"/>
    <n v="252"/>
    <x v="3"/>
    <x v="354"/>
    <x v="0"/>
    <n v="2"/>
    <x v="0"/>
    <d v="2025-12-04T02:42:00"/>
    <x v="64"/>
    <x v="2"/>
    <n v="6904"/>
    <n v="3"/>
    <n v="20712"/>
    <x v="1"/>
  </r>
  <r>
    <n v="777"/>
    <n v="219"/>
    <x v="8"/>
    <x v="47"/>
    <x v="5"/>
    <n v="4"/>
    <x v="0"/>
    <d v="2025-12-04T03:39:00"/>
    <x v="64"/>
    <x v="3"/>
    <n v="1500"/>
    <n v="4"/>
    <n v="6000"/>
    <x v="2"/>
  </r>
  <r>
    <n v="118"/>
    <n v="264"/>
    <x v="3"/>
    <x v="91"/>
    <x v="3"/>
    <n v="1"/>
    <x v="0"/>
    <d v="2025-12-04T04:08:00"/>
    <x v="64"/>
    <x v="4"/>
    <n v="7687"/>
    <n v="2"/>
    <n v="15374"/>
    <x v="1"/>
  </r>
  <r>
    <n v="30"/>
    <n v="174"/>
    <x v="6"/>
    <x v="136"/>
    <x v="6"/>
    <n v="5"/>
    <x v="0"/>
    <d v="2025-12-04T04:14:00"/>
    <x v="64"/>
    <x v="4"/>
    <n v="1603"/>
    <n v="3"/>
    <n v="4809"/>
    <x v="2"/>
  </r>
  <r>
    <n v="505"/>
    <n v="279"/>
    <x v="8"/>
    <x v="214"/>
    <x v="5"/>
    <n v="4"/>
    <x v="0"/>
    <d v="2025-12-04T05:07:00"/>
    <x v="64"/>
    <x v="20"/>
    <n v="611"/>
    <n v="2"/>
    <n v="1222"/>
    <x v="3"/>
  </r>
  <r>
    <n v="490"/>
    <n v="32"/>
    <x v="1"/>
    <x v="376"/>
    <x v="2"/>
    <n v="3"/>
    <x v="1"/>
    <d v="2025-12-04T06:04:00"/>
    <x v="64"/>
    <x v="5"/>
    <n v="5017"/>
    <n v="0"/>
    <n v="0"/>
    <x v="1"/>
  </r>
  <r>
    <n v="531"/>
    <n v="76"/>
    <x v="5"/>
    <x v="81"/>
    <x v="4"/>
    <n v="7"/>
    <x v="0"/>
    <d v="2025-12-04T06:10:00"/>
    <x v="64"/>
    <x v="5"/>
    <n v="4852"/>
    <n v="2"/>
    <n v="9704"/>
    <x v="2"/>
  </r>
  <r>
    <n v="554"/>
    <n v="74"/>
    <x v="0"/>
    <x v="283"/>
    <x v="0"/>
    <n v="2"/>
    <x v="0"/>
    <d v="2025-12-04T06:45:00"/>
    <x v="64"/>
    <x v="5"/>
    <n v="4239"/>
    <n v="2"/>
    <n v="8478"/>
    <x v="2"/>
  </r>
  <r>
    <n v="230"/>
    <n v="179"/>
    <x v="4"/>
    <x v="316"/>
    <x v="0"/>
    <n v="2"/>
    <x v="0"/>
    <d v="2025-12-04T06:54:00"/>
    <x v="64"/>
    <x v="5"/>
    <n v="5519"/>
    <n v="2"/>
    <n v="11038"/>
    <x v="1"/>
  </r>
  <r>
    <n v="403"/>
    <n v="188"/>
    <x v="4"/>
    <x v="242"/>
    <x v="4"/>
    <n v="7"/>
    <x v="0"/>
    <d v="2025-12-04T07:37:00"/>
    <x v="64"/>
    <x v="6"/>
    <n v="4331"/>
    <n v="1"/>
    <n v="4331"/>
    <x v="2"/>
  </r>
  <r>
    <n v="459"/>
    <n v="54"/>
    <x v="6"/>
    <x v="96"/>
    <x v="5"/>
    <n v="4"/>
    <x v="0"/>
    <d v="2025-12-04T10:13:00"/>
    <x v="64"/>
    <x v="9"/>
    <n v="277"/>
    <n v="1"/>
    <n v="277"/>
    <x v="3"/>
  </r>
  <r>
    <n v="154"/>
    <n v="38"/>
    <x v="2"/>
    <x v="21"/>
    <x v="3"/>
    <n v="1"/>
    <x v="0"/>
    <d v="2025-12-04T10:14:00"/>
    <x v="64"/>
    <x v="9"/>
    <n v="6560"/>
    <n v="2"/>
    <n v="13120"/>
    <x v="1"/>
  </r>
  <r>
    <n v="585"/>
    <n v="72"/>
    <x v="4"/>
    <x v="196"/>
    <x v="5"/>
    <n v="4"/>
    <x v="0"/>
    <d v="2025-12-04T11:15:00"/>
    <x v="64"/>
    <x v="10"/>
    <n v="1253"/>
    <n v="2"/>
    <n v="2506"/>
    <x v="2"/>
  </r>
  <r>
    <n v="774"/>
    <n v="21"/>
    <x v="2"/>
    <x v="97"/>
    <x v="6"/>
    <n v="5"/>
    <x v="0"/>
    <d v="2025-12-04T11:40:00"/>
    <x v="64"/>
    <x v="10"/>
    <n v="2230"/>
    <n v="3"/>
    <n v="6690"/>
    <x v="2"/>
  </r>
  <r>
    <n v="275"/>
    <n v="121"/>
    <x v="3"/>
    <x v="295"/>
    <x v="0"/>
    <n v="2"/>
    <x v="0"/>
    <d v="2025-12-04T13:16:00"/>
    <x v="64"/>
    <x v="21"/>
    <n v="13236"/>
    <n v="2"/>
    <n v="26472"/>
    <x v="0"/>
  </r>
  <r>
    <n v="296"/>
    <n v="280"/>
    <x v="9"/>
    <x v="351"/>
    <x v="1"/>
    <n v="6"/>
    <x v="0"/>
    <d v="2025-12-04T13:33:00"/>
    <x v="64"/>
    <x v="21"/>
    <n v="9163"/>
    <n v="4"/>
    <n v="36652"/>
    <x v="1"/>
  </r>
  <r>
    <n v="339"/>
    <n v="18"/>
    <x v="4"/>
    <x v="126"/>
    <x v="0"/>
    <n v="2"/>
    <x v="1"/>
    <d v="2025-12-04T14:23:00"/>
    <x v="64"/>
    <x v="12"/>
    <n v="4145"/>
    <n v="0"/>
    <n v="0"/>
    <x v="2"/>
  </r>
  <r>
    <n v="556"/>
    <n v="222"/>
    <x v="5"/>
    <x v="164"/>
    <x v="3"/>
    <n v="1"/>
    <x v="0"/>
    <d v="2025-12-04T14:25:00"/>
    <x v="64"/>
    <x v="12"/>
    <n v="6111"/>
    <n v="5"/>
    <n v="30555"/>
    <x v="1"/>
  </r>
  <r>
    <n v="299"/>
    <n v="67"/>
    <x v="7"/>
    <x v="25"/>
    <x v="0"/>
    <n v="2"/>
    <x v="0"/>
    <d v="2025-12-04T14:35:00"/>
    <x v="64"/>
    <x v="12"/>
    <n v="13967"/>
    <n v="5"/>
    <n v="69835"/>
    <x v="0"/>
  </r>
  <r>
    <n v="625"/>
    <n v="263"/>
    <x v="6"/>
    <x v="203"/>
    <x v="3"/>
    <n v="1"/>
    <x v="0"/>
    <d v="2025-12-04T14:37:00"/>
    <x v="64"/>
    <x v="12"/>
    <n v="3552"/>
    <n v="1"/>
    <n v="3552"/>
    <x v="2"/>
  </r>
  <r>
    <n v="291"/>
    <n v="178"/>
    <x v="1"/>
    <x v="314"/>
    <x v="6"/>
    <n v="5"/>
    <x v="0"/>
    <d v="2025-12-04T16:15:00"/>
    <x v="64"/>
    <x v="14"/>
    <n v="3189"/>
    <n v="3"/>
    <n v="9567"/>
    <x v="2"/>
  </r>
  <r>
    <n v="469"/>
    <n v="19"/>
    <x v="3"/>
    <x v="3"/>
    <x v="3"/>
    <n v="1"/>
    <x v="0"/>
    <d v="2025-12-04T17:00:00"/>
    <x v="64"/>
    <x v="15"/>
    <n v="4821"/>
    <n v="2"/>
    <n v="9642"/>
    <x v="2"/>
  </r>
  <r>
    <n v="366"/>
    <n v="92"/>
    <x v="8"/>
    <x v="30"/>
    <x v="3"/>
    <n v="1"/>
    <x v="0"/>
    <d v="2025-12-04T17:51:00"/>
    <x v="64"/>
    <x v="15"/>
    <n v="6830"/>
    <n v="2"/>
    <n v="13660"/>
    <x v="1"/>
  </r>
  <r>
    <n v="400"/>
    <n v="245"/>
    <x v="2"/>
    <x v="97"/>
    <x v="6"/>
    <n v="5"/>
    <x v="0"/>
    <d v="2025-12-04T19:05:00"/>
    <x v="64"/>
    <x v="22"/>
    <n v="1841"/>
    <n v="2"/>
    <n v="3682"/>
    <x v="2"/>
  </r>
  <r>
    <n v="631"/>
    <n v="232"/>
    <x v="4"/>
    <x v="102"/>
    <x v="3"/>
    <n v="1"/>
    <x v="0"/>
    <d v="2025-12-04T19:07:00"/>
    <x v="64"/>
    <x v="22"/>
    <n v="2681"/>
    <n v="2"/>
    <n v="5362"/>
    <x v="2"/>
  </r>
  <r>
    <n v="66"/>
    <n v="237"/>
    <x v="1"/>
    <x v="266"/>
    <x v="6"/>
    <n v="5"/>
    <x v="1"/>
    <d v="2025-12-04T19:20:00"/>
    <x v="64"/>
    <x v="22"/>
    <n v="1919"/>
    <n v="0"/>
    <n v="0"/>
    <x v="2"/>
  </r>
  <r>
    <n v="394"/>
    <n v="278"/>
    <x v="3"/>
    <x v="232"/>
    <x v="3"/>
    <n v="1"/>
    <x v="0"/>
    <d v="2025-12-04T19:22:00"/>
    <x v="64"/>
    <x v="22"/>
    <n v="5166"/>
    <n v="2"/>
    <n v="10332"/>
    <x v="1"/>
  </r>
  <r>
    <n v="518"/>
    <n v="255"/>
    <x v="9"/>
    <x v="98"/>
    <x v="0"/>
    <n v="2"/>
    <x v="0"/>
    <d v="2025-12-04T19:28:00"/>
    <x v="64"/>
    <x v="22"/>
    <n v="6575"/>
    <n v="1"/>
    <n v="6575"/>
    <x v="1"/>
  </r>
  <r>
    <n v="591"/>
    <n v="101"/>
    <x v="6"/>
    <x v="96"/>
    <x v="5"/>
    <n v="4"/>
    <x v="0"/>
    <d v="2025-12-04T19:35:00"/>
    <x v="64"/>
    <x v="22"/>
    <n v="231"/>
    <n v="3"/>
    <n v="693"/>
    <x v="3"/>
  </r>
  <r>
    <n v="545"/>
    <n v="163"/>
    <x v="0"/>
    <x v="344"/>
    <x v="4"/>
    <n v="7"/>
    <x v="0"/>
    <d v="2025-12-04T19:52:00"/>
    <x v="64"/>
    <x v="22"/>
    <n v="5729"/>
    <n v="2"/>
    <n v="11458"/>
    <x v="1"/>
  </r>
  <r>
    <n v="659"/>
    <n v="96"/>
    <x v="0"/>
    <x v="322"/>
    <x v="5"/>
    <n v="4"/>
    <x v="0"/>
    <d v="2025-12-04T20:00:00"/>
    <x v="64"/>
    <x v="17"/>
    <n v="1500"/>
    <n v="3"/>
    <n v="4500"/>
    <x v="2"/>
  </r>
  <r>
    <n v="54"/>
    <n v="138"/>
    <x v="5"/>
    <x v="195"/>
    <x v="4"/>
    <n v="7"/>
    <x v="0"/>
    <d v="2025-12-04T20:03:00"/>
    <x v="64"/>
    <x v="17"/>
    <n v="7209"/>
    <n v="1"/>
    <n v="7209"/>
    <x v="1"/>
  </r>
  <r>
    <n v="391"/>
    <n v="170"/>
    <x v="6"/>
    <x v="33"/>
    <x v="5"/>
    <n v="4"/>
    <x v="0"/>
    <d v="2025-12-04T20:08:00"/>
    <x v="64"/>
    <x v="17"/>
    <n v="250"/>
    <n v="2"/>
    <n v="500"/>
    <x v="3"/>
  </r>
  <r>
    <n v="32"/>
    <n v="64"/>
    <x v="9"/>
    <x v="330"/>
    <x v="4"/>
    <n v="7"/>
    <x v="0"/>
    <d v="2025-12-04T20:12:00"/>
    <x v="64"/>
    <x v="17"/>
    <n v="7149"/>
    <n v="1"/>
    <n v="7149"/>
    <x v="1"/>
  </r>
  <r>
    <n v="798"/>
    <n v="176"/>
    <x v="3"/>
    <x v="91"/>
    <x v="3"/>
    <n v="1"/>
    <x v="1"/>
    <d v="2025-12-04T21:48:00"/>
    <x v="64"/>
    <x v="23"/>
    <n v="2318"/>
    <n v="0"/>
    <n v="0"/>
    <x v="2"/>
  </r>
  <r>
    <n v="537"/>
    <n v="202"/>
    <x v="7"/>
    <x v="281"/>
    <x v="6"/>
    <n v="5"/>
    <x v="1"/>
    <d v="2025-12-04T22:26:00"/>
    <x v="64"/>
    <x v="18"/>
    <n v="2271"/>
    <n v="0"/>
    <n v="0"/>
    <x v="2"/>
  </r>
  <r>
    <n v="144"/>
    <n v="181"/>
    <x v="2"/>
    <x v="90"/>
    <x v="0"/>
    <n v="2"/>
    <x v="0"/>
    <d v="2025-12-04T23:57:00"/>
    <x v="64"/>
    <x v="19"/>
    <n v="11650"/>
    <n v="2"/>
    <n v="23300"/>
    <x v="0"/>
  </r>
  <r>
    <n v="650"/>
    <n v="69"/>
    <x v="4"/>
    <x v="153"/>
    <x v="5"/>
    <n v="4"/>
    <x v="0"/>
    <d v="2025-12-05T00:12:00"/>
    <x v="65"/>
    <x v="0"/>
    <n v="1252"/>
    <n v="4"/>
    <n v="5008"/>
    <x v="2"/>
  </r>
  <r>
    <n v="401"/>
    <n v="114"/>
    <x v="9"/>
    <x v="82"/>
    <x v="1"/>
    <n v="6"/>
    <x v="0"/>
    <d v="2025-12-05T00:21:00"/>
    <x v="65"/>
    <x v="0"/>
    <n v="10905"/>
    <n v="3"/>
    <n v="32715"/>
    <x v="0"/>
  </r>
  <r>
    <n v="349"/>
    <n v="208"/>
    <x v="9"/>
    <x v="51"/>
    <x v="3"/>
    <n v="1"/>
    <x v="0"/>
    <d v="2025-12-05T01:03:00"/>
    <x v="65"/>
    <x v="1"/>
    <n v="2672"/>
    <n v="1"/>
    <n v="2672"/>
    <x v="2"/>
  </r>
  <r>
    <n v="192"/>
    <n v="273"/>
    <x v="1"/>
    <x v="199"/>
    <x v="5"/>
    <n v="4"/>
    <x v="0"/>
    <d v="2025-12-05T01:13:00"/>
    <x v="65"/>
    <x v="1"/>
    <n v="319"/>
    <n v="1"/>
    <n v="319"/>
    <x v="3"/>
  </r>
  <r>
    <n v="352"/>
    <n v="200"/>
    <x v="8"/>
    <x v="387"/>
    <x v="4"/>
    <n v="7"/>
    <x v="0"/>
    <d v="2025-12-05T01:23:00"/>
    <x v="65"/>
    <x v="1"/>
    <n v="7710"/>
    <n v="5"/>
    <n v="38550"/>
    <x v="1"/>
  </r>
  <r>
    <n v="604"/>
    <n v="114"/>
    <x v="4"/>
    <x v="388"/>
    <x v="4"/>
    <n v="7"/>
    <x v="0"/>
    <d v="2025-12-05T01:30:00"/>
    <x v="65"/>
    <x v="1"/>
    <n v="2967"/>
    <n v="3"/>
    <n v="8901"/>
    <x v="2"/>
  </r>
  <r>
    <n v="623"/>
    <n v="190"/>
    <x v="6"/>
    <x v="135"/>
    <x v="3"/>
    <n v="1"/>
    <x v="0"/>
    <d v="2025-12-05T01:34:00"/>
    <x v="65"/>
    <x v="1"/>
    <n v="6603"/>
    <n v="5"/>
    <n v="33015"/>
    <x v="1"/>
  </r>
  <r>
    <n v="574"/>
    <n v="201"/>
    <x v="3"/>
    <x v="43"/>
    <x v="4"/>
    <n v="7"/>
    <x v="0"/>
    <d v="2025-12-05T01:41:00"/>
    <x v="65"/>
    <x v="1"/>
    <n v="2251"/>
    <n v="2"/>
    <n v="4502"/>
    <x v="2"/>
  </r>
  <r>
    <n v="532"/>
    <n v="135"/>
    <x v="0"/>
    <x v="322"/>
    <x v="5"/>
    <n v="4"/>
    <x v="1"/>
    <d v="2025-12-05T01:53:00"/>
    <x v="65"/>
    <x v="1"/>
    <n v="793"/>
    <n v="0"/>
    <n v="0"/>
    <x v="3"/>
  </r>
  <r>
    <n v="625"/>
    <n v="165"/>
    <x v="6"/>
    <x v="296"/>
    <x v="4"/>
    <n v="7"/>
    <x v="0"/>
    <d v="2025-12-05T02:23:00"/>
    <x v="65"/>
    <x v="2"/>
    <n v="4750"/>
    <n v="2"/>
    <n v="9500"/>
    <x v="2"/>
  </r>
  <r>
    <n v="230"/>
    <n v="4"/>
    <x v="7"/>
    <x v="184"/>
    <x v="6"/>
    <n v="5"/>
    <x v="0"/>
    <d v="2025-12-05T02:24:00"/>
    <x v="65"/>
    <x v="2"/>
    <n v="3945"/>
    <n v="1"/>
    <n v="3945"/>
    <x v="2"/>
  </r>
  <r>
    <n v="692"/>
    <n v="263"/>
    <x v="9"/>
    <x v="51"/>
    <x v="3"/>
    <n v="1"/>
    <x v="0"/>
    <d v="2025-12-05T02:31:00"/>
    <x v="65"/>
    <x v="2"/>
    <n v="2546"/>
    <n v="2"/>
    <n v="5092"/>
    <x v="2"/>
  </r>
  <r>
    <n v="496"/>
    <n v="85"/>
    <x v="8"/>
    <x v="22"/>
    <x v="2"/>
    <n v="3"/>
    <x v="0"/>
    <d v="2025-12-05T03:15:00"/>
    <x v="65"/>
    <x v="3"/>
    <n v="1967"/>
    <n v="3"/>
    <n v="5901"/>
    <x v="2"/>
  </r>
  <r>
    <n v="596"/>
    <n v="121"/>
    <x v="3"/>
    <x v="56"/>
    <x v="5"/>
    <n v="4"/>
    <x v="0"/>
    <d v="2025-12-05T03:19:00"/>
    <x v="65"/>
    <x v="3"/>
    <n v="50"/>
    <n v="3"/>
    <n v="150"/>
    <x v="3"/>
  </r>
  <r>
    <n v="216"/>
    <n v="202"/>
    <x v="1"/>
    <x v="24"/>
    <x v="0"/>
    <n v="2"/>
    <x v="0"/>
    <d v="2025-12-05T03:30:00"/>
    <x v="65"/>
    <x v="3"/>
    <n v="8228"/>
    <n v="3"/>
    <n v="24684"/>
    <x v="1"/>
  </r>
  <r>
    <n v="465"/>
    <n v="56"/>
    <x v="6"/>
    <x v="360"/>
    <x v="6"/>
    <n v="5"/>
    <x v="0"/>
    <d v="2025-12-05T04:23:00"/>
    <x v="65"/>
    <x v="4"/>
    <n v="1904"/>
    <n v="2"/>
    <n v="3808"/>
    <x v="2"/>
  </r>
  <r>
    <n v="222"/>
    <n v="89"/>
    <x v="5"/>
    <x v="10"/>
    <x v="1"/>
    <n v="6"/>
    <x v="1"/>
    <d v="2025-12-05T04:27:00"/>
    <x v="65"/>
    <x v="4"/>
    <n v="7320"/>
    <n v="0"/>
    <n v="0"/>
    <x v="1"/>
  </r>
  <r>
    <n v="488"/>
    <n v="269"/>
    <x v="5"/>
    <x v="297"/>
    <x v="2"/>
    <n v="3"/>
    <x v="0"/>
    <d v="2025-12-05T04:30:00"/>
    <x v="65"/>
    <x v="4"/>
    <n v="4616"/>
    <n v="4"/>
    <n v="18464"/>
    <x v="2"/>
  </r>
  <r>
    <n v="325"/>
    <n v="24"/>
    <x v="2"/>
    <x v="97"/>
    <x v="6"/>
    <n v="5"/>
    <x v="0"/>
    <d v="2025-12-05T04:47:00"/>
    <x v="65"/>
    <x v="4"/>
    <n v="1119"/>
    <n v="1"/>
    <n v="1119"/>
    <x v="2"/>
  </r>
  <r>
    <n v="714"/>
    <n v="56"/>
    <x v="7"/>
    <x v="209"/>
    <x v="0"/>
    <n v="2"/>
    <x v="1"/>
    <d v="2025-12-05T04:57:00"/>
    <x v="65"/>
    <x v="4"/>
    <n v="4380"/>
    <n v="0"/>
    <n v="0"/>
    <x v="2"/>
  </r>
  <r>
    <n v="795"/>
    <n v="182"/>
    <x v="1"/>
    <x v="320"/>
    <x v="4"/>
    <n v="7"/>
    <x v="0"/>
    <d v="2025-12-05T05:19:00"/>
    <x v="65"/>
    <x v="20"/>
    <n v="4016"/>
    <n v="3"/>
    <n v="12048"/>
    <x v="2"/>
  </r>
  <r>
    <n v="542"/>
    <n v="63"/>
    <x v="2"/>
    <x v="64"/>
    <x v="0"/>
    <n v="2"/>
    <x v="0"/>
    <d v="2025-12-05T06:02:00"/>
    <x v="65"/>
    <x v="5"/>
    <n v="6938"/>
    <n v="1"/>
    <n v="6938"/>
    <x v="1"/>
  </r>
  <r>
    <n v="575"/>
    <n v="31"/>
    <x v="3"/>
    <x v="232"/>
    <x v="3"/>
    <n v="1"/>
    <x v="0"/>
    <d v="2025-12-05T06:06:00"/>
    <x v="65"/>
    <x v="5"/>
    <n v="6804"/>
    <n v="5"/>
    <n v="34020"/>
    <x v="1"/>
  </r>
  <r>
    <n v="7"/>
    <n v="140"/>
    <x v="4"/>
    <x v="329"/>
    <x v="1"/>
    <n v="6"/>
    <x v="0"/>
    <d v="2025-12-05T06:29:00"/>
    <x v="65"/>
    <x v="5"/>
    <n v="12000"/>
    <n v="1"/>
    <n v="12000"/>
    <x v="0"/>
  </r>
  <r>
    <n v="540"/>
    <n v="286"/>
    <x v="5"/>
    <x v="171"/>
    <x v="4"/>
    <n v="7"/>
    <x v="0"/>
    <d v="2025-12-05T06:47:00"/>
    <x v="65"/>
    <x v="5"/>
    <n v="4323"/>
    <n v="2"/>
    <n v="8646"/>
    <x v="2"/>
  </r>
  <r>
    <n v="339"/>
    <n v="286"/>
    <x v="4"/>
    <x v="153"/>
    <x v="5"/>
    <n v="4"/>
    <x v="1"/>
    <d v="2025-12-05T06:52:00"/>
    <x v="65"/>
    <x v="5"/>
    <n v="768"/>
    <n v="0"/>
    <n v="0"/>
    <x v="3"/>
  </r>
  <r>
    <n v="60"/>
    <n v="167"/>
    <x v="2"/>
    <x v="148"/>
    <x v="3"/>
    <n v="1"/>
    <x v="1"/>
    <d v="2025-12-05T07:17:00"/>
    <x v="65"/>
    <x v="6"/>
    <n v="7825"/>
    <n v="0"/>
    <n v="0"/>
    <x v="1"/>
  </r>
  <r>
    <n v="773"/>
    <n v="231"/>
    <x v="3"/>
    <x v="232"/>
    <x v="3"/>
    <n v="1"/>
    <x v="0"/>
    <d v="2025-12-05T07:26:00"/>
    <x v="65"/>
    <x v="6"/>
    <n v="7429"/>
    <n v="1"/>
    <n v="7429"/>
    <x v="1"/>
  </r>
  <r>
    <n v="172"/>
    <n v="71"/>
    <x v="7"/>
    <x v="184"/>
    <x v="6"/>
    <n v="5"/>
    <x v="0"/>
    <d v="2025-12-05T07:44:00"/>
    <x v="65"/>
    <x v="6"/>
    <n v="3033"/>
    <n v="2"/>
    <n v="6066"/>
    <x v="2"/>
  </r>
  <r>
    <n v="346"/>
    <n v="144"/>
    <x v="6"/>
    <x v="135"/>
    <x v="3"/>
    <n v="1"/>
    <x v="0"/>
    <d v="2025-12-05T07:46:00"/>
    <x v="65"/>
    <x v="6"/>
    <n v="5197"/>
    <n v="1"/>
    <n v="5197"/>
    <x v="1"/>
  </r>
  <r>
    <n v="603"/>
    <n v="217"/>
    <x v="6"/>
    <x v="203"/>
    <x v="3"/>
    <n v="1"/>
    <x v="0"/>
    <d v="2025-12-05T08:02:00"/>
    <x v="65"/>
    <x v="7"/>
    <n v="5557"/>
    <n v="3"/>
    <n v="16671"/>
    <x v="1"/>
  </r>
  <r>
    <n v="183"/>
    <n v="258"/>
    <x v="9"/>
    <x v="231"/>
    <x v="3"/>
    <n v="1"/>
    <x v="0"/>
    <d v="2025-12-05T08:12:00"/>
    <x v="65"/>
    <x v="7"/>
    <n v="3941"/>
    <n v="2"/>
    <n v="7882"/>
    <x v="2"/>
  </r>
  <r>
    <n v="85"/>
    <n v="220"/>
    <x v="9"/>
    <x v="372"/>
    <x v="6"/>
    <n v="5"/>
    <x v="0"/>
    <d v="2025-12-05T08:58:00"/>
    <x v="65"/>
    <x v="7"/>
    <n v="1282"/>
    <n v="2"/>
    <n v="2564"/>
    <x v="2"/>
  </r>
  <r>
    <n v="41"/>
    <n v="22"/>
    <x v="4"/>
    <x v="150"/>
    <x v="1"/>
    <n v="6"/>
    <x v="0"/>
    <d v="2025-12-05T08:59:00"/>
    <x v="65"/>
    <x v="7"/>
    <n v="7257"/>
    <n v="4"/>
    <n v="29028"/>
    <x v="1"/>
  </r>
  <r>
    <n v="601"/>
    <n v="119"/>
    <x v="6"/>
    <x v="294"/>
    <x v="6"/>
    <n v="5"/>
    <x v="0"/>
    <d v="2025-12-05T09:14:00"/>
    <x v="65"/>
    <x v="8"/>
    <n v="1395"/>
    <n v="4"/>
    <n v="5580"/>
    <x v="2"/>
  </r>
  <r>
    <n v="119"/>
    <n v="167"/>
    <x v="4"/>
    <x v="36"/>
    <x v="3"/>
    <n v="1"/>
    <x v="0"/>
    <d v="2025-12-05T09:30:00"/>
    <x v="65"/>
    <x v="8"/>
    <n v="1516"/>
    <n v="4"/>
    <n v="6064"/>
    <x v="2"/>
  </r>
  <r>
    <n v="332"/>
    <n v="175"/>
    <x v="5"/>
    <x v="42"/>
    <x v="4"/>
    <n v="7"/>
    <x v="1"/>
    <d v="2025-12-05T10:04:00"/>
    <x v="65"/>
    <x v="9"/>
    <n v="3934"/>
    <n v="0"/>
    <n v="0"/>
    <x v="2"/>
  </r>
  <r>
    <n v="649"/>
    <n v="218"/>
    <x v="3"/>
    <x v="311"/>
    <x v="2"/>
    <n v="3"/>
    <x v="0"/>
    <d v="2025-12-05T10:27:00"/>
    <x v="65"/>
    <x v="9"/>
    <n v="5253"/>
    <n v="4"/>
    <n v="21012"/>
    <x v="1"/>
  </r>
  <r>
    <n v="291"/>
    <n v="156"/>
    <x v="4"/>
    <x v="196"/>
    <x v="5"/>
    <n v="4"/>
    <x v="0"/>
    <d v="2025-12-05T10:56:00"/>
    <x v="65"/>
    <x v="9"/>
    <n v="1364"/>
    <n v="5"/>
    <n v="6820"/>
    <x v="2"/>
  </r>
  <r>
    <n v="393"/>
    <n v="198"/>
    <x v="3"/>
    <x v="201"/>
    <x v="2"/>
    <n v="3"/>
    <x v="0"/>
    <d v="2025-12-05T11:36:00"/>
    <x v="65"/>
    <x v="10"/>
    <n v="3895"/>
    <n v="3"/>
    <n v="11685"/>
    <x v="2"/>
  </r>
  <r>
    <n v="512"/>
    <n v="114"/>
    <x v="8"/>
    <x v="166"/>
    <x v="3"/>
    <n v="1"/>
    <x v="0"/>
    <d v="2025-12-05T12:28:00"/>
    <x v="65"/>
    <x v="11"/>
    <n v="5921"/>
    <n v="3"/>
    <n v="17763"/>
    <x v="1"/>
  </r>
  <r>
    <n v="300"/>
    <n v="212"/>
    <x v="8"/>
    <x v="343"/>
    <x v="3"/>
    <n v="1"/>
    <x v="0"/>
    <d v="2025-12-05T12:38:00"/>
    <x v="65"/>
    <x v="11"/>
    <n v="4494"/>
    <n v="1"/>
    <n v="4494"/>
    <x v="2"/>
  </r>
  <r>
    <n v="376"/>
    <n v="264"/>
    <x v="0"/>
    <x v="269"/>
    <x v="0"/>
    <n v="2"/>
    <x v="0"/>
    <d v="2025-12-05T12:59:00"/>
    <x v="65"/>
    <x v="11"/>
    <n v="6634"/>
    <n v="1"/>
    <n v="6634"/>
    <x v="1"/>
  </r>
  <r>
    <n v="295"/>
    <n v="108"/>
    <x v="4"/>
    <x v="190"/>
    <x v="3"/>
    <n v="1"/>
    <x v="1"/>
    <d v="2025-12-05T13:47:00"/>
    <x v="65"/>
    <x v="21"/>
    <n v="7211"/>
    <n v="0"/>
    <n v="0"/>
    <x v="1"/>
  </r>
  <r>
    <n v="725"/>
    <n v="279"/>
    <x v="5"/>
    <x v="179"/>
    <x v="0"/>
    <n v="2"/>
    <x v="0"/>
    <d v="2025-12-05T15:48:00"/>
    <x v="65"/>
    <x v="13"/>
    <n v="5209"/>
    <n v="4"/>
    <n v="20836"/>
    <x v="1"/>
  </r>
  <r>
    <n v="65"/>
    <n v="65"/>
    <x v="4"/>
    <x v="200"/>
    <x v="1"/>
    <n v="6"/>
    <x v="1"/>
    <d v="2025-12-05T16:46:00"/>
    <x v="65"/>
    <x v="14"/>
    <n v="3911"/>
    <n v="0"/>
    <n v="0"/>
    <x v="2"/>
  </r>
  <r>
    <n v="642"/>
    <n v="157"/>
    <x v="4"/>
    <x v="196"/>
    <x v="5"/>
    <n v="4"/>
    <x v="1"/>
    <d v="2025-12-05T16:58:00"/>
    <x v="65"/>
    <x v="14"/>
    <n v="569"/>
    <n v="0"/>
    <n v="0"/>
    <x v="3"/>
  </r>
  <r>
    <n v="757"/>
    <n v="5"/>
    <x v="0"/>
    <x v="322"/>
    <x v="5"/>
    <n v="4"/>
    <x v="0"/>
    <d v="2025-12-05T17:04:00"/>
    <x v="65"/>
    <x v="15"/>
    <n v="1175"/>
    <n v="4"/>
    <n v="4700"/>
    <x v="2"/>
  </r>
  <r>
    <n v="269"/>
    <n v="251"/>
    <x v="5"/>
    <x v="306"/>
    <x v="0"/>
    <n v="2"/>
    <x v="1"/>
    <d v="2025-12-05T17:22:00"/>
    <x v="65"/>
    <x v="15"/>
    <n v="5538"/>
    <n v="0"/>
    <n v="0"/>
    <x v="1"/>
  </r>
  <r>
    <n v="354"/>
    <n v="13"/>
    <x v="3"/>
    <x v="232"/>
    <x v="3"/>
    <n v="1"/>
    <x v="1"/>
    <d v="2025-12-05T17:58:00"/>
    <x v="65"/>
    <x v="15"/>
    <n v="2215"/>
    <n v="0"/>
    <n v="0"/>
    <x v="2"/>
  </r>
  <r>
    <n v="532"/>
    <n v="45"/>
    <x v="8"/>
    <x v="225"/>
    <x v="4"/>
    <n v="7"/>
    <x v="1"/>
    <d v="2025-12-05T18:16:00"/>
    <x v="65"/>
    <x v="16"/>
    <n v="5746"/>
    <n v="0"/>
    <n v="0"/>
    <x v="1"/>
  </r>
  <r>
    <n v="359"/>
    <n v="246"/>
    <x v="4"/>
    <x v="153"/>
    <x v="5"/>
    <n v="4"/>
    <x v="0"/>
    <d v="2025-12-05T18:33:00"/>
    <x v="65"/>
    <x v="16"/>
    <n v="1445"/>
    <n v="5"/>
    <n v="7225"/>
    <x v="2"/>
  </r>
  <r>
    <n v="372"/>
    <n v="288"/>
    <x v="7"/>
    <x v="133"/>
    <x v="4"/>
    <n v="7"/>
    <x v="0"/>
    <d v="2025-12-05T19:22:00"/>
    <x v="65"/>
    <x v="22"/>
    <n v="5267"/>
    <n v="1"/>
    <n v="5267"/>
    <x v="1"/>
  </r>
  <r>
    <n v="159"/>
    <n v="293"/>
    <x v="4"/>
    <x v="270"/>
    <x v="2"/>
    <n v="3"/>
    <x v="0"/>
    <d v="2025-12-05T19:34:00"/>
    <x v="65"/>
    <x v="22"/>
    <n v="3723"/>
    <n v="2"/>
    <n v="7446"/>
    <x v="2"/>
  </r>
  <r>
    <n v="93"/>
    <n v="262"/>
    <x v="4"/>
    <x v="223"/>
    <x v="4"/>
    <n v="7"/>
    <x v="0"/>
    <d v="2025-12-05T20:26:00"/>
    <x v="65"/>
    <x v="17"/>
    <n v="1733"/>
    <n v="2"/>
    <n v="3466"/>
    <x v="2"/>
  </r>
  <r>
    <n v="674"/>
    <n v="284"/>
    <x v="8"/>
    <x v="140"/>
    <x v="5"/>
    <n v="4"/>
    <x v="0"/>
    <d v="2025-12-05T20:39:00"/>
    <x v="65"/>
    <x v="17"/>
    <n v="1500"/>
    <n v="1"/>
    <n v="1500"/>
    <x v="2"/>
  </r>
  <r>
    <n v="55"/>
    <n v="282"/>
    <x v="1"/>
    <x v="70"/>
    <x v="6"/>
    <n v="5"/>
    <x v="0"/>
    <d v="2025-12-05T20:50:00"/>
    <x v="65"/>
    <x v="17"/>
    <n v="1960"/>
    <n v="1"/>
    <n v="1960"/>
    <x v="2"/>
  </r>
  <r>
    <n v="661"/>
    <n v="241"/>
    <x v="8"/>
    <x v="318"/>
    <x v="6"/>
    <n v="5"/>
    <x v="0"/>
    <d v="2025-12-05T21:06:00"/>
    <x v="65"/>
    <x v="23"/>
    <n v="1711"/>
    <n v="2"/>
    <n v="3422"/>
    <x v="2"/>
  </r>
  <r>
    <n v="221"/>
    <n v="102"/>
    <x v="8"/>
    <x v="207"/>
    <x v="0"/>
    <n v="2"/>
    <x v="0"/>
    <d v="2025-12-05T21:44:00"/>
    <x v="65"/>
    <x v="23"/>
    <n v="6708"/>
    <n v="1"/>
    <n v="6708"/>
    <x v="1"/>
  </r>
  <r>
    <n v="672"/>
    <n v="299"/>
    <x v="5"/>
    <x v="307"/>
    <x v="1"/>
    <n v="6"/>
    <x v="1"/>
    <d v="2025-12-05T21:48:00"/>
    <x v="65"/>
    <x v="23"/>
    <n v="9423"/>
    <n v="0"/>
    <n v="0"/>
    <x v="1"/>
  </r>
  <r>
    <n v="177"/>
    <n v="80"/>
    <x v="6"/>
    <x v="146"/>
    <x v="3"/>
    <n v="1"/>
    <x v="1"/>
    <d v="2025-12-05T21:53:00"/>
    <x v="65"/>
    <x v="23"/>
    <n v="2338"/>
    <n v="0"/>
    <n v="0"/>
    <x v="2"/>
  </r>
  <r>
    <n v="759"/>
    <n v="211"/>
    <x v="9"/>
    <x v="128"/>
    <x v="0"/>
    <n v="2"/>
    <x v="0"/>
    <d v="2025-12-05T23:14:00"/>
    <x v="65"/>
    <x v="19"/>
    <n v="13537"/>
    <n v="1"/>
    <n v="13537"/>
    <x v="0"/>
  </r>
  <r>
    <n v="674"/>
    <n v="300"/>
    <x v="2"/>
    <x v="228"/>
    <x v="2"/>
    <n v="3"/>
    <x v="0"/>
    <d v="2025-12-05T23:19:00"/>
    <x v="65"/>
    <x v="19"/>
    <n v="2753"/>
    <n v="2"/>
    <n v="5506"/>
    <x v="2"/>
  </r>
  <r>
    <n v="567"/>
    <n v="282"/>
    <x v="7"/>
    <x v="281"/>
    <x v="6"/>
    <n v="5"/>
    <x v="0"/>
    <d v="2025-12-05T23:41:00"/>
    <x v="65"/>
    <x v="19"/>
    <n v="1235"/>
    <n v="3"/>
    <n v="3705"/>
    <x v="2"/>
  </r>
  <r>
    <n v="669"/>
    <n v="187"/>
    <x v="4"/>
    <x v="198"/>
    <x v="0"/>
    <n v="2"/>
    <x v="0"/>
    <d v="2025-12-06T00:04:00"/>
    <x v="66"/>
    <x v="0"/>
    <n v="6278"/>
    <n v="2"/>
    <n v="12556"/>
    <x v="1"/>
  </r>
  <r>
    <n v="328"/>
    <n v="285"/>
    <x v="3"/>
    <x v="248"/>
    <x v="0"/>
    <n v="2"/>
    <x v="0"/>
    <d v="2025-12-06T00:22:00"/>
    <x v="66"/>
    <x v="0"/>
    <n v="8101"/>
    <n v="3"/>
    <n v="24303"/>
    <x v="1"/>
  </r>
  <r>
    <n v="501"/>
    <n v="238"/>
    <x v="2"/>
    <x v="2"/>
    <x v="2"/>
    <n v="3"/>
    <x v="0"/>
    <d v="2025-12-06T00:49:00"/>
    <x v="66"/>
    <x v="0"/>
    <n v="3959"/>
    <n v="3"/>
    <n v="11877"/>
    <x v="2"/>
  </r>
  <r>
    <n v="166"/>
    <n v="202"/>
    <x v="8"/>
    <x v="166"/>
    <x v="3"/>
    <n v="1"/>
    <x v="0"/>
    <d v="2025-12-06T00:56:00"/>
    <x v="66"/>
    <x v="0"/>
    <n v="7218"/>
    <n v="4"/>
    <n v="28872"/>
    <x v="1"/>
  </r>
  <r>
    <n v="341"/>
    <n v="134"/>
    <x v="0"/>
    <x v="249"/>
    <x v="2"/>
    <n v="3"/>
    <x v="0"/>
    <d v="2025-12-06T01:17:00"/>
    <x v="66"/>
    <x v="1"/>
    <n v="3800"/>
    <n v="4"/>
    <n v="15200"/>
    <x v="2"/>
  </r>
  <r>
    <n v="733"/>
    <n v="60"/>
    <x v="8"/>
    <x v="31"/>
    <x v="0"/>
    <n v="2"/>
    <x v="0"/>
    <d v="2025-12-06T01:30:00"/>
    <x v="66"/>
    <x v="1"/>
    <n v="8254"/>
    <n v="3"/>
    <n v="24762"/>
    <x v="1"/>
  </r>
  <r>
    <n v="450"/>
    <n v="2"/>
    <x v="9"/>
    <x v="112"/>
    <x v="3"/>
    <n v="1"/>
    <x v="0"/>
    <d v="2025-12-06T01:58:00"/>
    <x v="66"/>
    <x v="1"/>
    <n v="2506"/>
    <n v="1"/>
    <n v="2506"/>
    <x v="2"/>
  </r>
  <r>
    <n v="72"/>
    <n v="83"/>
    <x v="4"/>
    <x v="142"/>
    <x v="0"/>
    <n v="2"/>
    <x v="0"/>
    <d v="2025-12-06T02:02:00"/>
    <x v="66"/>
    <x v="2"/>
    <n v="7152"/>
    <n v="3"/>
    <n v="21456"/>
    <x v="1"/>
  </r>
  <r>
    <n v="480"/>
    <n v="270"/>
    <x v="5"/>
    <x v="186"/>
    <x v="5"/>
    <n v="4"/>
    <x v="0"/>
    <d v="2025-12-06T02:25:00"/>
    <x v="66"/>
    <x v="2"/>
    <n v="132"/>
    <n v="4"/>
    <n v="528"/>
    <x v="3"/>
  </r>
  <r>
    <n v="503"/>
    <n v="168"/>
    <x v="1"/>
    <x v="355"/>
    <x v="6"/>
    <n v="5"/>
    <x v="0"/>
    <d v="2025-12-06T02:30:00"/>
    <x v="66"/>
    <x v="2"/>
    <n v="3006"/>
    <n v="2"/>
    <n v="6012"/>
    <x v="2"/>
  </r>
  <r>
    <n v="249"/>
    <n v="67"/>
    <x v="3"/>
    <x v="201"/>
    <x v="2"/>
    <n v="3"/>
    <x v="0"/>
    <d v="2025-12-06T02:39:00"/>
    <x v="66"/>
    <x v="2"/>
    <n v="2728"/>
    <n v="1"/>
    <n v="2728"/>
    <x v="2"/>
  </r>
  <r>
    <n v="374"/>
    <n v="204"/>
    <x v="1"/>
    <x v="115"/>
    <x v="2"/>
    <n v="3"/>
    <x v="1"/>
    <d v="2025-12-06T02:45:00"/>
    <x v="66"/>
    <x v="2"/>
    <n v="2536"/>
    <n v="0"/>
    <n v="0"/>
    <x v="2"/>
  </r>
  <r>
    <n v="39"/>
    <n v="23"/>
    <x v="5"/>
    <x v="89"/>
    <x v="2"/>
    <n v="3"/>
    <x v="1"/>
    <d v="2025-12-06T02:51:00"/>
    <x v="66"/>
    <x v="2"/>
    <n v="2024"/>
    <n v="0"/>
    <n v="0"/>
    <x v="2"/>
  </r>
  <r>
    <n v="622"/>
    <n v="239"/>
    <x v="3"/>
    <x v="232"/>
    <x v="3"/>
    <n v="1"/>
    <x v="0"/>
    <d v="2025-12-06T03:37:00"/>
    <x v="66"/>
    <x v="3"/>
    <n v="3362"/>
    <n v="2"/>
    <n v="6724"/>
    <x v="2"/>
  </r>
  <r>
    <n v="449"/>
    <n v="179"/>
    <x v="3"/>
    <x v="338"/>
    <x v="4"/>
    <n v="7"/>
    <x v="0"/>
    <d v="2025-12-06T03:46:00"/>
    <x v="66"/>
    <x v="3"/>
    <n v="5805"/>
    <n v="3"/>
    <n v="17415"/>
    <x v="1"/>
  </r>
  <r>
    <n v="527"/>
    <n v="183"/>
    <x v="6"/>
    <x v="345"/>
    <x v="4"/>
    <n v="7"/>
    <x v="0"/>
    <d v="2025-12-06T04:55:00"/>
    <x v="66"/>
    <x v="4"/>
    <n v="7007"/>
    <n v="3"/>
    <n v="21021"/>
    <x v="1"/>
  </r>
  <r>
    <n v="63"/>
    <n v="21"/>
    <x v="3"/>
    <x v="84"/>
    <x v="5"/>
    <n v="4"/>
    <x v="0"/>
    <d v="2025-12-06T06:28:00"/>
    <x v="66"/>
    <x v="5"/>
    <n v="349"/>
    <n v="2"/>
    <n v="698"/>
    <x v="3"/>
  </r>
  <r>
    <n v="242"/>
    <n v="199"/>
    <x v="7"/>
    <x v="73"/>
    <x v="2"/>
    <n v="3"/>
    <x v="0"/>
    <d v="2025-12-06T06:51:00"/>
    <x v="66"/>
    <x v="5"/>
    <n v="2962"/>
    <n v="1"/>
    <n v="2962"/>
    <x v="2"/>
  </r>
  <r>
    <n v="329"/>
    <n v="57"/>
    <x v="9"/>
    <x v="112"/>
    <x v="3"/>
    <n v="1"/>
    <x v="0"/>
    <d v="2025-12-06T06:55:00"/>
    <x v="66"/>
    <x v="5"/>
    <n v="6128"/>
    <n v="2"/>
    <n v="12256"/>
    <x v="1"/>
  </r>
  <r>
    <n v="216"/>
    <n v="293"/>
    <x v="6"/>
    <x v="146"/>
    <x v="3"/>
    <n v="1"/>
    <x v="0"/>
    <d v="2025-12-06T07:07:00"/>
    <x v="66"/>
    <x v="6"/>
    <n v="4604"/>
    <n v="2"/>
    <n v="9208"/>
    <x v="2"/>
  </r>
  <r>
    <n v="592"/>
    <n v="86"/>
    <x v="4"/>
    <x v="252"/>
    <x v="1"/>
    <n v="6"/>
    <x v="0"/>
    <d v="2025-12-06T07:50:00"/>
    <x v="66"/>
    <x v="6"/>
    <n v="3344"/>
    <n v="2"/>
    <n v="6688"/>
    <x v="2"/>
  </r>
  <r>
    <n v="357"/>
    <n v="13"/>
    <x v="9"/>
    <x v="180"/>
    <x v="3"/>
    <n v="1"/>
    <x v="1"/>
    <d v="2025-12-06T08:02:00"/>
    <x v="66"/>
    <x v="7"/>
    <n v="7556"/>
    <n v="0"/>
    <n v="0"/>
    <x v="1"/>
  </r>
  <r>
    <n v="284"/>
    <n v="262"/>
    <x v="5"/>
    <x v="244"/>
    <x v="1"/>
    <n v="6"/>
    <x v="0"/>
    <d v="2025-12-06T08:04:00"/>
    <x v="66"/>
    <x v="7"/>
    <n v="3470"/>
    <n v="2"/>
    <n v="6940"/>
    <x v="2"/>
  </r>
  <r>
    <n v="6"/>
    <n v="296"/>
    <x v="9"/>
    <x v="312"/>
    <x v="5"/>
    <n v="4"/>
    <x v="1"/>
    <d v="2025-12-06T08:26:00"/>
    <x v="66"/>
    <x v="7"/>
    <n v="273"/>
    <n v="0"/>
    <n v="0"/>
    <x v="3"/>
  </r>
  <r>
    <n v="704"/>
    <n v="256"/>
    <x v="1"/>
    <x v="20"/>
    <x v="3"/>
    <n v="1"/>
    <x v="0"/>
    <d v="2025-12-06T09:15:00"/>
    <x v="66"/>
    <x v="8"/>
    <n v="4444"/>
    <n v="1"/>
    <n v="4444"/>
    <x v="2"/>
  </r>
  <r>
    <n v="408"/>
    <n v="25"/>
    <x v="1"/>
    <x v="161"/>
    <x v="0"/>
    <n v="2"/>
    <x v="0"/>
    <d v="2025-12-06T09:57:00"/>
    <x v="66"/>
    <x v="8"/>
    <n v="5633"/>
    <n v="4"/>
    <n v="22532"/>
    <x v="1"/>
  </r>
  <r>
    <n v="213"/>
    <n v="81"/>
    <x v="4"/>
    <x v="102"/>
    <x v="3"/>
    <n v="1"/>
    <x v="0"/>
    <d v="2025-12-06T10:02:00"/>
    <x v="66"/>
    <x v="9"/>
    <n v="6064"/>
    <n v="3"/>
    <n v="18192"/>
    <x v="1"/>
  </r>
  <r>
    <n v="478"/>
    <n v="72"/>
    <x v="8"/>
    <x v="37"/>
    <x v="3"/>
    <n v="1"/>
    <x v="0"/>
    <d v="2025-12-06T10:32:00"/>
    <x v="66"/>
    <x v="9"/>
    <n v="2118"/>
    <n v="1"/>
    <n v="2118"/>
    <x v="2"/>
  </r>
  <r>
    <n v="119"/>
    <n v="58"/>
    <x v="9"/>
    <x v="372"/>
    <x v="6"/>
    <n v="5"/>
    <x v="0"/>
    <d v="2025-12-06T10:38:00"/>
    <x v="66"/>
    <x v="9"/>
    <n v="877"/>
    <n v="3"/>
    <n v="2631"/>
    <x v="3"/>
  </r>
  <r>
    <n v="186"/>
    <n v="22"/>
    <x v="1"/>
    <x v="20"/>
    <x v="3"/>
    <n v="1"/>
    <x v="0"/>
    <d v="2025-12-06T10:45:00"/>
    <x v="66"/>
    <x v="9"/>
    <n v="4140"/>
    <n v="2"/>
    <n v="8280"/>
    <x v="2"/>
  </r>
  <r>
    <n v="140"/>
    <n v="176"/>
    <x v="0"/>
    <x v="154"/>
    <x v="3"/>
    <n v="1"/>
    <x v="0"/>
    <d v="2025-12-06T11:40:00"/>
    <x v="66"/>
    <x v="10"/>
    <n v="2106"/>
    <n v="1"/>
    <n v="2106"/>
    <x v="2"/>
  </r>
  <r>
    <n v="255"/>
    <n v="102"/>
    <x v="3"/>
    <x v="232"/>
    <x v="3"/>
    <n v="1"/>
    <x v="0"/>
    <d v="2025-12-06T11:48:00"/>
    <x v="66"/>
    <x v="10"/>
    <n v="6600"/>
    <n v="2"/>
    <n v="13200"/>
    <x v="1"/>
  </r>
  <r>
    <n v="301"/>
    <n v="293"/>
    <x v="5"/>
    <x v="257"/>
    <x v="3"/>
    <n v="1"/>
    <x v="1"/>
    <d v="2025-12-06T11:56:00"/>
    <x v="66"/>
    <x v="10"/>
    <n v="6285"/>
    <n v="0"/>
    <n v="0"/>
    <x v="1"/>
  </r>
  <r>
    <n v="214"/>
    <n v="275"/>
    <x v="2"/>
    <x v="104"/>
    <x v="5"/>
    <n v="4"/>
    <x v="1"/>
    <d v="2025-12-06T11:56:00"/>
    <x v="66"/>
    <x v="10"/>
    <n v="464"/>
    <n v="0"/>
    <n v="0"/>
    <x v="3"/>
  </r>
  <r>
    <n v="667"/>
    <n v="155"/>
    <x v="4"/>
    <x v="142"/>
    <x v="0"/>
    <n v="2"/>
    <x v="0"/>
    <d v="2025-12-06T12:50:00"/>
    <x v="66"/>
    <x v="11"/>
    <n v="4357"/>
    <n v="1"/>
    <n v="4357"/>
    <x v="2"/>
  </r>
  <r>
    <n v="181"/>
    <n v="52"/>
    <x v="4"/>
    <x v="277"/>
    <x v="5"/>
    <n v="4"/>
    <x v="0"/>
    <d v="2025-12-06T13:32:00"/>
    <x v="66"/>
    <x v="21"/>
    <n v="969"/>
    <n v="1"/>
    <n v="969"/>
    <x v="3"/>
  </r>
  <r>
    <n v="700"/>
    <n v="203"/>
    <x v="0"/>
    <x v="334"/>
    <x v="4"/>
    <n v="7"/>
    <x v="0"/>
    <d v="2025-12-06T13:58:00"/>
    <x v="66"/>
    <x v="21"/>
    <n v="2183"/>
    <n v="3"/>
    <n v="6549"/>
    <x v="2"/>
  </r>
  <r>
    <n v="591"/>
    <n v="168"/>
    <x v="6"/>
    <x v="79"/>
    <x v="2"/>
    <n v="3"/>
    <x v="0"/>
    <d v="2025-12-06T14:34:00"/>
    <x v="66"/>
    <x v="12"/>
    <n v="5670"/>
    <n v="3"/>
    <n v="17010"/>
    <x v="1"/>
  </r>
  <r>
    <n v="385"/>
    <n v="66"/>
    <x v="9"/>
    <x v="191"/>
    <x v="6"/>
    <n v="5"/>
    <x v="0"/>
    <d v="2025-12-06T14:39:00"/>
    <x v="66"/>
    <x v="12"/>
    <n v="1227"/>
    <n v="1"/>
    <n v="1227"/>
    <x v="2"/>
  </r>
  <r>
    <n v="359"/>
    <n v="195"/>
    <x v="5"/>
    <x v="78"/>
    <x v="5"/>
    <n v="4"/>
    <x v="0"/>
    <d v="2025-12-06T14:55:00"/>
    <x v="66"/>
    <x v="12"/>
    <n v="187"/>
    <n v="1"/>
    <n v="187"/>
    <x v="3"/>
  </r>
  <r>
    <n v="733"/>
    <n v="292"/>
    <x v="0"/>
    <x v="15"/>
    <x v="3"/>
    <n v="1"/>
    <x v="0"/>
    <d v="2025-12-06T15:06:00"/>
    <x v="66"/>
    <x v="13"/>
    <n v="7711"/>
    <n v="2"/>
    <n v="15422"/>
    <x v="1"/>
  </r>
  <r>
    <n v="598"/>
    <n v="255"/>
    <x v="4"/>
    <x v="36"/>
    <x v="3"/>
    <n v="1"/>
    <x v="0"/>
    <d v="2025-12-06T15:09:00"/>
    <x v="66"/>
    <x v="13"/>
    <n v="5860"/>
    <n v="5"/>
    <n v="29300"/>
    <x v="1"/>
  </r>
  <r>
    <n v="465"/>
    <n v="61"/>
    <x v="1"/>
    <x v="20"/>
    <x v="3"/>
    <n v="1"/>
    <x v="0"/>
    <d v="2025-12-06T15:27:00"/>
    <x v="66"/>
    <x v="13"/>
    <n v="7554"/>
    <n v="5"/>
    <n v="37770"/>
    <x v="1"/>
  </r>
  <r>
    <n v="368"/>
    <n v="282"/>
    <x v="5"/>
    <x v="147"/>
    <x v="3"/>
    <n v="1"/>
    <x v="0"/>
    <d v="2025-12-06T16:34:00"/>
    <x v="66"/>
    <x v="14"/>
    <n v="2103"/>
    <n v="1"/>
    <n v="2103"/>
    <x v="2"/>
  </r>
  <r>
    <n v="315"/>
    <n v="67"/>
    <x v="6"/>
    <x v="317"/>
    <x v="3"/>
    <n v="1"/>
    <x v="0"/>
    <d v="2025-12-06T16:35:00"/>
    <x v="66"/>
    <x v="14"/>
    <n v="3751"/>
    <n v="1"/>
    <n v="3751"/>
    <x v="2"/>
  </r>
  <r>
    <n v="761"/>
    <n v="80"/>
    <x v="7"/>
    <x v="357"/>
    <x v="3"/>
    <n v="1"/>
    <x v="0"/>
    <d v="2025-12-06T16:44:00"/>
    <x v="66"/>
    <x v="14"/>
    <n v="2549"/>
    <n v="2"/>
    <n v="5098"/>
    <x v="2"/>
  </r>
  <r>
    <n v="433"/>
    <n v="64"/>
    <x v="8"/>
    <x v="111"/>
    <x v="2"/>
    <n v="3"/>
    <x v="0"/>
    <d v="2025-12-06T16:50:00"/>
    <x v="66"/>
    <x v="14"/>
    <n v="1582"/>
    <n v="2"/>
    <n v="3164"/>
    <x v="2"/>
  </r>
  <r>
    <n v="237"/>
    <n v="286"/>
    <x v="4"/>
    <x v="66"/>
    <x v="3"/>
    <n v="1"/>
    <x v="1"/>
    <d v="2025-12-06T16:57:00"/>
    <x v="66"/>
    <x v="14"/>
    <n v="4078"/>
    <n v="0"/>
    <n v="0"/>
    <x v="2"/>
  </r>
  <r>
    <n v="614"/>
    <n v="32"/>
    <x v="0"/>
    <x v="87"/>
    <x v="5"/>
    <n v="4"/>
    <x v="0"/>
    <d v="2025-12-06T18:01:00"/>
    <x v="66"/>
    <x v="16"/>
    <n v="1005"/>
    <n v="1"/>
    <n v="1005"/>
    <x v="2"/>
  </r>
  <r>
    <n v="437"/>
    <n v="12"/>
    <x v="1"/>
    <x v="328"/>
    <x v="1"/>
    <n v="6"/>
    <x v="1"/>
    <d v="2025-12-06T18:18:00"/>
    <x v="66"/>
    <x v="16"/>
    <n v="9427"/>
    <n v="0"/>
    <n v="0"/>
    <x v="1"/>
  </r>
  <r>
    <n v="289"/>
    <n v="272"/>
    <x v="4"/>
    <x v="153"/>
    <x v="5"/>
    <n v="4"/>
    <x v="0"/>
    <d v="2025-12-06T18:34:00"/>
    <x v="66"/>
    <x v="16"/>
    <n v="810"/>
    <n v="4"/>
    <n v="3240"/>
    <x v="3"/>
  </r>
  <r>
    <n v="268"/>
    <n v="82"/>
    <x v="6"/>
    <x v="360"/>
    <x v="6"/>
    <n v="5"/>
    <x v="0"/>
    <d v="2025-12-06T19:12:00"/>
    <x v="66"/>
    <x v="22"/>
    <n v="3316"/>
    <n v="1"/>
    <n v="3316"/>
    <x v="2"/>
  </r>
  <r>
    <n v="719"/>
    <n v="147"/>
    <x v="0"/>
    <x v="87"/>
    <x v="5"/>
    <n v="4"/>
    <x v="0"/>
    <d v="2025-12-06T19:17:00"/>
    <x v="66"/>
    <x v="22"/>
    <n v="1500"/>
    <n v="3"/>
    <n v="4500"/>
    <x v="2"/>
  </r>
  <r>
    <n v="18"/>
    <n v="186"/>
    <x v="0"/>
    <x v="172"/>
    <x v="5"/>
    <n v="4"/>
    <x v="1"/>
    <d v="2025-12-06T19:34:00"/>
    <x v="66"/>
    <x v="22"/>
    <n v="50"/>
    <n v="0"/>
    <n v="0"/>
    <x v="3"/>
  </r>
  <r>
    <n v="463"/>
    <n v="189"/>
    <x v="9"/>
    <x v="180"/>
    <x v="3"/>
    <n v="1"/>
    <x v="0"/>
    <d v="2025-12-06T19:49:00"/>
    <x v="66"/>
    <x v="22"/>
    <n v="4376"/>
    <n v="2"/>
    <n v="8752"/>
    <x v="2"/>
  </r>
  <r>
    <n v="380"/>
    <n v="227"/>
    <x v="9"/>
    <x v="286"/>
    <x v="0"/>
    <n v="2"/>
    <x v="0"/>
    <d v="2025-12-06T20:13:00"/>
    <x v="66"/>
    <x v="17"/>
    <n v="10890"/>
    <n v="1"/>
    <n v="10890"/>
    <x v="0"/>
  </r>
  <r>
    <n v="292"/>
    <n v="218"/>
    <x v="6"/>
    <x v="261"/>
    <x v="4"/>
    <n v="7"/>
    <x v="0"/>
    <d v="2025-12-06T23:38:00"/>
    <x v="66"/>
    <x v="19"/>
    <n v="6480"/>
    <n v="2"/>
    <n v="12960"/>
    <x v="1"/>
  </r>
  <r>
    <n v="109"/>
    <n v="71"/>
    <x v="7"/>
    <x v="236"/>
    <x v="5"/>
    <n v="4"/>
    <x v="0"/>
    <d v="2025-12-07T00:17:00"/>
    <x v="67"/>
    <x v="0"/>
    <n v="329"/>
    <n v="2"/>
    <n v="658"/>
    <x v="3"/>
  </r>
  <r>
    <n v="114"/>
    <n v="23"/>
    <x v="2"/>
    <x v="7"/>
    <x v="0"/>
    <n v="2"/>
    <x v="0"/>
    <d v="2025-12-07T00:30:00"/>
    <x v="67"/>
    <x v="0"/>
    <n v="8150"/>
    <n v="3"/>
    <n v="24450"/>
    <x v="1"/>
  </r>
  <r>
    <n v="126"/>
    <n v="20"/>
    <x v="1"/>
    <x v="8"/>
    <x v="3"/>
    <n v="1"/>
    <x v="0"/>
    <d v="2025-12-07T01:17:00"/>
    <x v="67"/>
    <x v="1"/>
    <n v="5376"/>
    <n v="5"/>
    <n v="26880"/>
    <x v="1"/>
  </r>
  <r>
    <n v="236"/>
    <n v="52"/>
    <x v="2"/>
    <x v="263"/>
    <x v="4"/>
    <n v="7"/>
    <x v="0"/>
    <d v="2025-12-07T01:22:00"/>
    <x v="67"/>
    <x v="1"/>
    <n v="3010"/>
    <n v="1"/>
    <n v="3010"/>
    <x v="2"/>
  </r>
  <r>
    <n v="501"/>
    <n v="83"/>
    <x v="7"/>
    <x v="12"/>
    <x v="5"/>
    <n v="4"/>
    <x v="0"/>
    <d v="2025-12-07T01:22:00"/>
    <x v="67"/>
    <x v="1"/>
    <n v="974"/>
    <n v="2"/>
    <n v="1948"/>
    <x v="3"/>
  </r>
  <r>
    <n v="14"/>
    <n v="265"/>
    <x v="0"/>
    <x v="265"/>
    <x v="5"/>
    <n v="4"/>
    <x v="0"/>
    <d v="2025-12-07T01:29:00"/>
    <x v="67"/>
    <x v="1"/>
    <n v="981"/>
    <n v="1"/>
    <n v="981"/>
    <x v="3"/>
  </r>
  <r>
    <n v="110"/>
    <n v="76"/>
    <x v="6"/>
    <x v="224"/>
    <x v="4"/>
    <n v="7"/>
    <x v="1"/>
    <d v="2025-12-07T01:40:00"/>
    <x v="67"/>
    <x v="1"/>
    <n v="2470"/>
    <n v="0"/>
    <n v="0"/>
    <x v="2"/>
  </r>
  <r>
    <n v="722"/>
    <n v="32"/>
    <x v="1"/>
    <x v="276"/>
    <x v="4"/>
    <n v="7"/>
    <x v="0"/>
    <d v="2025-12-07T01:59:00"/>
    <x v="67"/>
    <x v="1"/>
    <n v="6170"/>
    <n v="3"/>
    <n v="18510"/>
    <x v="1"/>
  </r>
  <r>
    <n v="44"/>
    <n v="210"/>
    <x v="5"/>
    <x v="183"/>
    <x v="3"/>
    <n v="1"/>
    <x v="0"/>
    <d v="2025-12-07T02:24:00"/>
    <x v="67"/>
    <x v="2"/>
    <n v="4639"/>
    <n v="2"/>
    <n v="9278"/>
    <x v="2"/>
  </r>
  <r>
    <n v="474"/>
    <n v="118"/>
    <x v="5"/>
    <x v="42"/>
    <x v="4"/>
    <n v="7"/>
    <x v="0"/>
    <d v="2025-12-07T03:28:00"/>
    <x v="67"/>
    <x v="3"/>
    <n v="5062"/>
    <n v="2"/>
    <n v="10124"/>
    <x v="1"/>
  </r>
  <r>
    <n v="370"/>
    <n v="272"/>
    <x v="0"/>
    <x v="212"/>
    <x v="0"/>
    <n v="2"/>
    <x v="1"/>
    <d v="2025-12-07T03:47:00"/>
    <x v="67"/>
    <x v="3"/>
    <n v="9281"/>
    <n v="0"/>
    <n v="0"/>
    <x v="1"/>
  </r>
  <r>
    <n v="411"/>
    <n v="90"/>
    <x v="7"/>
    <x v="209"/>
    <x v="0"/>
    <n v="2"/>
    <x v="0"/>
    <d v="2025-12-07T04:05:00"/>
    <x v="67"/>
    <x v="4"/>
    <n v="8565"/>
    <n v="1"/>
    <n v="8565"/>
    <x v="1"/>
  </r>
  <r>
    <n v="18"/>
    <n v="290"/>
    <x v="5"/>
    <x v="257"/>
    <x v="3"/>
    <n v="1"/>
    <x v="0"/>
    <d v="2025-12-07T04:06:00"/>
    <x v="67"/>
    <x v="4"/>
    <n v="2095"/>
    <n v="2"/>
    <n v="4190"/>
    <x v="2"/>
  </r>
  <r>
    <n v="541"/>
    <n v="182"/>
    <x v="6"/>
    <x v="96"/>
    <x v="5"/>
    <n v="4"/>
    <x v="0"/>
    <d v="2025-12-07T04:07:00"/>
    <x v="67"/>
    <x v="4"/>
    <n v="834"/>
    <n v="3"/>
    <n v="2502"/>
    <x v="3"/>
  </r>
  <r>
    <n v="260"/>
    <n v="255"/>
    <x v="2"/>
    <x v="64"/>
    <x v="0"/>
    <n v="2"/>
    <x v="0"/>
    <d v="2025-12-07T04:29:00"/>
    <x v="67"/>
    <x v="4"/>
    <n v="11338"/>
    <n v="4"/>
    <n v="45352"/>
    <x v="0"/>
  </r>
  <r>
    <n v="6"/>
    <n v="171"/>
    <x v="1"/>
    <x v="359"/>
    <x v="2"/>
    <n v="3"/>
    <x v="0"/>
    <d v="2025-12-07T04:44:00"/>
    <x v="67"/>
    <x v="4"/>
    <n v="1647"/>
    <n v="2"/>
    <n v="3294"/>
    <x v="2"/>
  </r>
  <r>
    <n v="413"/>
    <n v="81"/>
    <x v="5"/>
    <x v="183"/>
    <x v="3"/>
    <n v="1"/>
    <x v="0"/>
    <d v="2025-12-07T05:32:00"/>
    <x v="67"/>
    <x v="20"/>
    <n v="2772"/>
    <n v="3"/>
    <n v="8316"/>
    <x v="2"/>
  </r>
  <r>
    <n v="448"/>
    <n v="77"/>
    <x v="2"/>
    <x v="362"/>
    <x v="4"/>
    <n v="7"/>
    <x v="1"/>
    <d v="2025-12-07T05:37:00"/>
    <x v="67"/>
    <x v="20"/>
    <n v="5030"/>
    <n v="0"/>
    <n v="0"/>
    <x v="1"/>
  </r>
  <r>
    <n v="538"/>
    <n v="124"/>
    <x v="9"/>
    <x v="330"/>
    <x v="4"/>
    <n v="7"/>
    <x v="0"/>
    <d v="2025-12-07T05:38:00"/>
    <x v="67"/>
    <x v="20"/>
    <n v="2126"/>
    <n v="3"/>
    <n v="6378"/>
    <x v="2"/>
  </r>
  <r>
    <n v="33"/>
    <n v="30"/>
    <x v="8"/>
    <x v="214"/>
    <x v="5"/>
    <n v="4"/>
    <x v="0"/>
    <d v="2025-12-07T05:53:00"/>
    <x v="67"/>
    <x v="20"/>
    <n v="491"/>
    <n v="3"/>
    <n v="1473"/>
    <x v="3"/>
  </r>
  <r>
    <n v="103"/>
    <n v="160"/>
    <x v="2"/>
    <x v="108"/>
    <x v="5"/>
    <n v="4"/>
    <x v="1"/>
    <d v="2025-12-07T06:01:00"/>
    <x v="67"/>
    <x v="5"/>
    <n v="600"/>
    <n v="0"/>
    <n v="0"/>
    <x v="3"/>
  </r>
  <r>
    <n v="774"/>
    <n v="35"/>
    <x v="9"/>
    <x v="51"/>
    <x v="3"/>
    <n v="1"/>
    <x v="0"/>
    <d v="2025-12-07T06:02:00"/>
    <x v="67"/>
    <x v="5"/>
    <n v="3826"/>
    <n v="2"/>
    <n v="7652"/>
    <x v="2"/>
  </r>
  <r>
    <n v="603"/>
    <n v="249"/>
    <x v="0"/>
    <x v="154"/>
    <x v="3"/>
    <n v="1"/>
    <x v="0"/>
    <d v="2025-12-07T06:36:00"/>
    <x v="67"/>
    <x v="5"/>
    <n v="7372"/>
    <n v="2"/>
    <n v="14744"/>
    <x v="1"/>
  </r>
  <r>
    <n v="21"/>
    <n v="135"/>
    <x v="7"/>
    <x v="144"/>
    <x v="2"/>
    <n v="3"/>
    <x v="0"/>
    <d v="2025-12-07T06:39:00"/>
    <x v="67"/>
    <x v="5"/>
    <n v="5191"/>
    <n v="5"/>
    <n v="25955"/>
    <x v="1"/>
  </r>
  <r>
    <n v="70"/>
    <n v="289"/>
    <x v="3"/>
    <x v="326"/>
    <x v="6"/>
    <n v="5"/>
    <x v="0"/>
    <d v="2025-12-07T07:04:00"/>
    <x v="67"/>
    <x v="6"/>
    <n v="3118"/>
    <n v="1"/>
    <n v="3118"/>
    <x v="2"/>
  </r>
  <r>
    <n v="4"/>
    <n v="162"/>
    <x v="7"/>
    <x v="94"/>
    <x v="5"/>
    <n v="4"/>
    <x v="0"/>
    <d v="2025-12-07T07:13:00"/>
    <x v="67"/>
    <x v="6"/>
    <n v="1500"/>
    <n v="3"/>
    <n v="4500"/>
    <x v="2"/>
  </r>
  <r>
    <n v="177"/>
    <n v="22"/>
    <x v="1"/>
    <x v="116"/>
    <x v="3"/>
    <n v="1"/>
    <x v="0"/>
    <d v="2025-12-07T07:18:00"/>
    <x v="67"/>
    <x v="6"/>
    <n v="3183"/>
    <n v="4"/>
    <n v="12732"/>
    <x v="2"/>
  </r>
  <r>
    <n v="39"/>
    <n v="153"/>
    <x v="9"/>
    <x v="112"/>
    <x v="3"/>
    <n v="1"/>
    <x v="0"/>
    <d v="2025-12-07T07:31:00"/>
    <x v="67"/>
    <x v="6"/>
    <n v="3205"/>
    <n v="2"/>
    <n v="6410"/>
    <x v="2"/>
  </r>
  <r>
    <n v="621"/>
    <n v="271"/>
    <x v="8"/>
    <x v="44"/>
    <x v="6"/>
    <n v="5"/>
    <x v="0"/>
    <d v="2025-12-07T08:13:00"/>
    <x v="67"/>
    <x v="7"/>
    <n v="3554"/>
    <n v="1"/>
    <n v="3554"/>
    <x v="2"/>
  </r>
  <r>
    <n v="67"/>
    <n v="102"/>
    <x v="5"/>
    <x v="222"/>
    <x v="0"/>
    <n v="2"/>
    <x v="0"/>
    <d v="2025-12-07T08:27:00"/>
    <x v="67"/>
    <x v="7"/>
    <n v="12201"/>
    <n v="3"/>
    <n v="36603"/>
    <x v="0"/>
  </r>
  <r>
    <n v="124"/>
    <n v="213"/>
    <x v="8"/>
    <x v="343"/>
    <x v="3"/>
    <n v="1"/>
    <x v="1"/>
    <d v="2025-12-07T09:03:00"/>
    <x v="67"/>
    <x v="8"/>
    <n v="4896"/>
    <n v="0"/>
    <n v="0"/>
    <x v="2"/>
  </r>
  <r>
    <n v="300"/>
    <n v="53"/>
    <x v="3"/>
    <x v="175"/>
    <x v="4"/>
    <n v="7"/>
    <x v="0"/>
    <d v="2025-12-07T09:07:00"/>
    <x v="67"/>
    <x v="8"/>
    <n v="4739"/>
    <n v="1"/>
    <n v="4739"/>
    <x v="2"/>
  </r>
  <r>
    <n v="222"/>
    <n v="249"/>
    <x v="1"/>
    <x v="16"/>
    <x v="5"/>
    <n v="4"/>
    <x v="0"/>
    <d v="2025-12-07T09:46:00"/>
    <x v="67"/>
    <x v="8"/>
    <n v="886"/>
    <n v="4"/>
    <n v="3544"/>
    <x v="3"/>
  </r>
  <r>
    <n v="585"/>
    <n v="137"/>
    <x v="8"/>
    <x v="225"/>
    <x v="4"/>
    <n v="7"/>
    <x v="0"/>
    <d v="2025-12-07T09:53:00"/>
    <x v="67"/>
    <x v="8"/>
    <n v="3673"/>
    <n v="3"/>
    <n v="11019"/>
    <x v="2"/>
  </r>
  <r>
    <n v="448"/>
    <n v="94"/>
    <x v="4"/>
    <x v="63"/>
    <x v="2"/>
    <n v="3"/>
    <x v="0"/>
    <d v="2025-12-07T10:23:00"/>
    <x v="67"/>
    <x v="9"/>
    <n v="3452"/>
    <n v="3"/>
    <n v="10356"/>
    <x v="2"/>
  </r>
  <r>
    <n v="606"/>
    <n v="149"/>
    <x v="3"/>
    <x v="305"/>
    <x v="3"/>
    <n v="1"/>
    <x v="0"/>
    <d v="2025-12-07T10:45:00"/>
    <x v="67"/>
    <x v="9"/>
    <n v="2904"/>
    <n v="3"/>
    <n v="8712"/>
    <x v="2"/>
  </r>
  <r>
    <n v="457"/>
    <n v="8"/>
    <x v="1"/>
    <x v="8"/>
    <x v="3"/>
    <n v="1"/>
    <x v="1"/>
    <d v="2025-12-07T11:56:00"/>
    <x v="67"/>
    <x v="10"/>
    <n v="5865"/>
    <n v="0"/>
    <n v="0"/>
    <x v="1"/>
  </r>
  <r>
    <n v="442"/>
    <n v="72"/>
    <x v="7"/>
    <x v="289"/>
    <x v="1"/>
    <n v="6"/>
    <x v="0"/>
    <d v="2025-12-07T12:09:00"/>
    <x v="67"/>
    <x v="11"/>
    <n v="3261"/>
    <n v="4"/>
    <n v="13044"/>
    <x v="2"/>
  </r>
  <r>
    <n v="528"/>
    <n v="236"/>
    <x v="8"/>
    <x v="368"/>
    <x v="4"/>
    <n v="7"/>
    <x v="0"/>
    <d v="2025-12-07T12:10:00"/>
    <x v="67"/>
    <x v="11"/>
    <n v="1624"/>
    <n v="1"/>
    <n v="1624"/>
    <x v="2"/>
  </r>
  <r>
    <n v="421"/>
    <n v="29"/>
    <x v="1"/>
    <x v="366"/>
    <x v="0"/>
    <n v="2"/>
    <x v="0"/>
    <d v="2025-12-07T12:11:00"/>
    <x v="67"/>
    <x v="11"/>
    <n v="12743"/>
    <n v="3"/>
    <n v="38229"/>
    <x v="0"/>
  </r>
  <r>
    <n v="98"/>
    <n v="280"/>
    <x v="0"/>
    <x v="215"/>
    <x v="2"/>
    <n v="3"/>
    <x v="0"/>
    <d v="2025-12-07T12:57:00"/>
    <x v="67"/>
    <x v="11"/>
    <n v="2935"/>
    <n v="4"/>
    <n v="11740"/>
    <x v="2"/>
  </r>
  <r>
    <n v="586"/>
    <n v="263"/>
    <x v="6"/>
    <x v="170"/>
    <x v="6"/>
    <n v="5"/>
    <x v="0"/>
    <d v="2025-12-07T13:17:00"/>
    <x v="67"/>
    <x v="21"/>
    <n v="1062"/>
    <n v="1"/>
    <n v="1062"/>
    <x v="2"/>
  </r>
  <r>
    <n v="151"/>
    <n v="58"/>
    <x v="9"/>
    <x v="342"/>
    <x v="1"/>
    <n v="6"/>
    <x v="0"/>
    <d v="2025-12-07T13:57:00"/>
    <x v="67"/>
    <x v="21"/>
    <n v="11814"/>
    <n v="5"/>
    <n v="59070"/>
    <x v="0"/>
  </r>
  <r>
    <n v="516"/>
    <n v="149"/>
    <x v="0"/>
    <x v="249"/>
    <x v="2"/>
    <n v="3"/>
    <x v="0"/>
    <d v="2025-12-07T14:04:00"/>
    <x v="67"/>
    <x v="12"/>
    <n v="2211"/>
    <n v="2"/>
    <n v="4422"/>
    <x v="2"/>
  </r>
  <r>
    <n v="560"/>
    <n v="205"/>
    <x v="0"/>
    <x v="229"/>
    <x v="6"/>
    <n v="5"/>
    <x v="0"/>
    <d v="2025-12-07T14:15:00"/>
    <x v="67"/>
    <x v="12"/>
    <n v="3569"/>
    <n v="2"/>
    <n v="7138"/>
    <x v="2"/>
  </r>
  <r>
    <n v="165"/>
    <n v="62"/>
    <x v="3"/>
    <x v="238"/>
    <x v="6"/>
    <n v="5"/>
    <x v="0"/>
    <d v="2025-12-07T14:16:00"/>
    <x v="67"/>
    <x v="12"/>
    <n v="1820"/>
    <n v="2"/>
    <n v="3640"/>
    <x v="2"/>
  </r>
  <r>
    <n v="756"/>
    <n v="120"/>
    <x v="3"/>
    <x v="299"/>
    <x v="1"/>
    <n v="6"/>
    <x v="0"/>
    <d v="2025-12-07T15:42:00"/>
    <x v="67"/>
    <x v="13"/>
    <n v="9375"/>
    <n v="3"/>
    <n v="28125"/>
    <x v="1"/>
  </r>
  <r>
    <n v="449"/>
    <n v="6"/>
    <x v="3"/>
    <x v="354"/>
    <x v="0"/>
    <n v="2"/>
    <x v="0"/>
    <d v="2025-12-07T16:11:00"/>
    <x v="67"/>
    <x v="14"/>
    <n v="13381"/>
    <n v="2"/>
    <n v="26762"/>
    <x v="0"/>
  </r>
  <r>
    <n v="266"/>
    <n v="277"/>
    <x v="0"/>
    <x v="208"/>
    <x v="4"/>
    <n v="7"/>
    <x v="1"/>
    <d v="2025-12-07T17:23:00"/>
    <x v="67"/>
    <x v="15"/>
    <n v="5804"/>
    <n v="0"/>
    <n v="0"/>
    <x v="1"/>
  </r>
  <r>
    <n v="485"/>
    <n v="48"/>
    <x v="8"/>
    <x v="381"/>
    <x v="4"/>
    <n v="7"/>
    <x v="0"/>
    <d v="2025-12-07T17:31:00"/>
    <x v="67"/>
    <x v="15"/>
    <n v="1897"/>
    <n v="3"/>
    <n v="5691"/>
    <x v="2"/>
  </r>
  <r>
    <n v="577"/>
    <n v="44"/>
    <x v="5"/>
    <x v="147"/>
    <x v="3"/>
    <n v="1"/>
    <x v="1"/>
    <d v="2025-12-07T17:56:00"/>
    <x v="67"/>
    <x v="15"/>
    <n v="7681"/>
    <n v="0"/>
    <n v="0"/>
    <x v="1"/>
  </r>
  <r>
    <n v="783"/>
    <n v="44"/>
    <x v="2"/>
    <x v="45"/>
    <x v="3"/>
    <n v="1"/>
    <x v="0"/>
    <d v="2025-12-07T18:26:00"/>
    <x v="67"/>
    <x v="16"/>
    <n v="3557"/>
    <n v="1"/>
    <n v="3557"/>
    <x v="2"/>
  </r>
  <r>
    <n v="605"/>
    <n v="139"/>
    <x v="8"/>
    <x v="207"/>
    <x v="0"/>
    <n v="2"/>
    <x v="0"/>
    <d v="2025-12-07T18:36:00"/>
    <x v="67"/>
    <x v="16"/>
    <n v="6646"/>
    <n v="5"/>
    <n v="33230"/>
    <x v="1"/>
  </r>
  <r>
    <n v="517"/>
    <n v="78"/>
    <x v="2"/>
    <x v="226"/>
    <x v="5"/>
    <n v="4"/>
    <x v="0"/>
    <d v="2025-12-07T19:26:00"/>
    <x v="67"/>
    <x v="22"/>
    <n v="495"/>
    <n v="3"/>
    <n v="1485"/>
    <x v="3"/>
  </r>
  <r>
    <n v="687"/>
    <n v="245"/>
    <x v="2"/>
    <x v="325"/>
    <x v="1"/>
    <n v="6"/>
    <x v="0"/>
    <d v="2025-12-07T20:44:00"/>
    <x v="67"/>
    <x v="17"/>
    <n v="9762"/>
    <n v="1"/>
    <n v="9762"/>
    <x v="1"/>
  </r>
  <r>
    <n v="45"/>
    <n v="182"/>
    <x v="0"/>
    <x v="218"/>
    <x v="5"/>
    <n v="4"/>
    <x v="0"/>
    <d v="2025-12-07T21:41:00"/>
    <x v="67"/>
    <x v="23"/>
    <n v="1500"/>
    <n v="4"/>
    <n v="6000"/>
    <x v="2"/>
  </r>
  <r>
    <n v="91"/>
    <n v="298"/>
    <x v="1"/>
    <x v="116"/>
    <x v="3"/>
    <n v="1"/>
    <x v="0"/>
    <d v="2025-12-07T22:17:00"/>
    <x v="67"/>
    <x v="18"/>
    <n v="3043"/>
    <n v="3"/>
    <n v="9129"/>
    <x v="2"/>
  </r>
  <r>
    <n v="46"/>
    <n v="254"/>
    <x v="6"/>
    <x v="136"/>
    <x v="6"/>
    <n v="5"/>
    <x v="1"/>
    <d v="2025-12-07T22:26:00"/>
    <x v="67"/>
    <x v="18"/>
    <n v="2391"/>
    <n v="0"/>
    <n v="0"/>
    <x v="2"/>
  </r>
  <r>
    <n v="500"/>
    <n v="146"/>
    <x v="5"/>
    <x v="179"/>
    <x v="0"/>
    <n v="2"/>
    <x v="0"/>
    <d v="2025-12-07T22:34:00"/>
    <x v="67"/>
    <x v="18"/>
    <n v="13169"/>
    <n v="1"/>
    <n v="13169"/>
    <x v="0"/>
  </r>
  <r>
    <n v="741"/>
    <n v="194"/>
    <x v="5"/>
    <x v="119"/>
    <x v="1"/>
    <n v="6"/>
    <x v="0"/>
    <d v="2025-12-08T00:02:00"/>
    <x v="68"/>
    <x v="0"/>
    <n v="11148"/>
    <n v="2"/>
    <n v="22296"/>
    <x v="0"/>
  </r>
  <r>
    <n v="675"/>
    <n v="204"/>
    <x v="8"/>
    <x v="31"/>
    <x v="0"/>
    <n v="2"/>
    <x v="1"/>
    <d v="2025-12-08T00:02:00"/>
    <x v="68"/>
    <x v="0"/>
    <n v="9654"/>
    <n v="0"/>
    <n v="0"/>
    <x v="1"/>
  </r>
  <r>
    <n v="432"/>
    <n v="145"/>
    <x v="0"/>
    <x v="160"/>
    <x v="3"/>
    <n v="1"/>
    <x v="0"/>
    <d v="2025-12-08T00:36:00"/>
    <x v="68"/>
    <x v="0"/>
    <n v="2437"/>
    <n v="2"/>
    <n v="4874"/>
    <x v="2"/>
  </r>
  <r>
    <n v="255"/>
    <n v="136"/>
    <x v="2"/>
    <x v="162"/>
    <x v="6"/>
    <n v="5"/>
    <x v="0"/>
    <d v="2025-12-08T01:08:00"/>
    <x v="68"/>
    <x v="1"/>
    <n v="3289"/>
    <n v="3"/>
    <n v="9867"/>
    <x v="2"/>
  </r>
  <r>
    <n v="464"/>
    <n v="262"/>
    <x v="0"/>
    <x v="300"/>
    <x v="6"/>
    <n v="5"/>
    <x v="0"/>
    <d v="2025-12-08T01:34:00"/>
    <x v="68"/>
    <x v="1"/>
    <n v="3324"/>
    <n v="1"/>
    <n v="3324"/>
    <x v="2"/>
  </r>
  <r>
    <n v="12"/>
    <n v="79"/>
    <x v="1"/>
    <x v="70"/>
    <x v="6"/>
    <n v="5"/>
    <x v="0"/>
    <d v="2025-12-08T03:36:00"/>
    <x v="68"/>
    <x v="3"/>
    <n v="1956"/>
    <n v="1"/>
    <n v="1956"/>
    <x v="2"/>
  </r>
  <r>
    <n v="146"/>
    <n v="82"/>
    <x v="1"/>
    <x v="178"/>
    <x v="4"/>
    <n v="7"/>
    <x v="0"/>
    <d v="2025-12-08T03:46:00"/>
    <x v="68"/>
    <x v="3"/>
    <n v="6067"/>
    <n v="4"/>
    <n v="24268"/>
    <x v="1"/>
  </r>
  <r>
    <n v="282"/>
    <n v="278"/>
    <x v="5"/>
    <x v="297"/>
    <x v="2"/>
    <n v="3"/>
    <x v="0"/>
    <d v="2025-12-08T03:57:00"/>
    <x v="68"/>
    <x v="3"/>
    <n v="4508"/>
    <n v="3"/>
    <n v="13524"/>
    <x v="2"/>
  </r>
  <r>
    <n v="588"/>
    <n v="114"/>
    <x v="0"/>
    <x v="265"/>
    <x v="5"/>
    <n v="4"/>
    <x v="1"/>
    <d v="2025-12-08T03:59:00"/>
    <x v="68"/>
    <x v="3"/>
    <n v="1033"/>
    <n v="0"/>
    <n v="0"/>
    <x v="2"/>
  </r>
  <r>
    <n v="714"/>
    <n v="257"/>
    <x v="2"/>
    <x v="226"/>
    <x v="5"/>
    <n v="4"/>
    <x v="0"/>
    <d v="2025-12-08T04:15:00"/>
    <x v="68"/>
    <x v="4"/>
    <n v="667"/>
    <n v="2"/>
    <n v="1334"/>
    <x v="3"/>
  </r>
  <r>
    <n v="141"/>
    <n v="133"/>
    <x v="0"/>
    <x v="283"/>
    <x v="0"/>
    <n v="2"/>
    <x v="0"/>
    <d v="2025-12-08T04:23:00"/>
    <x v="68"/>
    <x v="4"/>
    <n v="7848"/>
    <n v="2"/>
    <n v="15696"/>
    <x v="1"/>
  </r>
  <r>
    <n v="456"/>
    <n v="295"/>
    <x v="4"/>
    <x v="335"/>
    <x v="6"/>
    <n v="5"/>
    <x v="0"/>
    <d v="2025-12-08T04:34:00"/>
    <x v="68"/>
    <x v="4"/>
    <n v="2463"/>
    <n v="1"/>
    <n v="2463"/>
    <x v="2"/>
  </r>
  <r>
    <n v="65"/>
    <n v="46"/>
    <x v="0"/>
    <x v="160"/>
    <x v="3"/>
    <n v="1"/>
    <x v="0"/>
    <d v="2025-12-08T05:22:00"/>
    <x v="68"/>
    <x v="20"/>
    <n v="1575"/>
    <n v="2"/>
    <n v="3150"/>
    <x v="2"/>
  </r>
  <r>
    <n v="601"/>
    <n v="128"/>
    <x v="5"/>
    <x v="29"/>
    <x v="5"/>
    <n v="4"/>
    <x v="0"/>
    <d v="2025-12-08T06:34:00"/>
    <x v="68"/>
    <x v="5"/>
    <n v="501"/>
    <n v="2"/>
    <n v="1002"/>
    <x v="3"/>
  </r>
  <r>
    <n v="210"/>
    <n v="209"/>
    <x v="9"/>
    <x v="312"/>
    <x v="5"/>
    <n v="4"/>
    <x v="0"/>
    <d v="2025-12-08T06:40:00"/>
    <x v="68"/>
    <x v="5"/>
    <n v="920"/>
    <n v="1"/>
    <n v="920"/>
    <x v="3"/>
  </r>
  <r>
    <n v="737"/>
    <n v="209"/>
    <x v="5"/>
    <x v="81"/>
    <x v="4"/>
    <n v="7"/>
    <x v="0"/>
    <d v="2025-12-08T06:52:00"/>
    <x v="68"/>
    <x v="5"/>
    <n v="2303"/>
    <n v="4"/>
    <n v="9212"/>
    <x v="2"/>
  </r>
  <r>
    <n v="45"/>
    <n v="131"/>
    <x v="4"/>
    <x v="6"/>
    <x v="3"/>
    <n v="1"/>
    <x v="0"/>
    <d v="2025-12-08T08:02:00"/>
    <x v="68"/>
    <x v="7"/>
    <n v="1000"/>
    <n v="2"/>
    <n v="2000"/>
    <x v="2"/>
  </r>
  <r>
    <n v="411"/>
    <n v="171"/>
    <x v="3"/>
    <x v="177"/>
    <x v="2"/>
    <n v="3"/>
    <x v="0"/>
    <d v="2025-12-08T08:04:00"/>
    <x v="68"/>
    <x v="7"/>
    <n v="4215"/>
    <n v="3"/>
    <n v="12645"/>
    <x v="2"/>
  </r>
  <r>
    <n v="769"/>
    <n v="155"/>
    <x v="6"/>
    <x v="57"/>
    <x v="0"/>
    <n v="2"/>
    <x v="0"/>
    <d v="2025-12-08T08:06:00"/>
    <x v="68"/>
    <x v="7"/>
    <n v="4243"/>
    <n v="3"/>
    <n v="12729"/>
    <x v="2"/>
  </r>
  <r>
    <n v="632"/>
    <n v="50"/>
    <x v="7"/>
    <x v="357"/>
    <x v="3"/>
    <n v="1"/>
    <x v="0"/>
    <d v="2025-12-08T08:11:00"/>
    <x v="68"/>
    <x v="7"/>
    <n v="4933"/>
    <n v="3"/>
    <n v="14799"/>
    <x v="2"/>
  </r>
  <r>
    <n v="714"/>
    <n v="149"/>
    <x v="0"/>
    <x v="15"/>
    <x v="3"/>
    <n v="1"/>
    <x v="0"/>
    <d v="2025-12-08T08:35:00"/>
    <x v="68"/>
    <x v="7"/>
    <n v="4475"/>
    <n v="1"/>
    <n v="4475"/>
    <x v="2"/>
  </r>
  <r>
    <n v="412"/>
    <n v="33"/>
    <x v="9"/>
    <x v="188"/>
    <x v="2"/>
    <n v="3"/>
    <x v="1"/>
    <d v="2025-12-08T08:39:00"/>
    <x v="68"/>
    <x v="7"/>
    <n v="3555"/>
    <n v="0"/>
    <n v="0"/>
    <x v="2"/>
  </r>
  <r>
    <n v="791"/>
    <n v="265"/>
    <x v="8"/>
    <x v="214"/>
    <x v="5"/>
    <n v="4"/>
    <x v="0"/>
    <d v="2025-12-08T10:11:00"/>
    <x v="68"/>
    <x v="9"/>
    <n v="1198"/>
    <n v="1"/>
    <n v="1198"/>
    <x v="2"/>
  </r>
  <r>
    <n v="552"/>
    <n v="294"/>
    <x v="7"/>
    <x v="25"/>
    <x v="0"/>
    <n v="2"/>
    <x v="0"/>
    <d v="2025-12-08T10:26:00"/>
    <x v="68"/>
    <x v="9"/>
    <n v="6235"/>
    <n v="2"/>
    <n v="12470"/>
    <x v="1"/>
  </r>
  <r>
    <n v="555"/>
    <n v="2"/>
    <x v="0"/>
    <x v="265"/>
    <x v="5"/>
    <n v="4"/>
    <x v="0"/>
    <d v="2025-12-08T10:45:00"/>
    <x v="68"/>
    <x v="9"/>
    <n v="1291"/>
    <n v="1"/>
    <n v="1291"/>
    <x v="2"/>
  </r>
  <r>
    <n v="100"/>
    <n v="140"/>
    <x v="3"/>
    <x v="91"/>
    <x v="3"/>
    <n v="1"/>
    <x v="0"/>
    <d v="2025-12-08T10:52:00"/>
    <x v="68"/>
    <x v="9"/>
    <n v="4318"/>
    <n v="1"/>
    <n v="4318"/>
    <x v="2"/>
  </r>
  <r>
    <n v="530"/>
    <n v="54"/>
    <x v="7"/>
    <x v="156"/>
    <x v="0"/>
    <n v="2"/>
    <x v="0"/>
    <d v="2025-12-08T11:09:00"/>
    <x v="68"/>
    <x v="10"/>
    <n v="5330"/>
    <n v="4"/>
    <n v="21320"/>
    <x v="1"/>
  </r>
  <r>
    <n v="404"/>
    <n v="193"/>
    <x v="9"/>
    <x v="202"/>
    <x v="1"/>
    <n v="6"/>
    <x v="0"/>
    <d v="2025-12-08T11:38:00"/>
    <x v="68"/>
    <x v="10"/>
    <n v="5677"/>
    <n v="2"/>
    <n v="11354"/>
    <x v="1"/>
  </r>
  <r>
    <n v="680"/>
    <n v="276"/>
    <x v="2"/>
    <x v="21"/>
    <x v="3"/>
    <n v="1"/>
    <x v="1"/>
    <d v="2025-12-08T12:15:00"/>
    <x v="68"/>
    <x v="11"/>
    <n v="3250"/>
    <n v="0"/>
    <n v="0"/>
    <x v="2"/>
  </r>
  <r>
    <n v="714"/>
    <n v="282"/>
    <x v="9"/>
    <x v="18"/>
    <x v="3"/>
    <n v="1"/>
    <x v="0"/>
    <d v="2025-12-08T12:52:00"/>
    <x v="68"/>
    <x v="11"/>
    <n v="5984"/>
    <n v="2"/>
    <n v="11968"/>
    <x v="1"/>
  </r>
  <r>
    <n v="581"/>
    <n v="160"/>
    <x v="3"/>
    <x v="232"/>
    <x v="3"/>
    <n v="1"/>
    <x v="0"/>
    <d v="2025-12-08T13:15:00"/>
    <x v="68"/>
    <x v="21"/>
    <n v="4566"/>
    <n v="1"/>
    <n v="4566"/>
    <x v="2"/>
  </r>
  <r>
    <n v="268"/>
    <n v="161"/>
    <x v="6"/>
    <x v="174"/>
    <x v="1"/>
    <n v="6"/>
    <x v="0"/>
    <d v="2025-12-08T14:17:00"/>
    <x v="68"/>
    <x v="12"/>
    <n v="3446"/>
    <n v="1"/>
    <n v="3446"/>
    <x v="2"/>
  </r>
  <r>
    <n v="629"/>
    <n v="70"/>
    <x v="1"/>
    <x v="9"/>
    <x v="5"/>
    <n v="4"/>
    <x v="1"/>
    <d v="2025-12-08T15:02:00"/>
    <x v="68"/>
    <x v="13"/>
    <n v="1226"/>
    <n v="0"/>
    <n v="0"/>
    <x v="2"/>
  </r>
  <r>
    <n v="704"/>
    <n v="245"/>
    <x v="4"/>
    <x v="102"/>
    <x v="3"/>
    <n v="1"/>
    <x v="0"/>
    <d v="2025-12-08T15:39:00"/>
    <x v="68"/>
    <x v="13"/>
    <n v="7023"/>
    <n v="2"/>
    <n v="14046"/>
    <x v="1"/>
  </r>
  <r>
    <n v="360"/>
    <n v="59"/>
    <x v="2"/>
    <x v="341"/>
    <x v="5"/>
    <n v="4"/>
    <x v="0"/>
    <d v="2025-12-08T15:41:00"/>
    <x v="68"/>
    <x v="13"/>
    <n v="715"/>
    <n v="4"/>
    <n v="2860"/>
    <x v="3"/>
  </r>
  <r>
    <n v="700"/>
    <n v="32"/>
    <x v="1"/>
    <x v="376"/>
    <x v="2"/>
    <n v="3"/>
    <x v="0"/>
    <d v="2025-12-08T15:41:00"/>
    <x v="68"/>
    <x v="13"/>
    <n v="2118"/>
    <n v="4"/>
    <n v="8472"/>
    <x v="2"/>
  </r>
  <r>
    <n v="405"/>
    <n v="107"/>
    <x v="3"/>
    <x v="3"/>
    <x v="3"/>
    <n v="1"/>
    <x v="0"/>
    <d v="2025-12-08T15:47:00"/>
    <x v="68"/>
    <x v="13"/>
    <n v="2965"/>
    <n v="2"/>
    <n v="5930"/>
    <x v="2"/>
  </r>
  <r>
    <n v="727"/>
    <n v="65"/>
    <x v="5"/>
    <x v="306"/>
    <x v="0"/>
    <n v="2"/>
    <x v="0"/>
    <d v="2025-12-08T16:16:00"/>
    <x v="68"/>
    <x v="14"/>
    <n v="10861"/>
    <n v="5"/>
    <n v="54305"/>
    <x v="0"/>
  </r>
  <r>
    <n v="336"/>
    <n v="191"/>
    <x v="9"/>
    <x v="75"/>
    <x v="0"/>
    <n v="2"/>
    <x v="1"/>
    <d v="2025-12-08T16:30:00"/>
    <x v="68"/>
    <x v="14"/>
    <n v="5701"/>
    <n v="0"/>
    <n v="0"/>
    <x v="1"/>
  </r>
  <r>
    <n v="8"/>
    <n v="26"/>
    <x v="2"/>
    <x v="108"/>
    <x v="5"/>
    <n v="4"/>
    <x v="0"/>
    <d v="2025-12-08T16:44:00"/>
    <x v="68"/>
    <x v="14"/>
    <n v="1105"/>
    <n v="3"/>
    <n v="3315"/>
    <x v="2"/>
  </r>
  <r>
    <n v="140"/>
    <n v="153"/>
    <x v="9"/>
    <x v="231"/>
    <x v="3"/>
    <n v="1"/>
    <x v="0"/>
    <d v="2025-12-08T17:41:00"/>
    <x v="68"/>
    <x v="15"/>
    <n v="1306"/>
    <n v="3"/>
    <n v="3918"/>
    <x v="2"/>
  </r>
  <r>
    <n v="49"/>
    <n v="151"/>
    <x v="7"/>
    <x v="209"/>
    <x v="0"/>
    <n v="2"/>
    <x v="0"/>
    <d v="2025-12-08T18:41:00"/>
    <x v="68"/>
    <x v="16"/>
    <n v="12786"/>
    <n v="3"/>
    <n v="38358"/>
    <x v="0"/>
  </r>
  <r>
    <n v="571"/>
    <n v="223"/>
    <x v="7"/>
    <x v="133"/>
    <x v="4"/>
    <n v="7"/>
    <x v="0"/>
    <d v="2025-12-08T19:45:00"/>
    <x v="68"/>
    <x v="22"/>
    <n v="4574"/>
    <n v="2"/>
    <n v="9148"/>
    <x v="2"/>
  </r>
  <r>
    <n v="335"/>
    <n v="224"/>
    <x v="2"/>
    <x v="7"/>
    <x v="0"/>
    <n v="2"/>
    <x v="1"/>
    <d v="2025-12-08T19:55:00"/>
    <x v="68"/>
    <x v="22"/>
    <n v="11121"/>
    <n v="0"/>
    <n v="0"/>
    <x v="0"/>
  </r>
  <r>
    <n v="323"/>
    <n v="217"/>
    <x v="0"/>
    <x v="67"/>
    <x v="3"/>
    <n v="1"/>
    <x v="0"/>
    <d v="2025-12-08T20:26:00"/>
    <x v="68"/>
    <x v="17"/>
    <n v="3029"/>
    <n v="3"/>
    <n v="9087"/>
    <x v="2"/>
  </r>
  <r>
    <n v="551"/>
    <n v="15"/>
    <x v="8"/>
    <x v="103"/>
    <x v="3"/>
    <n v="1"/>
    <x v="1"/>
    <d v="2025-12-08T20:34:00"/>
    <x v="68"/>
    <x v="17"/>
    <n v="4033"/>
    <n v="0"/>
    <n v="0"/>
    <x v="2"/>
  </r>
  <r>
    <n v="227"/>
    <n v="99"/>
    <x v="7"/>
    <x v="181"/>
    <x v="5"/>
    <n v="4"/>
    <x v="0"/>
    <d v="2025-12-08T20:40:00"/>
    <x v="68"/>
    <x v="17"/>
    <n v="1249"/>
    <n v="1"/>
    <n v="1249"/>
    <x v="2"/>
  </r>
  <r>
    <n v="436"/>
    <n v="67"/>
    <x v="9"/>
    <x v="330"/>
    <x v="4"/>
    <n v="7"/>
    <x v="0"/>
    <d v="2025-12-08T20:45:00"/>
    <x v="68"/>
    <x v="17"/>
    <n v="7959"/>
    <n v="2"/>
    <n v="15918"/>
    <x v="1"/>
  </r>
  <r>
    <n v="415"/>
    <n v="196"/>
    <x v="6"/>
    <x v="336"/>
    <x v="1"/>
    <n v="6"/>
    <x v="0"/>
    <d v="2025-12-08T20:56:00"/>
    <x v="68"/>
    <x v="17"/>
    <n v="6173"/>
    <n v="2"/>
    <n v="12346"/>
    <x v="1"/>
  </r>
  <r>
    <n v="345"/>
    <n v="149"/>
    <x v="4"/>
    <x v="329"/>
    <x v="1"/>
    <n v="6"/>
    <x v="0"/>
    <d v="2025-12-08T21:11:00"/>
    <x v="68"/>
    <x v="23"/>
    <n v="4267"/>
    <n v="4"/>
    <n v="17068"/>
    <x v="2"/>
  </r>
  <r>
    <n v="619"/>
    <n v="178"/>
    <x v="2"/>
    <x v="38"/>
    <x v="6"/>
    <n v="5"/>
    <x v="0"/>
    <d v="2025-12-08T21:58:00"/>
    <x v="68"/>
    <x v="23"/>
    <n v="876"/>
    <n v="2"/>
    <n v="1752"/>
    <x v="3"/>
  </r>
  <r>
    <n v="692"/>
    <n v="218"/>
    <x v="0"/>
    <x v="39"/>
    <x v="3"/>
    <n v="1"/>
    <x v="0"/>
    <d v="2025-12-08T22:02:00"/>
    <x v="68"/>
    <x v="18"/>
    <n v="2702"/>
    <n v="2"/>
    <n v="5404"/>
    <x v="2"/>
  </r>
  <r>
    <n v="156"/>
    <n v="151"/>
    <x v="1"/>
    <x v="161"/>
    <x v="0"/>
    <n v="2"/>
    <x v="0"/>
    <d v="2025-12-08T22:37:00"/>
    <x v="68"/>
    <x v="18"/>
    <n v="6520"/>
    <n v="1"/>
    <n v="6520"/>
    <x v="1"/>
  </r>
  <r>
    <n v="490"/>
    <n v="243"/>
    <x v="8"/>
    <x v="140"/>
    <x v="5"/>
    <n v="4"/>
    <x v="0"/>
    <d v="2025-12-08T22:57:00"/>
    <x v="68"/>
    <x v="18"/>
    <n v="610"/>
    <n v="4"/>
    <n v="2440"/>
    <x v="3"/>
  </r>
  <r>
    <n v="628"/>
    <n v="35"/>
    <x v="4"/>
    <x v="190"/>
    <x v="3"/>
    <n v="1"/>
    <x v="0"/>
    <d v="2025-12-08T23:06:00"/>
    <x v="68"/>
    <x v="19"/>
    <n v="3549"/>
    <n v="1"/>
    <n v="3549"/>
    <x v="2"/>
  </r>
  <r>
    <n v="182"/>
    <n v="144"/>
    <x v="1"/>
    <x v="366"/>
    <x v="0"/>
    <n v="2"/>
    <x v="0"/>
    <d v="2025-12-08T23:24:00"/>
    <x v="68"/>
    <x v="19"/>
    <n v="10206"/>
    <n v="3"/>
    <n v="30618"/>
    <x v="0"/>
  </r>
  <r>
    <n v="258"/>
    <n v="274"/>
    <x v="6"/>
    <x v="96"/>
    <x v="5"/>
    <n v="4"/>
    <x v="0"/>
    <d v="2025-12-08T23:33:00"/>
    <x v="68"/>
    <x v="19"/>
    <n v="101"/>
    <n v="5"/>
    <n v="505"/>
    <x v="3"/>
  </r>
  <r>
    <n v="7"/>
    <n v="275"/>
    <x v="2"/>
    <x v="205"/>
    <x v="6"/>
    <n v="5"/>
    <x v="0"/>
    <d v="2025-12-08T23:57:00"/>
    <x v="68"/>
    <x v="19"/>
    <n v="3044"/>
    <n v="1"/>
    <n v="3044"/>
    <x v="2"/>
  </r>
  <r>
    <n v="529"/>
    <n v="203"/>
    <x v="8"/>
    <x v="272"/>
    <x v="3"/>
    <n v="1"/>
    <x v="0"/>
    <d v="2025-12-09T00:12:00"/>
    <x v="69"/>
    <x v="0"/>
    <n v="1000"/>
    <n v="3"/>
    <n v="3000"/>
    <x v="2"/>
  </r>
  <r>
    <n v="131"/>
    <n v="101"/>
    <x v="8"/>
    <x v="210"/>
    <x v="6"/>
    <n v="5"/>
    <x v="0"/>
    <d v="2025-12-09T00:17:00"/>
    <x v="69"/>
    <x v="0"/>
    <n v="2934"/>
    <n v="1"/>
    <n v="2934"/>
    <x v="2"/>
  </r>
  <r>
    <n v="367"/>
    <n v="228"/>
    <x v="9"/>
    <x v="112"/>
    <x v="3"/>
    <n v="1"/>
    <x v="0"/>
    <d v="2025-12-09T00:20:00"/>
    <x v="69"/>
    <x v="0"/>
    <n v="1536"/>
    <n v="3"/>
    <n v="4608"/>
    <x v="2"/>
  </r>
  <r>
    <n v="736"/>
    <n v="210"/>
    <x v="8"/>
    <x v="309"/>
    <x v="1"/>
    <n v="6"/>
    <x v="0"/>
    <d v="2025-12-09T00:41:00"/>
    <x v="69"/>
    <x v="0"/>
    <n v="2162"/>
    <n v="3"/>
    <n v="6486"/>
    <x v="2"/>
  </r>
  <r>
    <n v="436"/>
    <n v="39"/>
    <x v="4"/>
    <x v="36"/>
    <x v="3"/>
    <n v="1"/>
    <x v="0"/>
    <d v="2025-12-09T01:43:00"/>
    <x v="69"/>
    <x v="1"/>
    <n v="7426"/>
    <n v="2"/>
    <n v="14852"/>
    <x v="1"/>
  </r>
  <r>
    <n v="55"/>
    <n v="105"/>
    <x v="1"/>
    <x v="20"/>
    <x v="3"/>
    <n v="1"/>
    <x v="0"/>
    <d v="2025-12-09T01:54:00"/>
    <x v="69"/>
    <x v="1"/>
    <n v="2379"/>
    <n v="1"/>
    <n v="2379"/>
    <x v="2"/>
  </r>
  <r>
    <n v="351"/>
    <n v="117"/>
    <x v="5"/>
    <x v="72"/>
    <x v="6"/>
    <n v="5"/>
    <x v="0"/>
    <d v="2025-12-09T02:29:00"/>
    <x v="69"/>
    <x v="2"/>
    <n v="2893"/>
    <n v="3"/>
    <n v="8679"/>
    <x v="2"/>
  </r>
  <r>
    <n v="396"/>
    <n v="273"/>
    <x v="9"/>
    <x v="260"/>
    <x v="1"/>
    <n v="6"/>
    <x v="0"/>
    <d v="2025-12-09T02:58:00"/>
    <x v="69"/>
    <x v="2"/>
    <n v="9023"/>
    <n v="1"/>
    <n v="9023"/>
    <x v="1"/>
  </r>
  <r>
    <n v="651"/>
    <n v="87"/>
    <x v="3"/>
    <x v="118"/>
    <x v="3"/>
    <n v="1"/>
    <x v="0"/>
    <d v="2025-12-09T04:09:00"/>
    <x v="69"/>
    <x v="4"/>
    <n v="1429"/>
    <n v="3"/>
    <n v="4287"/>
    <x v="2"/>
  </r>
  <r>
    <n v="318"/>
    <n v="66"/>
    <x v="3"/>
    <x v="91"/>
    <x v="3"/>
    <n v="1"/>
    <x v="1"/>
    <d v="2025-12-09T04:54:00"/>
    <x v="69"/>
    <x v="4"/>
    <n v="3953"/>
    <n v="0"/>
    <n v="0"/>
    <x v="2"/>
  </r>
  <r>
    <n v="516"/>
    <n v="167"/>
    <x v="3"/>
    <x v="35"/>
    <x v="5"/>
    <n v="4"/>
    <x v="0"/>
    <d v="2025-12-09T05:16:00"/>
    <x v="69"/>
    <x v="20"/>
    <n v="445"/>
    <n v="2"/>
    <n v="890"/>
    <x v="3"/>
  </r>
  <r>
    <n v="33"/>
    <n v="220"/>
    <x v="7"/>
    <x v="357"/>
    <x v="3"/>
    <n v="1"/>
    <x v="0"/>
    <d v="2025-12-09T05:45:00"/>
    <x v="69"/>
    <x v="20"/>
    <n v="3059"/>
    <n v="1"/>
    <n v="3059"/>
    <x v="2"/>
  </r>
  <r>
    <n v="668"/>
    <n v="240"/>
    <x v="6"/>
    <x v="219"/>
    <x v="3"/>
    <n v="1"/>
    <x v="1"/>
    <d v="2025-12-09T06:45:00"/>
    <x v="69"/>
    <x v="5"/>
    <n v="3040"/>
    <n v="0"/>
    <n v="0"/>
    <x v="2"/>
  </r>
  <r>
    <n v="79"/>
    <n v="58"/>
    <x v="4"/>
    <x v="153"/>
    <x v="5"/>
    <n v="4"/>
    <x v="0"/>
    <d v="2025-12-09T06:59:00"/>
    <x v="69"/>
    <x v="5"/>
    <n v="921"/>
    <n v="3"/>
    <n v="2763"/>
    <x v="3"/>
  </r>
  <r>
    <n v="459"/>
    <n v="147"/>
    <x v="4"/>
    <x v="252"/>
    <x v="1"/>
    <n v="6"/>
    <x v="0"/>
    <d v="2025-12-09T07:09:00"/>
    <x v="69"/>
    <x v="6"/>
    <n v="4191"/>
    <n v="1"/>
    <n v="4191"/>
    <x v="2"/>
  </r>
  <r>
    <n v="636"/>
    <n v="44"/>
    <x v="8"/>
    <x v="207"/>
    <x v="0"/>
    <n v="2"/>
    <x v="0"/>
    <d v="2025-12-09T07:10:00"/>
    <x v="69"/>
    <x v="6"/>
    <n v="12916"/>
    <n v="2"/>
    <n v="25832"/>
    <x v="0"/>
  </r>
  <r>
    <n v="249"/>
    <n v="151"/>
    <x v="2"/>
    <x v="32"/>
    <x v="5"/>
    <n v="4"/>
    <x v="0"/>
    <d v="2025-12-09T07:56:00"/>
    <x v="69"/>
    <x v="6"/>
    <n v="997"/>
    <n v="4"/>
    <n v="3988"/>
    <x v="3"/>
  </r>
  <r>
    <n v="174"/>
    <n v="16"/>
    <x v="4"/>
    <x v="388"/>
    <x v="4"/>
    <n v="7"/>
    <x v="0"/>
    <d v="2025-12-09T08:39:00"/>
    <x v="69"/>
    <x v="7"/>
    <n v="6912"/>
    <n v="1"/>
    <n v="6912"/>
    <x v="1"/>
  </r>
  <r>
    <n v="702"/>
    <n v="87"/>
    <x v="3"/>
    <x v="4"/>
    <x v="0"/>
    <n v="2"/>
    <x v="0"/>
    <d v="2025-12-09T08:42:00"/>
    <x v="69"/>
    <x v="7"/>
    <n v="7223"/>
    <n v="2"/>
    <n v="14446"/>
    <x v="1"/>
  </r>
  <r>
    <n v="732"/>
    <n v="7"/>
    <x v="8"/>
    <x v="103"/>
    <x v="3"/>
    <n v="1"/>
    <x v="0"/>
    <d v="2025-12-09T09:05:00"/>
    <x v="69"/>
    <x v="8"/>
    <n v="7551"/>
    <n v="5"/>
    <n v="37755"/>
    <x v="1"/>
  </r>
  <r>
    <n v="622"/>
    <n v="199"/>
    <x v="0"/>
    <x v="105"/>
    <x v="3"/>
    <n v="1"/>
    <x v="0"/>
    <d v="2025-12-09T09:21:00"/>
    <x v="69"/>
    <x v="8"/>
    <n v="6443"/>
    <n v="3"/>
    <n v="19329"/>
    <x v="1"/>
  </r>
  <r>
    <n v="732"/>
    <n v="100"/>
    <x v="7"/>
    <x v="308"/>
    <x v="4"/>
    <n v="7"/>
    <x v="0"/>
    <d v="2025-12-09T09:24:00"/>
    <x v="69"/>
    <x v="8"/>
    <n v="3343"/>
    <n v="1"/>
    <n v="3343"/>
    <x v="2"/>
  </r>
  <r>
    <n v="333"/>
    <n v="280"/>
    <x v="9"/>
    <x v="312"/>
    <x v="5"/>
    <n v="4"/>
    <x v="1"/>
    <d v="2025-12-09T11:09:00"/>
    <x v="69"/>
    <x v="10"/>
    <n v="114"/>
    <n v="0"/>
    <n v="0"/>
    <x v="3"/>
  </r>
  <r>
    <n v="235"/>
    <n v="170"/>
    <x v="7"/>
    <x v="163"/>
    <x v="3"/>
    <n v="1"/>
    <x v="0"/>
    <d v="2025-12-09T11:15:00"/>
    <x v="69"/>
    <x v="10"/>
    <n v="4994"/>
    <n v="2"/>
    <n v="9988"/>
    <x v="2"/>
  </r>
  <r>
    <n v="717"/>
    <n v="54"/>
    <x v="0"/>
    <x v="101"/>
    <x v="1"/>
    <n v="6"/>
    <x v="0"/>
    <d v="2025-12-09T11:17:00"/>
    <x v="69"/>
    <x v="10"/>
    <n v="5716"/>
    <n v="1"/>
    <n v="5716"/>
    <x v="1"/>
  </r>
  <r>
    <n v="486"/>
    <n v="259"/>
    <x v="2"/>
    <x v="148"/>
    <x v="3"/>
    <n v="1"/>
    <x v="0"/>
    <d v="2025-12-09T11:41:00"/>
    <x v="69"/>
    <x v="10"/>
    <n v="5051"/>
    <n v="2"/>
    <n v="10102"/>
    <x v="1"/>
  </r>
  <r>
    <n v="354"/>
    <n v="89"/>
    <x v="1"/>
    <x v="77"/>
    <x v="3"/>
    <n v="1"/>
    <x v="0"/>
    <d v="2025-12-09T12:17:00"/>
    <x v="69"/>
    <x v="11"/>
    <n v="3410"/>
    <n v="2"/>
    <n v="6820"/>
    <x v="2"/>
  </r>
  <r>
    <n v="268"/>
    <n v="135"/>
    <x v="7"/>
    <x v="181"/>
    <x v="5"/>
    <n v="4"/>
    <x v="0"/>
    <d v="2025-12-09T12:18:00"/>
    <x v="69"/>
    <x v="11"/>
    <n v="551"/>
    <n v="2"/>
    <n v="1102"/>
    <x v="3"/>
  </r>
  <r>
    <n v="548"/>
    <n v="186"/>
    <x v="3"/>
    <x v="35"/>
    <x v="5"/>
    <n v="4"/>
    <x v="1"/>
    <d v="2025-12-09T12:46:00"/>
    <x v="69"/>
    <x v="11"/>
    <n v="752"/>
    <n v="0"/>
    <n v="0"/>
    <x v="3"/>
  </r>
  <r>
    <n v="223"/>
    <n v="231"/>
    <x v="9"/>
    <x v="48"/>
    <x v="2"/>
    <n v="3"/>
    <x v="0"/>
    <d v="2025-12-09T13:06:00"/>
    <x v="69"/>
    <x v="21"/>
    <n v="2083"/>
    <n v="2"/>
    <n v="4166"/>
    <x v="2"/>
  </r>
  <r>
    <n v="658"/>
    <n v="165"/>
    <x v="1"/>
    <x v="9"/>
    <x v="5"/>
    <n v="4"/>
    <x v="0"/>
    <d v="2025-12-09T13:09:00"/>
    <x v="69"/>
    <x v="21"/>
    <n v="1500"/>
    <n v="1"/>
    <n v="1500"/>
    <x v="2"/>
  </r>
  <r>
    <n v="151"/>
    <n v="275"/>
    <x v="9"/>
    <x v="303"/>
    <x v="2"/>
    <n v="3"/>
    <x v="0"/>
    <d v="2025-12-09T13:14:00"/>
    <x v="69"/>
    <x v="21"/>
    <n v="3602"/>
    <n v="2"/>
    <n v="7204"/>
    <x v="2"/>
  </r>
  <r>
    <n v="262"/>
    <n v="276"/>
    <x v="3"/>
    <x v="305"/>
    <x v="3"/>
    <n v="1"/>
    <x v="0"/>
    <d v="2025-12-09T13:36:00"/>
    <x v="69"/>
    <x v="21"/>
    <n v="4796"/>
    <n v="2"/>
    <n v="9592"/>
    <x v="2"/>
  </r>
  <r>
    <n v="436"/>
    <n v="271"/>
    <x v="9"/>
    <x v="100"/>
    <x v="5"/>
    <n v="4"/>
    <x v="0"/>
    <d v="2025-12-09T13:46:00"/>
    <x v="69"/>
    <x v="21"/>
    <n v="958"/>
    <n v="2"/>
    <n v="1916"/>
    <x v="3"/>
  </r>
  <r>
    <n v="614"/>
    <n v="32"/>
    <x v="4"/>
    <x v="380"/>
    <x v="0"/>
    <n v="2"/>
    <x v="0"/>
    <d v="2025-12-09T14:59:00"/>
    <x v="69"/>
    <x v="12"/>
    <n v="12626"/>
    <n v="1"/>
    <n v="12626"/>
    <x v="0"/>
  </r>
  <r>
    <n v="720"/>
    <n v="69"/>
    <x v="8"/>
    <x v="272"/>
    <x v="3"/>
    <n v="1"/>
    <x v="0"/>
    <d v="2025-12-09T15:45:00"/>
    <x v="69"/>
    <x v="13"/>
    <n v="3468"/>
    <n v="3"/>
    <n v="10404"/>
    <x v="2"/>
  </r>
  <r>
    <n v="698"/>
    <n v="71"/>
    <x v="7"/>
    <x v="240"/>
    <x v="2"/>
    <n v="3"/>
    <x v="0"/>
    <d v="2025-12-09T17:34:00"/>
    <x v="69"/>
    <x v="15"/>
    <n v="5279"/>
    <n v="2"/>
    <n v="10558"/>
    <x v="1"/>
  </r>
  <r>
    <n v="92"/>
    <n v="277"/>
    <x v="5"/>
    <x v="29"/>
    <x v="5"/>
    <n v="4"/>
    <x v="0"/>
    <d v="2025-12-09T17:41:00"/>
    <x v="69"/>
    <x v="15"/>
    <n v="561"/>
    <n v="2"/>
    <n v="1122"/>
    <x v="3"/>
  </r>
  <r>
    <n v="275"/>
    <n v="68"/>
    <x v="7"/>
    <x v="288"/>
    <x v="2"/>
    <n v="3"/>
    <x v="0"/>
    <d v="2025-12-09T19:14:00"/>
    <x v="69"/>
    <x v="22"/>
    <n v="4786"/>
    <n v="2"/>
    <n v="9572"/>
    <x v="2"/>
  </r>
  <r>
    <n v="461"/>
    <n v="84"/>
    <x v="5"/>
    <x v="307"/>
    <x v="1"/>
    <n v="6"/>
    <x v="0"/>
    <d v="2025-12-09T19:29:00"/>
    <x v="69"/>
    <x v="22"/>
    <n v="5422"/>
    <n v="5"/>
    <n v="27110"/>
    <x v="1"/>
  </r>
  <r>
    <n v="106"/>
    <n v="78"/>
    <x v="5"/>
    <x v="183"/>
    <x v="3"/>
    <n v="1"/>
    <x v="0"/>
    <d v="2025-12-09T19:40:00"/>
    <x v="69"/>
    <x v="22"/>
    <n v="5191"/>
    <n v="3"/>
    <n v="15573"/>
    <x v="1"/>
  </r>
  <r>
    <n v="31"/>
    <n v="201"/>
    <x v="3"/>
    <x v="84"/>
    <x v="5"/>
    <n v="4"/>
    <x v="0"/>
    <d v="2025-12-09T19:42:00"/>
    <x v="69"/>
    <x v="22"/>
    <n v="410"/>
    <n v="2"/>
    <n v="820"/>
    <x v="3"/>
  </r>
  <r>
    <n v="530"/>
    <n v="264"/>
    <x v="5"/>
    <x v="375"/>
    <x v="4"/>
    <n v="7"/>
    <x v="1"/>
    <d v="2025-12-09T19:43:00"/>
    <x v="69"/>
    <x v="22"/>
    <n v="2877"/>
    <n v="0"/>
    <n v="0"/>
    <x v="2"/>
  </r>
  <r>
    <n v="218"/>
    <n v="86"/>
    <x v="9"/>
    <x v="52"/>
    <x v="0"/>
    <n v="2"/>
    <x v="0"/>
    <d v="2025-12-09T20:14:00"/>
    <x v="69"/>
    <x v="17"/>
    <n v="4972"/>
    <n v="2"/>
    <n v="9944"/>
    <x v="2"/>
  </r>
  <r>
    <n v="16"/>
    <n v="95"/>
    <x v="0"/>
    <x v="105"/>
    <x v="3"/>
    <n v="1"/>
    <x v="0"/>
    <d v="2025-12-09T20:31:00"/>
    <x v="69"/>
    <x v="17"/>
    <n v="2055"/>
    <n v="3"/>
    <n v="6165"/>
    <x v="2"/>
  </r>
  <r>
    <n v="65"/>
    <n v="268"/>
    <x v="0"/>
    <x v="105"/>
    <x v="3"/>
    <n v="1"/>
    <x v="1"/>
    <d v="2025-12-09T20:37:00"/>
    <x v="69"/>
    <x v="17"/>
    <n v="2773"/>
    <n v="0"/>
    <n v="0"/>
    <x v="2"/>
  </r>
  <r>
    <n v="118"/>
    <n v="24"/>
    <x v="2"/>
    <x v="97"/>
    <x v="6"/>
    <n v="5"/>
    <x v="0"/>
    <d v="2025-12-09T21:03:00"/>
    <x v="69"/>
    <x v="23"/>
    <n v="2416"/>
    <n v="2"/>
    <n v="4832"/>
    <x v="2"/>
  </r>
  <r>
    <n v="572"/>
    <n v="247"/>
    <x v="9"/>
    <x v="237"/>
    <x v="0"/>
    <n v="2"/>
    <x v="0"/>
    <d v="2025-12-09T21:10:00"/>
    <x v="69"/>
    <x v="23"/>
    <n v="4548"/>
    <n v="1"/>
    <n v="4548"/>
    <x v="2"/>
  </r>
  <r>
    <n v="86"/>
    <n v="152"/>
    <x v="0"/>
    <x v="265"/>
    <x v="5"/>
    <n v="4"/>
    <x v="0"/>
    <d v="2025-12-09T21:33:00"/>
    <x v="69"/>
    <x v="23"/>
    <n v="703"/>
    <n v="1"/>
    <n v="703"/>
    <x v="3"/>
  </r>
  <r>
    <n v="296"/>
    <n v="32"/>
    <x v="2"/>
    <x v="341"/>
    <x v="5"/>
    <n v="4"/>
    <x v="0"/>
    <d v="2025-12-09T21:45:00"/>
    <x v="69"/>
    <x v="23"/>
    <n v="427"/>
    <n v="2"/>
    <n v="854"/>
    <x v="3"/>
  </r>
  <r>
    <n v="666"/>
    <n v="125"/>
    <x v="7"/>
    <x v="275"/>
    <x v="1"/>
    <n v="6"/>
    <x v="0"/>
    <d v="2025-12-09T22:31:00"/>
    <x v="69"/>
    <x v="18"/>
    <n v="5937"/>
    <n v="1"/>
    <n v="5937"/>
    <x v="1"/>
  </r>
  <r>
    <n v="774"/>
    <n v="25"/>
    <x v="9"/>
    <x v="100"/>
    <x v="5"/>
    <n v="4"/>
    <x v="0"/>
    <d v="2025-12-09T23:17:00"/>
    <x v="69"/>
    <x v="19"/>
    <n v="1206"/>
    <n v="1"/>
    <n v="1206"/>
    <x v="2"/>
  </r>
  <r>
    <n v="657"/>
    <n v="71"/>
    <x v="2"/>
    <x v="226"/>
    <x v="5"/>
    <n v="4"/>
    <x v="0"/>
    <d v="2025-12-09T23:34:00"/>
    <x v="69"/>
    <x v="19"/>
    <n v="979"/>
    <n v="2"/>
    <n v="1958"/>
    <x v="3"/>
  </r>
  <r>
    <n v="603"/>
    <n v="162"/>
    <x v="7"/>
    <x v="204"/>
    <x v="1"/>
    <n v="6"/>
    <x v="0"/>
    <d v="2025-12-09T23:45:00"/>
    <x v="69"/>
    <x v="19"/>
    <n v="5155"/>
    <n v="2"/>
    <n v="10310"/>
    <x v="1"/>
  </r>
  <r>
    <n v="751"/>
    <n v="9"/>
    <x v="0"/>
    <x v="301"/>
    <x v="2"/>
    <n v="3"/>
    <x v="0"/>
    <d v="2025-12-09T23:57:00"/>
    <x v="69"/>
    <x v="19"/>
    <n v="2117"/>
    <n v="1"/>
    <n v="2117"/>
    <x v="2"/>
  </r>
  <r>
    <n v="4"/>
    <n v="190"/>
    <x v="2"/>
    <x v="361"/>
    <x v="6"/>
    <n v="5"/>
    <x v="0"/>
    <d v="2025-12-10T00:40:00"/>
    <x v="70"/>
    <x v="0"/>
    <n v="2856"/>
    <n v="1"/>
    <n v="2856"/>
    <x v="2"/>
  </r>
  <r>
    <n v="449"/>
    <n v="39"/>
    <x v="9"/>
    <x v="182"/>
    <x v="5"/>
    <n v="4"/>
    <x v="0"/>
    <d v="2025-12-10T00:51:00"/>
    <x v="70"/>
    <x v="0"/>
    <n v="589"/>
    <n v="1"/>
    <n v="589"/>
    <x v="3"/>
  </r>
  <r>
    <n v="444"/>
    <n v="200"/>
    <x v="0"/>
    <x v="254"/>
    <x v="4"/>
    <n v="7"/>
    <x v="1"/>
    <d v="2025-12-10T00:57:00"/>
    <x v="70"/>
    <x v="0"/>
    <n v="4024"/>
    <n v="0"/>
    <n v="0"/>
    <x v="2"/>
  </r>
  <r>
    <n v="14"/>
    <n v="202"/>
    <x v="1"/>
    <x v="366"/>
    <x v="0"/>
    <n v="2"/>
    <x v="0"/>
    <d v="2025-12-10T01:00:00"/>
    <x v="70"/>
    <x v="1"/>
    <n v="10852"/>
    <n v="2"/>
    <n v="21704"/>
    <x v="0"/>
  </r>
  <r>
    <n v="93"/>
    <n v="116"/>
    <x v="1"/>
    <x v="268"/>
    <x v="4"/>
    <n v="7"/>
    <x v="0"/>
    <d v="2025-12-10T01:16:00"/>
    <x v="70"/>
    <x v="1"/>
    <n v="4491"/>
    <n v="3"/>
    <n v="13473"/>
    <x v="2"/>
  </r>
  <r>
    <n v="332"/>
    <n v="52"/>
    <x v="8"/>
    <x v="221"/>
    <x v="4"/>
    <n v="7"/>
    <x v="0"/>
    <d v="2025-12-10T01:34:00"/>
    <x v="70"/>
    <x v="1"/>
    <n v="3611"/>
    <n v="3"/>
    <n v="10833"/>
    <x v="2"/>
  </r>
  <r>
    <n v="791"/>
    <n v="241"/>
    <x v="9"/>
    <x v="75"/>
    <x v="0"/>
    <n v="2"/>
    <x v="1"/>
    <d v="2025-12-10T02:22:00"/>
    <x v="70"/>
    <x v="2"/>
    <n v="10648"/>
    <n v="0"/>
    <n v="0"/>
    <x v="0"/>
  </r>
  <r>
    <n v="377"/>
    <n v="288"/>
    <x v="9"/>
    <x v="151"/>
    <x v="5"/>
    <n v="4"/>
    <x v="0"/>
    <d v="2025-12-10T02:29:00"/>
    <x v="70"/>
    <x v="2"/>
    <n v="202"/>
    <n v="1"/>
    <n v="202"/>
    <x v="3"/>
  </r>
  <r>
    <n v="208"/>
    <n v="151"/>
    <x v="2"/>
    <x v="226"/>
    <x v="5"/>
    <n v="4"/>
    <x v="1"/>
    <d v="2025-12-10T02:42:00"/>
    <x v="70"/>
    <x v="2"/>
    <n v="468"/>
    <n v="0"/>
    <n v="0"/>
    <x v="3"/>
  </r>
  <r>
    <n v="744"/>
    <n v="291"/>
    <x v="2"/>
    <x v="64"/>
    <x v="0"/>
    <n v="2"/>
    <x v="0"/>
    <d v="2025-12-10T03:26:00"/>
    <x v="70"/>
    <x v="3"/>
    <n v="12948"/>
    <n v="2"/>
    <n v="25896"/>
    <x v="0"/>
  </r>
  <r>
    <n v="398"/>
    <n v="236"/>
    <x v="2"/>
    <x v="185"/>
    <x v="3"/>
    <n v="1"/>
    <x v="1"/>
    <d v="2025-12-10T04:11:00"/>
    <x v="70"/>
    <x v="4"/>
    <n v="5743"/>
    <n v="0"/>
    <n v="0"/>
    <x v="1"/>
  </r>
  <r>
    <n v="553"/>
    <n v="222"/>
    <x v="3"/>
    <x v="14"/>
    <x v="4"/>
    <n v="7"/>
    <x v="0"/>
    <d v="2025-12-10T04:24:00"/>
    <x v="70"/>
    <x v="4"/>
    <n v="7736"/>
    <n v="4"/>
    <n v="30944"/>
    <x v="1"/>
  </r>
  <r>
    <n v="580"/>
    <n v="61"/>
    <x v="3"/>
    <x v="305"/>
    <x v="3"/>
    <n v="1"/>
    <x v="0"/>
    <d v="2025-12-10T04:41:00"/>
    <x v="70"/>
    <x v="4"/>
    <n v="5655"/>
    <n v="1"/>
    <n v="5655"/>
    <x v="1"/>
  </r>
  <r>
    <n v="75"/>
    <n v="187"/>
    <x v="8"/>
    <x v="31"/>
    <x v="0"/>
    <n v="2"/>
    <x v="0"/>
    <d v="2025-12-10T04:50:00"/>
    <x v="70"/>
    <x v="4"/>
    <n v="11811"/>
    <n v="1"/>
    <n v="11811"/>
    <x v="0"/>
  </r>
  <r>
    <n v="185"/>
    <n v="186"/>
    <x v="9"/>
    <x v="18"/>
    <x v="3"/>
    <n v="1"/>
    <x v="0"/>
    <d v="2025-12-10T06:02:00"/>
    <x v="70"/>
    <x v="5"/>
    <n v="1239"/>
    <n v="1"/>
    <n v="1239"/>
    <x v="2"/>
  </r>
  <r>
    <n v="387"/>
    <n v="12"/>
    <x v="9"/>
    <x v="217"/>
    <x v="6"/>
    <n v="5"/>
    <x v="0"/>
    <d v="2025-12-10T06:05:00"/>
    <x v="70"/>
    <x v="5"/>
    <n v="2496"/>
    <n v="5"/>
    <n v="12480"/>
    <x v="2"/>
  </r>
  <r>
    <n v="23"/>
    <n v="45"/>
    <x v="5"/>
    <x v="375"/>
    <x v="4"/>
    <n v="7"/>
    <x v="0"/>
    <d v="2025-12-10T07:17:00"/>
    <x v="70"/>
    <x v="6"/>
    <n v="7282"/>
    <n v="2"/>
    <n v="14564"/>
    <x v="1"/>
  </r>
  <r>
    <n v="647"/>
    <n v="268"/>
    <x v="6"/>
    <x v="33"/>
    <x v="5"/>
    <n v="4"/>
    <x v="0"/>
    <d v="2025-12-10T07:47:00"/>
    <x v="70"/>
    <x v="6"/>
    <n v="341"/>
    <n v="3"/>
    <n v="1023"/>
    <x v="3"/>
  </r>
  <r>
    <n v="16"/>
    <n v="155"/>
    <x v="4"/>
    <x v="142"/>
    <x v="0"/>
    <n v="2"/>
    <x v="0"/>
    <d v="2025-12-10T08:08:00"/>
    <x v="70"/>
    <x v="7"/>
    <n v="13544"/>
    <n v="1"/>
    <n v="13544"/>
    <x v="0"/>
  </r>
  <r>
    <n v="378"/>
    <n v="72"/>
    <x v="0"/>
    <x v="160"/>
    <x v="3"/>
    <n v="1"/>
    <x v="0"/>
    <d v="2025-12-10T08:08:00"/>
    <x v="70"/>
    <x v="7"/>
    <n v="1727"/>
    <n v="2"/>
    <n v="3454"/>
    <x v="2"/>
  </r>
  <r>
    <n v="523"/>
    <n v="161"/>
    <x v="6"/>
    <x v="219"/>
    <x v="3"/>
    <n v="1"/>
    <x v="1"/>
    <d v="2025-12-10T08:26:00"/>
    <x v="70"/>
    <x v="7"/>
    <n v="1632"/>
    <n v="0"/>
    <n v="0"/>
    <x v="2"/>
  </r>
  <r>
    <n v="298"/>
    <n v="47"/>
    <x v="8"/>
    <x v="44"/>
    <x v="6"/>
    <n v="5"/>
    <x v="0"/>
    <d v="2025-12-10T08:39:00"/>
    <x v="70"/>
    <x v="7"/>
    <n v="1317"/>
    <n v="1"/>
    <n v="1317"/>
    <x v="2"/>
  </r>
  <r>
    <n v="304"/>
    <n v="198"/>
    <x v="4"/>
    <x v="93"/>
    <x v="5"/>
    <n v="4"/>
    <x v="0"/>
    <d v="2025-12-10T08:44:00"/>
    <x v="70"/>
    <x v="7"/>
    <n v="1500"/>
    <n v="5"/>
    <n v="7500"/>
    <x v="2"/>
  </r>
  <r>
    <n v="555"/>
    <n v="283"/>
    <x v="1"/>
    <x v="60"/>
    <x v="3"/>
    <n v="1"/>
    <x v="0"/>
    <d v="2025-12-10T09:12:00"/>
    <x v="70"/>
    <x v="8"/>
    <n v="5826"/>
    <n v="1"/>
    <n v="5826"/>
    <x v="1"/>
  </r>
  <r>
    <n v="730"/>
    <n v="207"/>
    <x v="1"/>
    <x v="8"/>
    <x v="3"/>
    <n v="1"/>
    <x v="0"/>
    <d v="2025-12-10T10:46:00"/>
    <x v="70"/>
    <x v="9"/>
    <n v="2128"/>
    <n v="1"/>
    <n v="2128"/>
    <x v="2"/>
  </r>
  <r>
    <n v="167"/>
    <n v="73"/>
    <x v="7"/>
    <x v="124"/>
    <x v="5"/>
    <n v="4"/>
    <x v="1"/>
    <d v="2025-12-10T11:08:00"/>
    <x v="70"/>
    <x v="10"/>
    <n v="355"/>
    <n v="0"/>
    <n v="0"/>
    <x v="3"/>
  </r>
  <r>
    <n v="602"/>
    <n v="39"/>
    <x v="6"/>
    <x v="145"/>
    <x v="0"/>
    <n v="2"/>
    <x v="0"/>
    <d v="2025-12-10T11:41:00"/>
    <x v="70"/>
    <x v="10"/>
    <n v="13926"/>
    <n v="1"/>
    <n v="13926"/>
    <x v="0"/>
  </r>
  <r>
    <n v="749"/>
    <n v="188"/>
    <x v="7"/>
    <x v="117"/>
    <x v="3"/>
    <n v="1"/>
    <x v="0"/>
    <d v="2025-12-10T11:43:00"/>
    <x v="70"/>
    <x v="10"/>
    <n v="4507"/>
    <n v="1"/>
    <n v="4507"/>
    <x v="2"/>
  </r>
  <r>
    <n v="355"/>
    <n v="151"/>
    <x v="1"/>
    <x v="359"/>
    <x v="2"/>
    <n v="3"/>
    <x v="0"/>
    <d v="2025-12-10T11:58:00"/>
    <x v="70"/>
    <x v="10"/>
    <n v="3549"/>
    <n v="4"/>
    <n v="14196"/>
    <x v="2"/>
  </r>
  <r>
    <n v="446"/>
    <n v="259"/>
    <x v="0"/>
    <x v="67"/>
    <x v="3"/>
    <n v="1"/>
    <x v="0"/>
    <d v="2025-12-10T12:01:00"/>
    <x v="70"/>
    <x v="11"/>
    <n v="4102"/>
    <n v="2"/>
    <n v="8204"/>
    <x v="2"/>
  </r>
  <r>
    <n v="130"/>
    <n v="188"/>
    <x v="9"/>
    <x v="202"/>
    <x v="1"/>
    <n v="6"/>
    <x v="0"/>
    <d v="2025-12-10T12:26:00"/>
    <x v="70"/>
    <x v="11"/>
    <n v="3872"/>
    <n v="1"/>
    <n v="3872"/>
    <x v="2"/>
  </r>
  <r>
    <n v="752"/>
    <n v="26"/>
    <x v="9"/>
    <x v="130"/>
    <x v="1"/>
    <n v="6"/>
    <x v="1"/>
    <d v="2025-12-10T13:40:00"/>
    <x v="70"/>
    <x v="21"/>
    <n v="9941"/>
    <n v="0"/>
    <n v="0"/>
    <x v="1"/>
  </r>
  <r>
    <n v="722"/>
    <n v="176"/>
    <x v="2"/>
    <x v="90"/>
    <x v="0"/>
    <n v="2"/>
    <x v="0"/>
    <d v="2025-12-10T14:09:00"/>
    <x v="70"/>
    <x v="12"/>
    <n v="5161"/>
    <n v="3"/>
    <n v="15483"/>
    <x v="1"/>
  </r>
  <r>
    <n v="176"/>
    <n v="109"/>
    <x v="0"/>
    <x v="322"/>
    <x v="5"/>
    <n v="4"/>
    <x v="1"/>
    <d v="2025-12-10T14:11:00"/>
    <x v="70"/>
    <x v="12"/>
    <n v="829"/>
    <n v="0"/>
    <n v="0"/>
    <x v="3"/>
  </r>
  <r>
    <n v="516"/>
    <n v="84"/>
    <x v="8"/>
    <x v="41"/>
    <x v="0"/>
    <n v="2"/>
    <x v="1"/>
    <d v="2025-12-10T14:22:00"/>
    <x v="70"/>
    <x v="12"/>
    <n v="6170"/>
    <n v="0"/>
    <n v="0"/>
    <x v="1"/>
  </r>
  <r>
    <n v="287"/>
    <n v="3"/>
    <x v="6"/>
    <x v="345"/>
    <x v="4"/>
    <n v="7"/>
    <x v="0"/>
    <d v="2025-12-10T14:44:00"/>
    <x v="70"/>
    <x v="12"/>
    <n v="6199"/>
    <n v="2"/>
    <n v="12398"/>
    <x v="1"/>
  </r>
  <r>
    <n v="668"/>
    <n v="265"/>
    <x v="8"/>
    <x v="210"/>
    <x v="6"/>
    <n v="5"/>
    <x v="0"/>
    <d v="2025-12-10T14:57:00"/>
    <x v="70"/>
    <x v="12"/>
    <n v="884"/>
    <n v="1"/>
    <n v="884"/>
    <x v="3"/>
  </r>
  <r>
    <n v="247"/>
    <n v="47"/>
    <x v="7"/>
    <x v="255"/>
    <x v="6"/>
    <n v="5"/>
    <x v="0"/>
    <d v="2025-12-10T15:45:00"/>
    <x v="70"/>
    <x v="13"/>
    <n v="1430"/>
    <n v="2"/>
    <n v="2860"/>
    <x v="2"/>
  </r>
  <r>
    <n v="556"/>
    <n v="192"/>
    <x v="1"/>
    <x v="77"/>
    <x v="3"/>
    <n v="1"/>
    <x v="0"/>
    <d v="2025-12-10T16:29:00"/>
    <x v="70"/>
    <x v="14"/>
    <n v="2130"/>
    <n v="4"/>
    <n v="8520"/>
    <x v="2"/>
  </r>
  <r>
    <n v="360"/>
    <n v="288"/>
    <x v="1"/>
    <x v="366"/>
    <x v="0"/>
    <n v="2"/>
    <x v="0"/>
    <d v="2025-12-10T16:54:00"/>
    <x v="70"/>
    <x v="14"/>
    <n v="4148"/>
    <n v="2"/>
    <n v="8296"/>
    <x v="2"/>
  </r>
  <r>
    <n v="119"/>
    <n v="295"/>
    <x v="0"/>
    <x v="172"/>
    <x v="5"/>
    <n v="4"/>
    <x v="1"/>
    <d v="2025-12-10T17:07:00"/>
    <x v="70"/>
    <x v="15"/>
    <n v="1500"/>
    <n v="0"/>
    <n v="0"/>
    <x v="2"/>
  </r>
  <r>
    <n v="475"/>
    <n v="56"/>
    <x v="9"/>
    <x v="312"/>
    <x v="5"/>
    <n v="4"/>
    <x v="0"/>
    <d v="2025-12-10T17:15:00"/>
    <x v="70"/>
    <x v="15"/>
    <n v="611"/>
    <n v="1"/>
    <n v="611"/>
    <x v="3"/>
  </r>
  <r>
    <n v="438"/>
    <n v="42"/>
    <x v="6"/>
    <x v="279"/>
    <x v="4"/>
    <n v="7"/>
    <x v="0"/>
    <d v="2025-12-10T17:18:00"/>
    <x v="70"/>
    <x v="15"/>
    <n v="6725"/>
    <n v="3"/>
    <n v="20175"/>
    <x v="1"/>
  </r>
  <r>
    <n v="452"/>
    <n v="28"/>
    <x v="6"/>
    <x v="53"/>
    <x v="5"/>
    <n v="4"/>
    <x v="0"/>
    <d v="2025-12-10T17:29:00"/>
    <x v="70"/>
    <x v="15"/>
    <n v="319"/>
    <n v="3"/>
    <n v="957"/>
    <x v="3"/>
  </r>
  <r>
    <n v="45"/>
    <n v="17"/>
    <x v="4"/>
    <x v="6"/>
    <x v="3"/>
    <n v="1"/>
    <x v="0"/>
    <d v="2025-12-10T17:43:00"/>
    <x v="70"/>
    <x v="15"/>
    <n v="7815"/>
    <n v="1"/>
    <n v="7815"/>
    <x v="1"/>
  </r>
  <r>
    <n v="322"/>
    <n v="8"/>
    <x v="2"/>
    <x v="226"/>
    <x v="5"/>
    <n v="4"/>
    <x v="0"/>
    <d v="2025-12-10T18:13:00"/>
    <x v="70"/>
    <x v="16"/>
    <n v="832"/>
    <n v="2"/>
    <n v="1664"/>
    <x v="3"/>
  </r>
  <r>
    <n v="517"/>
    <n v="294"/>
    <x v="7"/>
    <x v="12"/>
    <x v="5"/>
    <n v="4"/>
    <x v="1"/>
    <d v="2025-12-10T18:42:00"/>
    <x v="70"/>
    <x v="16"/>
    <n v="106"/>
    <n v="0"/>
    <n v="0"/>
    <x v="3"/>
  </r>
  <r>
    <n v="233"/>
    <n v="73"/>
    <x v="6"/>
    <x v="360"/>
    <x v="6"/>
    <n v="5"/>
    <x v="1"/>
    <d v="2025-12-10T18:44:00"/>
    <x v="70"/>
    <x v="16"/>
    <n v="2166"/>
    <n v="0"/>
    <n v="0"/>
    <x v="2"/>
  </r>
  <r>
    <n v="424"/>
    <n v="285"/>
    <x v="3"/>
    <x v="232"/>
    <x v="3"/>
    <n v="1"/>
    <x v="0"/>
    <d v="2025-12-10T18:57:00"/>
    <x v="70"/>
    <x v="16"/>
    <n v="7622"/>
    <n v="1"/>
    <n v="7622"/>
    <x v="1"/>
  </r>
  <r>
    <n v="610"/>
    <n v="132"/>
    <x v="6"/>
    <x v="11"/>
    <x v="2"/>
    <n v="3"/>
    <x v="1"/>
    <d v="2025-12-10T19:02:00"/>
    <x v="70"/>
    <x v="22"/>
    <n v="3258"/>
    <n v="0"/>
    <n v="0"/>
    <x v="2"/>
  </r>
  <r>
    <n v="751"/>
    <n v="46"/>
    <x v="1"/>
    <x v="376"/>
    <x v="2"/>
    <n v="3"/>
    <x v="0"/>
    <d v="2025-12-10T19:07:00"/>
    <x v="70"/>
    <x v="22"/>
    <n v="3826"/>
    <n v="2"/>
    <n v="7652"/>
    <x v="2"/>
  </r>
  <r>
    <n v="319"/>
    <n v="276"/>
    <x v="8"/>
    <x v="309"/>
    <x v="1"/>
    <n v="6"/>
    <x v="0"/>
    <d v="2025-12-10T19:53:00"/>
    <x v="70"/>
    <x v="22"/>
    <n v="10304"/>
    <n v="2"/>
    <n v="20608"/>
    <x v="0"/>
  </r>
  <r>
    <n v="265"/>
    <n v="171"/>
    <x v="1"/>
    <x v="320"/>
    <x v="4"/>
    <n v="7"/>
    <x v="0"/>
    <d v="2025-12-10T19:54:00"/>
    <x v="70"/>
    <x v="22"/>
    <n v="2086"/>
    <n v="2"/>
    <n v="4172"/>
    <x v="2"/>
  </r>
  <r>
    <n v="680"/>
    <n v="207"/>
    <x v="6"/>
    <x v="139"/>
    <x v="2"/>
    <n v="3"/>
    <x v="1"/>
    <d v="2025-12-10T20:09:00"/>
    <x v="70"/>
    <x v="17"/>
    <n v="1749"/>
    <n v="0"/>
    <n v="0"/>
    <x v="2"/>
  </r>
  <r>
    <n v="480"/>
    <n v="152"/>
    <x v="4"/>
    <x v="150"/>
    <x v="1"/>
    <n v="6"/>
    <x v="0"/>
    <d v="2025-12-10T20:14:00"/>
    <x v="70"/>
    <x v="17"/>
    <n v="5783"/>
    <n v="2"/>
    <n v="11566"/>
    <x v="1"/>
  </r>
  <r>
    <n v="263"/>
    <n v="269"/>
    <x v="6"/>
    <x v="317"/>
    <x v="3"/>
    <n v="1"/>
    <x v="0"/>
    <d v="2025-12-10T21:10:00"/>
    <x v="70"/>
    <x v="23"/>
    <n v="2919"/>
    <n v="1"/>
    <n v="2919"/>
    <x v="2"/>
  </r>
  <r>
    <n v="543"/>
    <n v="31"/>
    <x v="4"/>
    <x v="142"/>
    <x v="0"/>
    <n v="2"/>
    <x v="0"/>
    <d v="2025-12-10T21:31:00"/>
    <x v="70"/>
    <x v="23"/>
    <n v="7936"/>
    <n v="4"/>
    <n v="31744"/>
    <x v="1"/>
  </r>
  <r>
    <n v="40"/>
    <n v="220"/>
    <x v="3"/>
    <x v="138"/>
    <x v="6"/>
    <n v="5"/>
    <x v="0"/>
    <d v="2025-12-10T21:38:00"/>
    <x v="70"/>
    <x v="23"/>
    <n v="2400"/>
    <n v="2"/>
    <n v="4800"/>
    <x v="2"/>
  </r>
  <r>
    <n v="225"/>
    <n v="129"/>
    <x v="9"/>
    <x v="112"/>
    <x v="3"/>
    <n v="1"/>
    <x v="0"/>
    <d v="2025-12-10T21:57:00"/>
    <x v="70"/>
    <x v="23"/>
    <n v="4567"/>
    <n v="3"/>
    <n v="13701"/>
    <x v="2"/>
  </r>
  <r>
    <n v="561"/>
    <n v="156"/>
    <x v="3"/>
    <x v="14"/>
    <x v="4"/>
    <n v="7"/>
    <x v="0"/>
    <d v="2025-12-10T22:32:00"/>
    <x v="70"/>
    <x v="18"/>
    <n v="4031"/>
    <n v="1"/>
    <n v="4031"/>
    <x v="2"/>
  </r>
  <r>
    <n v="646"/>
    <n v="153"/>
    <x v="5"/>
    <x v="306"/>
    <x v="0"/>
    <n v="2"/>
    <x v="0"/>
    <d v="2025-12-10T23:56:00"/>
    <x v="70"/>
    <x v="19"/>
    <n v="6859"/>
    <n v="2"/>
    <n v="13718"/>
    <x v="1"/>
  </r>
  <r>
    <n v="339"/>
    <n v="172"/>
    <x v="3"/>
    <x v="290"/>
    <x v="5"/>
    <n v="4"/>
    <x v="0"/>
    <d v="2025-12-11T00:02:00"/>
    <x v="71"/>
    <x v="0"/>
    <n v="751"/>
    <n v="1"/>
    <n v="751"/>
    <x v="3"/>
  </r>
  <r>
    <n v="722"/>
    <n v="26"/>
    <x v="8"/>
    <x v="103"/>
    <x v="3"/>
    <n v="1"/>
    <x v="0"/>
    <d v="2025-12-11T01:00:00"/>
    <x v="71"/>
    <x v="1"/>
    <n v="1462"/>
    <n v="1"/>
    <n v="1462"/>
    <x v="2"/>
  </r>
  <r>
    <n v="344"/>
    <n v="181"/>
    <x v="8"/>
    <x v="210"/>
    <x v="6"/>
    <n v="5"/>
    <x v="0"/>
    <d v="2025-12-11T02:12:00"/>
    <x v="71"/>
    <x v="2"/>
    <n v="2395"/>
    <n v="2"/>
    <n v="4790"/>
    <x v="2"/>
  </r>
  <r>
    <n v="211"/>
    <n v="290"/>
    <x v="2"/>
    <x v="185"/>
    <x v="3"/>
    <n v="1"/>
    <x v="0"/>
    <d v="2025-12-11T03:18:00"/>
    <x v="71"/>
    <x v="3"/>
    <n v="1641"/>
    <n v="2"/>
    <n v="3282"/>
    <x v="2"/>
  </r>
  <r>
    <n v="35"/>
    <n v="277"/>
    <x v="0"/>
    <x v="358"/>
    <x v="1"/>
    <n v="6"/>
    <x v="0"/>
    <d v="2025-12-11T03:45:00"/>
    <x v="71"/>
    <x v="3"/>
    <n v="5167"/>
    <n v="1"/>
    <n v="5167"/>
    <x v="1"/>
  </r>
  <r>
    <n v="44"/>
    <n v="253"/>
    <x v="6"/>
    <x v="110"/>
    <x v="6"/>
    <n v="5"/>
    <x v="0"/>
    <d v="2025-12-11T04:11:00"/>
    <x v="71"/>
    <x v="4"/>
    <n v="2357"/>
    <n v="1"/>
    <n v="2357"/>
    <x v="2"/>
  </r>
  <r>
    <n v="29"/>
    <n v="53"/>
    <x v="7"/>
    <x v="117"/>
    <x v="3"/>
    <n v="1"/>
    <x v="1"/>
    <d v="2025-12-11T04:25:00"/>
    <x v="71"/>
    <x v="4"/>
    <n v="6310"/>
    <n v="0"/>
    <n v="0"/>
    <x v="1"/>
  </r>
  <r>
    <n v="474"/>
    <n v="260"/>
    <x v="1"/>
    <x v="366"/>
    <x v="0"/>
    <n v="2"/>
    <x v="0"/>
    <d v="2025-12-11T05:02:00"/>
    <x v="71"/>
    <x v="20"/>
    <n v="7677"/>
    <n v="3"/>
    <n v="23031"/>
    <x v="1"/>
  </r>
  <r>
    <n v="146"/>
    <n v="169"/>
    <x v="9"/>
    <x v="372"/>
    <x v="6"/>
    <n v="5"/>
    <x v="0"/>
    <d v="2025-12-11T05:22:00"/>
    <x v="71"/>
    <x v="20"/>
    <n v="2236"/>
    <n v="4"/>
    <n v="8944"/>
    <x v="2"/>
  </r>
  <r>
    <n v="399"/>
    <n v="28"/>
    <x v="8"/>
    <x v="343"/>
    <x v="3"/>
    <n v="1"/>
    <x v="1"/>
    <d v="2025-12-11T05:52:00"/>
    <x v="71"/>
    <x v="20"/>
    <n v="7549"/>
    <n v="0"/>
    <n v="0"/>
    <x v="1"/>
  </r>
  <r>
    <n v="650"/>
    <n v="13"/>
    <x v="4"/>
    <x v="153"/>
    <x v="5"/>
    <n v="4"/>
    <x v="0"/>
    <d v="2025-12-11T06:06:00"/>
    <x v="71"/>
    <x v="5"/>
    <n v="1500"/>
    <n v="5"/>
    <n v="7500"/>
    <x v="2"/>
  </r>
  <r>
    <n v="240"/>
    <n v="162"/>
    <x v="9"/>
    <x v="75"/>
    <x v="0"/>
    <n v="2"/>
    <x v="0"/>
    <d v="2025-12-11T06:41:00"/>
    <x v="71"/>
    <x v="5"/>
    <n v="10820"/>
    <n v="2"/>
    <n v="21640"/>
    <x v="0"/>
  </r>
  <r>
    <n v="1"/>
    <n v="43"/>
    <x v="1"/>
    <x v="115"/>
    <x v="2"/>
    <n v="3"/>
    <x v="0"/>
    <d v="2025-12-11T07:27:00"/>
    <x v="71"/>
    <x v="6"/>
    <n v="3852"/>
    <n v="3"/>
    <n v="11556"/>
    <x v="2"/>
  </r>
  <r>
    <n v="580"/>
    <n v="183"/>
    <x v="8"/>
    <x v="71"/>
    <x v="2"/>
    <n v="3"/>
    <x v="0"/>
    <d v="2025-12-11T07:32:00"/>
    <x v="71"/>
    <x v="6"/>
    <n v="2500"/>
    <n v="3"/>
    <n v="7500"/>
    <x v="2"/>
  </r>
  <r>
    <n v="778"/>
    <n v="26"/>
    <x v="4"/>
    <x v="93"/>
    <x v="5"/>
    <n v="4"/>
    <x v="0"/>
    <d v="2025-12-11T08:19:00"/>
    <x v="71"/>
    <x v="7"/>
    <n v="50"/>
    <n v="1"/>
    <n v="50"/>
    <x v="3"/>
  </r>
  <r>
    <n v="220"/>
    <n v="94"/>
    <x v="1"/>
    <x v="206"/>
    <x v="6"/>
    <n v="5"/>
    <x v="0"/>
    <d v="2025-12-11T08:40:00"/>
    <x v="71"/>
    <x v="7"/>
    <n v="1086"/>
    <n v="2"/>
    <n v="2172"/>
    <x v="2"/>
  </r>
  <r>
    <n v="451"/>
    <n v="174"/>
    <x v="9"/>
    <x v="231"/>
    <x v="3"/>
    <n v="1"/>
    <x v="0"/>
    <d v="2025-12-11T09:29:00"/>
    <x v="71"/>
    <x v="8"/>
    <n v="3977"/>
    <n v="3"/>
    <n v="11931"/>
    <x v="2"/>
  </r>
  <r>
    <n v="505"/>
    <n v="52"/>
    <x v="7"/>
    <x v="107"/>
    <x v="6"/>
    <n v="5"/>
    <x v="0"/>
    <d v="2025-12-11T09:44:00"/>
    <x v="71"/>
    <x v="8"/>
    <n v="955"/>
    <n v="3"/>
    <n v="2865"/>
    <x v="3"/>
  </r>
  <r>
    <n v="475"/>
    <n v="282"/>
    <x v="5"/>
    <x v="141"/>
    <x v="5"/>
    <n v="4"/>
    <x v="1"/>
    <d v="2025-12-11T09:56:00"/>
    <x v="71"/>
    <x v="8"/>
    <n v="1117"/>
    <n v="0"/>
    <n v="0"/>
    <x v="2"/>
  </r>
  <r>
    <n v="375"/>
    <n v="15"/>
    <x v="9"/>
    <x v="180"/>
    <x v="3"/>
    <n v="1"/>
    <x v="1"/>
    <d v="2025-12-11T11:02:00"/>
    <x v="71"/>
    <x v="10"/>
    <n v="1386"/>
    <n v="0"/>
    <n v="0"/>
    <x v="2"/>
  </r>
  <r>
    <n v="10"/>
    <n v="202"/>
    <x v="1"/>
    <x v="60"/>
    <x v="3"/>
    <n v="1"/>
    <x v="0"/>
    <d v="2025-12-11T11:09:00"/>
    <x v="71"/>
    <x v="10"/>
    <n v="3030"/>
    <n v="1"/>
    <n v="3030"/>
    <x v="2"/>
  </r>
  <r>
    <n v="312"/>
    <n v="7"/>
    <x v="9"/>
    <x v="312"/>
    <x v="5"/>
    <n v="4"/>
    <x v="0"/>
    <d v="2025-12-11T11:59:00"/>
    <x v="71"/>
    <x v="10"/>
    <n v="785"/>
    <n v="4"/>
    <n v="3140"/>
    <x v="3"/>
  </r>
  <r>
    <n v="4"/>
    <n v="143"/>
    <x v="9"/>
    <x v="330"/>
    <x v="4"/>
    <n v="7"/>
    <x v="0"/>
    <d v="2025-12-11T12:16:00"/>
    <x v="71"/>
    <x v="11"/>
    <n v="3318"/>
    <n v="3"/>
    <n v="9954"/>
    <x v="2"/>
  </r>
  <r>
    <n v="439"/>
    <n v="24"/>
    <x v="0"/>
    <x v="87"/>
    <x v="5"/>
    <n v="4"/>
    <x v="0"/>
    <d v="2025-12-11T12:35:00"/>
    <x v="71"/>
    <x v="11"/>
    <n v="627"/>
    <n v="2"/>
    <n v="1254"/>
    <x v="3"/>
  </r>
  <r>
    <n v="74"/>
    <n v="278"/>
    <x v="7"/>
    <x v="158"/>
    <x v="0"/>
    <n v="2"/>
    <x v="0"/>
    <d v="2025-12-11T12:45:00"/>
    <x v="71"/>
    <x v="11"/>
    <n v="12411"/>
    <n v="5"/>
    <n v="62055"/>
    <x v="0"/>
  </r>
  <r>
    <n v="227"/>
    <n v="173"/>
    <x v="9"/>
    <x v="151"/>
    <x v="5"/>
    <n v="4"/>
    <x v="0"/>
    <d v="2025-12-11T13:08:00"/>
    <x v="71"/>
    <x v="21"/>
    <n v="784"/>
    <n v="1"/>
    <n v="784"/>
    <x v="3"/>
  </r>
  <r>
    <n v="368"/>
    <n v="178"/>
    <x v="4"/>
    <x v="19"/>
    <x v="5"/>
    <n v="4"/>
    <x v="0"/>
    <d v="2025-12-11T13:18:00"/>
    <x v="71"/>
    <x v="21"/>
    <n v="1425"/>
    <n v="1"/>
    <n v="1425"/>
    <x v="2"/>
  </r>
  <r>
    <n v="151"/>
    <n v="24"/>
    <x v="9"/>
    <x v="82"/>
    <x v="1"/>
    <n v="6"/>
    <x v="0"/>
    <d v="2025-12-11T13:19:00"/>
    <x v="71"/>
    <x v="21"/>
    <n v="5982"/>
    <n v="1"/>
    <n v="5982"/>
    <x v="1"/>
  </r>
  <r>
    <n v="61"/>
    <n v="209"/>
    <x v="1"/>
    <x v="60"/>
    <x v="3"/>
    <n v="1"/>
    <x v="0"/>
    <d v="2025-12-11T13:28:00"/>
    <x v="71"/>
    <x v="21"/>
    <n v="3958"/>
    <n v="1"/>
    <n v="3958"/>
    <x v="2"/>
  </r>
  <r>
    <n v="660"/>
    <n v="10"/>
    <x v="9"/>
    <x v="372"/>
    <x v="6"/>
    <n v="5"/>
    <x v="0"/>
    <d v="2025-12-11T13:28:00"/>
    <x v="71"/>
    <x v="21"/>
    <n v="2885"/>
    <n v="2"/>
    <n v="5770"/>
    <x v="2"/>
  </r>
  <r>
    <n v="61"/>
    <n v="38"/>
    <x v="2"/>
    <x v="169"/>
    <x v="2"/>
    <n v="3"/>
    <x v="0"/>
    <d v="2025-12-11T15:09:00"/>
    <x v="71"/>
    <x v="13"/>
    <n v="4850"/>
    <n v="4"/>
    <n v="19400"/>
    <x v="2"/>
  </r>
  <r>
    <n v="270"/>
    <n v="23"/>
    <x v="8"/>
    <x v="17"/>
    <x v="2"/>
    <n v="3"/>
    <x v="1"/>
    <d v="2025-12-11T16:39:00"/>
    <x v="71"/>
    <x v="14"/>
    <n v="5976"/>
    <n v="0"/>
    <n v="0"/>
    <x v="1"/>
  </r>
  <r>
    <n v="513"/>
    <n v="137"/>
    <x v="5"/>
    <x v="147"/>
    <x v="3"/>
    <n v="1"/>
    <x v="0"/>
    <d v="2025-12-11T16:52:00"/>
    <x v="71"/>
    <x v="14"/>
    <n v="7531"/>
    <n v="1"/>
    <n v="7531"/>
    <x v="1"/>
  </r>
  <r>
    <n v="679"/>
    <n v="100"/>
    <x v="4"/>
    <x v="153"/>
    <x v="5"/>
    <n v="4"/>
    <x v="0"/>
    <d v="2025-12-11T17:27:00"/>
    <x v="71"/>
    <x v="15"/>
    <n v="1500"/>
    <n v="1"/>
    <n v="1500"/>
    <x v="2"/>
  </r>
  <r>
    <n v="231"/>
    <n v="11"/>
    <x v="9"/>
    <x v="274"/>
    <x v="2"/>
    <n v="3"/>
    <x v="0"/>
    <d v="2025-12-11T17:38:00"/>
    <x v="71"/>
    <x v="15"/>
    <n v="3824"/>
    <n v="1"/>
    <n v="3824"/>
    <x v="2"/>
  </r>
  <r>
    <n v="387"/>
    <n v="81"/>
    <x v="8"/>
    <x v="134"/>
    <x v="0"/>
    <n v="2"/>
    <x v="0"/>
    <d v="2025-12-11T18:07:00"/>
    <x v="71"/>
    <x v="16"/>
    <n v="4046"/>
    <n v="4"/>
    <n v="16184"/>
    <x v="2"/>
  </r>
  <r>
    <n v="165"/>
    <n v="179"/>
    <x v="0"/>
    <x v="269"/>
    <x v="0"/>
    <n v="2"/>
    <x v="0"/>
    <d v="2025-12-11T18:51:00"/>
    <x v="71"/>
    <x v="16"/>
    <n v="9442"/>
    <n v="5"/>
    <n v="47210"/>
    <x v="1"/>
  </r>
  <r>
    <n v="218"/>
    <n v="195"/>
    <x v="1"/>
    <x v="77"/>
    <x v="3"/>
    <n v="1"/>
    <x v="0"/>
    <d v="2025-12-11T20:08:00"/>
    <x v="71"/>
    <x v="17"/>
    <n v="7591"/>
    <n v="2"/>
    <n v="15182"/>
    <x v="1"/>
  </r>
  <r>
    <n v="189"/>
    <n v="147"/>
    <x v="4"/>
    <x v="329"/>
    <x v="1"/>
    <n v="6"/>
    <x v="0"/>
    <d v="2025-12-11T20:22:00"/>
    <x v="71"/>
    <x v="17"/>
    <n v="7059"/>
    <n v="2"/>
    <n v="14118"/>
    <x v="1"/>
  </r>
  <r>
    <n v="189"/>
    <n v="299"/>
    <x v="3"/>
    <x v="267"/>
    <x v="4"/>
    <n v="7"/>
    <x v="0"/>
    <d v="2025-12-11T21:02:00"/>
    <x v="71"/>
    <x v="23"/>
    <n v="2401"/>
    <n v="4"/>
    <n v="9604"/>
    <x v="2"/>
  </r>
  <r>
    <n v="587"/>
    <n v="77"/>
    <x v="4"/>
    <x v="36"/>
    <x v="3"/>
    <n v="1"/>
    <x v="0"/>
    <d v="2025-12-11T21:11:00"/>
    <x v="71"/>
    <x v="23"/>
    <n v="1621"/>
    <n v="2"/>
    <n v="3242"/>
    <x v="2"/>
  </r>
  <r>
    <n v="98"/>
    <n v="36"/>
    <x v="7"/>
    <x v="83"/>
    <x v="3"/>
    <n v="1"/>
    <x v="0"/>
    <d v="2025-12-11T23:14:00"/>
    <x v="71"/>
    <x v="19"/>
    <n v="2705"/>
    <n v="3"/>
    <n v="8115"/>
    <x v="2"/>
  </r>
  <r>
    <n v="41"/>
    <n v="216"/>
    <x v="0"/>
    <x v="358"/>
    <x v="1"/>
    <n v="6"/>
    <x v="0"/>
    <d v="2025-12-11T23:14:00"/>
    <x v="71"/>
    <x v="19"/>
    <n v="2426"/>
    <n v="1"/>
    <n v="2426"/>
    <x v="2"/>
  </r>
  <r>
    <n v="6"/>
    <n v="277"/>
    <x v="6"/>
    <x v="294"/>
    <x v="6"/>
    <n v="5"/>
    <x v="1"/>
    <d v="2025-12-11T23:39:00"/>
    <x v="71"/>
    <x v="19"/>
    <n v="3395"/>
    <n v="0"/>
    <n v="0"/>
    <x v="2"/>
  </r>
  <r>
    <n v="249"/>
    <n v="8"/>
    <x v="3"/>
    <x v="118"/>
    <x v="3"/>
    <n v="1"/>
    <x v="0"/>
    <d v="2025-12-12T00:07:00"/>
    <x v="72"/>
    <x v="0"/>
    <n v="5563"/>
    <n v="2"/>
    <n v="11126"/>
    <x v="1"/>
  </r>
  <r>
    <n v="403"/>
    <n v="228"/>
    <x v="1"/>
    <x v="328"/>
    <x v="1"/>
    <n v="6"/>
    <x v="0"/>
    <d v="2025-12-12T00:38:00"/>
    <x v="72"/>
    <x v="0"/>
    <n v="4340"/>
    <n v="4"/>
    <n v="17360"/>
    <x v="2"/>
  </r>
  <r>
    <n v="289"/>
    <n v="172"/>
    <x v="9"/>
    <x v="51"/>
    <x v="3"/>
    <n v="1"/>
    <x v="0"/>
    <d v="2025-12-12T00:42:00"/>
    <x v="72"/>
    <x v="0"/>
    <n v="2670"/>
    <n v="1"/>
    <n v="2670"/>
    <x v="2"/>
  </r>
  <r>
    <n v="557"/>
    <n v="231"/>
    <x v="9"/>
    <x v="52"/>
    <x v="0"/>
    <n v="2"/>
    <x v="0"/>
    <d v="2025-12-12T01:55:00"/>
    <x v="72"/>
    <x v="1"/>
    <n v="11450"/>
    <n v="2"/>
    <n v="22900"/>
    <x v="0"/>
  </r>
  <r>
    <n v="176"/>
    <n v="217"/>
    <x v="4"/>
    <x v="271"/>
    <x v="2"/>
    <n v="3"/>
    <x v="0"/>
    <d v="2025-12-12T02:01:00"/>
    <x v="72"/>
    <x v="2"/>
    <n v="4237"/>
    <n v="2"/>
    <n v="8474"/>
    <x v="2"/>
  </r>
  <r>
    <n v="237"/>
    <n v="124"/>
    <x v="2"/>
    <x v="165"/>
    <x v="1"/>
    <n v="6"/>
    <x v="0"/>
    <d v="2025-12-12T02:27:00"/>
    <x v="72"/>
    <x v="2"/>
    <n v="6991"/>
    <n v="3"/>
    <n v="20973"/>
    <x v="1"/>
  </r>
  <r>
    <n v="711"/>
    <n v="73"/>
    <x v="4"/>
    <x v="102"/>
    <x v="3"/>
    <n v="1"/>
    <x v="0"/>
    <d v="2025-12-12T02:33:00"/>
    <x v="72"/>
    <x v="2"/>
    <n v="4576"/>
    <n v="4"/>
    <n v="18304"/>
    <x v="2"/>
  </r>
  <r>
    <n v="192"/>
    <n v="40"/>
    <x v="6"/>
    <x v="174"/>
    <x v="1"/>
    <n v="6"/>
    <x v="0"/>
    <d v="2025-12-12T02:43:00"/>
    <x v="72"/>
    <x v="2"/>
    <n v="9485"/>
    <n v="1"/>
    <n v="9485"/>
    <x v="1"/>
  </r>
  <r>
    <n v="712"/>
    <n v="65"/>
    <x v="8"/>
    <x v="30"/>
    <x v="3"/>
    <n v="1"/>
    <x v="0"/>
    <d v="2025-12-12T03:04:00"/>
    <x v="72"/>
    <x v="3"/>
    <n v="3131"/>
    <n v="3"/>
    <n v="9393"/>
    <x v="2"/>
  </r>
  <r>
    <n v="353"/>
    <n v="83"/>
    <x v="1"/>
    <x v="366"/>
    <x v="0"/>
    <n v="2"/>
    <x v="0"/>
    <d v="2025-12-12T03:18:00"/>
    <x v="72"/>
    <x v="3"/>
    <n v="4044"/>
    <n v="4"/>
    <n v="16176"/>
    <x v="2"/>
  </r>
  <r>
    <n v="186"/>
    <n v="97"/>
    <x v="3"/>
    <x v="290"/>
    <x v="5"/>
    <n v="4"/>
    <x v="0"/>
    <d v="2025-12-12T03:23:00"/>
    <x v="72"/>
    <x v="3"/>
    <n v="677"/>
    <n v="3"/>
    <n v="2031"/>
    <x v="3"/>
  </r>
  <r>
    <n v="663"/>
    <n v="88"/>
    <x v="4"/>
    <x v="126"/>
    <x v="0"/>
    <n v="2"/>
    <x v="0"/>
    <d v="2025-12-12T03:28:00"/>
    <x v="72"/>
    <x v="3"/>
    <n v="11226"/>
    <n v="2"/>
    <n v="22452"/>
    <x v="0"/>
  </r>
  <r>
    <n v="535"/>
    <n v="294"/>
    <x v="3"/>
    <x v="290"/>
    <x v="5"/>
    <n v="4"/>
    <x v="0"/>
    <d v="2025-12-12T03:42:00"/>
    <x v="72"/>
    <x v="3"/>
    <n v="168"/>
    <n v="3"/>
    <n v="504"/>
    <x v="3"/>
  </r>
  <r>
    <n v="375"/>
    <n v="290"/>
    <x v="0"/>
    <x v="211"/>
    <x v="1"/>
    <n v="6"/>
    <x v="1"/>
    <d v="2025-12-12T04:20:00"/>
    <x v="72"/>
    <x v="4"/>
    <n v="10179"/>
    <n v="0"/>
    <n v="0"/>
    <x v="0"/>
  </r>
  <r>
    <n v="516"/>
    <n v="224"/>
    <x v="1"/>
    <x v="9"/>
    <x v="5"/>
    <n v="4"/>
    <x v="1"/>
    <d v="2025-12-12T05:20:00"/>
    <x v="72"/>
    <x v="20"/>
    <n v="265"/>
    <n v="0"/>
    <n v="0"/>
    <x v="3"/>
  </r>
  <r>
    <n v="564"/>
    <n v="282"/>
    <x v="6"/>
    <x v="219"/>
    <x v="3"/>
    <n v="1"/>
    <x v="0"/>
    <d v="2025-12-12T05:22:00"/>
    <x v="72"/>
    <x v="20"/>
    <n v="2806"/>
    <n v="2"/>
    <n v="5612"/>
    <x v="2"/>
  </r>
  <r>
    <n v="583"/>
    <n v="238"/>
    <x v="9"/>
    <x v="274"/>
    <x v="2"/>
    <n v="3"/>
    <x v="0"/>
    <d v="2025-12-12T05:36:00"/>
    <x v="72"/>
    <x v="20"/>
    <n v="2341"/>
    <n v="3"/>
    <n v="7023"/>
    <x v="2"/>
  </r>
  <r>
    <n v="708"/>
    <n v="49"/>
    <x v="4"/>
    <x v="159"/>
    <x v="4"/>
    <n v="7"/>
    <x v="0"/>
    <d v="2025-12-12T05:39:00"/>
    <x v="72"/>
    <x v="20"/>
    <n v="7194"/>
    <n v="1"/>
    <n v="7194"/>
    <x v="1"/>
  </r>
  <r>
    <n v="726"/>
    <n v="26"/>
    <x v="3"/>
    <x v="264"/>
    <x v="0"/>
    <n v="2"/>
    <x v="0"/>
    <d v="2025-12-12T05:39:00"/>
    <x v="72"/>
    <x v="20"/>
    <n v="10338"/>
    <n v="2"/>
    <n v="20676"/>
    <x v="0"/>
  </r>
  <r>
    <n v="491"/>
    <n v="274"/>
    <x v="6"/>
    <x v="146"/>
    <x v="3"/>
    <n v="1"/>
    <x v="1"/>
    <d v="2025-12-12T06:08:00"/>
    <x v="72"/>
    <x v="5"/>
    <n v="7342"/>
    <n v="0"/>
    <n v="0"/>
    <x v="1"/>
  </r>
  <r>
    <n v="561"/>
    <n v="193"/>
    <x v="5"/>
    <x v="29"/>
    <x v="5"/>
    <n v="4"/>
    <x v="0"/>
    <d v="2025-12-12T06:32:00"/>
    <x v="72"/>
    <x v="5"/>
    <n v="1500"/>
    <n v="1"/>
    <n v="1500"/>
    <x v="2"/>
  </r>
  <r>
    <n v="492"/>
    <n v="89"/>
    <x v="3"/>
    <x v="299"/>
    <x v="1"/>
    <n v="6"/>
    <x v="1"/>
    <d v="2025-12-12T06:37:00"/>
    <x v="72"/>
    <x v="5"/>
    <n v="11851"/>
    <n v="0"/>
    <n v="0"/>
    <x v="0"/>
  </r>
  <r>
    <n v="55"/>
    <n v="50"/>
    <x v="6"/>
    <x v="57"/>
    <x v="0"/>
    <n v="2"/>
    <x v="0"/>
    <d v="2025-12-12T06:44:00"/>
    <x v="72"/>
    <x v="5"/>
    <n v="12281"/>
    <n v="4"/>
    <n v="49124"/>
    <x v="0"/>
  </r>
  <r>
    <n v="773"/>
    <n v="245"/>
    <x v="4"/>
    <x v="159"/>
    <x v="4"/>
    <n v="7"/>
    <x v="0"/>
    <d v="2025-12-12T06:45:00"/>
    <x v="72"/>
    <x v="5"/>
    <n v="5579"/>
    <n v="1"/>
    <n v="5579"/>
    <x v="1"/>
  </r>
  <r>
    <n v="565"/>
    <n v="110"/>
    <x v="0"/>
    <x v="168"/>
    <x v="6"/>
    <n v="5"/>
    <x v="0"/>
    <d v="2025-12-12T07:32:00"/>
    <x v="72"/>
    <x v="6"/>
    <n v="1265"/>
    <n v="2"/>
    <n v="2530"/>
    <x v="2"/>
  </r>
  <r>
    <n v="235"/>
    <n v="70"/>
    <x v="4"/>
    <x v="252"/>
    <x v="1"/>
    <n v="6"/>
    <x v="0"/>
    <d v="2025-12-12T09:10:00"/>
    <x v="72"/>
    <x v="8"/>
    <n v="6899"/>
    <n v="2"/>
    <n v="13798"/>
    <x v="1"/>
  </r>
  <r>
    <n v="91"/>
    <n v="143"/>
    <x v="0"/>
    <x v="218"/>
    <x v="5"/>
    <n v="4"/>
    <x v="0"/>
    <d v="2025-12-12T09:14:00"/>
    <x v="72"/>
    <x v="8"/>
    <n v="1285"/>
    <n v="2"/>
    <n v="2570"/>
    <x v="2"/>
  </r>
  <r>
    <n v="749"/>
    <n v="68"/>
    <x v="7"/>
    <x v="124"/>
    <x v="5"/>
    <n v="4"/>
    <x v="0"/>
    <d v="2025-12-12T09:20:00"/>
    <x v="72"/>
    <x v="8"/>
    <n v="669"/>
    <n v="2"/>
    <n v="1338"/>
    <x v="3"/>
  </r>
  <r>
    <n v="432"/>
    <n v="185"/>
    <x v="1"/>
    <x v="366"/>
    <x v="0"/>
    <n v="2"/>
    <x v="1"/>
    <d v="2025-12-12T10:14:00"/>
    <x v="72"/>
    <x v="9"/>
    <n v="12781"/>
    <n v="0"/>
    <n v="0"/>
    <x v="0"/>
  </r>
  <r>
    <n v="11"/>
    <n v="65"/>
    <x v="5"/>
    <x v="222"/>
    <x v="0"/>
    <n v="2"/>
    <x v="0"/>
    <d v="2025-12-12T11:23:00"/>
    <x v="72"/>
    <x v="10"/>
    <n v="13566"/>
    <n v="3"/>
    <n v="40698"/>
    <x v="0"/>
  </r>
  <r>
    <n v="37"/>
    <n v="107"/>
    <x v="0"/>
    <x v="5"/>
    <x v="4"/>
    <n v="7"/>
    <x v="0"/>
    <d v="2025-12-12T11:38:00"/>
    <x v="72"/>
    <x v="10"/>
    <n v="7648"/>
    <n v="2"/>
    <n v="15296"/>
    <x v="1"/>
  </r>
  <r>
    <n v="135"/>
    <n v="67"/>
    <x v="4"/>
    <x v="200"/>
    <x v="1"/>
    <n v="6"/>
    <x v="0"/>
    <d v="2025-12-12T11:39:00"/>
    <x v="72"/>
    <x v="10"/>
    <n v="2771"/>
    <n v="1"/>
    <n v="2771"/>
    <x v="2"/>
  </r>
  <r>
    <n v="131"/>
    <n v="53"/>
    <x v="8"/>
    <x v="103"/>
    <x v="3"/>
    <n v="1"/>
    <x v="0"/>
    <d v="2025-12-12T11:40:00"/>
    <x v="72"/>
    <x v="10"/>
    <n v="6897"/>
    <n v="3"/>
    <n v="20691"/>
    <x v="1"/>
  </r>
  <r>
    <n v="796"/>
    <n v="67"/>
    <x v="5"/>
    <x v="29"/>
    <x v="5"/>
    <n v="4"/>
    <x v="0"/>
    <d v="2025-12-12T12:03:00"/>
    <x v="72"/>
    <x v="11"/>
    <n v="539"/>
    <n v="2"/>
    <n v="1078"/>
    <x v="3"/>
  </r>
  <r>
    <n v="49"/>
    <n v="209"/>
    <x v="2"/>
    <x v="80"/>
    <x v="0"/>
    <n v="2"/>
    <x v="0"/>
    <d v="2025-12-12T12:16:00"/>
    <x v="72"/>
    <x v="11"/>
    <n v="12093"/>
    <n v="1"/>
    <n v="12093"/>
    <x v="0"/>
  </r>
  <r>
    <n v="699"/>
    <n v="30"/>
    <x v="5"/>
    <x v="29"/>
    <x v="5"/>
    <n v="4"/>
    <x v="1"/>
    <d v="2025-12-12T12:17:00"/>
    <x v="72"/>
    <x v="11"/>
    <n v="571"/>
    <n v="0"/>
    <n v="0"/>
    <x v="3"/>
  </r>
  <r>
    <n v="451"/>
    <n v="234"/>
    <x v="9"/>
    <x v="321"/>
    <x v="4"/>
    <n v="7"/>
    <x v="0"/>
    <d v="2025-12-12T12:40:00"/>
    <x v="72"/>
    <x v="11"/>
    <n v="4487"/>
    <n v="2"/>
    <n v="8974"/>
    <x v="2"/>
  </r>
  <r>
    <n v="99"/>
    <n v="276"/>
    <x v="2"/>
    <x v="325"/>
    <x v="1"/>
    <n v="6"/>
    <x v="0"/>
    <d v="2025-12-12T12:40:00"/>
    <x v="72"/>
    <x v="11"/>
    <n v="9512"/>
    <n v="2"/>
    <n v="19024"/>
    <x v="1"/>
  </r>
  <r>
    <n v="24"/>
    <n v="83"/>
    <x v="1"/>
    <x v="268"/>
    <x v="4"/>
    <n v="7"/>
    <x v="0"/>
    <d v="2025-12-12T13:21:00"/>
    <x v="72"/>
    <x v="21"/>
    <n v="3204"/>
    <n v="1"/>
    <n v="3204"/>
    <x v="2"/>
  </r>
  <r>
    <n v="703"/>
    <n v="38"/>
    <x v="2"/>
    <x v="46"/>
    <x v="0"/>
    <n v="2"/>
    <x v="0"/>
    <d v="2025-12-12T13:31:00"/>
    <x v="72"/>
    <x v="21"/>
    <n v="13646"/>
    <n v="4"/>
    <n v="54584"/>
    <x v="0"/>
  </r>
  <r>
    <n v="42"/>
    <n v="82"/>
    <x v="2"/>
    <x v="325"/>
    <x v="1"/>
    <n v="6"/>
    <x v="0"/>
    <d v="2025-12-12T13:32:00"/>
    <x v="72"/>
    <x v="21"/>
    <n v="9647"/>
    <n v="1"/>
    <n v="9647"/>
    <x v="1"/>
  </r>
  <r>
    <n v="123"/>
    <n v="15"/>
    <x v="3"/>
    <x v="14"/>
    <x v="4"/>
    <n v="7"/>
    <x v="0"/>
    <d v="2025-12-12T13:56:00"/>
    <x v="72"/>
    <x v="21"/>
    <n v="6451"/>
    <n v="3"/>
    <n v="19353"/>
    <x v="1"/>
  </r>
  <r>
    <n v="69"/>
    <n v="199"/>
    <x v="3"/>
    <x v="234"/>
    <x v="6"/>
    <n v="5"/>
    <x v="1"/>
    <d v="2025-12-12T14:09:00"/>
    <x v="72"/>
    <x v="12"/>
    <n v="1805"/>
    <n v="0"/>
    <n v="0"/>
    <x v="2"/>
  </r>
  <r>
    <n v="84"/>
    <n v="104"/>
    <x v="4"/>
    <x v="19"/>
    <x v="5"/>
    <n v="4"/>
    <x v="0"/>
    <d v="2025-12-12T15:46:00"/>
    <x v="72"/>
    <x v="13"/>
    <n v="735"/>
    <n v="2"/>
    <n v="1470"/>
    <x v="3"/>
  </r>
  <r>
    <n v="514"/>
    <n v="29"/>
    <x v="8"/>
    <x v="111"/>
    <x v="2"/>
    <n v="3"/>
    <x v="0"/>
    <d v="2025-12-12T16:06:00"/>
    <x v="72"/>
    <x v="14"/>
    <n v="2484"/>
    <n v="2"/>
    <n v="4968"/>
    <x v="2"/>
  </r>
  <r>
    <n v="428"/>
    <n v="202"/>
    <x v="3"/>
    <x v="56"/>
    <x v="5"/>
    <n v="4"/>
    <x v="0"/>
    <d v="2025-12-12T16:15:00"/>
    <x v="72"/>
    <x v="14"/>
    <n v="808"/>
    <n v="2"/>
    <n v="1616"/>
    <x v="3"/>
  </r>
  <r>
    <n v="240"/>
    <n v="202"/>
    <x v="0"/>
    <x v="319"/>
    <x v="1"/>
    <n v="6"/>
    <x v="0"/>
    <d v="2025-12-12T16:48:00"/>
    <x v="72"/>
    <x v="14"/>
    <n v="9729"/>
    <n v="1"/>
    <n v="9729"/>
    <x v="1"/>
  </r>
  <r>
    <n v="404"/>
    <n v="186"/>
    <x v="9"/>
    <x v="52"/>
    <x v="0"/>
    <n v="2"/>
    <x v="0"/>
    <d v="2025-12-12T16:56:00"/>
    <x v="72"/>
    <x v="14"/>
    <n v="6349"/>
    <n v="2"/>
    <n v="12698"/>
    <x v="1"/>
  </r>
  <r>
    <n v="294"/>
    <n v="131"/>
    <x v="7"/>
    <x v="85"/>
    <x v="4"/>
    <n v="7"/>
    <x v="0"/>
    <d v="2025-12-12T17:58:00"/>
    <x v="72"/>
    <x v="15"/>
    <n v="4292"/>
    <n v="2"/>
    <n v="8584"/>
    <x v="2"/>
  </r>
  <r>
    <n v="442"/>
    <n v="201"/>
    <x v="0"/>
    <x v="283"/>
    <x v="0"/>
    <n v="2"/>
    <x v="0"/>
    <d v="2025-12-12T18:11:00"/>
    <x v="72"/>
    <x v="16"/>
    <n v="9058"/>
    <n v="1"/>
    <n v="9058"/>
    <x v="1"/>
  </r>
  <r>
    <n v="789"/>
    <n v="97"/>
    <x v="7"/>
    <x v="61"/>
    <x v="1"/>
    <n v="6"/>
    <x v="0"/>
    <d v="2025-12-12T18:32:00"/>
    <x v="72"/>
    <x v="16"/>
    <n v="5366"/>
    <n v="2"/>
    <n v="10732"/>
    <x v="1"/>
  </r>
  <r>
    <n v="9"/>
    <n v="155"/>
    <x v="2"/>
    <x v="228"/>
    <x v="2"/>
    <n v="3"/>
    <x v="0"/>
    <d v="2025-12-12T18:33:00"/>
    <x v="72"/>
    <x v="16"/>
    <n v="3430"/>
    <n v="3"/>
    <n v="10290"/>
    <x v="2"/>
  </r>
  <r>
    <n v="465"/>
    <n v="98"/>
    <x v="2"/>
    <x v="256"/>
    <x v="4"/>
    <n v="7"/>
    <x v="0"/>
    <d v="2025-12-12T18:48:00"/>
    <x v="72"/>
    <x v="16"/>
    <n v="6911"/>
    <n v="2"/>
    <n v="13822"/>
    <x v="1"/>
  </r>
  <r>
    <n v="445"/>
    <n v="61"/>
    <x v="2"/>
    <x v="256"/>
    <x v="4"/>
    <n v="7"/>
    <x v="0"/>
    <d v="2025-12-12T19:35:00"/>
    <x v="72"/>
    <x v="22"/>
    <n v="2446"/>
    <n v="2"/>
    <n v="4892"/>
    <x v="2"/>
  </r>
  <r>
    <n v="222"/>
    <n v="211"/>
    <x v="4"/>
    <x v="190"/>
    <x v="3"/>
    <n v="1"/>
    <x v="0"/>
    <d v="2025-12-12T20:19:00"/>
    <x v="72"/>
    <x v="17"/>
    <n v="1675"/>
    <n v="3"/>
    <n v="5025"/>
    <x v="2"/>
  </r>
  <r>
    <n v="569"/>
    <n v="165"/>
    <x v="6"/>
    <x v="203"/>
    <x v="3"/>
    <n v="1"/>
    <x v="0"/>
    <d v="2025-12-12T20:25:00"/>
    <x v="72"/>
    <x v="17"/>
    <n v="6321"/>
    <n v="3"/>
    <n v="18963"/>
    <x v="1"/>
  </r>
  <r>
    <n v="696"/>
    <n v="264"/>
    <x v="4"/>
    <x v="271"/>
    <x v="2"/>
    <n v="3"/>
    <x v="0"/>
    <d v="2025-12-12T20:32:00"/>
    <x v="72"/>
    <x v="17"/>
    <n v="3827"/>
    <n v="4"/>
    <n v="15308"/>
    <x v="2"/>
  </r>
  <r>
    <n v="753"/>
    <n v="253"/>
    <x v="0"/>
    <x v="265"/>
    <x v="5"/>
    <n v="4"/>
    <x v="0"/>
    <d v="2025-12-12T21:17:00"/>
    <x v="72"/>
    <x v="23"/>
    <n v="1226"/>
    <n v="1"/>
    <n v="1226"/>
    <x v="2"/>
  </r>
  <r>
    <n v="758"/>
    <n v="209"/>
    <x v="9"/>
    <x v="51"/>
    <x v="3"/>
    <n v="1"/>
    <x v="1"/>
    <d v="2025-12-12T22:28:00"/>
    <x v="72"/>
    <x v="18"/>
    <n v="6018"/>
    <n v="0"/>
    <n v="0"/>
    <x v="1"/>
  </r>
  <r>
    <n v="729"/>
    <n v="44"/>
    <x v="5"/>
    <x v="86"/>
    <x v="2"/>
    <n v="3"/>
    <x v="0"/>
    <d v="2025-12-12T22:30:00"/>
    <x v="72"/>
    <x v="18"/>
    <n v="2835"/>
    <n v="4"/>
    <n v="11340"/>
    <x v="2"/>
  </r>
  <r>
    <n v="226"/>
    <n v="103"/>
    <x v="2"/>
    <x v="280"/>
    <x v="1"/>
    <n v="6"/>
    <x v="0"/>
    <d v="2025-12-12T22:46:00"/>
    <x v="72"/>
    <x v="18"/>
    <n v="11935"/>
    <n v="1"/>
    <n v="11935"/>
    <x v="0"/>
  </r>
  <r>
    <n v="738"/>
    <n v="145"/>
    <x v="5"/>
    <x v="246"/>
    <x v="3"/>
    <n v="1"/>
    <x v="0"/>
    <d v="2025-12-12T22:57:00"/>
    <x v="72"/>
    <x v="18"/>
    <n v="5558"/>
    <n v="1"/>
    <n v="5558"/>
    <x v="1"/>
  </r>
  <r>
    <n v="374"/>
    <n v="273"/>
    <x v="6"/>
    <x v="40"/>
    <x v="5"/>
    <n v="4"/>
    <x v="0"/>
    <d v="2025-12-12T23:51:00"/>
    <x v="72"/>
    <x v="19"/>
    <n v="888"/>
    <n v="2"/>
    <n v="1776"/>
    <x v="3"/>
  </r>
  <r>
    <n v="208"/>
    <n v="18"/>
    <x v="5"/>
    <x v="259"/>
    <x v="3"/>
    <n v="1"/>
    <x v="0"/>
    <d v="2025-12-12T23:54:00"/>
    <x v="72"/>
    <x v="19"/>
    <n v="2847"/>
    <n v="5"/>
    <n v="14235"/>
    <x v="2"/>
  </r>
  <r>
    <n v="724"/>
    <n v="188"/>
    <x v="1"/>
    <x v="9"/>
    <x v="5"/>
    <n v="4"/>
    <x v="0"/>
    <d v="2025-12-13T00:00:00"/>
    <x v="73"/>
    <x v="0"/>
    <n v="1385"/>
    <n v="2"/>
    <n v="2770"/>
    <x v="2"/>
  </r>
  <r>
    <n v="383"/>
    <n v="137"/>
    <x v="2"/>
    <x v="2"/>
    <x v="2"/>
    <n v="3"/>
    <x v="0"/>
    <d v="2025-12-13T00:37:00"/>
    <x v="73"/>
    <x v="0"/>
    <n v="5888"/>
    <n v="1"/>
    <n v="5888"/>
    <x v="1"/>
  </r>
  <r>
    <n v="578"/>
    <n v="138"/>
    <x v="2"/>
    <x v="46"/>
    <x v="0"/>
    <n v="2"/>
    <x v="0"/>
    <d v="2025-12-13T00:38:00"/>
    <x v="73"/>
    <x v="0"/>
    <n v="10097"/>
    <n v="2"/>
    <n v="20194"/>
    <x v="0"/>
  </r>
  <r>
    <n v="601"/>
    <n v="138"/>
    <x v="8"/>
    <x v="134"/>
    <x v="0"/>
    <n v="2"/>
    <x v="1"/>
    <d v="2025-12-13T00:56:00"/>
    <x v="73"/>
    <x v="0"/>
    <n v="12150"/>
    <n v="0"/>
    <n v="0"/>
    <x v="0"/>
  </r>
  <r>
    <n v="448"/>
    <n v="190"/>
    <x v="6"/>
    <x v="11"/>
    <x v="2"/>
    <n v="3"/>
    <x v="0"/>
    <d v="2025-12-13T01:12:00"/>
    <x v="73"/>
    <x v="1"/>
    <n v="4150"/>
    <n v="2"/>
    <n v="8300"/>
    <x v="2"/>
  </r>
  <r>
    <n v="396"/>
    <n v="258"/>
    <x v="7"/>
    <x v="54"/>
    <x v="3"/>
    <n v="1"/>
    <x v="0"/>
    <d v="2025-12-13T01:23:00"/>
    <x v="73"/>
    <x v="1"/>
    <n v="5663"/>
    <n v="3"/>
    <n v="16989"/>
    <x v="1"/>
  </r>
  <r>
    <n v="288"/>
    <n v="65"/>
    <x v="2"/>
    <x v="32"/>
    <x v="5"/>
    <n v="4"/>
    <x v="0"/>
    <d v="2025-12-13T01:36:00"/>
    <x v="73"/>
    <x v="1"/>
    <n v="664"/>
    <n v="2"/>
    <n v="1328"/>
    <x v="3"/>
  </r>
  <r>
    <n v="379"/>
    <n v="12"/>
    <x v="6"/>
    <x v="219"/>
    <x v="3"/>
    <n v="1"/>
    <x v="1"/>
    <d v="2025-12-13T01:56:00"/>
    <x v="73"/>
    <x v="1"/>
    <n v="1537"/>
    <n v="0"/>
    <n v="0"/>
    <x v="2"/>
  </r>
  <r>
    <n v="341"/>
    <n v="157"/>
    <x v="0"/>
    <x v="249"/>
    <x v="2"/>
    <n v="3"/>
    <x v="0"/>
    <d v="2025-12-13T02:01:00"/>
    <x v="73"/>
    <x v="2"/>
    <n v="6000"/>
    <n v="2"/>
    <n v="12000"/>
    <x v="1"/>
  </r>
  <r>
    <n v="779"/>
    <n v="205"/>
    <x v="6"/>
    <x v="294"/>
    <x v="6"/>
    <n v="5"/>
    <x v="0"/>
    <d v="2025-12-13T02:23:00"/>
    <x v="73"/>
    <x v="2"/>
    <n v="2724"/>
    <n v="1"/>
    <n v="2724"/>
    <x v="2"/>
  </r>
  <r>
    <n v="590"/>
    <n v="196"/>
    <x v="6"/>
    <x v="261"/>
    <x v="4"/>
    <n v="7"/>
    <x v="0"/>
    <d v="2025-12-13T03:06:00"/>
    <x v="73"/>
    <x v="3"/>
    <n v="6254"/>
    <n v="1"/>
    <n v="6254"/>
    <x v="1"/>
  </r>
  <r>
    <n v="116"/>
    <n v="123"/>
    <x v="8"/>
    <x v="47"/>
    <x v="5"/>
    <n v="4"/>
    <x v="0"/>
    <d v="2025-12-13T03:44:00"/>
    <x v="73"/>
    <x v="3"/>
    <n v="817"/>
    <n v="3"/>
    <n v="2451"/>
    <x v="3"/>
  </r>
  <r>
    <n v="246"/>
    <n v="189"/>
    <x v="7"/>
    <x v="124"/>
    <x v="5"/>
    <n v="4"/>
    <x v="0"/>
    <d v="2025-12-13T03:49:00"/>
    <x v="73"/>
    <x v="3"/>
    <n v="109"/>
    <n v="2"/>
    <n v="218"/>
    <x v="3"/>
  </r>
  <r>
    <n v="273"/>
    <n v="93"/>
    <x v="9"/>
    <x v="51"/>
    <x v="3"/>
    <n v="1"/>
    <x v="0"/>
    <d v="2025-12-13T03:53:00"/>
    <x v="73"/>
    <x v="3"/>
    <n v="7531"/>
    <n v="3"/>
    <n v="22593"/>
    <x v="1"/>
  </r>
  <r>
    <n v="684"/>
    <n v="136"/>
    <x v="7"/>
    <x v="357"/>
    <x v="3"/>
    <n v="1"/>
    <x v="0"/>
    <d v="2025-12-13T04:01:00"/>
    <x v="73"/>
    <x v="4"/>
    <n v="4014"/>
    <n v="1"/>
    <n v="4014"/>
    <x v="2"/>
  </r>
  <r>
    <n v="254"/>
    <n v="81"/>
    <x v="9"/>
    <x v="106"/>
    <x v="3"/>
    <n v="1"/>
    <x v="0"/>
    <d v="2025-12-13T04:13:00"/>
    <x v="73"/>
    <x v="4"/>
    <n v="6408"/>
    <n v="4"/>
    <n v="25632"/>
    <x v="1"/>
  </r>
  <r>
    <n v="317"/>
    <n v="110"/>
    <x v="7"/>
    <x v="348"/>
    <x v="0"/>
    <n v="2"/>
    <x v="1"/>
    <d v="2025-12-13T04:27:00"/>
    <x v="73"/>
    <x v="4"/>
    <n v="10665"/>
    <n v="0"/>
    <n v="0"/>
    <x v="0"/>
  </r>
  <r>
    <n v="423"/>
    <n v="113"/>
    <x v="8"/>
    <x v="221"/>
    <x v="4"/>
    <n v="7"/>
    <x v="0"/>
    <d v="2025-12-13T04:57:00"/>
    <x v="73"/>
    <x v="4"/>
    <n v="7213"/>
    <n v="1"/>
    <n v="7213"/>
    <x v="1"/>
  </r>
  <r>
    <n v="107"/>
    <n v="10"/>
    <x v="8"/>
    <x v="386"/>
    <x v="6"/>
    <n v="5"/>
    <x v="0"/>
    <d v="2025-12-13T04:59:00"/>
    <x v="73"/>
    <x v="4"/>
    <n v="3688"/>
    <n v="3"/>
    <n v="11064"/>
    <x v="2"/>
  </r>
  <r>
    <n v="544"/>
    <n v="183"/>
    <x v="1"/>
    <x v="178"/>
    <x v="4"/>
    <n v="7"/>
    <x v="1"/>
    <d v="2025-12-13T05:00:00"/>
    <x v="73"/>
    <x v="20"/>
    <n v="1818"/>
    <n v="0"/>
    <n v="0"/>
    <x v="2"/>
  </r>
  <r>
    <n v="378"/>
    <n v="282"/>
    <x v="1"/>
    <x v="320"/>
    <x v="4"/>
    <n v="7"/>
    <x v="0"/>
    <d v="2025-12-13T05:13:00"/>
    <x v="73"/>
    <x v="20"/>
    <n v="2740"/>
    <n v="1"/>
    <n v="2740"/>
    <x v="2"/>
  </r>
  <r>
    <n v="326"/>
    <n v="81"/>
    <x v="3"/>
    <x v="56"/>
    <x v="5"/>
    <n v="4"/>
    <x v="0"/>
    <d v="2025-12-13T05:45:00"/>
    <x v="73"/>
    <x v="20"/>
    <n v="811"/>
    <n v="1"/>
    <n v="811"/>
    <x v="3"/>
  </r>
  <r>
    <n v="444"/>
    <n v="259"/>
    <x v="7"/>
    <x v="288"/>
    <x v="2"/>
    <n v="3"/>
    <x v="0"/>
    <d v="2025-12-13T05:50:00"/>
    <x v="73"/>
    <x v="20"/>
    <n v="3198"/>
    <n v="1"/>
    <n v="3198"/>
    <x v="2"/>
  </r>
  <r>
    <n v="667"/>
    <n v="256"/>
    <x v="7"/>
    <x v="235"/>
    <x v="0"/>
    <n v="2"/>
    <x v="0"/>
    <d v="2025-12-13T06:17:00"/>
    <x v="73"/>
    <x v="5"/>
    <n v="11479"/>
    <n v="3"/>
    <n v="34437"/>
    <x v="0"/>
  </r>
  <r>
    <n v="659"/>
    <n v="84"/>
    <x v="8"/>
    <x v="387"/>
    <x v="4"/>
    <n v="7"/>
    <x v="0"/>
    <d v="2025-12-13T06:25:00"/>
    <x v="73"/>
    <x v="5"/>
    <n v="1755"/>
    <n v="4"/>
    <n v="7020"/>
    <x v="2"/>
  </r>
  <r>
    <n v="542"/>
    <n v="211"/>
    <x v="0"/>
    <x v="344"/>
    <x v="4"/>
    <n v="7"/>
    <x v="1"/>
    <d v="2025-12-13T07:23:00"/>
    <x v="73"/>
    <x v="6"/>
    <n v="6955"/>
    <n v="0"/>
    <n v="0"/>
    <x v="1"/>
  </r>
  <r>
    <n v="456"/>
    <n v="237"/>
    <x v="4"/>
    <x v="153"/>
    <x v="5"/>
    <n v="4"/>
    <x v="0"/>
    <d v="2025-12-13T08:23:00"/>
    <x v="73"/>
    <x v="7"/>
    <n v="928"/>
    <n v="1"/>
    <n v="928"/>
    <x v="3"/>
  </r>
  <r>
    <n v="410"/>
    <n v="166"/>
    <x v="9"/>
    <x v="182"/>
    <x v="5"/>
    <n v="4"/>
    <x v="0"/>
    <d v="2025-12-13T08:32:00"/>
    <x v="73"/>
    <x v="7"/>
    <n v="844"/>
    <n v="3"/>
    <n v="2532"/>
    <x v="3"/>
  </r>
  <r>
    <n v="4"/>
    <n v="58"/>
    <x v="5"/>
    <x v="147"/>
    <x v="3"/>
    <n v="1"/>
    <x v="0"/>
    <d v="2025-12-13T08:39:00"/>
    <x v="73"/>
    <x v="7"/>
    <n v="4227"/>
    <n v="1"/>
    <n v="4227"/>
    <x v="2"/>
  </r>
  <r>
    <n v="718"/>
    <n v="183"/>
    <x v="0"/>
    <x v="39"/>
    <x v="3"/>
    <n v="1"/>
    <x v="0"/>
    <d v="2025-12-13T08:53:00"/>
    <x v="73"/>
    <x v="7"/>
    <n v="3113"/>
    <n v="3"/>
    <n v="9339"/>
    <x v="2"/>
  </r>
  <r>
    <n v="26"/>
    <n v="189"/>
    <x v="3"/>
    <x v="290"/>
    <x v="5"/>
    <n v="4"/>
    <x v="0"/>
    <d v="2025-12-13T09:00:00"/>
    <x v="73"/>
    <x v="8"/>
    <n v="386"/>
    <n v="2"/>
    <n v="772"/>
    <x v="3"/>
  </r>
  <r>
    <n v="38"/>
    <n v="13"/>
    <x v="3"/>
    <x v="365"/>
    <x v="6"/>
    <n v="5"/>
    <x v="0"/>
    <d v="2025-12-13T09:30:00"/>
    <x v="73"/>
    <x v="8"/>
    <n v="2265"/>
    <n v="1"/>
    <n v="2265"/>
    <x v="2"/>
  </r>
  <r>
    <n v="68"/>
    <n v="159"/>
    <x v="4"/>
    <x v="153"/>
    <x v="5"/>
    <n v="4"/>
    <x v="1"/>
    <d v="2025-12-13T10:16:00"/>
    <x v="73"/>
    <x v="9"/>
    <n v="408"/>
    <n v="0"/>
    <n v="0"/>
    <x v="3"/>
  </r>
  <r>
    <n v="123"/>
    <n v="218"/>
    <x v="8"/>
    <x v="47"/>
    <x v="5"/>
    <n v="4"/>
    <x v="0"/>
    <d v="2025-12-13T10:46:00"/>
    <x v="73"/>
    <x v="9"/>
    <n v="394"/>
    <n v="3"/>
    <n v="1182"/>
    <x v="3"/>
  </r>
  <r>
    <n v="588"/>
    <n v="64"/>
    <x v="7"/>
    <x v="289"/>
    <x v="1"/>
    <n v="6"/>
    <x v="0"/>
    <d v="2025-12-13T11:32:00"/>
    <x v="73"/>
    <x v="10"/>
    <n v="2542"/>
    <n v="2"/>
    <n v="5084"/>
    <x v="2"/>
  </r>
  <r>
    <n v="643"/>
    <n v="45"/>
    <x v="2"/>
    <x v="169"/>
    <x v="2"/>
    <n v="3"/>
    <x v="1"/>
    <d v="2025-12-13T11:45:00"/>
    <x v="73"/>
    <x v="10"/>
    <n v="3472"/>
    <n v="0"/>
    <n v="0"/>
    <x v="2"/>
  </r>
  <r>
    <n v="125"/>
    <n v="102"/>
    <x v="0"/>
    <x v="269"/>
    <x v="0"/>
    <n v="2"/>
    <x v="0"/>
    <d v="2025-12-13T11:50:00"/>
    <x v="73"/>
    <x v="10"/>
    <n v="11983"/>
    <n v="3"/>
    <n v="35949"/>
    <x v="0"/>
  </r>
  <r>
    <n v="727"/>
    <n v="79"/>
    <x v="6"/>
    <x v="336"/>
    <x v="1"/>
    <n v="6"/>
    <x v="0"/>
    <d v="2025-12-13T12:25:00"/>
    <x v="73"/>
    <x v="11"/>
    <n v="8312"/>
    <n v="2"/>
    <n v="16624"/>
    <x v="1"/>
  </r>
  <r>
    <n v="739"/>
    <n v="14"/>
    <x v="2"/>
    <x v="185"/>
    <x v="3"/>
    <n v="1"/>
    <x v="0"/>
    <d v="2025-12-13T12:37:00"/>
    <x v="73"/>
    <x v="11"/>
    <n v="5441"/>
    <n v="5"/>
    <n v="27205"/>
    <x v="1"/>
  </r>
  <r>
    <n v="744"/>
    <n v="249"/>
    <x v="4"/>
    <x v="223"/>
    <x v="4"/>
    <n v="7"/>
    <x v="0"/>
    <d v="2025-12-13T13:07:00"/>
    <x v="73"/>
    <x v="21"/>
    <n v="6552"/>
    <n v="2"/>
    <n v="13104"/>
    <x v="1"/>
  </r>
  <r>
    <n v="737"/>
    <n v="192"/>
    <x v="6"/>
    <x v="146"/>
    <x v="3"/>
    <n v="1"/>
    <x v="0"/>
    <d v="2025-12-13T13:15:00"/>
    <x v="73"/>
    <x v="21"/>
    <n v="7349"/>
    <n v="3"/>
    <n v="22047"/>
    <x v="1"/>
  </r>
  <r>
    <n v="152"/>
    <n v="87"/>
    <x v="5"/>
    <x v="141"/>
    <x v="5"/>
    <n v="4"/>
    <x v="1"/>
    <d v="2025-12-13T13:17:00"/>
    <x v="73"/>
    <x v="21"/>
    <n v="1290"/>
    <n v="0"/>
    <n v="0"/>
    <x v="2"/>
  </r>
  <r>
    <n v="717"/>
    <n v="98"/>
    <x v="8"/>
    <x v="47"/>
    <x v="5"/>
    <n v="4"/>
    <x v="0"/>
    <d v="2025-12-13T15:27:00"/>
    <x v="73"/>
    <x v="13"/>
    <n v="485"/>
    <n v="1"/>
    <n v="485"/>
    <x v="3"/>
  </r>
  <r>
    <n v="2"/>
    <n v="148"/>
    <x v="9"/>
    <x v="128"/>
    <x v="0"/>
    <n v="2"/>
    <x v="1"/>
    <d v="2025-12-13T15:32:00"/>
    <x v="73"/>
    <x v="13"/>
    <n v="12663"/>
    <n v="0"/>
    <n v="0"/>
    <x v="0"/>
  </r>
  <r>
    <n v="231"/>
    <n v="67"/>
    <x v="5"/>
    <x v="86"/>
    <x v="2"/>
    <n v="3"/>
    <x v="0"/>
    <d v="2025-12-13T17:30:00"/>
    <x v="73"/>
    <x v="15"/>
    <n v="4520"/>
    <n v="3"/>
    <n v="13560"/>
    <x v="2"/>
  </r>
  <r>
    <n v="520"/>
    <n v="180"/>
    <x v="2"/>
    <x v="341"/>
    <x v="5"/>
    <n v="4"/>
    <x v="0"/>
    <d v="2025-12-13T19:10:00"/>
    <x v="73"/>
    <x v="22"/>
    <n v="530"/>
    <n v="1"/>
    <n v="530"/>
    <x v="3"/>
  </r>
  <r>
    <n v="51"/>
    <n v="283"/>
    <x v="2"/>
    <x v="333"/>
    <x v="4"/>
    <n v="7"/>
    <x v="1"/>
    <d v="2025-12-13T19:52:00"/>
    <x v="73"/>
    <x v="22"/>
    <n v="1824"/>
    <n v="0"/>
    <n v="0"/>
    <x v="2"/>
  </r>
  <r>
    <n v="399"/>
    <n v="255"/>
    <x v="3"/>
    <x v="14"/>
    <x v="4"/>
    <n v="7"/>
    <x v="1"/>
    <d v="2025-12-13T20:21:00"/>
    <x v="73"/>
    <x v="17"/>
    <n v="5084"/>
    <n v="0"/>
    <n v="0"/>
    <x v="1"/>
  </r>
  <r>
    <n v="205"/>
    <n v="196"/>
    <x v="3"/>
    <x v="123"/>
    <x v="1"/>
    <n v="6"/>
    <x v="0"/>
    <d v="2025-12-13T20:43:00"/>
    <x v="73"/>
    <x v="17"/>
    <n v="4170"/>
    <n v="3"/>
    <n v="12510"/>
    <x v="2"/>
  </r>
  <r>
    <n v="128"/>
    <n v="80"/>
    <x v="0"/>
    <x v="283"/>
    <x v="0"/>
    <n v="2"/>
    <x v="1"/>
    <d v="2025-12-13T21:37:00"/>
    <x v="73"/>
    <x v="23"/>
    <n v="4482"/>
    <n v="0"/>
    <n v="0"/>
    <x v="2"/>
  </r>
  <r>
    <n v="567"/>
    <n v="114"/>
    <x v="6"/>
    <x v="76"/>
    <x v="0"/>
    <n v="2"/>
    <x v="1"/>
    <d v="2025-12-13T21:46:00"/>
    <x v="73"/>
    <x v="23"/>
    <n v="10346"/>
    <n v="0"/>
    <n v="0"/>
    <x v="0"/>
  </r>
  <r>
    <n v="188"/>
    <n v="46"/>
    <x v="3"/>
    <x v="305"/>
    <x v="3"/>
    <n v="1"/>
    <x v="0"/>
    <d v="2025-12-13T22:02:00"/>
    <x v="73"/>
    <x v="18"/>
    <n v="5720"/>
    <n v="2"/>
    <n v="11440"/>
    <x v="1"/>
  </r>
  <r>
    <n v="781"/>
    <n v="135"/>
    <x v="2"/>
    <x v="69"/>
    <x v="3"/>
    <n v="1"/>
    <x v="0"/>
    <d v="2025-12-13T22:28:00"/>
    <x v="73"/>
    <x v="18"/>
    <n v="5179"/>
    <n v="2"/>
    <n v="10358"/>
    <x v="1"/>
  </r>
  <r>
    <n v="206"/>
    <n v="167"/>
    <x v="2"/>
    <x v="99"/>
    <x v="0"/>
    <n v="2"/>
    <x v="0"/>
    <d v="2025-12-13T22:42:00"/>
    <x v="73"/>
    <x v="18"/>
    <n v="12683"/>
    <n v="3"/>
    <n v="38049"/>
    <x v="0"/>
  </r>
  <r>
    <n v="149"/>
    <n v="108"/>
    <x v="7"/>
    <x v="209"/>
    <x v="0"/>
    <n v="2"/>
    <x v="0"/>
    <d v="2025-12-13T22:57:00"/>
    <x v="73"/>
    <x v="18"/>
    <n v="11436"/>
    <n v="3"/>
    <n v="34308"/>
    <x v="0"/>
  </r>
  <r>
    <n v="166"/>
    <n v="261"/>
    <x v="4"/>
    <x v="331"/>
    <x v="2"/>
    <n v="3"/>
    <x v="0"/>
    <d v="2025-12-13T23:07:00"/>
    <x v="73"/>
    <x v="19"/>
    <n v="3428"/>
    <n v="1"/>
    <n v="3428"/>
    <x v="2"/>
  </r>
  <r>
    <n v="300"/>
    <n v="130"/>
    <x v="1"/>
    <x v="266"/>
    <x v="6"/>
    <n v="5"/>
    <x v="0"/>
    <d v="2025-12-13T23:29:00"/>
    <x v="73"/>
    <x v="19"/>
    <n v="993"/>
    <n v="1"/>
    <n v="993"/>
    <x v="3"/>
  </r>
  <r>
    <n v="759"/>
    <n v="290"/>
    <x v="3"/>
    <x v="295"/>
    <x v="0"/>
    <n v="2"/>
    <x v="1"/>
    <d v="2025-12-14T00:20:00"/>
    <x v="74"/>
    <x v="0"/>
    <n v="6499"/>
    <n v="0"/>
    <n v="0"/>
    <x v="1"/>
  </r>
  <r>
    <n v="752"/>
    <n v="182"/>
    <x v="4"/>
    <x v="200"/>
    <x v="1"/>
    <n v="6"/>
    <x v="1"/>
    <d v="2025-12-14T00:26:00"/>
    <x v="74"/>
    <x v="0"/>
    <n v="4694"/>
    <n v="0"/>
    <n v="0"/>
    <x v="2"/>
  </r>
  <r>
    <n v="633"/>
    <n v="173"/>
    <x v="2"/>
    <x v="374"/>
    <x v="2"/>
    <n v="3"/>
    <x v="0"/>
    <d v="2025-12-14T01:38:00"/>
    <x v="74"/>
    <x v="1"/>
    <n v="4646"/>
    <n v="2"/>
    <n v="9292"/>
    <x v="2"/>
  </r>
  <r>
    <n v="249"/>
    <n v="246"/>
    <x v="0"/>
    <x v="227"/>
    <x v="2"/>
    <n v="3"/>
    <x v="0"/>
    <d v="2025-12-14T02:09:00"/>
    <x v="74"/>
    <x v="2"/>
    <n v="3219"/>
    <n v="1"/>
    <n v="3219"/>
    <x v="2"/>
  </r>
  <r>
    <n v="57"/>
    <n v="140"/>
    <x v="1"/>
    <x v="346"/>
    <x v="1"/>
    <n v="6"/>
    <x v="0"/>
    <d v="2025-12-14T02:55:00"/>
    <x v="74"/>
    <x v="2"/>
    <n v="5842"/>
    <n v="2"/>
    <n v="11684"/>
    <x v="1"/>
  </r>
  <r>
    <n v="108"/>
    <n v="121"/>
    <x v="8"/>
    <x v="71"/>
    <x v="2"/>
    <n v="3"/>
    <x v="0"/>
    <d v="2025-12-14T03:16:00"/>
    <x v="74"/>
    <x v="3"/>
    <n v="4900"/>
    <n v="1"/>
    <n v="4900"/>
    <x v="2"/>
  </r>
  <r>
    <n v="573"/>
    <n v="157"/>
    <x v="6"/>
    <x v="11"/>
    <x v="2"/>
    <n v="3"/>
    <x v="0"/>
    <d v="2025-12-14T03:56:00"/>
    <x v="74"/>
    <x v="3"/>
    <n v="1599"/>
    <n v="2"/>
    <n v="3198"/>
    <x v="2"/>
  </r>
  <r>
    <n v="153"/>
    <n v="7"/>
    <x v="3"/>
    <x v="56"/>
    <x v="5"/>
    <n v="4"/>
    <x v="0"/>
    <d v="2025-12-14T03:57:00"/>
    <x v="74"/>
    <x v="3"/>
    <n v="433"/>
    <n v="2"/>
    <n v="866"/>
    <x v="3"/>
  </r>
  <r>
    <n v="179"/>
    <n v="206"/>
    <x v="5"/>
    <x v="50"/>
    <x v="5"/>
    <n v="4"/>
    <x v="0"/>
    <d v="2025-12-14T04:42:00"/>
    <x v="74"/>
    <x v="4"/>
    <n v="1237"/>
    <n v="5"/>
    <n v="6185"/>
    <x v="2"/>
  </r>
  <r>
    <n v="680"/>
    <n v="205"/>
    <x v="3"/>
    <x v="354"/>
    <x v="0"/>
    <n v="2"/>
    <x v="0"/>
    <d v="2025-12-14T04:43:00"/>
    <x v="74"/>
    <x v="4"/>
    <n v="14660"/>
    <n v="4"/>
    <n v="58640"/>
    <x v="0"/>
  </r>
  <r>
    <n v="396"/>
    <n v="33"/>
    <x v="8"/>
    <x v="71"/>
    <x v="2"/>
    <n v="3"/>
    <x v="1"/>
    <d v="2025-12-14T05:42:00"/>
    <x v="74"/>
    <x v="20"/>
    <n v="3469"/>
    <n v="0"/>
    <n v="0"/>
    <x v="2"/>
  </r>
  <r>
    <n v="47"/>
    <n v="186"/>
    <x v="7"/>
    <x v="255"/>
    <x v="6"/>
    <n v="5"/>
    <x v="1"/>
    <d v="2025-12-14T07:49:00"/>
    <x v="74"/>
    <x v="6"/>
    <n v="2259"/>
    <n v="0"/>
    <n v="0"/>
    <x v="2"/>
  </r>
  <r>
    <n v="179"/>
    <n v="35"/>
    <x v="9"/>
    <x v="372"/>
    <x v="6"/>
    <n v="5"/>
    <x v="0"/>
    <d v="2025-12-14T07:59:00"/>
    <x v="74"/>
    <x v="6"/>
    <n v="2032"/>
    <n v="3"/>
    <n v="6096"/>
    <x v="2"/>
  </r>
  <r>
    <n v="275"/>
    <n v="37"/>
    <x v="2"/>
    <x v="46"/>
    <x v="0"/>
    <n v="2"/>
    <x v="0"/>
    <d v="2025-12-14T08:05:00"/>
    <x v="74"/>
    <x v="7"/>
    <n v="9878"/>
    <n v="2"/>
    <n v="19756"/>
    <x v="1"/>
  </r>
  <r>
    <n v="439"/>
    <n v="140"/>
    <x v="6"/>
    <x v="360"/>
    <x v="6"/>
    <n v="5"/>
    <x v="0"/>
    <d v="2025-12-14T08:43:00"/>
    <x v="74"/>
    <x v="7"/>
    <n v="1206"/>
    <n v="3"/>
    <n v="3618"/>
    <x v="2"/>
  </r>
  <r>
    <n v="739"/>
    <n v="193"/>
    <x v="1"/>
    <x v="346"/>
    <x v="1"/>
    <n v="6"/>
    <x v="0"/>
    <d v="2025-12-14T08:51:00"/>
    <x v="74"/>
    <x v="7"/>
    <n v="2368"/>
    <n v="2"/>
    <n v="4736"/>
    <x v="2"/>
  </r>
  <r>
    <n v="462"/>
    <n v="281"/>
    <x v="9"/>
    <x v="231"/>
    <x v="3"/>
    <n v="1"/>
    <x v="1"/>
    <d v="2025-12-14T09:44:00"/>
    <x v="74"/>
    <x v="8"/>
    <n v="5761"/>
    <n v="0"/>
    <n v="0"/>
    <x v="1"/>
  </r>
  <r>
    <n v="489"/>
    <n v="1"/>
    <x v="4"/>
    <x v="378"/>
    <x v="6"/>
    <n v="5"/>
    <x v="0"/>
    <d v="2025-12-14T09:47:00"/>
    <x v="74"/>
    <x v="8"/>
    <n v="2817"/>
    <n v="4"/>
    <n v="11268"/>
    <x v="2"/>
  </r>
  <r>
    <n v="446"/>
    <n v="82"/>
    <x v="7"/>
    <x v="288"/>
    <x v="2"/>
    <n v="3"/>
    <x v="0"/>
    <d v="2025-12-14T09:51:00"/>
    <x v="74"/>
    <x v="8"/>
    <n v="2432"/>
    <n v="2"/>
    <n v="4864"/>
    <x v="2"/>
  </r>
  <r>
    <n v="99"/>
    <n v="70"/>
    <x v="9"/>
    <x v="188"/>
    <x v="2"/>
    <n v="3"/>
    <x v="0"/>
    <d v="2025-12-14T11:33:00"/>
    <x v="74"/>
    <x v="10"/>
    <n v="1500"/>
    <n v="1"/>
    <n v="1500"/>
    <x v="2"/>
  </r>
  <r>
    <n v="315"/>
    <n v="38"/>
    <x v="1"/>
    <x v="20"/>
    <x v="3"/>
    <n v="1"/>
    <x v="1"/>
    <d v="2025-12-14T12:03:00"/>
    <x v="74"/>
    <x v="11"/>
    <n v="7109"/>
    <n v="0"/>
    <n v="0"/>
    <x v="1"/>
  </r>
  <r>
    <n v="636"/>
    <n v="207"/>
    <x v="5"/>
    <x v="50"/>
    <x v="5"/>
    <n v="4"/>
    <x v="0"/>
    <d v="2025-12-14T12:53:00"/>
    <x v="74"/>
    <x v="11"/>
    <n v="555"/>
    <n v="4"/>
    <n v="2220"/>
    <x v="3"/>
  </r>
  <r>
    <n v="465"/>
    <n v="208"/>
    <x v="9"/>
    <x v="180"/>
    <x v="3"/>
    <n v="1"/>
    <x v="0"/>
    <d v="2025-12-14T13:03:00"/>
    <x v="74"/>
    <x v="21"/>
    <n v="4862"/>
    <n v="3"/>
    <n v="14586"/>
    <x v="2"/>
  </r>
  <r>
    <n v="221"/>
    <n v="38"/>
    <x v="3"/>
    <x v="4"/>
    <x v="0"/>
    <n v="2"/>
    <x v="0"/>
    <d v="2025-12-14T13:33:00"/>
    <x v="74"/>
    <x v="21"/>
    <n v="4684"/>
    <n v="2"/>
    <n v="9368"/>
    <x v="2"/>
  </r>
  <r>
    <n v="237"/>
    <n v="41"/>
    <x v="8"/>
    <x v="140"/>
    <x v="5"/>
    <n v="4"/>
    <x v="1"/>
    <d v="2025-12-14T13:57:00"/>
    <x v="74"/>
    <x v="21"/>
    <n v="405"/>
    <n v="0"/>
    <n v="0"/>
    <x v="3"/>
  </r>
  <r>
    <n v="449"/>
    <n v="200"/>
    <x v="4"/>
    <x v="200"/>
    <x v="1"/>
    <n v="6"/>
    <x v="0"/>
    <d v="2025-12-14T14:21:00"/>
    <x v="74"/>
    <x v="12"/>
    <n v="12000"/>
    <n v="2"/>
    <n v="24000"/>
    <x v="0"/>
  </r>
  <r>
    <n v="544"/>
    <n v="274"/>
    <x v="6"/>
    <x v="139"/>
    <x v="2"/>
    <n v="3"/>
    <x v="0"/>
    <d v="2025-12-14T14:52:00"/>
    <x v="74"/>
    <x v="12"/>
    <n v="1766"/>
    <n v="2"/>
    <n v="3532"/>
    <x v="2"/>
  </r>
  <r>
    <n v="361"/>
    <n v="122"/>
    <x v="3"/>
    <x v="324"/>
    <x v="4"/>
    <n v="7"/>
    <x v="0"/>
    <d v="2025-12-14T15:14:00"/>
    <x v="74"/>
    <x v="13"/>
    <n v="6635"/>
    <n v="2"/>
    <n v="13270"/>
    <x v="1"/>
  </r>
  <r>
    <n v="702"/>
    <n v="293"/>
    <x v="5"/>
    <x v="164"/>
    <x v="3"/>
    <n v="1"/>
    <x v="0"/>
    <d v="2025-12-14T15:29:00"/>
    <x v="74"/>
    <x v="13"/>
    <n v="8000"/>
    <n v="2"/>
    <n v="16000"/>
    <x v="1"/>
  </r>
  <r>
    <n v="94"/>
    <n v="196"/>
    <x v="1"/>
    <x v="346"/>
    <x v="1"/>
    <n v="6"/>
    <x v="1"/>
    <d v="2025-12-14T15:38:00"/>
    <x v="74"/>
    <x v="13"/>
    <n v="6961"/>
    <n v="0"/>
    <n v="0"/>
    <x v="1"/>
  </r>
  <r>
    <n v="525"/>
    <n v="297"/>
    <x v="5"/>
    <x v="109"/>
    <x v="0"/>
    <n v="2"/>
    <x v="0"/>
    <d v="2025-12-14T16:17:00"/>
    <x v="74"/>
    <x v="14"/>
    <n v="9345"/>
    <n v="4"/>
    <n v="37380"/>
    <x v="1"/>
  </r>
  <r>
    <n v="128"/>
    <n v="75"/>
    <x v="4"/>
    <x v="6"/>
    <x v="3"/>
    <n v="1"/>
    <x v="0"/>
    <d v="2025-12-14T16:23:00"/>
    <x v="74"/>
    <x v="14"/>
    <n v="6188"/>
    <n v="2"/>
    <n v="12376"/>
    <x v="1"/>
  </r>
  <r>
    <n v="71"/>
    <n v="181"/>
    <x v="1"/>
    <x v="23"/>
    <x v="5"/>
    <n v="4"/>
    <x v="0"/>
    <d v="2025-12-14T16:55:00"/>
    <x v="74"/>
    <x v="14"/>
    <n v="50"/>
    <n v="1"/>
    <n v="50"/>
    <x v="3"/>
  </r>
  <r>
    <n v="388"/>
    <n v="140"/>
    <x v="6"/>
    <x v="373"/>
    <x v="1"/>
    <n v="6"/>
    <x v="0"/>
    <d v="2025-12-14T17:02:00"/>
    <x v="74"/>
    <x v="15"/>
    <n v="2581"/>
    <n v="3"/>
    <n v="7743"/>
    <x v="2"/>
  </r>
  <r>
    <n v="492"/>
    <n v="4"/>
    <x v="8"/>
    <x v="379"/>
    <x v="6"/>
    <n v="5"/>
    <x v="0"/>
    <d v="2025-12-14T17:28:00"/>
    <x v="74"/>
    <x v="15"/>
    <n v="2046"/>
    <n v="3"/>
    <n v="6138"/>
    <x v="2"/>
  </r>
  <r>
    <n v="575"/>
    <n v="238"/>
    <x v="4"/>
    <x v="93"/>
    <x v="5"/>
    <n v="4"/>
    <x v="0"/>
    <d v="2025-12-14T18:04:00"/>
    <x v="74"/>
    <x v="16"/>
    <n v="50"/>
    <n v="2"/>
    <n v="100"/>
    <x v="3"/>
  </r>
  <r>
    <n v="682"/>
    <n v="223"/>
    <x v="7"/>
    <x v="25"/>
    <x v="0"/>
    <n v="2"/>
    <x v="0"/>
    <d v="2025-12-14T18:11:00"/>
    <x v="74"/>
    <x v="16"/>
    <n v="10438"/>
    <n v="1"/>
    <n v="10438"/>
    <x v="0"/>
  </r>
  <r>
    <n v="459"/>
    <n v="231"/>
    <x v="7"/>
    <x v="85"/>
    <x v="4"/>
    <n v="7"/>
    <x v="0"/>
    <d v="2025-12-14T18:12:00"/>
    <x v="74"/>
    <x v="16"/>
    <n v="5571"/>
    <n v="3"/>
    <n v="16713"/>
    <x v="1"/>
  </r>
  <r>
    <n v="395"/>
    <n v="178"/>
    <x v="2"/>
    <x v="32"/>
    <x v="5"/>
    <n v="4"/>
    <x v="0"/>
    <d v="2025-12-14T18:16:00"/>
    <x v="74"/>
    <x v="16"/>
    <n v="528"/>
    <n v="2"/>
    <n v="1056"/>
    <x v="3"/>
  </r>
  <r>
    <n v="339"/>
    <n v="17"/>
    <x v="0"/>
    <x v="218"/>
    <x v="5"/>
    <n v="4"/>
    <x v="0"/>
    <d v="2025-12-14T18:41:00"/>
    <x v="74"/>
    <x v="16"/>
    <n v="1076"/>
    <n v="2"/>
    <n v="2152"/>
    <x v="2"/>
  </r>
  <r>
    <n v="323"/>
    <n v="113"/>
    <x v="5"/>
    <x v="259"/>
    <x v="3"/>
    <n v="1"/>
    <x v="1"/>
    <d v="2025-12-14T19:31:00"/>
    <x v="74"/>
    <x v="22"/>
    <n v="1196"/>
    <n v="0"/>
    <n v="0"/>
    <x v="2"/>
  </r>
  <r>
    <n v="757"/>
    <n v="198"/>
    <x v="0"/>
    <x v="160"/>
    <x v="3"/>
    <n v="1"/>
    <x v="1"/>
    <d v="2025-12-14T19:32:00"/>
    <x v="74"/>
    <x v="22"/>
    <n v="4753"/>
    <n v="0"/>
    <n v="0"/>
    <x v="2"/>
  </r>
  <r>
    <n v="191"/>
    <n v="238"/>
    <x v="2"/>
    <x v="226"/>
    <x v="5"/>
    <n v="4"/>
    <x v="0"/>
    <d v="2025-12-14T20:07:00"/>
    <x v="74"/>
    <x v="17"/>
    <n v="696"/>
    <n v="2"/>
    <n v="1392"/>
    <x v="3"/>
  </r>
  <r>
    <n v="580"/>
    <n v="184"/>
    <x v="1"/>
    <x v="356"/>
    <x v="0"/>
    <n v="2"/>
    <x v="0"/>
    <d v="2025-12-14T20:18:00"/>
    <x v="74"/>
    <x v="17"/>
    <n v="11071"/>
    <n v="5"/>
    <n v="55355"/>
    <x v="0"/>
  </r>
  <r>
    <n v="329"/>
    <n v="106"/>
    <x v="2"/>
    <x v="374"/>
    <x v="2"/>
    <n v="3"/>
    <x v="0"/>
    <d v="2025-12-14T20:35:00"/>
    <x v="74"/>
    <x v="17"/>
    <n v="2716"/>
    <n v="2"/>
    <n v="5432"/>
    <x v="2"/>
  </r>
  <r>
    <n v="478"/>
    <n v="5"/>
    <x v="6"/>
    <x v="96"/>
    <x v="5"/>
    <n v="4"/>
    <x v="0"/>
    <d v="2025-12-14T21:46:00"/>
    <x v="74"/>
    <x v="23"/>
    <n v="306"/>
    <n v="2"/>
    <n v="612"/>
    <x v="3"/>
  </r>
  <r>
    <n v="166"/>
    <n v="271"/>
    <x v="6"/>
    <x v="296"/>
    <x v="4"/>
    <n v="7"/>
    <x v="1"/>
    <d v="2025-12-14T21:56:00"/>
    <x v="74"/>
    <x v="23"/>
    <n v="2956"/>
    <n v="0"/>
    <n v="0"/>
    <x v="2"/>
  </r>
  <r>
    <n v="212"/>
    <n v="219"/>
    <x v="2"/>
    <x v="332"/>
    <x v="4"/>
    <n v="7"/>
    <x v="0"/>
    <d v="2025-12-14T22:13:00"/>
    <x v="74"/>
    <x v="18"/>
    <n v="2855"/>
    <n v="1"/>
    <n v="2855"/>
    <x v="2"/>
  </r>
  <r>
    <n v="629"/>
    <n v="149"/>
    <x v="1"/>
    <x v="199"/>
    <x v="5"/>
    <n v="4"/>
    <x v="0"/>
    <d v="2025-12-14T22:13:00"/>
    <x v="74"/>
    <x v="18"/>
    <n v="583"/>
    <n v="1"/>
    <n v="583"/>
    <x v="3"/>
  </r>
  <r>
    <n v="782"/>
    <n v="172"/>
    <x v="3"/>
    <x v="370"/>
    <x v="5"/>
    <n v="4"/>
    <x v="0"/>
    <d v="2025-12-14T22:15:00"/>
    <x v="74"/>
    <x v="18"/>
    <n v="1241"/>
    <n v="4"/>
    <n v="4964"/>
    <x v="2"/>
  </r>
  <r>
    <n v="674"/>
    <n v="223"/>
    <x v="7"/>
    <x v="240"/>
    <x v="2"/>
    <n v="3"/>
    <x v="1"/>
    <d v="2025-12-14T22:23:00"/>
    <x v="74"/>
    <x v="18"/>
    <n v="4701"/>
    <n v="0"/>
    <n v="0"/>
    <x v="2"/>
  </r>
  <r>
    <n v="300"/>
    <n v="114"/>
    <x v="6"/>
    <x v="262"/>
    <x v="5"/>
    <n v="4"/>
    <x v="0"/>
    <d v="2025-12-14T22:24:00"/>
    <x v="74"/>
    <x v="18"/>
    <n v="509"/>
    <n v="2"/>
    <n v="1018"/>
    <x v="3"/>
  </r>
  <r>
    <n v="313"/>
    <n v="63"/>
    <x v="7"/>
    <x v="152"/>
    <x v="4"/>
    <n v="7"/>
    <x v="0"/>
    <d v="2025-12-14T22:51:00"/>
    <x v="74"/>
    <x v="18"/>
    <n v="4181"/>
    <n v="1"/>
    <n v="4181"/>
    <x v="2"/>
  </r>
  <r>
    <n v="251"/>
    <n v="125"/>
    <x v="9"/>
    <x v="351"/>
    <x v="1"/>
    <n v="6"/>
    <x v="1"/>
    <d v="2025-12-14T23:05:00"/>
    <x v="74"/>
    <x v="19"/>
    <n v="8571"/>
    <n v="0"/>
    <n v="0"/>
    <x v="1"/>
  </r>
  <r>
    <n v="292"/>
    <n v="116"/>
    <x v="9"/>
    <x v="342"/>
    <x v="1"/>
    <n v="6"/>
    <x v="0"/>
    <d v="2025-12-14T23:26:00"/>
    <x v="74"/>
    <x v="19"/>
    <n v="6175"/>
    <n v="3"/>
    <n v="18525"/>
    <x v="1"/>
  </r>
  <r>
    <n v="18"/>
    <n v="270"/>
    <x v="2"/>
    <x v="104"/>
    <x v="5"/>
    <n v="4"/>
    <x v="0"/>
    <d v="2025-12-14T23:31:00"/>
    <x v="74"/>
    <x v="19"/>
    <n v="1165"/>
    <n v="3"/>
    <n v="3495"/>
    <x v="2"/>
  </r>
  <r>
    <n v="150"/>
    <n v="115"/>
    <x v="3"/>
    <x v="14"/>
    <x v="4"/>
    <n v="7"/>
    <x v="0"/>
    <d v="2025-12-14T23:41:00"/>
    <x v="74"/>
    <x v="19"/>
    <n v="7864"/>
    <n v="2"/>
    <n v="15728"/>
    <x v="1"/>
  </r>
  <r>
    <n v="431"/>
    <n v="66"/>
    <x v="6"/>
    <x v="170"/>
    <x v="6"/>
    <n v="5"/>
    <x v="0"/>
    <d v="2025-12-15T00:10:00"/>
    <x v="75"/>
    <x v="0"/>
    <n v="1098"/>
    <n v="2"/>
    <n v="2196"/>
    <x v="2"/>
  </r>
  <r>
    <n v="224"/>
    <n v="295"/>
    <x v="8"/>
    <x v="364"/>
    <x v="4"/>
    <n v="7"/>
    <x v="0"/>
    <d v="2025-12-15T01:39:00"/>
    <x v="75"/>
    <x v="1"/>
    <n v="6629"/>
    <n v="3"/>
    <n v="19887"/>
    <x v="1"/>
  </r>
  <r>
    <n v="277"/>
    <n v="52"/>
    <x v="3"/>
    <x v="370"/>
    <x v="5"/>
    <n v="4"/>
    <x v="0"/>
    <d v="2025-12-15T01:40:00"/>
    <x v="75"/>
    <x v="1"/>
    <n v="1492"/>
    <n v="2"/>
    <n v="2984"/>
    <x v="2"/>
  </r>
  <r>
    <n v="779"/>
    <n v="293"/>
    <x v="1"/>
    <x v="60"/>
    <x v="3"/>
    <n v="1"/>
    <x v="0"/>
    <d v="2025-12-15T02:39:00"/>
    <x v="75"/>
    <x v="2"/>
    <n v="2921"/>
    <n v="1"/>
    <n v="2921"/>
    <x v="2"/>
  </r>
  <r>
    <n v="178"/>
    <n v="59"/>
    <x v="0"/>
    <x v="39"/>
    <x v="3"/>
    <n v="1"/>
    <x v="0"/>
    <d v="2025-12-15T03:01:00"/>
    <x v="75"/>
    <x v="3"/>
    <n v="4515"/>
    <n v="2"/>
    <n v="9030"/>
    <x v="2"/>
  </r>
  <r>
    <n v="335"/>
    <n v="155"/>
    <x v="0"/>
    <x v="322"/>
    <x v="5"/>
    <n v="4"/>
    <x v="0"/>
    <d v="2025-12-15T03:23:00"/>
    <x v="75"/>
    <x v="3"/>
    <n v="1219"/>
    <n v="5"/>
    <n v="6095"/>
    <x v="2"/>
  </r>
  <r>
    <n v="294"/>
    <n v="212"/>
    <x v="6"/>
    <x v="146"/>
    <x v="3"/>
    <n v="1"/>
    <x v="0"/>
    <d v="2025-12-15T03:42:00"/>
    <x v="75"/>
    <x v="3"/>
    <n v="8000"/>
    <n v="3"/>
    <n v="24000"/>
    <x v="1"/>
  </r>
  <r>
    <n v="136"/>
    <n v="65"/>
    <x v="8"/>
    <x v="22"/>
    <x v="2"/>
    <n v="3"/>
    <x v="0"/>
    <d v="2025-12-15T03:44:00"/>
    <x v="75"/>
    <x v="3"/>
    <n v="4507"/>
    <n v="3"/>
    <n v="13521"/>
    <x v="2"/>
  </r>
  <r>
    <n v="310"/>
    <n v="143"/>
    <x v="0"/>
    <x v="105"/>
    <x v="3"/>
    <n v="1"/>
    <x v="1"/>
    <d v="2025-12-15T03:46:00"/>
    <x v="75"/>
    <x v="3"/>
    <n v="1230"/>
    <n v="0"/>
    <n v="0"/>
    <x v="2"/>
  </r>
  <r>
    <n v="66"/>
    <n v="76"/>
    <x v="7"/>
    <x v="236"/>
    <x v="5"/>
    <n v="4"/>
    <x v="0"/>
    <d v="2025-12-15T04:10:00"/>
    <x v="75"/>
    <x v="4"/>
    <n v="1231"/>
    <n v="2"/>
    <n v="2462"/>
    <x v="2"/>
  </r>
  <r>
    <n v="145"/>
    <n v="183"/>
    <x v="0"/>
    <x v="101"/>
    <x v="1"/>
    <n v="6"/>
    <x v="0"/>
    <d v="2025-12-15T04:22:00"/>
    <x v="75"/>
    <x v="4"/>
    <n v="5750"/>
    <n v="1"/>
    <n v="5750"/>
    <x v="1"/>
  </r>
  <r>
    <n v="752"/>
    <n v="237"/>
    <x v="1"/>
    <x v="20"/>
    <x v="3"/>
    <n v="1"/>
    <x v="0"/>
    <d v="2025-12-15T05:28:00"/>
    <x v="75"/>
    <x v="20"/>
    <n v="1742"/>
    <n v="3"/>
    <n v="5226"/>
    <x v="2"/>
  </r>
  <r>
    <n v="724"/>
    <n v="201"/>
    <x v="6"/>
    <x v="170"/>
    <x v="6"/>
    <n v="5"/>
    <x v="0"/>
    <d v="2025-12-15T05:41:00"/>
    <x v="75"/>
    <x v="20"/>
    <n v="2166"/>
    <n v="1"/>
    <n v="2166"/>
    <x v="2"/>
  </r>
  <r>
    <n v="644"/>
    <n v="242"/>
    <x v="9"/>
    <x v="75"/>
    <x v="0"/>
    <n v="2"/>
    <x v="0"/>
    <d v="2025-12-15T05:45:00"/>
    <x v="75"/>
    <x v="20"/>
    <n v="7087"/>
    <n v="1"/>
    <n v="7087"/>
    <x v="1"/>
  </r>
  <r>
    <n v="588"/>
    <n v="112"/>
    <x v="2"/>
    <x v="341"/>
    <x v="5"/>
    <n v="4"/>
    <x v="0"/>
    <d v="2025-12-15T06:19:00"/>
    <x v="75"/>
    <x v="5"/>
    <n v="138"/>
    <n v="4"/>
    <n v="552"/>
    <x v="3"/>
  </r>
  <r>
    <n v="306"/>
    <n v="97"/>
    <x v="6"/>
    <x v="145"/>
    <x v="0"/>
    <n v="2"/>
    <x v="1"/>
    <d v="2025-12-15T06:28:00"/>
    <x v="75"/>
    <x v="5"/>
    <n v="5059"/>
    <n v="0"/>
    <n v="0"/>
    <x v="1"/>
  </r>
  <r>
    <n v="398"/>
    <n v="114"/>
    <x v="6"/>
    <x v="317"/>
    <x v="3"/>
    <n v="1"/>
    <x v="0"/>
    <d v="2025-12-15T06:48:00"/>
    <x v="75"/>
    <x v="5"/>
    <n v="3280"/>
    <n v="1"/>
    <n v="3280"/>
    <x v="2"/>
  </r>
  <r>
    <n v="564"/>
    <n v="190"/>
    <x v="5"/>
    <x v="171"/>
    <x v="4"/>
    <n v="7"/>
    <x v="1"/>
    <d v="2025-12-15T07:19:00"/>
    <x v="75"/>
    <x v="6"/>
    <n v="2030"/>
    <n v="0"/>
    <n v="0"/>
    <x v="2"/>
  </r>
  <r>
    <n v="196"/>
    <n v="209"/>
    <x v="7"/>
    <x v="281"/>
    <x v="6"/>
    <n v="5"/>
    <x v="0"/>
    <d v="2025-12-15T08:20:00"/>
    <x v="75"/>
    <x v="7"/>
    <n v="900"/>
    <n v="5"/>
    <n v="4500"/>
    <x v="3"/>
  </r>
  <r>
    <n v="255"/>
    <n v="100"/>
    <x v="4"/>
    <x v="126"/>
    <x v="0"/>
    <n v="2"/>
    <x v="1"/>
    <d v="2025-12-15T09:02:00"/>
    <x v="75"/>
    <x v="8"/>
    <n v="6724"/>
    <n v="0"/>
    <n v="0"/>
    <x v="1"/>
  </r>
  <r>
    <n v="272"/>
    <n v="209"/>
    <x v="7"/>
    <x v="337"/>
    <x v="3"/>
    <n v="1"/>
    <x v="1"/>
    <d v="2025-12-15T09:32:00"/>
    <x v="75"/>
    <x v="8"/>
    <n v="3573"/>
    <n v="0"/>
    <n v="0"/>
    <x v="2"/>
  </r>
  <r>
    <n v="309"/>
    <n v="119"/>
    <x v="1"/>
    <x v="9"/>
    <x v="5"/>
    <n v="4"/>
    <x v="1"/>
    <d v="2025-12-15T10:02:00"/>
    <x v="75"/>
    <x v="9"/>
    <n v="610"/>
    <n v="0"/>
    <n v="0"/>
    <x v="3"/>
  </r>
  <r>
    <n v="517"/>
    <n v="203"/>
    <x v="9"/>
    <x v="98"/>
    <x v="0"/>
    <n v="2"/>
    <x v="0"/>
    <d v="2025-12-15T11:19:00"/>
    <x v="75"/>
    <x v="10"/>
    <n v="14897"/>
    <n v="3"/>
    <n v="44691"/>
    <x v="0"/>
  </r>
  <r>
    <n v="566"/>
    <n v="161"/>
    <x v="0"/>
    <x v="208"/>
    <x v="4"/>
    <n v="7"/>
    <x v="0"/>
    <d v="2025-12-15T11:29:00"/>
    <x v="75"/>
    <x v="10"/>
    <n v="7977"/>
    <n v="1"/>
    <n v="7977"/>
    <x v="1"/>
  </r>
  <r>
    <n v="288"/>
    <n v="196"/>
    <x v="4"/>
    <x v="223"/>
    <x v="4"/>
    <n v="7"/>
    <x v="0"/>
    <d v="2025-12-15T11:29:00"/>
    <x v="75"/>
    <x v="10"/>
    <n v="7484"/>
    <n v="2"/>
    <n v="14968"/>
    <x v="1"/>
  </r>
  <r>
    <n v="92"/>
    <n v="250"/>
    <x v="4"/>
    <x v="252"/>
    <x v="1"/>
    <n v="6"/>
    <x v="0"/>
    <d v="2025-12-15T11:37:00"/>
    <x v="75"/>
    <x v="10"/>
    <n v="11369"/>
    <n v="1"/>
    <n v="11369"/>
    <x v="0"/>
  </r>
  <r>
    <n v="270"/>
    <n v="97"/>
    <x v="1"/>
    <x v="178"/>
    <x v="4"/>
    <n v="7"/>
    <x v="0"/>
    <d v="2025-12-15T11:44:00"/>
    <x v="75"/>
    <x v="10"/>
    <n v="5035"/>
    <n v="1"/>
    <n v="5035"/>
    <x v="1"/>
  </r>
  <r>
    <n v="60"/>
    <n v="80"/>
    <x v="5"/>
    <x v="313"/>
    <x v="6"/>
    <n v="5"/>
    <x v="1"/>
    <d v="2025-12-15T12:12:00"/>
    <x v="75"/>
    <x v="11"/>
    <n v="907"/>
    <n v="0"/>
    <n v="0"/>
    <x v="3"/>
  </r>
  <r>
    <n v="168"/>
    <n v="83"/>
    <x v="6"/>
    <x v="278"/>
    <x v="3"/>
    <n v="1"/>
    <x v="0"/>
    <d v="2025-12-15T12:39:00"/>
    <x v="75"/>
    <x v="11"/>
    <n v="2944"/>
    <n v="3"/>
    <n v="8832"/>
    <x v="2"/>
  </r>
  <r>
    <n v="401"/>
    <n v="174"/>
    <x v="7"/>
    <x v="236"/>
    <x v="5"/>
    <n v="4"/>
    <x v="0"/>
    <d v="2025-12-15T13:03:00"/>
    <x v="75"/>
    <x v="21"/>
    <n v="1307"/>
    <n v="2"/>
    <n v="2614"/>
    <x v="2"/>
  </r>
  <r>
    <n v="204"/>
    <n v="103"/>
    <x v="6"/>
    <x v="11"/>
    <x v="2"/>
    <n v="3"/>
    <x v="0"/>
    <d v="2025-12-15T13:03:00"/>
    <x v="75"/>
    <x v="21"/>
    <n v="3013"/>
    <n v="2"/>
    <n v="6026"/>
    <x v="2"/>
  </r>
  <r>
    <n v="240"/>
    <n v="5"/>
    <x v="4"/>
    <x v="131"/>
    <x v="2"/>
    <n v="3"/>
    <x v="0"/>
    <d v="2025-12-15T13:38:00"/>
    <x v="75"/>
    <x v="21"/>
    <n v="2659"/>
    <n v="3"/>
    <n v="7977"/>
    <x v="2"/>
  </r>
  <r>
    <n v="411"/>
    <n v="294"/>
    <x v="4"/>
    <x v="190"/>
    <x v="3"/>
    <n v="1"/>
    <x v="0"/>
    <d v="2025-12-15T13:48:00"/>
    <x v="75"/>
    <x v="21"/>
    <n v="1924"/>
    <n v="3"/>
    <n v="5772"/>
    <x v="2"/>
  </r>
  <r>
    <n v="236"/>
    <n v="12"/>
    <x v="5"/>
    <x v="257"/>
    <x v="3"/>
    <n v="1"/>
    <x v="0"/>
    <d v="2025-12-15T14:17:00"/>
    <x v="75"/>
    <x v="12"/>
    <n v="1793"/>
    <n v="2"/>
    <n v="3586"/>
    <x v="2"/>
  </r>
  <r>
    <n v="480"/>
    <n v="226"/>
    <x v="7"/>
    <x v="204"/>
    <x v="1"/>
    <n v="6"/>
    <x v="0"/>
    <d v="2025-12-15T14:39:00"/>
    <x v="75"/>
    <x v="12"/>
    <n v="5496"/>
    <n v="1"/>
    <n v="5496"/>
    <x v="1"/>
  </r>
  <r>
    <n v="439"/>
    <n v="234"/>
    <x v="1"/>
    <x v="356"/>
    <x v="0"/>
    <n v="2"/>
    <x v="0"/>
    <d v="2025-12-15T14:50:00"/>
    <x v="75"/>
    <x v="12"/>
    <n v="5284"/>
    <n v="2"/>
    <n v="10568"/>
    <x v="1"/>
  </r>
  <r>
    <n v="146"/>
    <n v="245"/>
    <x v="8"/>
    <x v="225"/>
    <x v="4"/>
    <n v="7"/>
    <x v="0"/>
    <d v="2025-12-15T14:54:00"/>
    <x v="75"/>
    <x v="12"/>
    <n v="4296"/>
    <n v="3"/>
    <n v="12888"/>
    <x v="2"/>
  </r>
  <r>
    <n v="256"/>
    <n v="30"/>
    <x v="6"/>
    <x v="336"/>
    <x v="1"/>
    <n v="6"/>
    <x v="0"/>
    <d v="2025-12-15T14:56:00"/>
    <x v="75"/>
    <x v="12"/>
    <n v="12000"/>
    <n v="2"/>
    <n v="24000"/>
    <x v="0"/>
  </r>
  <r>
    <n v="58"/>
    <n v="41"/>
    <x v="6"/>
    <x v="310"/>
    <x v="0"/>
    <n v="2"/>
    <x v="0"/>
    <d v="2025-12-15T15:44:00"/>
    <x v="75"/>
    <x v="13"/>
    <n v="6785"/>
    <n v="2"/>
    <n v="13570"/>
    <x v="1"/>
  </r>
  <r>
    <n v="789"/>
    <n v="133"/>
    <x v="9"/>
    <x v="112"/>
    <x v="3"/>
    <n v="1"/>
    <x v="0"/>
    <d v="2025-12-15T16:50:00"/>
    <x v="75"/>
    <x v="14"/>
    <n v="2335"/>
    <n v="1"/>
    <n v="2335"/>
    <x v="2"/>
  </r>
  <r>
    <n v="30"/>
    <n v="111"/>
    <x v="4"/>
    <x v="6"/>
    <x v="3"/>
    <n v="1"/>
    <x v="0"/>
    <d v="2025-12-15T17:18:00"/>
    <x v="75"/>
    <x v="15"/>
    <n v="7734"/>
    <n v="1"/>
    <n v="7734"/>
    <x v="1"/>
  </r>
  <r>
    <n v="131"/>
    <n v="277"/>
    <x v="4"/>
    <x v="378"/>
    <x v="6"/>
    <n v="5"/>
    <x v="0"/>
    <d v="2025-12-15T17:21:00"/>
    <x v="75"/>
    <x v="15"/>
    <n v="2075"/>
    <n v="5"/>
    <n v="10375"/>
    <x v="2"/>
  </r>
  <r>
    <n v="760"/>
    <n v="9"/>
    <x v="1"/>
    <x v="149"/>
    <x v="0"/>
    <n v="2"/>
    <x v="0"/>
    <d v="2025-12-15T17:34:00"/>
    <x v="75"/>
    <x v="15"/>
    <n v="8883"/>
    <n v="2"/>
    <n v="17766"/>
    <x v="1"/>
  </r>
  <r>
    <n v="678"/>
    <n v="68"/>
    <x v="4"/>
    <x v="153"/>
    <x v="5"/>
    <n v="4"/>
    <x v="0"/>
    <d v="2025-12-15T18:09:00"/>
    <x v="75"/>
    <x v="16"/>
    <n v="268"/>
    <n v="2"/>
    <n v="536"/>
    <x v="3"/>
  </r>
  <r>
    <n v="450"/>
    <n v="212"/>
    <x v="6"/>
    <x v="40"/>
    <x v="5"/>
    <n v="4"/>
    <x v="0"/>
    <d v="2025-12-15T18:49:00"/>
    <x v="75"/>
    <x v="16"/>
    <n v="475"/>
    <n v="4"/>
    <n v="1900"/>
    <x v="3"/>
  </r>
  <r>
    <n v="748"/>
    <n v="53"/>
    <x v="3"/>
    <x v="68"/>
    <x v="2"/>
    <n v="3"/>
    <x v="0"/>
    <d v="2025-12-15T18:52:00"/>
    <x v="75"/>
    <x v="16"/>
    <n v="3759"/>
    <n v="1"/>
    <n v="3759"/>
    <x v="2"/>
  </r>
  <r>
    <n v="267"/>
    <n v="212"/>
    <x v="8"/>
    <x v="155"/>
    <x v="0"/>
    <n v="2"/>
    <x v="0"/>
    <d v="2025-12-15T18:52:00"/>
    <x v="75"/>
    <x v="16"/>
    <n v="11931"/>
    <n v="3"/>
    <n v="35793"/>
    <x v="0"/>
  </r>
  <r>
    <n v="271"/>
    <n v="26"/>
    <x v="9"/>
    <x v="128"/>
    <x v="0"/>
    <n v="2"/>
    <x v="0"/>
    <d v="2025-12-15T19:25:00"/>
    <x v="75"/>
    <x v="22"/>
    <n v="5852"/>
    <n v="1"/>
    <n v="5852"/>
    <x v="1"/>
  </r>
  <r>
    <n v="550"/>
    <n v="226"/>
    <x v="3"/>
    <x v="248"/>
    <x v="0"/>
    <n v="2"/>
    <x v="0"/>
    <d v="2025-12-15T19:37:00"/>
    <x v="75"/>
    <x v="22"/>
    <n v="10313"/>
    <n v="1"/>
    <n v="10313"/>
    <x v="0"/>
  </r>
  <r>
    <n v="152"/>
    <n v="174"/>
    <x v="8"/>
    <x v="343"/>
    <x v="3"/>
    <n v="1"/>
    <x v="0"/>
    <d v="2025-12-15T19:45:00"/>
    <x v="75"/>
    <x v="22"/>
    <n v="2408"/>
    <n v="1"/>
    <n v="2408"/>
    <x v="2"/>
  </r>
  <r>
    <n v="325"/>
    <n v="21"/>
    <x v="4"/>
    <x v="153"/>
    <x v="5"/>
    <n v="4"/>
    <x v="0"/>
    <d v="2025-12-15T19:45:00"/>
    <x v="75"/>
    <x v="22"/>
    <n v="917"/>
    <n v="4"/>
    <n v="3668"/>
    <x v="3"/>
  </r>
  <r>
    <n v="404"/>
    <n v="274"/>
    <x v="6"/>
    <x v="224"/>
    <x v="4"/>
    <n v="7"/>
    <x v="0"/>
    <d v="2025-12-15T20:06:00"/>
    <x v="75"/>
    <x v="17"/>
    <n v="6491"/>
    <n v="1"/>
    <n v="6491"/>
    <x v="1"/>
  </r>
  <r>
    <n v="743"/>
    <n v="76"/>
    <x v="7"/>
    <x v="85"/>
    <x v="4"/>
    <n v="7"/>
    <x v="1"/>
    <d v="2025-12-15T20:56:00"/>
    <x v="75"/>
    <x v="17"/>
    <n v="3972"/>
    <n v="0"/>
    <n v="0"/>
    <x v="2"/>
  </r>
  <r>
    <n v="463"/>
    <n v="294"/>
    <x v="5"/>
    <x v="89"/>
    <x v="2"/>
    <n v="3"/>
    <x v="0"/>
    <d v="2025-12-15T22:20:00"/>
    <x v="75"/>
    <x v="18"/>
    <n v="3574"/>
    <n v="2"/>
    <n v="7148"/>
    <x v="2"/>
  </r>
  <r>
    <n v="134"/>
    <n v="44"/>
    <x v="4"/>
    <x v="102"/>
    <x v="3"/>
    <n v="1"/>
    <x v="0"/>
    <d v="2025-12-15T22:42:00"/>
    <x v="75"/>
    <x v="18"/>
    <n v="7142"/>
    <n v="2"/>
    <n v="14284"/>
    <x v="1"/>
  </r>
  <r>
    <n v="469"/>
    <n v="263"/>
    <x v="1"/>
    <x v="266"/>
    <x v="6"/>
    <n v="5"/>
    <x v="0"/>
    <d v="2025-12-15T23:01:00"/>
    <x v="75"/>
    <x v="19"/>
    <n v="976"/>
    <n v="3"/>
    <n v="2928"/>
    <x v="3"/>
  </r>
  <r>
    <n v="567"/>
    <n v="213"/>
    <x v="6"/>
    <x v="203"/>
    <x v="3"/>
    <n v="1"/>
    <x v="0"/>
    <d v="2025-12-15T23:03:00"/>
    <x v="75"/>
    <x v="19"/>
    <n v="1263"/>
    <n v="2"/>
    <n v="2526"/>
    <x v="2"/>
  </r>
  <r>
    <n v="686"/>
    <n v="38"/>
    <x v="9"/>
    <x v="51"/>
    <x v="3"/>
    <n v="1"/>
    <x v="0"/>
    <d v="2025-12-15T23:25:00"/>
    <x v="75"/>
    <x v="19"/>
    <n v="7793"/>
    <n v="2"/>
    <n v="15586"/>
    <x v="1"/>
  </r>
  <r>
    <n v="711"/>
    <n v="19"/>
    <x v="8"/>
    <x v="129"/>
    <x v="5"/>
    <n v="4"/>
    <x v="1"/>
    <d v="2025-12-15T23:37:00"/>
    <x v="75"/>
    <x v="19"/>
    <n v="805"/>
    <n v="0"/>
    <n v="0"/>
    <x v="3"/>
  </r>
  <r>
    <n v="155"/>
    <n v="181"/>
    <x v="5"/>
    <x v="183"/>
    <x v="3"/>
    <n v="1"/>
    <x v="0"/>
    <d v="2025-12-16T00:02:00"/>
    <x v="76"/>
    <x v="0"/>
    <n v="7658"/>
    <n v="1"/>
    <n v="7658"/>
    <x v="1"/>
  </r>
  <r>
    <n v="258"/>
    <n v="182"/>
    <x v="9"/>
    <x v="112"/>
    <x v="3"/>
    <n v="1"/>
    <x v="0"/>
    <d v="2025-12-16T00:15:00"/>
    <x v="76"/>
    <x v="0"/>
    <n v="1948"/>
    <n v="3"/>
    <n v="5844"/>
    <x v="2"/>
  </r>
  <r>
    <n v="506"/>
    <n v="53"/>
    <x v="6"/>
    <x v="40"/>
    <x v="5"/>
    <n v="4"/>
    <x v="0"/>
    <d v="2025-12-16T00:22:00"/>
    <x v="76"/>
    <x v="0"/>
    <n v="520"/>
    <n v="1"/>
    <n v="520"/>
    <x v="3"/>
  </r>
  <r>
    <n v="398"/>
    <n v="131"/>
    <x v="4"/>
    <x v="93"/>
    <x v="5"/>
    <n v="4"/>
    <x v="0"/>
    <d v="2025-12-16T00:25:00"/>
    <x v="76"/>
    <x v="0"/>
    <n v="292"/>
    <n v="3"/>
    <n v="876"/>
    <x v="3"/>
  </r>
  <r>
    <n v="187"/>
    <n v="84"/>
    <x v="3"/>
    <x v="138"/>
    <x v="6"/>
    <n v="5"/>
    <x v="0"/>
    <d v="2025-12-16T00:35:00"/>
    <x v="76"/>
    <x v="0"/>
    <n v="1735"/>
    <n v="3"/>
    <n v="5205"/>
    <x v="2"/>
  </r>
  <r>
    <n v="148"/>
    <n v="58"/>
    <x v="7"/>
    <x v="288"/>
    <x v="2"/>
    <n v="3"/>
    <x v="0"/>
    <d v="2025-12-16T00:38:00"/>
    <x v="76"/>
    <x v="0"/>
    <n v="1659"/>
    <n v="2"/>
    <n v="3318"/>
    <x v="2"/>
  </r>
  <r>
    <n v="329"/>
    <n v="134"/>
    <x v="2"/>
    <x v="332"/>
    <x v="4"/>
    <n v="7"/>
    <x v="0"/>
    <d v="2025-12-16T00:43:00"/>
    <x v="76"/>
    <x v="0"/>
    <n v="4467"/>
    <n v="1"/>
    <n v="4467"/>
    <x v="2"/>
  </r>
  <r>
    <n v="200"/>
    <n v="1"/>
    <x v="2"/>
    <x v="185"/>
    <x v="3"/>
    <n v="1"/>
    <x v="0"/>
    <d v="2025-12-16T02:39:00"/>
    <x v="76"/>
    <x v="2"/>
    <n v="5972"/>
    <n v="1"/>
    <n v="5972"/>
    <x v="1"/>
  </r>
  <r>
    <n v="297"/>
    <n v="151"/>
    <x v="5"/>
    <x v="246"/>
    <x v="3"/>
    <n v="1"/>
    <x v="0"/>
    <d v="2025-12-16T02:54:00"/>
    <x v="76"/>
    <x v="2"/>
    <n v="6747"/>
    <n v="3"/>
    <n v="20241"/>
    <x v="1"/>
  </r>
  <r>
    <n v="515"/>
    <n v="266"/>
    <x v="0"/>
    <x v="300"/>
    <x v="6"/>
    <n v="5"/>
    <x v="1"/>
    <d v="2025-12-16T03:14:00"/>
    <x v="76"/>
    <x v="3"/>
    <n v="2063"/>
    <n v="0"/>
    <n v="0"/>
    <x v="2"/>
  </r>
  <r>
    <n v="339"/>
    <n v="7"/>
    <x v="9"/>
    <x v="52"/>
    <x v="0"/>
    <n v="2"/>
    <x v="0"/>
    <d v="2025-12-16T04:09:00"/>
    <x v="76"/>
    <x v="4"/>
    <n v="12237"/>
    <n v="4"/>
    <n v="48948"/>
    <x v="0"/>
  </r>
  <r>
    <n v="11"/>
    <n v="192"/>
    <x v="0"/>
    <x v="87"/>
    <x v="5"/>
    <n v="4"/>
    <x v="0"/>
    <d v="2025-12-16T06:33:00"/>
    <x v="76"/>
    <x v="5"/>
    <n v="641"/>
    <n v="3"/>
    <n v="1923"/>
    <x v="3"/>
  </r>
  <r>
    <n v="701"/>
    <n v="179"/>
    <x v="2"/>
    <x v="21"/>
    <x v="3"/>
    <n v="1"/>
    <x v="0"/>
    <d v="2025-12-16T06:56:00"/>
    <x v="76"/>
    <x v="5"/>
    <n v="6177"/>
    <n v="2"/>
    <n v="12354"/>
    <x v="1"/>
  </r>
  <r>
    <n v="699"/>
    <n v="230"/>
    <x v="6"/>
    <x v="53"/>
    <x v="5"/>
    <n v="4"/>
    <x v="0"/>
    <d v="2025-12-16T07:40:00"/>
    <x v="76"/>
    <x v="6"/>
    <n v="309"/>
    <n v="2"/>
    <n v="618"/>
    <x v="3"/>
  </r>
  <r>
    <n v="187"/>
    <n v="204"/>
    <x v="9"/>
    <x v="260"/>
    <x v="1"/>
    <n v="6"/>
    <x v="0"/>
    <d v="2025-12-16T07:51:00"/>
    <x v="76"/>
    <x v="6"/>
    <n v="10071"/>
    <n v="3"/>
    <n v="30213"/>
    <x v="0"/>
  </r>
  <r>
    <n v="613"/>
    <n v="163"/>
    <x v="5"/>
    <x v="246"/>
    <x v="3"/>
    <n v="1"/>
    <x v="1"/>
    <d v="2025-12-16T08:00:00"/>
    <x v="76"/>
    <x v="7"/>
    <n v="4623"/>
    <n v="0"/>
    <n v="0"/>
    <x v="2"/>
  </r>
  <r>
    <n v="464"/>
    <n v="255"/>
    <x v="7"/>
    <x v="281"/>
    <x v="6"/>
    <n v="5"/>
    <x v="0"/>
    <d v="2025-12-16T08:14:00"/>
    <x v="76"/>
    <x v="7"/>
    <n v="2415"/>
    <n v="2"/>
    <n v="4830"/>
    <x v="2"/>
  </r>
  <r>
    <n v="368"/>
    <n v="291"/>
    <x v="4"/>
    <x v="316"/>
    <x v="0"/>
    <n v="2"/>
    <x v="0"/>
    <d v="2025-12-16T08:44:00"/>
    <x v="76"/>
    <x v="7"/>
    <n v="11731"/>
    <n v="2"/>
    <n v="23462"/>
    <x v="0"/>
  </r>
  <r>
    <n v="409"/>
    <n v="179"/>
    <x v="2"/>
    <x v="7"/>
    <x v="0"/>
    <n v="2"/>
    <x v="0"/>
    <d v="2025-12-16T09:14:00"/>
    <x v="76"/>
    <x v="8"/>
    <n v="6324"/>
    <n v="1"/>
    <n v="6324"/>
    <x v="1"/>
  </r>
  <r>
    <n v="138"/>
    <n v="15"/>
    <x v="4"/>
    <x v="19"/>
    <x v="5"/>
    <n v="4"/>
    <x v="0"/>
    <d v="2025-12-16T09:24:00"/>
    <x v="76"/>
    <x v="8"/>
    <n v="1003"/>
    <n v="1"/>
    <n v="1003"/>
    <x v="2"/>
  </r>
  <r>
    <n v="162"/>
    <n v="78"/>
    <x v="9"/>
    <x v="92"/>
    <x v="4"/>
    <n v="7"/>
    <x v="0"/>
    <d v="2025-12-16T09:28:00"/>
    <x v="76"/>
    <x v="8"/>
    <n v="6846"/>
    <n v="2"/>
    <n v="13692"/>
    <x v="1"/>
  </r>
  <r>
    <n v="331"/>
    <n v="211"/>
    <x v="1"/>
    <x v="9"/>
    <x v="5"/>
    <n v="4"/>
    <x v="0"/>
    <d v="2025-12-16T09:54:00"/>
    <x v="76"/>
    <x v="8"/>
    <n v="1209"/>
    <n v="1"/>
    <n v="1209"/>
    <x v="2"/>
  </r>
  <r>
    <n v="326"/>
    <n v="162"/>
    <x v="4"/>
    <x v="241"/>
    <x v="1"/>
    <n v="6"/>
    <x v="0"/>
    <d v="2025-12-16T09:58:00"/>
    <x v="76"/>
    <x v="8"/>
    <n v="5398"/>
    <n v="2"/>
    <n v="10796"/>
    <x v="1"/>
  </r>
  <r>
    <n v="239"/>
    <n v="224"/>
    <x v="9"/>
    <x v="18"/>
    <x v="3"/>
    <n v="1"/>
    <x v="0"/>
    <d v="2025-12-16T10:21:00"/>
    <x v="76"/>
    <x v="9"/>
    <n v="7345"/>
    <n v="3"/>
    <n v="22035"/>
    <x v="1"/>
  </r>
  <r>
    <n v="419"/>
    <n v="89"/>
    <x v="4"/>
    <x v="36"/>
    <x v="3"/>
    <n v="1"/>
    <x v="0"/>
    <d v="2025-12-16T10:52:00"/>
    <x v="76"/>
    <x v="9"/>
    <n v="3038"/>
    <n v="2"/>
    <n v="6076"/>
    <x v="2"/>
  </r>
  <r>
    <n v="783"/>
    <n v="93"/>
    <x v="7"/>
    <x v="117"/>
    <x v="3"/>
    <n v="1"/>
    <x v="0"/>
    <d v="2025-12-16T11:24:00"/>
    <x v="76"/>
    <x v="10"/>
    <n v="7890"/>
    <n v="4"/>
    <n v="31560"/>
    <x v="1"/>
  </r>
  <r>
    <n v="344"/>
    <n v="133"/>
    <x v="2"/>
    <x v="45"/>
    <x v="3"/>
    <n v="1"/>
    <x v="0"/>
    <d v="2025-12-16T12:01:00"/>
    <x v="76"/>
    <x v="11"/>
    <n v="1370"/>
    <n v="4"/>
    <n v="5480"/>
    <x v="2"/>
  </r>
  <r>
    <n v="348"/>
    <n v="50"/>
    <x v="0"/>
    <x v="292"/>
    <x v="6"/>
    <n v="5"/>
    <x v="1"/>
    <d v="2025-12-16T12:56:00"/>
    <x v="76"/>
    <x v="11"/>
    <n v="3416"/>
    <n v="0"/>
    <n v="0"/>
    <x v="2"/>
  </r>
  <r>
    <n v="671"/>
    <n v="276"/>
    <x v="1"/>
    <x v="16"/>
    <x v="5"/>
    <n v="4"/>
    <x v="0"/>
    <d v="2025-12-16T13:14:00"/>
    <x v="76"/>
    <x v="21"/>
    <n v="352"/>
    <n v="3"/>
    <n v="1056"/>
    <x v="3"/>
  </r>
  <r>
    <n v="588"/>
    <n v="274"/>
    <x v="0"/>
    <x v="67"/>
    <x v="3"/>
    <n v="1"/>
    <x v="0"/>
    <d v="2025-12-16T13:49:00"/>
    <x v="76"/>
    <x v="21"/>
    <n v="7048"/>
    <n v="2"/>
    <n v="14096"/>
    <x v="1"/>
  </r>
  <r>
    <n v="658"/>
    <n v="43"/>
    <x v="4"/>
    <x v="378"/>
    <x v="6"/>
    <n v="5"/>
    <x v="0"/>
    <d v="2025-12-16T14:14:00"/>
    <x v="76"/>
    <x v="12"/>
    <n v="1879"/>
    <n v="2"/>
    <n v="3758"/>
    <x v="2"/>
  </r>
  <r>
    <n v="79"/>
    <n v="191"/>
    <x v="1"/>
    <x v="16"/>
    <x v="5"/>
    <n v="4"/>
    <x v="0"/>
    <d v="2025-12-16T14:20:00"/>
    <x v="76"/>
    <x v="12"/>
    <n v="289"/>
    <n v="2"/>
    <n v="578"/>
    <x v="3"/>
  </r>
  <r>
    <n v="382"/>
    <n v="276"/>
    <x v="1"/>
    <x v="1"/>
    <x v="1"/>
    <n v="6"/>
    <x v="0"/>
    <d v="2025-12-16T14:21:00"/>
    <x v="76"/>
    <x v="12"/>
    <n v="6911"/>
    <n v="1"/>
    <n v="6911"/>
    <x v="1"/>
  </r>
  <r>
    <n v="549"/>
    <n v="256"/>
    <x v="3"/>
    <x v="4"/>
    <x v="0"/>
    <n v="2"/>
    <x v="0"/>
    <d v="2025-12-16T14:30:00"/>
    <x v="76"/>
    <x v="12"/>
    <n v="6539"/>
    <n v="3"/>
    <n v="19617"/>
    <x v="1"/>
  </r>
  <r>
    <n v="782"/>
    <n v="299"/>
    <x v="0"/>
    <x v="105"/>
    <x v="3"/>
    <n v="1"/>
    <x v="0"/>
    <d v="2025-12-16T14:45:00"/>
    <x v="76"/>
    <x v="12"/>
    <n v="4240"/>
    <n v="2"/>
    <n v="8480"/>
    <x v="2"/>
  </r>
  <r>
    <n v="570"/>
    <n v="276"/>
    <x v="6"/>
    <x v="219"/>
    <x v="3"/>
    <n v="1"/>
    <x v="0"/>
    <d v="2025-12-16T15:10:00"/>
    <x v="76"/>
    <x v="13"/>
    <n v="1969"/>
    <n v="1"/>
    <n v="1969"/>
    <x v="2"/>
  </r>
  <r>
    <n v="769"/>
    <n v="69"/>
    <x v="7"/>
    <x v="83"/>
    <x v="3"/>
    <n v="1"/>
    <x v="0"/>
    <d v="2025-12-16T16:01:00"/>
    <x v="76"/>
    <x v="14"/>
    <n v="1478"/>
    <n v="1"/>
    <n v="1478"/>
    <x v="2"/>
  </r>
  <r>
    <n v="182"/>
    <n v="292"/>
    <x v="0"/>
    <x v="322"/>
    <x v="5"/>
    <n v="4"/>
    <x v="1"/>
    <d v="2025-12-16T16:07:00"/>
    <x v="76"/>
    <x v="14"/>
    <n v="1229"/>
    <n v="0"/>
    <n v="0"/>
    <x v="2"/>
  </r>
  <r>
    <n v="538"/>
    <n v="246"/>
    <x v="8"/>
    <x v="343"/>
    <x v="3"/>
    <n v="1"/>
    <x v="0"/>
    <d v="2025-12-16T16:10:00"/>
    <x v="76"/>
    <x v="14"/>
    <n v="5170"/>
    <n v="4"/>
    <n v="20680"/>
    <x v="1"/>
  </r>
  <r>
    <n v="795"/>
    <n v="199"/>
    <x v="3"/>
    <x v="118"/>
    <x v="3"/>
    <n v="1"/>
    <x v="0"/>
    <d v="2025-12-16T17:38:00"/>
    <x v="76"/>
    <x v="15"/>
    <n v="2963"/>
    <n v="3"/>
    <n v="8889"/>
    <x v="2"/>
  </r>
  <r>
    <n v="767"/>
    <n v="160"/>
    <x v="7"/>
    <x v="54"/>
    <x v="3"/>
    <n v="1"/>
    <x v="0"/>
    <d v="2025-12-16T17:41:00"/>
    <x v="76"/>
    <x v="15"/>
    <n v="6229"/>
    <n v="3"/>
    <n v="18687"/>
    <x v="1"/>
  </r>
  <r>
    <n v="223"/>
    <n v="152"/>
    <x v="2"/>
    <x v="32"/>
    <x v="5"/>
    <n v="4"/>
    <x v="0"/>
    <d v="2025-12-16T17:58:00"/>
    <x v="76"/>
    <x v="15"/>
    <n v="398"/>
    <n v="1"/>
    <n v="398"/>
    <x v="3"/>
  </r>
  <r>
    <n v="145"/>
    <n v="224"/>
    <x v="1"/>
    <x v="8"/>
    <x v="3"/>
    <n v="1"/>
    <x v="0"/>
    <d v="2025-12-16T18:21:00"/>
    <x v="76"/>
    <x v="16"/>
    <n v="6286"/>
    <n v="4"/>
    <n v="25144"/>
    <x v="1"/>
  </r>
  <r>
    <n v="188"/>
    <n v="9"/>
    <x v="1"/>
    <x v="157"/>
    <x v="4"/>
    <n v="7"/>
    <x v="0"/>
    <d v="2025-12-16T18:42:00"/>
    <x v="76"/>
    <x v="16"/>
    <n v="2577"/>
    <n v="2"/>
    <n v="5154"/>
    <x v="2"/>
  </r>
  <r>
    <n v="292"/>
    <n v="84"/>
    <x v="1"/>
    <x v="366"/>
    <x v="0"/>
    <n v="2"/>
    <x v="1"/>
    <d v="2025-12-16T18:44:00"/>
    <x v="76"/>
    <x v="16"/>
    <n v="9160"/>
    <n v="0"/>
    <n v="0"/>
    <x v="1"/>
  </r>
  <r>
    <n v="116"/>
    <n v="145"/>
    <x v="3"/>
    <x v="248"/>
    <x v="0"/>
    <n v="2"/>
    <x v="0"/>
    <d v="2025-12-16T18:46:00"/>
    <x v="76"/>
    <x v="16"/>
    <n v="13951"/>
    <n v="1"/>
    <n v="13951"/>
    <x v="0"/>
  </r>
  <r>
    <n v="115"/>
    <n v="47"/>
    <x v="9"/>
    <x v="260"/>
    <x v="1"/>
    <n v="6"/>
    <x v="0"/>
    <d v="2025-12-16T18:49:00"/>
    <x v="76"/>
    <x v="16"/>
    <n v="10017"/>
    <n v="2"/>
    <n v="20034"/>
    <x v="0"/>
  </r>
  <r>
    <n v="779"/>
    <n v="209"/>
    <x v="8"/>
    <x v="114"/>
    <x v="2"/>
    <n v="3"/>
    <x v="0"/>
    <d v="2025-12-16T19:12:00"/>
    <x v="76"/>
    <x v="22"/>
    <n v="5472"/>
    <n v="4"/>
    <n v="21888"/>
    <x v="1"/>
  </r>
  <r>
    <n v="285"/>
    <n v="295"/>
    <x v="9"/>
    <x v="112"/>
    <x v="3"/>
    <n v="1"/>
    <x v="0"/>
    <d v="2025-12-16T19:33:00"/>
    <x v="76"/>
    <x v="22"/>
    <n v="5929"/>
    <n v="1"/>
    <n v="5929"/>
    <x v="1"/>
  </r>
  <r>
    <n v="165"/>
    <n v="264"/>
    <x v="1"/>
    <x v="194"/>
    <x v="3"/>
    <n v="1"/>
    <x v="1"/>
    <d v="2025-12-16T19:40:00"/>
    <x v="76"/>
    <x v="22"/>
    <n v="6726"/>
    <n v="0"/>
    <n v="0"/>
    <x v="1"/>
  </r>
  <r>
    <n v="59"/>
    <n v="113"/>
    <x v="3"/>
    <x v="304"/>
    <x v="1"/>
    <n v="6"/>
    <x v="0"/>
    <d v="2025-12-16T20:07:00"/>
    <x v="76"/>
    <x v="17"/>
    <n v="5119"/>
    <n v="5"/>
    <n v="25595"/>
    <x v="1"/>
  </r>
  <r>
    <n v="756"/>
    <n v="87"/>
    <x v="2"/>
    <x v="45"/>
    <x v="3"/>
    <n v="1"/>
    <x v="0"/>
    <d v="2025-12-16T20:52:00"/>
    <x v="76"/>
    <x v="17"/>
    <n v="4554"/>
    <n v="2"/>
    <n v="9108"/>
    <x v="2"/>
  </r>
  <r>
    <n v="357"/>
    <n v="101"/>
    <x v="0"/>
    <x v="105"/>
    <x v="3"/>
    <n v="1"/>
    <x v="0"/>
    <d v="2025-12-16T20:54:00"/>
    <x v="76"/>
    <x v="17"/>
    <n v="6586"/>
    <n v="3"/>
    <n v="19758"/>
    <x v="1"/>
  </r>
  <r>
    <n v="558"/>
    <n v="203"/>
    <x v="6"/>
    <x v="53"/>
    <x v="5"/>
    <n v="4"/>
    <x v="1"/>
    <d v="2025-12-16T21:12:00"/>
    <x v="76"/>
    <x v="23"/>
    <n v="456"/>
    <n v="0"/>
    <n v="0"/>
    <x v="3"/>
  </r>
  <r>
    <n v="647"/>
    <n v="24"/>
    <x v="0"/>
    <x v="233"/>
    <x v="4"/>
    <n v="7"/>
    <x v="0"/>
    <d v="2025-12-16T21:43:00"/>
    <x v="76"/>
    <x v="23"/>
    <n v="2893"/>
    <n v="3"/>
    <n v="8679"/>
    <x v="2"/>
  </r>
  <r>
    <n v="543"/>
    <n v="121"/>
    <x v="7"/>
    <x v="337"/>
    <x v="3"/>
    <n v="1"/>
    <x v="0"/>
    <d v="2025-12-16T21:51:00"/>
    <x v="76"/>
    <x v="23"/>
    <n v="3566"/>
    <n v="3"/>
    <n v="10698"/>
    <x v="2"/>
  </r>
  <r>
    <n v="567"/>
    <n v="83"/>
    <x v="0"/>
    <x v="67"/>
    <x v="3"/>
    <n v="1"/>
    <x v="0"/>
    <d v="2025-12-16T22:00:00"/>
    <x v="76"/>
    <x v="18"/>
    <n v="5667"/>
    <n v="2"/>
    <n v="11334"/>
    <x v="1"/>
  </r>
  <r>
    <n v="786"/>
    <n v="32"/>
    <x v="4"/>
    <x v="19"/>
    <x v="5"/>
    <n v="4"/>
    <x v="0"/>
    <d v="2025-12-16T22:26:00"/>
    <x v="76"/>
    <x v="18"/>
    <n v="1020"/>
    <n v="2"/>
    <n v="2040"/>
    <x v="2"/>
  </r>
  <r>
    <n v="715"/>
    <n v="222"/>
    <x v="2"/>
    <x v="226"/>
    <x v="5"/>
    <n v="4"/>
    <x v="0"/>
    <d v="2025-12-16T23:26:00"/>
    <x v="76"/>
    <x v="19"/>
    <n v="202"/>
    <n v="4"/>
    <n v="808"/>
    <x v="3"/>
  </r>
  <r>
    <n v="233"/>
    <n v="91"/>
    <x v="2"/>
    <x v="32"/>
    <x v="5"/>
    <n v="4"/>
    <x v="1"/>
    <d v="2025-12-17T00:10:00"/>
    <x v="77"/>
    <x v="0"/>
    <n v="419"/>
    <n v="0"/>
    <n v="0"/>
    <x v="3"/>
  </r>
  <r>
    <n v="625"/>
    <n v="198"/>
    <x v="5"/>
    <x v="183"/>
    <x v="3"/>
    <n v="1"/>
    <x v="0"/>
    <d v="2025-12-17T00:33:00"/>
    <x v="77"/>
    <x v="0"/>
    <n v="7996"/>
    <n v="1"/>
    <n v="7996"/>
    <x v="1"/>
  </r>
  <r>
    <n v="418"/>
    <n v="43"/>
    <x v="5"/>
    <x v="72"/>
    <x v="6"/>
    <n v="5"/>
    <x v="0"/>
    <d v="2025-12-17T01:08:00"/>
    <x v="77"/>
    <x v="1"/>
    <n v="3461"/>
    <n v="1"/>
    <n v="3461"/>
    <x v="2"/>
  </r>
  <r>
    <n v="556"/>
    <n v="207"/>
    <x v="1"/>
    <x v="1"/>
    <x v="1"/>
    <n v="6"/>
    <x v="0"/>
    <d v="2025-12-17T01:20:00"/>
    <x v="77"/>
    <x v="1"/>
    <n v="10256"/>
    <n v="2"/>
    <n v="20512"/>
    <x v="0"/>
  </r>
  <r>
    <n v="254"/>
    <n v="223"/>
    <x v="8"/>
    <x v="193"/>
    <x v="0"/>
    <n v="2"/>
    <x v="0"/>
    <d v="2025-12-17T01:47:00"/>
    <x v="77"/>
    <x v="1"/>
    <n v="6903"/>
    <n v="2"/>
    <n v="13806"/>
    <x v="1"/>
  </r>
  <r>
    <n v="77"/>
    <n v="98"/>
    <x v="1"/>
    <x v="314"/>
    <x v="6"/>
    <n v="5"/>
    <x v="0"/>
    <d v="2025-12-17T02:04:00"/>
    <x v="77"/>
    <x v="2"/>
    <n v="3017"/>
    <n v="1"/>
    <n v="3017"/>
    <x v="2"/>
  </r>
  <r>
    <n v="206"/>
    <n v="116"/>
    <x v="3"/>
    <x v="35"/>
    <x v="5"/>
    <n v="4"/>
    <x v="0"/>
    <d v="2025-12-17T02:09:00"/>
    <x v="77"/>
    <x v="2"/>
    <n v="506"/>
    <n v="1"/>
    <n v="506"/>
    <x v="3"/>
  </r>
  <r>
    <n v="690"/>
    <n v="277"/>
    <x v="4"/>
    <x v="102"/>
    <x v="3"/>
    <n v="1"/>
    <x v="0"/>
    <d v="2025-12-17T02:41:00"/>
    <x v="77"/>
    <x v="2"/>
    <n v="6983"/>
    <n v="2"/>
    <n v="13966"/>
    <x v="1"/>
  </r>
  <r>
    <n v="192"/>
    <n v="237"/>
    <x v="5"/>
    <x v="313"/>
    <x v="6"/>
    <n v="5"/>
    <x v="0"/>
    <d v="2025-12-17T03:03:00"/>
    <x v="77"/>
    <x v="3"/>
    <n v="3055"/>
    <n v="2"/>
    <n v="6110"/>
    <x v="2"/>
  </r>
  <r>
    <n v="489"/>
    <n v="167"/>
    <x v="1"/>
    <x v="266"/>
    <x v="6"/>
    <n v="5"/>
    <x v="0"/>
    <d v="2025-12-17T03:15:00"/>
    <x v="77"/>
    <x v="3"/>
    <n v="3926"/>
    <n v="3"/>
    <n v="11778"/>
    <x v="2"/>
  </r>
  <r>
    <n v="395"/>
    <n v="49"/>
    <x v="8"/>
    <x v="239"/>
    <x v="1"/>
    <n v="6"/>
    <x v="0"/>
    <d v="2025-12-17T04:19:00"/>
    <x v="77"/>
    <x v="4"/>
    <n v="2331"/>
    <n v="2"/>
    <n v="4662"/>
    <x v="2"/>
  </r>
  <r>
    <n v="596"/>
    <n v="86"/>
    <x v="2"/>
    <x v="38"/>
    <x v="6"/>
    <n v="5"/>
    <x v="0"/>
    <d v="2025-12-17T04:19:00"/>
    <x v="77"/>
    <x v="4"/>
    <n v="3287"/>
    <n v="4"/>
    <n v="13148"/>
    <x v="2"/>
  </r>
  <r>
    <n v="103"/>
    <n v="137"/>
    <x v="3"/>
    <x v="370"/>
    <x v="5"/>
    <n v="4"/>
    <x v="0"/>
    <d v="2025-12-17T04:29:00"/>
    <x v="77"/>
    <x v="4"/>
    <n v="187"/>
    <n v="4"/>
    <n v="748"/>
    <x v="3"/>
  </r>
  <r>
    <n v="131"/>
    <n v="240"/>
    <x v="1"/>
    <x v="8"/>
    <x v="3"/>
    <n v="1"/>
    <x v="0"/>
    <d v="2025-12-17T04:31:00"/>
    <x v="77"/>
    <x v="4"/>
    <n v="3220"/>
    <n v="1"/>
    <n v="3220"/>
    <x v="2"/>
  </r>
  <r>
    <n v="472"/>
    <n v="258"/>
    <x v="2"/>
    <x v="333"/>
    <x v="4"/>
    <n v="7"/>
    <x v="1"/>
    <d v="2025-12-17T05:10:00"/>
    <x v="77"/>
    <x v="20"/>
    <n v="6497"/>
    <n v="0"/>
    <n v="0"/>
    <x v="1"/>
  </r>
  <r>
    <n v="430"/>
    <n v="297"/>
    <x v="6"/>
    <x v="170"/>
    <x v="6"/>
    <n v="5"/>
    <x v="1"/>
    <d v="2025-12-17T05:42:00"/>
    <x v="77"/>
    <x v="20"/>
    <n v="3501"/>
    <n v="0"/>
    <n v="0"/>
    <x v="2"/>
  </r>
  <r>
    <n v="710"/>
    <n v="154"/>
    <x v="5"/>
    <x v="34"/>
    <x v="0"/>
    <n v="2"/>
    <x v="1"/>
    <d v="2025-12-17T05:52:00"/>
    <x v="77"/>
    <x v="20"/>
    <n v="12865"/>
    <n v="0"/>
    <n v="0"/>
    <x v="0"/>
  </r>
  <r>
    <n v="753"/>
    <n v="9"/>
    <x v="8"/>
    <x v="41"/>
    <x v="0"/>
    <n v="2"/>
    <x v="0"/>
    <d v="2025-12-17T06:22:00"/>
    <x v="77"/>
    <x v="5"/>
    <n v="9871"/>
    <n v="2"/>
    <n v="19742"/>
    <x v="1"/>
  </r>
  <r>
    <n v="378"/>
    <n v="205"/>
    <x v="2"/>
    <x v="99"/>
    <x v="0"/>
    <n v="2"/>
    <x v="0"/>
    <d v="2025-12-17T06:35:00"/>
    <x v="77"/>
    <x v="5"/>
    <n v="6627"/>
    <n v="2"/>
    <n v="13254"/>
    <x v="1"/>
  </r>
  <r>
    <n v="363"/>
    <n v="295"/>
    <x v="4"/>
    <x v="19"/>
    <x v="5"/>
    <n v="4"/>
    <x v="0"/>
    <d v="2025-12-17T07:13:00"/>
    <x v="77"/>
    <x v="6"/>
    <n v="1139"/>
    <n v="1"/>
    <n v="1139"/>
    <x v="2"/>
  </r>
  <r>
    <n v="210"/>
    <n v="158"/>
    <x v="6"/>
    <x v="282"/>
    <x v="2"/>
    <n v="3"/>
    <x v="0"/>
    <d v="2025-12-17T07:29:00"/>
    <x v="77"/>
    <x v="6"/>
    <n v="2141"/>
    <n v="1"/>
    <n v="2141"/>
    <x v="2"/>
  </r>
  <r>
    <n v="167"/>
    <n v="176"/>
    <x v="9"/>
    <x v="55"/>
    <x v="6"/>
    <n v="5"/>
    <x v="0"/>
    <d v="2025-12-17T07:43:00"/>
    <x v="77"/>
    <x v="6"/>
    <n v="3385"/>
    <n v="1"/>
    <n v="3385"/>
    <x v="2"/>
  </r>
  <r>
    <n v="688"/>
    <n v="223"/>
    <x v="9"/>
    <x v="113"/>
    <x v="5"/>
    <n v="4"/>
    <x v="0"/>
    <d v="2025-12-17T08:55:00"/>
    <x v="77"/>
    <x v="7"/>
    <n v="631"/>
    <n v="4"/>
    <n v="2524"/>
    <x v="3"/>
  </r>
  <r>
    <n v="756"/>
    <n v="153"/>
    <x v="0"/>
    <x v="283"/>
    <x v="0"/>
    <n v="2"/>
    <x v="0"/>
    <d v="2025-12-17T09:03:00"/>
    <x v="77"/>
    <x v="8"/>
    <n v="14418"/>
    <n v="3"/>
    <n v="43254"/>
    <x v="0"/>
  </r>
  <r>
    <n v="456"/>
    <n v="138"/>
    <x v="9"/>
    <x v="51"/>
    <x v="3"/>
    <n v="1"/>
    <x v="0"/>
    <d v="2025-12-17T09:06:00"/>
    <x v="77"/>
    <x v="8"/>
    <n v="2214"/>
    <n v="1"/>
    <n v="2214"/>
    <x v="2"/>
  </r>
  <r>
    <n v="422"/>
    <n v="217"/>
    <x v="4"/>
    <x v="335"/>
    <x v="6"/>
    <n v="5"/>
    <x v="0"/>
    <d v="2025-12-17T09:30:00"/>
    <x v="77"/>
    <x v="8"/>
    <n v="3412"/>
    <n v="2"/>
    <n v="6824"/>
    <x v="2"/>
  </r>
  <r>
    <n v="588"/>
    <n v="203"/>
    <x v="1"/>
    <x v="178"/>
    <x v="4"/>
    <n v="7"/>
    <x v="0"/>
    <d v="2025-12-17T11:02:00"/>
    <x v="77"/>
    <x v="10"/>
    <n v="6290"/>
    <n v="3"/>
    <n v="18870"/>
    <x v="1"/>
  </r>
  <r>
    <n v="567"/>
    <n v="235"/>
    <x v="3"/>
    <x v="365"/>
    <x v="6"/>
    <n v="5"/>
    <x v="0"/>
    <d v="2025-12-17T11:15:00"/>
    <x v="77"/>
    <x v="10"/>
    <n v="2595"/>
    <n v="3"/>
    <n v="7785"/>
    <x v="2"/>
  </r>
  <r>
    <n v="573"/>
    <n v="181"/>
    <x v="8"/>
    <x v="103"/>
    <x v="3"/>
    <n v="1"/>
    <x v="0"/>
    <d v="2025-12-17T11:16:00"/>
    <x v="77"/>
    <x v="10"/>
    <n v="3665"/>
    <n v="4"/>
    <n v="14660"/>
    <x v="2"/>
  </r>
  <r>
    <n v="416"/>
    <n v="142"/>
    <x v="9"/>
    <x v="191"/>
    <x v="6"/>
    <n v="5"/>
    <x v="0"/>
    <d v="2025-12-17T11:27:00"/>
    <x v="77"/>
    <x v="10"/>
    <n v="3724"/>
    <n v="1"/>
    <n v="3724"/>
    <x v="2"/>
  </r>
  <r>
    <n v="517"/>
    <n v="155"/>
    <x v="5"/>
    <x v="171"/>
    <x v="4"/>
    <n v="7"/>
    <x v="0"/>
    <d v="2025-12-17T11:46:00"/>
    <x v="77"/>
    <x v="10"/>
    <n v="2176"/>
    <n v="2"/>
    <n v="4352"/>
    <x v="2"/>
  </r>
  <r>
    <n v="296"/>
    <n v="235"/>
    <x v="8"/>
    <x v="114"/>
    <x v="2"/>
    <n v="3"/>
    <x v="0"/>
    <d v="2025-12-17T11:51:00"/>
    <x v="77"/>
    <x v="10"/>
    <n v="2431"/>
    <n v="1"/>
    <n v="2431"/>
    <x v="2"/>
  </r>
  <r>
    <n v="409"/>
    <n v="298"/>
    <x v="6"/>
    <x v="53"/>
    <x v="5"/>
    <n v="4"/>
    <x v="1"/>
    <d v="2025-12-17T12:19:00"/>
    <x v="77"/>
    <x v="11"/>
    <n v="1234"/>
    <n v="0"/>
    <n v="0"/>
    <x v="2"/>
  </r>
  <r>
    <n v="300"/>
    <n v="300"/>
    <x v="1"/>
    <x v="173"/>
    <x v="5"/>
    <n v="4"/>
    <x v="0"/>
    <d v="2025-12-17T15:01:00"/>
    <x v="77"/>
    <x v="13"/>
    <n v="1221"/>
    <n v="2"/>
    <n v="2442"/>
    <x v="2"/>
  </r>
  <r>
    <n v="324"/>
    <n v="6"/>
    <x v="7"/>
    <x v="83"/>
    <x v="3"/>
    <n v="1"/>
    <x v="0"/>
    <d v="2025-12-17T15:16:00"/>
    <x v="77"/>
    <x v="13"/>
    <n v="5186"/>
    <n v="2"/>
    <n v="10372"/>
    <x v="1"/>
  </r>
  <r>
    <n v="656"/>
    <n v="264"/>
    <x v="4"/>
    <x v="36"/>
    <x v="3"/>
    <n v="1"/>
    <x v="0"/>
    <d v="2025-12-17T15:28:00"/>
    <x v="77"/>
    <x v="13"/>
    <n v="7599"/>
    <n v="4"/>
    <n v="30396"/>
    <x v="1"/>
  </r>
  <r>
    <n v="122"/>
    <n v="17"/>
    <x v="6"/>
    <x v="294"/>
    <x v="6"/>
    <n v="5"/>
    <x v="0"/>
    <d v="2025-12-17T15:42:00"/>
    <x v="77"/>
    <x v="13"/>
    <n v="2220"/>
    <n v="5"/>
    <n v="11100"/>
    <x v="2"/>
  </r>
  <r>
    <n v="41"/>
    <n v="204"/>
    <x v="4"/>
    <x v="93"/>
    <x v="5"/>
    <n v="4"/>
    <x v="0"/>
    <d v="2025-12-17T15:45:00"/>
    <x v="77"/>
    <x v="13"/>
    <n v="389"/>
    <n v="2"/>
    <n v="778"/>
    <x v="3"/>
  </r>
  <r>
    <n v="63"/>
    <n v="10"/>
    <x v="3"/>
    <x v="338"/>
    <x v="4"/>
    <n v="7"/>
    <x v="0"/>
    <d v="2025-12-17T16:42:00"/>
    <x v="77"/>
    <x v="14"/>
    <n v="4726"/>
    <n v="1"/>
    <n v="4726"/>
    <x v="2"/>
  </r>
  <r>
    <n v="259"/>
    <n v="184"/>
    <x v="7"/>
    <x v="61"/>
    <x v="1"/>
    <n v="6"/>
    <x v="0"/>
    <d v="2025-12-17T16:56:00"/>
    <x v="77"/>
    <x v="14"/>
    <n v="10809"/>
    <n v="2"/>
    <n v="21618"/>
    <x v="0"/>
  </r>
  <r>
    <n v="570"/>
    <n v="277"/>
    <x v="5"/>
    <x v="10"/>
    <x v="1"/>
    <n v="6"/>
    <x v="0"/>
    <d v="2025-12-17T17:09:00"/>
    <x v="77"/>
    <x v="15"/>
    <n v="10374"/>
    <n v="2"/>
    <n v="20748"/>
    <x v="0"/>
  </r>
  <r>
    <n v="43"/>
    <n v="169"/>
    <x v="5"/>
    <x v="164"/>
    <x v="3"/>
    <n v="1"/>
    <x v="0"/>
    <d v="2025-12-17T17:38:00"/>
    <x v="77"/>
    <x v="15"/>
    <n v="5779"/>
    <n v="1"/>
    <n v="5779"/>
    <x v="1"/>
  </r>
  <r>
    <n v="243"/>
    <n v="243"/>
    <x v="3"/>
    <x v="383"/>
    <x v="0"/>
    <n v="2"/>
    <x v="0"/>
    <d v="2025-12-17T17:53:00"/>
    <x v="77"/>
    <x v="15"/>
    <n v="11860"/>
    <n v="2"/>
    <n v="23720"/>
    <x v="0"/>
  </r>
  <r>
    <n v="356"/>
    <n v="213"/>
    <x v="1"/>
    <x v="8"/>
    <x v="3"/>
    <n v="1"/>
    <x v="0"/>
    <d v="2025-12-17T18:21:00"/>
    <x v="77"/>
    <x v="16"/>
    <n v="3325"/>
    <n v="2"/>
    <n v="6650"/>
    <x v="2"/>
  </r>
  <r>
    <n v="380"/>
    <n v="7"/>
    <x v="4"/>
    <x v="388"/>
    <x v="4"/>
    <n v="7"/>
    <x v="0"/>
    <d v="2025-12-17T18:22:00"/>
    <x v="77"/>
    <x v="16"/>
    <n v="3244"/>
    <n v="1"/>
    <n v="3244"/>
    <x v="2"/>
  </r>
  <r>
    <n v="696"/>
    <n v="177"/>
    <x v="5"/>
    <x v="29"/>
    <x v="5"/>
    <n v="4"/>
    <x v="0"/>
    <d v="2025-12-17T19:07:00"/>
    <x v="77"/>
    <x v="22"/>
    <n v="50"/>
    <n v="3"/>
    <n v="150"/>
    <x v="3"/>
  </r>
  <r>
    <n v="607"/>
    <n v="183"/>
    <x v="2"/>
    <x v="205"/>
    <x v="6"/>
    <n v="5"/>
    <x v="0"/>
    <d v="2025-12-17T20:22:00"/>
    <x v="77"/>
    <x v="17"/>
    <n v="3748"/>
    <n v="1"/>
    <n v="3748"/>
    <x v="2"/>
  </r>
  <r>
    <n v="397"/>
    <n v="150"/>
    <x v="0"/>
    <x v="67"/>
    <x v="3"/>
    <n v="1"/>
    <x v="1"/>
    <d v="2025-12-17T20:49:00"/>
    <x v="77"/>
    <x v="17"/>
    <n v="6188"/>
    <n v="0"/>
    <n v="0"/>
    <x v="1"/>
  </r>
  <r>
    <n v="197"/>
    <n v="225"/>
    <x v="7"/>
    <x v="163"/>
    <x v="3"/>
    <n v="1"/>
    <x v="1"/>
    <d v="2025-12-17T22:11:00"/>
    <x v="77"/>
    <x v="18"/>
    <n v="1880"/>
    <n v="0"/>
    <n v="0"/>
    <x v="2"/>
  </r>
  <r>
    <n v="460"/>
    <n v="292"/>
    <x v="7"/>
    <x v="236"/>
    <x v="5"/>
    <n v="4"/>
    <x v="0"/>
    <d v="2025-12-17T22:16:00"/>
    <x v="77"/>
    <x v="18"/>
    <n v="1298"/>
    <n v="3"/>
    <n v="3894"/>
    <x v="2"/>
  </r>
  <r>
    <n v="670"/>
    <n v="61"/>
    <x v="8"/>
    <x v="111"/>
    <x v="2"/>
    <n v="3"/>
    <x v="1"/>
    <d v="2025-12-17T22:33:00"/>
    <x v="77"/>
    <x v="18"/>
    <n v="1981"/>
    <n v="0"/>
    <n v="0"/>
    <x v="2"/>
  </r>
  <r>
    <n v="659"/>
    <n v="18"/>
    <x v="4"/>
    <x v="66"/>
    <x v="3"/>
    <n v="1"/>
    <x v="1"/>
    <d v="2025-12-17T22:57:00"/>
    <x v="77"/>
    <x v="18"/>
    <n v="5389"/>
    <n v="0"/>
    <n v="0"/>
    <x v="1"/>
  </r>
  <r>
    <n v="382"/>
    <n v="63"/>
    <x v="5"/>
    <x v="244"/>
    <x v="1"/>
    <n v="6"/>
    <x v="0"/>
    <d v="2025-12-17T23:20:00"/>
    <x v="77"/>
    <x v="19"/>
    <n v="2368"/>
    <n v="3"/>
    <n v="7104"/>
    <x v="2"/>
  </r>
  <r>
    <n v="311"/>
    <n v="130"/>
    <x v="7"/>
    <x v="181"/>
    <x v="5"/>
    <n v="4"/>
    <x v="0"/>
    <d v="2025-12-17T23:34:00"/>
    <x v="77"/>
    <x v="19"/>
    <n v="65"/>
    <n v="2"/>
    <n v="130"/>
    <x v="3"/>
  </r>
  <r>
    <n v="403"/>
    <n v="248"/>
    <x v="9"/>
    <x v="303"/>
    <x v="2"/>
    <n v="3"/>
    <x v="0"/>
    <d v="2025-12-17T23:45:00"/>
    <x v="77"/>
    <x v="19"/>
    <n v="2684"/>
    <n v="1"/>
    <n v="2684"/>
    <x v="2"/>
  </r>
  <r>
    <n v="573"/>
    <n v="206"/>
    <x v="6"/>
    <x v="28"/>
    <x v="0"/>
    <n v="2"/>
    <x v="1"/>
    <d v="2025-12-17T23:48:00"/>
    <x v="77"/>
    <x v="19"/>
    <n v="8633"/>
    <n v="0"/>
    <n v="0"/>
    <x v="1"/>
  </r>
  <r>
    <n v="387"/>
    <n v="73"/>
    <x v="7"/>
    <x v="158"/>
    <x v="0"/>
    <n v="2"/>
    <x v="0"/>
    <d v="2025-12-18T00:02:00"/>
    <x v="78"/>
    <x v="0"/>
    <n v="10015"/>
    <n v="1"/>
    <n v="10015"/>
    <x v="0"/>
  </r>
  <r>
    <n v="626"/>
    <n v="224"/>
    <x v="6"/>
    <x v="371"/>
    <x v="2"/>
    <n v="3"/>
    <x v="0"/>
    <d v="2025-12-18T00:06:00"/>
    <x v="78"/>
    <x v="0"/>
    <n v="2391"/>
    <n v="1"/>
    <n v="2391"/>
    <x v="2"/>
  </r>
  <r>
    <n v="787"/>
    <n v="92"/>
    <x v="6"/>
    <x v="33"/>
    <x v="5"/>
    <n v="4"/>
    <x v="0"/>
    <d v="2025-12-18T00:41:00"/>
    <x v="78"/>
    <x v="0"/>
    <n v="898"/>
    <n v="1"/>
    <n v="898"/>
    <x v="3"/>
  </r>
  <r>
    <n v="9"/>
    <n v="170"/>
    <x v="1"/>
    <x v="359"/>
    <x v="2"/>
    <n v="3"/>
    <x v="1"/>
    <d v="2025-12-18T00:48:00"/>
    <x v="78"/>
    <x v="0"/>
    <n v="2901"/>
    <n v="0"/>
    <n v="0"/>
    <x v="2"/>
  </r>
  <r>
    <n v="31"/>
    <n v="133"/>
    <x v="7"/>
    <x v="54"/>
    <x v="3"/>
    <n v="1"/>
    <x v="0"/>
    <d v="2025-12-18T00:49:00"/>
    <x v="78"/>
    <x v="0"/>
    <n v="2842"/>
    <n v="2"/>
    <n v="5684"/>
    <x v="2"/>
  </r>
  <r>
    <n v="311"/>
    <n v="278"/>
    <x v="8"/>
    <x v="225"/>
    <x v="4"/>
    <n v="7"/>
    <x v="0"/>
    <d v="2025-12-18T01:11:00"/>
    <x v="78"/>
    <x v="1"/>
    <n v="5544"/>
    <n v="2"/>
    <n v="11088"/>
    <x v="1"/>
  </r>
  <r>
    <n v="612"/>
    <n v="115"/>
    <x v="6"/>
    <x v="262"/>
    <x v="5"/>
    <n v="4"/>
    <x v="0"/>
    <d v="2025-12-18T01:35:00"/>
    <x v="78"/>
    <x v="1"/>
    <n v="790"/>
    <n v="3"/>
    <n v="2370"/>
    <x v="3"/>
  </r>
  <r>
    <n v="99"/>
    <n v="119"/>
    <x v="6"/>
    <x v="53"/>
    <x v="5"/>
    <n v="4"/>
    <x v="0"/>
    <d v="2025-12-18T02:29:00"/>
    <x v="78"/>
    <x v="2"/>
    <n v="1303"/>
    <n v="1"/>
    <n v="1303"/>
    <x v="2"/>
  </r>
  <r>
    <n v="501"/>
    <n v="42"/>
    <x v="6"/>
    <x v="40"/>
    <x v="5"/>
    <n v="4"/>
    <x v="0"/>
    <d v="2025-12-18T02:52:00"/>
    <x v="78"/>
    <x v="2"/>
    <n v="1059"/>
    <n v="2"/>
    <n v="2118"/>
    <x v="2"/>
  </r>
  <r>
    <n v="224"/>
    <n v="53"/>
    <x v="6"/>
    <x v="262"/>
    <x v="5"/>
    <n v="4"/>
    <x v="0"/>
    <d v="2025-12-18T03:03:00"/>
    <x v="78"/>
    <x v="3"/>
    <n v="277"/>
    <n v="3"/>
    <n v="831"/>
    <x v="3"/>
  </r>
  <r>
    <n v="4"/>
    <n v="128"/>
    <x v="9"/>
    <x v="130"/>
    <x v="1"/>
    <n v="6"/>
    <x v="1"/>
    <d v="2025-12-18T03:46:00"/>
    <x v="78"/>
    <x v="3"/>
    <n v="4882"/>
    <n v="0"/>
    <n v="0"/>
    <x v="2"/>
  </r>
  <r>
    <n v="70"/>
    <n v="242"/>
    <x v="4"/>
    <x v="242"/>
    <x v="4"/>
    <n v="7"/>
    <x v="1"/>
    <d v="2025-12-18T04:07:00"/>
    <x v="78"/>
    <x v="4"/>
    <n v="4595"/>
    <n v="0"/>
    <n v="0"/>
    <x v="2"/>
  </r>
  <r>
    <n v="507"/>
    <n v="81"/>
    <x v="4"/>
    <x v="216"/>
    <x v="6"/>
    <n v="5"/>
    <x v="1"/>
    <d v="2025-12-18T04:09:00"/>
    <x v="78"/>
    <x v="4"/>
    <n v="1968"/>
    <n v="0"/>
    <n v="0"/>
    <x v="2"/>
  </r>
  <r>
    <n v="658"/>
    <n v="280"/>
    <x v="7"/>
    <x v="61"/>
    <x v="1"/>
    <n v="6"/>
    <x v="0"/>
    <d v="2025-12-18T04:31:00"/>
    <x v="78"/>
    <x v="4"/>
    <n v="9168"/>
    <n v="1"/>
    <n v="9168"/>
    <x v="1"/>
  </r>
  <r>
    <n v="570"/>
    <n v="165"/>
    <x v="9"/>
    <x v="231"/>
    <x v="3"/>
    <n v="1"/>
    <x v="0"/>
    <d v="2025-12-18T05:34:00"/>
    <x v="78"/>
    <x v="20"/>
    <n v="6918"/>
    <n v="3"/>
    <n v="20754"/>
    <x v="1"/>
  </r>
  <r>
    <n v="186"/>
    <n v="300"/>
    <x v="6"/>
    <x v="310"/>
    <x v="0"/>
    <n v="2"/>
    <x v="0"/>
    <d v="2025-12-18T05:48:00"/>
    <x v="78"/>
    <x v="20"/>
    <n v="9346"/>
    <n v="2"/>
    <n v="18692"/>
    <x v="1"/>
  </r>
  <r>
    <n v="730"/>
    <n v="161"/>
    <x v="6"/>
    <x v="384"/>
    <x v="1"/>
    <n v="6"/>
    <x v="0"/>
    <d v="2025-12-18T05:57:00"/>
    <x v="78"/>
    <x v="20"/>
    <n v="6888"/>
    <n v="2"/>
    <n v="13776"/>
    <x v="1"/>
  </r>
  <r>
    <n v="336"/>
    <n v="251"/>
    <x v="1"/>
    <x v="8"/>
    <x v="3"/>
    <n v="1"/>
    <x v="0"/>
    <d v="2025-12-18T06:01:00"/>
    <x v="78"/>
    <x v="5"/>
    <n v="1837"/>
    <n v="2"/>
    <n v="3674"/>
    <x v="2"/>
  </r>
  <r>
    <n v="69"/>
    <n v="29"/>
    <x v="1"/>
    <x v="77"/>
    <x v="3"/>
    <n v="1"/>
    <x v="0"/>
    <d v="2025-12-18T06:05:00"/>
    <x v="78"/>
    <x v="5"/>
    <n v="4130"/>
    <n v="3"/>
    <n v="12390"/>
    <x v="2"/>
  </r>
  <r>
    <n v="49"/>
    <n v="186"/>
    <x v="3"/>
    <x v="247"/>
    <x v="1"/>
    <n v="6"/>
    <x v="1"/>
    <d v="2025-12-18T06:20:00"/>
    <x v="78"/>
    <x v="5"/>
    <n v="7330"/>
    <n v="0"/>
    <n v="0"/>
    <x v="1"/>
  </r>
  <r>
    <n v="459"/>
    <n v="233"/>
    <x v="1"/>
    <x v="199"/>
    <x v="5"/>
    <n v="4"/>
    <x v="1"/>
    <d v="2025-12-18T06:44:00"/>
    <x v="78"/>
    <x v="5"/>
    <n v="787"/>
    <n v="0"/>
    <n v="0"/>
    <x v="3"/>
  </r>
  <r>
    <n v="784"/>
    <n v="188"/>
    <x v="8"/>
    <x v="309"/>
    <x v="1"/>
    <n v="6"/>
    <x v="0"/>
    <d v="2025-12-18T06:47:00"/>
    <x v="78"/>
    <x v="5"/>
    <n v="6971"/>
    <n v="2"/>
    <n v="13942"/>
    <x v="1"/>
  </r>
  <r>
    <n v="305"/>
    <n v="225"/>
    <x v="6"/>
    <x v="310"/>
    <x v="0"/>
    <n v="2"/>
    <x v="0"/>
    <d v="2025-12-18T08:01:00"/>
    <x v="78"/>
    <x v="7"/>
    <n v="14372"/>
    <n v="1"/>
    <n v="14372"/>
    <x v="0"/>
  </r>
  <r>
    <n v="473"/>
    <n v="61"/>
    <x v="7"/>
    <x v="357"/>
    <x v="3"/>
    <n v="1"/>
    <x v="1"/>
    <d v="2025-12-18T08:38:00"/>
    <x v="78"/>
    <x v="7"/>
    <n v="5506"/>
    <n v="0"/>
    <n v="0"/>
    <x v="1"/>
  </r>
  <r>
    <n v="585"/>
    <n v="236"/>
    <x v="7"/>
    <x v="117"/>
    <x v="3"/>
    <n v="1"/>
    <x v="1"/>
    <d v="2025-12-18T09:02:00"/>
    <x v="78"/>
    <x v="8"/>
    <n v="4016"/>
    <n v="0"/>
    <n v="0"/>
    <x v="2"/>
  </r>
  <r>
    <n v="209"/>
    <n v="19"/>
    <x v="7"/>
    <x v="94"/>
    <x v="5"/>
    <n v="4"/>
    <x v="0"/>
    <d v="2025-12-18T09:48:00"/>
    <x v="78"/>
    <x v="8"/>
    <n v="391"/>
    <n v="2"/>
    <n v="782"/>
    <x v="3"/>
  </r>
  <r>
    <n v="548"/>
    <n v="16"/>
    <x v="8"/>
    <x v="221"/>
    <x v="4"/>
    <n v="7"/>
    <x v="0"/>
    <d v="2025-12-18T09:50:00"/>
    <x v="78"/>
    <x v="8"/>
    <n v="4148"/>
    <n v="1"/>
    <n v="4148"/>
    <x v="2"/>
  </r>
  <r>
    <n v="223"/>
    <n v="216"/>
    <x v="1"/>
    <x v="220"/>
    <x v="4"/>
    <n v="7"/>
    <x v="0"/>
    <d v="2025-12-18T10:08:00"/>
    <x v="78"/>
    <x v="9"/>
    <n v="3219"/>
    <n v="1"/>
    <n v="3219"/>
    <x v="2"/>
  </r>
  <r>
    <n v="660"/>
    <n v="267"/>
    <x v="5"/>
    <x v="141"/>
    <x v="5"/>
    <n v="4"/>
    <x v="0"/>
    <d v="2025-12-18T10:34:00"/>
    <x v="78"/>
    <x v="9"/>
    <n v="55"/>
    <n v="1"/>
    <n v="55"/>
    <x v="3"/>
  </r>
  <r>
    <n v="526"/>
    <n v="243"/>
    <x v="2"/>
    <x v="205"/>
    <x v="6"/>
    <n v="5"/>
    <x v="0"/>
    <d v="2025-12-18T11:21:00"/>
    <x v="78"/>
    <x v="10"/>
    <n v="3154"/>
    <n v="2"/>
    <n v="6308"/>
    <x v="2"/>
  </r>
  <r>
    <n v="70"/>
    <n v="181"/>
    <x v="4"/>
    <x v="223"/>
    <x v="4"/>
    <n v="7"/>
    <x v="0"/>
    <d v="2025-12-18T12:01:00"/>
    <x v="78"/>
    <x v="11"/>
    <n v="5718"/>
    <n v="1"/>
    <n v="5718"/>
    <x v="1"/>
  </r>
  <r>
    <n v="202"/>
    <n v="5"/>
    <x v="3"/>
    <x v="4"/>
    <x v="0"/>
    <n v="2"/>
    <x v="0"/>
    <d v="2025-12-18T12:10:00"/>
    <x v="78"/>
    <x v="11"/>
    <n v="6897"/>
    <n v="2"/>
    <n v="13794"/>
    <x v="1"/>
  </r>
  <r>
    <n v="324"/>
    <n v="33"/>
    <x v="2"/>
    <x v="291"/>
    <x v="1"/>
    <n v="6"/>
    <x v="1"/>
    <d v="2025-12-18T13:25:00"/>
    <x v="78"/>
    <x v="21"/>
    <n v="6757"/>
    <n v="0"/>
    <n v="0"/>
    <x v="1"/>
  </r>
  <r>
    <n v="709"/>
    <n v="157"/>
    <x v="1"/>
    <x v="173"/>
    <x v="5"/>
    <n v="4"/>
    <x v="0"/>
    <d v="2025-12-18T13:28:00"/>
    <x v="78"/>
    <x v="21"/>
    <n v="583"/>
    <n v="2"/>
    <n v="1166"/>
    <x v="3"/>
  </r>
  <r>
    <n v="747"/>
    <n v="116"/>
    <x v="5"/>
    <x v="78"/>
    <x v="5"/>
    <n v="4"/>
    <x v="0"/>
    <d v="2025-12-18T14:23:00"/>
    <x v="78"/>
    <x v="12"/>
    <n v="853"/>
    <n v="2"/>
    <n v="1706"/>
    <x v="3"/>
  </r>
  <r>
    <n v="525"/>
    <n v="290"/>
    <x v="0"/>
    <x v="101"/>
    <x v="1"/>
    <n v="6"/>
    <x v="0"/>
    <d v="2025-12-18T15:57:00"/>
    <x v="78"/>
    <x v="13"/>
    <n v="9969"/>
    <n v="3"/>
    <n v="29907"/>
    <x v="1"/>
  </r>
  <r>
    <n v="193"/>
    <n v="150"/>
    <x v="2"/>
    <x v="97"/>
    <x v="6"/>
    <n v="5"/>
    <x v="0"/>
    <d v="2025-12-18T16:02:00"/>
    <x v="78"/>
    <x v="14"/>
    <n v="1221"/>
    <n v="2"/>
    <n v="2442"/>
    <x v="2"/>
  </r>
  <r>
    <n v="753"/>
    <n v="246"/>
    <x v="8"/>
    <x v="30"/>
    <x v="3"/>
    <n v="1"/>
    <x v="0"/>
    <d v="2025-12-18T16:36:00"/>
    <x v="78"/>
    <x v="14"/>
    <n v="3282"/>
    <n v="1"/>
    <n v="3282"/>
    <x v="2"/>
  </r>
  <r>
    <n v="607"/>
    <n v="204"/>
    <x v="2"/>
    <x v="256"/>
    <x v="4"/>
    <n v="7"/>
    <x v="0"/>
    <d v="2025-12-18T16:37:00"/>
    <x v="78"/>
    <x v="14"/>
    <n v="5306"/>
    <n v="1"/>
    <n v="5306"/>
    <x v="1"/>
  </r>
  <r>
    <n v="215"/>
    <n v="203"/>
    <x v="7"/>
    <x v="122"/>
    <x v="4"/>
    <n v="7"/>
    <x v="0"/>
    <d v="2025-12-18T16:51:00"/>
    <x v="78"/>
    <x v="14"/>
    <n v="6156"/>
    <n v="1"/>
    <n v="6156"/>
    <x v="1"/>
  </r>
  <r>
    <n v="264"/>
    <n v="193"/>
    <x v="9"/>
    <x v="52"/>
    <x v="0"/>
    <n v="2"/>
    <x v="0"/>
    <d v="2025-12-18T17:10:00"/>
    <x v="78"/>
    <x v="15"/>
    <n v="6337"/>
    <n v="4"/>
    <n v="25348"/>
    <x v="1"/>
  </r>
  <r>
    <n v="625"/>
    <n v="295"/>
    <x v="6"/>
    <x v="167"/>
    <x v="1"/>
    <n v="6"/>
    <x v="0"/>
    <d v="2025-12-18T17:33:00"/>
    <x v="78"/>
    <x v="15"/>
    <n v="8979"/>
    <n v="4"/>
    <n v="35916"/>
    <x v="1"/>
  </r>
  <r>
    <n v="50"/>
    <n v="273"/>
    <x v="0"/>
    <x v="229"/>
    <x v="6"/>
    <n v="5"/>
    <x v="1"/>
    <d v="2025-12-18T18:46:00"/>
    <x v="78"/>
    <x v="16"/>
    <n v="3013"/>
    <n v="0"/>
    <n v="0"/>
    <x v="2"/>
  </r>
  <r>
    <n v="234"/>
    <n v="296"/>
    <x v="6"/>
    <x v="28"/>
    <x v="0"/>
    <n v="2"/>
    <x v="0"/>
    <d v="2025-12-18T19:16:00"/>
    <x v="78"/>
    <x v="22"/>
    <n v="13840"/>
    <n v="3"/>
    <n v="41520"/>
    <x v="0"/>
  </r>
  <r>
    <n v="726"/>
    <n v="175"/>
    <x v="5"/>
    <x v="339"/>
    <x v="1"/>
    <n v="6"/>
    <x v="0"/>
    <d v="2025-12-18T19:33:00"/>
    <x v="78"/>
    <x v="22"/>
    <n v="2349"/>
    <n v="2"/>
    <n v="4698"/>
    <x v="2"/>
  </r>
  <r>
    <n v="609"/>
    <n v="210"/>
    <x v="1"/>
    <x v="149"/>
    <x v="0"/>
    <n v="2"/>
    <x v="0"/>
    <d v="2025-12-18T20:17:00"/>
    <x v="78"/>
    <x v="17"/>
    <n v="6530"/>
    <n v="2"/>
    <n v="13060"/>
    <x v="1"/>
  </r>
  <r>
    <n v="175"/>
    <n v="151"/>
    <x v="7"/>
    <x v="181"/>
    <x v="5"/>
    <n v="4"/>
    <x v="0"/>
    <d v="2025-12-18T21:37:00"/>
    <x v="78"/>
    <x v="23"/>
    <n v="1475"/>
    <n v="1"/>
    <n v="1475"/>
    <x v="2"/>
  </r>
  <r>
    <n v="305"/>
    <n v="235"/>
    <x v="3"/>
    <x v="326"/>
    <x v="6"/>
    <n v="5"/>
    <x v="0"/>
    <d v="2025-12-18T21:37:00"/>
    <x v="78"/>
    <x v="23"/>
    <n v="2337"/>
    <n v="3"/>
    <n v="7011"/>
    <x v="2"/>
  </r>
  <r>
    <n v="575"/>
    <n v="190"/>
    <x v="8"/>
    <x v="386"/>
    <x v="6"/>
    <n v="5"/>
    <x v="0"/>
    <d v="2025-12-18T23:25:00"/>
    <x v="78"/>
    <x v="19"/>
    <n v="3176"/>
    <n v="5"/>
    <n v="15880"/>
    <x v="2"/>
  </r>
  <r>
    <n v="773"/>
    <n v="267"/>
    <x v="9"/>
    <x v="274"/>
    <x v="2"/>
    <n v="3"/>
    <x v="0"/>
    <d v="2025-12-18T23:27:00"/>
    <x v="78"/>
    <x v="19"/>
    <n v="5484"/>
    <n v="2"/>
    <n v="10968"/>
    <x v="1"/>
  </r>
  <r>
    <n v="53"/>
    <n v="92"/>
    <x v="1"/>
    <x v="8"/>
    <x v="3"/>
    <n v="1"/>
    <x v="0"/>
    <d v="2025-12-19T00:12:00"/>
    <x v="79"/>
    <x v="0"/>
    <n v="2100"/>
    <n v="1"/>
    <n v="2100"/>
    <x v="2"/>
  </r>
  <r>
    <n v="598"/>
    <n v="237"/>
    <x v="8"/>
    <x v="207"/>
    <x v="0"/>
    <n v="2"/>
    <x v="0"/>
    <d v="2025-12-19T00:20:00"/>
    <x v="79"/>
    <x v="0"/>
    <n v="6186"/>
    <n v="1"/>
    <n v="6186"/>
    <x v="1"/>
  </r>
  <r>
    <n v="679"/>
    <n v="38"/>
    <x v="9"/>
    <x v="92"/>
    <x v="4"/>
    <n v="7"/>
    <x v="0"/>
    <d v="2025-12-19T00:24:00"/>
    <x v="79"/>
    <x v="0"/>
    <n v="7564"/>
    <n v="2"/>
    <n v="15128"/>
    <x v="1"/>
  </r>
  <r>
    <n v="193"/>
    <n v="232"/>
    <x v="3"/>
    <x v="383"/>
    <x v="0"/>
    <n v="2"/>
    <x v="0"/>
    <d v="2025-12-19T00:39:00"/>
    <x v="79"/>
    <x v="0"/>
    <n v="6208"/>
    <n v="3"/>
    <n v="18624"/>
    <x v="1"/>
  </r>
  <r>
    <n v="769"/>
    <n v="298"/>
    <x v="0"/>
    <x v="212"/>
    <x v="0"/>
    <n v="2"/>
    <x v="0"/>
    <d v="2025-12-19T01:07:00"/>
    <x v="79"/>
    <x v="1"/>
    <n v="5378"/>
    <n v="3"/>
    <n v="16134"/>
    <x v="1"/>
  </r>
  <r>
    <n v="102"/>
    <n v="137"/>
    <x v="7"/>
    <x v="348"/>
    <x v="0"/>
    <n v="2"/>
    <x v="1"/>
    <d v="2025-12-19T01:20:00"/>
    <x v="79"/>
    <x v="1"/>
    <n v="12622"/>
    <n v="0"/>
    <n v="0"/>
    <x v="0"/>
  </r>
  <r>
    <n v="536"/>
    <n v="201"/>
    <x v="8"/>
    <x v="41"/>
    <x v="0"/>
    <n v="2"/>
    <x v="0"/>
    <d v="2025-12-19T01:21:00"/>
    <x v="79"/>
    <x v="1"/>
    <n v="7393"/>
    <n v="2"/>
    <n v="14786"/>
    <x v="1"/>
  </r>
  <r>
    <n v="744"/>
    <n v="112"/>
    <x v="1"/>
    <x v="157"/>
    <x v="4"/>
    <n v="7"/>
    <x v="1"/>
    <d v="2025-12-19T01:45:00"/>
    <x v="79"/>
    <x v="1"/>
    <n v="5640"/>
    <n v="0"/>
    <n v="0"/>
    <x v="1"/>
  </r>
  <r>
    <n v="515"/>
    <n v="175"/>
    <x v="5"/>
    <x v="284"/>
    <x v="6"/>
    <n v="5"/>
    <x v="0"/>
    <d v="2025-12-19T02:47:00"/>
    <x v="79"/>
    <x v="2"/>
    <n v="3229"/>
    <n v="2"/>
    <n v="6458"/>
    <x v="2"/>
  </r>
  <r>
    <n v="794"/>
    <n v="42"/>
    <x v="3"/>
    <x v="43"/>
    <x v="4"/>
    <n v="7"/>
    <x v="0"/>
    <d v="2025-12-19T03:00:00"/>
    <x v="79"/>
    <x v="3"/>
    <n v="7682"/>
    <n v="2"/>
    <n v="15364"/>
    <x v="1"/>
  </r>
  <r>
    <n v="552"/>
    <n v="41"/>
    <x v="9"/>
    <x v="182"/>
    <x v="5"/>
    <n v="4"/>
    <x v="1"/>
    <d v="2025-12-19T03:06:00"/>
    <x v="79"/>
    <x v="3"/>
    <n v="1158"/>
    <n v="0"/>
    <n v="0"/>
    <x v="2"/>
  </r>
  <r>
    <n v="24"/>
    <n v="294"/>
    <x v="9"/>
    <x v="151"/>
    <x v="5"/>
    <n v="4"/>
    <x v="0"/>
    <d v="2025-12-19T03:22:00"/>
    <x v="79"/>
    <x v="3"/>
    <n v="585"/>
    <n v="1"/>
    <n v="585"/>
    <x v="3"/>
  </r>
  <r>
    <n v="480"/>
    <n v="296"/>
    <x v="1"/>
    <x v="251"/>
    <x v="0"/>
    <n v="2"/>
    <x v="1"/>
    <d v="2025-12-19T03:23:00"/>
    <x v="79"/>
    <x v="3"/>
    <n v="14211"/>
    <n v="0"/>
    <n v="0"/>
    <x v="0"/>
  </r>
  <r>
    <n v="574"/>
    <n v="218"/>
    <x v="6"/>
    <x v="279"/>
    <x v="4"/>
    <n v="7"/>
    <x v="1"/>
    <d v="2025-12-19T04:08:00"/>
    <x v="79"/>
    <x v="4"/>
    <n v="1873"/>
    <n v="0"/>
    <n v="0"/>
    <x v="2"/>
  </r>
  <r>
    <n v="383"/>
    <n v="46"/>
    <x v="5"/>
    <x v="13"/>
    <x v="6"/>
    <n v="5"/>
    <x v="0"/>
    <d v="2025-12-19T04:55:00"/>
    <x v="79"/>
    <x v="4"/>
    <n v="2631"/>
    <n v="3"/>
    <n v="7893"/>
    <x v="2"/>
  </r>
  <r>
    <n v="769"/>
    <n v="11"/>
    <x v="3"/>
    <x v="201"/>
    <x v="2"/>
    <n v="3"/>
    <x v="0"/>
    <d v="2025-12-19T05:18:00"/>
    <x v="79"/>
    <x v="20"/>
    <n v="4245"/>
    <n v="1"/>
    <n v="4245"/>
    <x v="2"/>
  </r>
  <r>
    <n v="327"/>
    <n v="100"/>
    <x v="0"/>
    <x v="0"/>
    <x v="0"/>
    <n v="2"/>
    <x v="0"/>
    <d v="2025-12-19T05:30:00"/>
    <x v="79"/>
    <x v="20"/>
    <n v="11796"/>
    <n v="3"/>
    <n v="35388"/>
    <x v="0"/>
  </r>
  <r>
    <n v="765"/>
    <n v="63"/>
    <x v="2"/>
    <x v="333"/>
    <x v="4"/>
    <n v="7"/>
    <x v="0"/>
    <d v="2025-12-19T06:13:00"/>
    <x v="79"/>
    <x v="5"/>
    <n v="2680"/>
    <n v="2"/>
    <n v="5360"/>
    <x v="2"/>
  </r>
  <r>
    <n v="82"/>
    <n v="6"/>
    <x v="5"/>
    <x v="258"/>
    <x v="2"/>
    <n v="3"/>
    <x v="0"/>
    <d v="2025-12-19T06:34:00"/>
    <x v="79"/>
    <x v="5"/>
    <n v="2592"/>
    <n v="2"/>
    <n v="5184"/>
    <x v="2"/>
  </r>
  <r>
    <n v="486"/>
    <n v="158"/>
    <x v="4"/>
    <x v="27"/>
    <x v="3"/>
    <n v="1"/>
    <x v="0"/>
    <d v="2025-12-19T07:20:00"/>
    <x v="79"/>
    <x v="6"/>
    <n v="3108"/>
    <n v="2"/>
    <n v="6216"/>
    <x v="2"/>
  </r>
  <r>
    <n v="125"/>
    <n v="125"/>
    <x v="6"/>
    <x v="219"/>
    <x v="3"/>
    <n v="1"/>
    <x v="0"/>
    <d v="2025-12-19T07:47:00"/>
    <x v="79"/>
    <x v="6"/>
    <n v="2231"/>
    <n v="1"/>
    <n v="2231"/>
    <x v="2"/>
  </r>
  <r>
    <n v="707"/>
    <n v="272"/>
    <x v="9"/>
    <x v="286"/>
    <x v="0"/>
    <n v="2"/>
    <x v="0"/>
    <d v="2025-12-19T08:27:00"/>
    <x v="79"/>
    <x v="7"/>
    <n v="10810"/>
    <n v="3"/>
    <n v="32430"/>
    <x v="0"/>
  </r>
  <r>
    <n v="735"/>
    <n v="63"/>
    <x v="1"/>
    <x v="23"/>
    <x v="5"/>
    <n v="4"/>
    <x v="1"/>
    <d v="2025-12-19T08:52:00"/>
    <x v="79"/>
    <x v="7"/>
    <n v="794"/>
    <n v="0"/>
    <n v="0"/>
    <x v="3"/>
  </r>
  <r>
    <n v="139"/>
    <n v="154"/>
    <x v="6"/>
    <x v="296"/>
    <x v="4"/>
    <n v="7"/>
    <x v="0"/>
    <d v="2025-12-19T09:06:00"/>
    <x v="79"/>
    <x v="8"/>
    <n v="1794"/>
    <n v="2"/>
    <n v="3588"/>
    <x v="2"/>
  </r>
  <r>
    <n v="411"/>
    <n v="36"/>
    <x v="8"/>
    <x v="166"/>
    <x v="3"/>
    <n v="1"/>
    <x v="0"/>
    <d v="2025-12-19T10:30:00"/>
    <x v="79"/>
    <x v="9"/>
    <n v="2903"/>
    <n v="2"/>
    <n v="5806"/>
    <x v="2"/>
  </r>
  <r>
    <n v="211"/>
    <n v="195"/>
    <x v="3"/>
    <x v="84"/>
    <x v="5"/>
    <n v="4"/>
    <x v="0"/>
    <d v="2025-12-19T10:50:00"/>
    <x v="79"/>
    <x v="9"/>
    <n v="908"/>
    <n v="1"/>
    <n v="908"/>
    <x v="3"/>
  </r>
  <r>
    <n v="223"/>
    <n v="179"/>
    <x v="8"/>
    <x v="193"/>
    <x v="0"/>
    <n v="2"/>
    <x v="0"/>
    <d v="2025-12-19T11:15:00"/>
    <x v="79"/>
    <x v="10"/>
    <n v="10458"/>
    <n v="3"/>
    <n v="31374"/>
    <x v="0"/>
  </r>
  <r>
    <n v="582"/>
    <n v="126"/>
    <x v="9"/>
    <x v="287"/>
    <x v="4"/>
    <n v="7"/>
    <x v="0"/>
    <d v="2025-12-19T11:22:00"/>
    <x v="79"/>
    <x v="10"/>
    <n v="5843"/>
    <n v="2"/>
    <n v="11686"/>
    <x v="1"/>
  </r>
  <r>
    <n v="62"/>
    <n v="4"/>
    <x v="5"/>
    <x v="258"/>
    <x v="2"/>
    <n v="3"/>
    <x v="0"/>
    <d v="2025-12-19T11:48:00"/>
    <x v="79"/>
    <x v="10"/>
    <n v="3192"/>
    <n v="3"/>
    <n v="9576"/>
    <x v="2"/>
  </r>
  <r>
    <n v="770"/>
    <n v="221"/>
    <x v="3"/>
    <x v="234"/>
    <x v="6"/>
    <n v="5"/>
    <x v="1"/>
    <d v="2025-12-19T12:10:00"/>
    <x v="79"/>
    <x v="11"/>
    <n v="3336"/>
    <n v="0"/>
    <n v="0"/>
    <x v="2"/>
  </r>
  <r>
    <n v="682"/>
    <n v="127"/>
    <x v="7"/>
    <x v="240"/>
    <x v="2"/>
    <n v="3"/>
    <x v="0"/>
    <d v="2025-12-19T12:15:00"/>
    <x v="79"/>
    <x v="11"/>
    <n v="2227"/>
    <n v="1"/>
    <n v="2227"/>
    <x v="2"/>
  </r>
  <r>
    <n v="385"/>
    <n v="123"/>
    <x v="6"/>
    <x v="33"/>
    <x v="5"/>
    <n v="4"/>
    <x v="0"/>
    <d v="2025-12-19T12:17:00"/>
    <x v="79"/>
    <x v="11"/>
    <n v="359"/>
    <n v="1"/>
    <n v="359"/>
    <x v="3"/>
  </r>
  <r>
    <n v="366"/>
    <n v="178"/>
    <x v="9"/>
    <x v="312"/>
    <x v="5"/>
    <n v="4"/>
    <x v="0"/>
    <d v="2025-12-19T12:42:00"/>
    <x v="79"/>
    <x v="11"/>
    <n v="1296"/>
    <n v="3"/>
    <n v="3888"/>
    <x v="2"/>
  </r>
  <r>
    <n v="253"/>
    <n v="202"/>
    <x v="2"/>
    <x v="38"/>
    <x v="6"/>
    <n v="5"/>
    <x v="0"/>
    <d v="2025-12-19T13:20:00"/>
    <x v="79"/>
    <x v="21"/>
    <n v="1124"/>
    <n v="1"/>
    <n v="1124"/>
    <x v="2"/>
  </r>
  <r>
    <n v="521"/>
    <n v="123"/>
    <x v="0"/>
    <x v="87"/>
    <x v="5"/>
    <n v="4"/>
    <x v="0"/>
    <d v="2025-12-19T13:40:00"/>
    <x v="79"/>
    <x v="21"/>
    <n v="1500"/>
    <n v="3"/>
    <n v="4500"/>
    <x v="2"/>
  </r>
  <r>
    <n v="29"/>
    <n v="82"/>
    <x v="4"/>
    <x v="388"/>
    <x v="4"/>
    <n v="7"/>
    <x v="0"/>
    <d v="2025-12-19T13:46:00"/>
    <x v="79"/>
    <x v="21"/>
    <n v="5410"/>
    <n v="1"/>
    <n v="5410"/>
    <x v="1"/>
  </r>
  <r>
    <n v="420"/>
    <n v="3"/>
    <x v="2"/>
    <x v="127"/>
    <x v="2"/>
    <n v="3"/>
    <x v="0"/>
    <d v="2025-12-19T14:15:00"/>
    <x v="79"/>
    <x v="12"/>
    <n v="6000"/>
    <n v="3"/>
    <n v="18000"/>
    <x v="1"/>
  </r>
  <r>
    <n v="534"/>
    <n v="43"/>
    <x v="7"/>
    <x v="337"/>
    <x v="3"/>
    <n v="1"/>
    <x v="0"/>
    <d v="2025-12-19T14:18:00"/>
    <x v="79"/>
    <x v="12"/>
    <n v="3737"/>
    <n v="1"/>
    <n v="3737"/>
    <x v="2"/>
  </r>
  <r>
    <n v="722"/>
    <n v="212"/>
    <x v="7"/>
    <x v="12"/>
    <x v="5"/>
    <n v="4"/>
    <x v="0"/>
    <d v="2025-12-19T14:33:00"/>
    <x v="79"/>
    <x v="12"/>
    <n v="753"/>
    <n v="2"/>
    <n v="1506"/>
    <x v="3"/>
  </r>
  <r>
    <n v="714"/>
    <n v="237"/>
    <x v="1"/>
    <x v="23"/>
    <x v="5"/>
    <n v="4"/>
    <x v="0"/>
    <d v="2025-12-19T14:38:00"/>
    <x v="79"/>
    <x v="12"/>
    <n v="50"/>
    <n v="3"/>
    <n v="150"/>
    <x v="3"/>
  </r>
  <r>
    <n v="549"/>
    <n v="154"/>
    <x v="5"/>
    <x v="86"/>
    <x v="2"/>
    <n v="3"/>
    <x v="0"/>
    <d v="2025-12-19T14:43:00"/>
    <x v="79"/>
    <x v="12"/>
    <n v="4272"/>
    <n v="3"/>
    <n v="12816"/>
    <x v="2"/>
  </r>
  <r>
    <n v="128"/>
    <n v="20"/>
    <x v="0"/>
    <x v="233"/>
    <x v="4"/>
    <n v="7"/>
    <x v="0"/>
    <d v="2025-12-19T14:49:00"/>
    <x v="79"/>
    <x v="12"/>
    <n v="4790"/>
    <n v="5"/>
    <n v="23950"/>
    <x v="2"/>
  </r>
  <r>
    <n v="2"/>
    <n v="70"/>
    <x v="3"/>
    <x v="3"/>
    <x v="3"/>
    <n v="1"/>
    <x v="0"/>
    <d v="2025-12-19T15:02:00"/>
    <x v="79"/>
    <x v="13"/>
    <n v="2689"/>
    <n v="1"/>
    <n v="2689"/>
    <x v="2"/>
  </r>
  <r>
    <n v="147"/>
    <n v="250"/>
    <x v="0"/>
    <x v="218"/>
    <x v="5"/>
    <n v="4"/>
    <x v="0"/>
    <d v="2025-12-19T15:04:00"/>
    <x v="79"/>
    <x v="13"/>
    <n v="963"/>
    <n v="3"/>
    <n v="2889"/>
    <x v="3"/>
  </r>
  <r>
    <n v="522"/>
    <n v="53"/>
    <x v="2"/>
    <x v="32"/>
    <x v="5"/>
    <n v="4"/>
    <x v="0"/>
    <d v="2025-12-19T15:17:00"/>
    <x v="79"/>
    <x v="13"/>
    <n v="815"/>
    <n v="1"/>
    <n v="815"/>
    <x v="3"/>
  </r>
  <r>
    <n v="278"/>
    <n v="233"/>
    <x v="7"/>
    <x v="235"/>
    <x v="0"/>
    <n v="2"/>
    <x v="0"/>
    <d v="2025-12-19T15:36:00"/>
    <x v="79"/>
    <x v="13"/>
    <n v="8437"/>
    <n v="2"/>
    <n v="16874"/>
    <x v="1"/>
  </r>
  <r>
    <n v="607"/>
    <n v="163"/>
    <x v="9"/>
    <x v="202"/>
    <x v="1"/>
    <n v="6"/>
    <x v="0"/>
    <d v="2025-12-19T15:53:00"/>
    <x v="79"/>
    <x v="13"/>
    <n v="3971"/>
    <n v="3"/>
    <n v="11913"/>
    <x v="2"/>
  </r>
  <r>
    <n v="589"/>
    <n v="23"/>
    <x v="9"/>
    <x v="287"/>
    <x v="4"/>
    <n v="7"/>
    <x v="0"/>
    <d v="2025-12-19T16:06:00"/>
    <x v="79"/>
    <x v="14"/>
    <n v="3042"/>
    <n v="2"/>
    <n v="6084"/>
    <x v="2"/>
  </r>
  <r>
    <n v="712"/>
    <n v="2"/>
    <x v="2"/>
    <x v="280"/>
    <x v="1"/>
    <n v="6"/>
    <x v="0"/>
    <d v="2025-12-19T16:55:00"/>
    <x v="79"/>
    <x v="14"/>
    <n v="8907"/>
    <n v="1"/>
    <n v="8907"/>
    <x v="1"/>
  </r>
  <r>
    <n v="550"/>
    <n v="143"/>
    <x v="4"/>
    <x v="335"/>
    <x v="6"/>
    <n v="5"/>
    <x v="0"/>
    <d v="2025-12-19T16:59:00"/>
    <x v="79"/>
    <x v="14"/>
    <n v="3021"/>
    <n v="1"/>
    <n v="3021"/>
    <x v="2"/>
  </r>
  <r>
    <n v="328"/>
    <n v="180"/>
    <x v="8"/>
    <x v="381"/>
    <x v="4"/>
    <n v="7"/>
    <x v="0"/>
    <d v="2025-12-19T17:17:00"/>
    <x v="79"/>
    <x v="15"/>
    <n v="6587"/>
    <n v="1"/>
    <n v="6587"/>
    <x v="1"/>
  </r>
  <r>
    <n v="551"/>
    <n v="233"/>
    <x v="5"/>
    <x v="313"/>
    <x v="6"/>
    <n v="5"/>
    <x v="1"/>
    <d v="2025-12-19T17:19:00"/>
    <x v="79"/>
    <x v="15"/>
    <n v="1419"/>
    <n v="0"/>
    <n v="0"/>
    <x v="2"/>
  </r>
  <r>
    <n v="273"/>
    <n v="101"/>
    <x v="1"/>
    <x v="77"/>
    <x v="3"/>
    <n v="1"/>
    <x v="0"/>
    <d v="2025-12-19T17:21:00"/>
    <x v="79"/>
    <x v="15"/>
    <n v="2163"/>
    <n v="2"/>
    <n v="4326"/>
    <x v="2"/>
  </r>
  <r>
    <n v="574"/>
    <n v="62"/>
    <x v="2"/>
    <x v="169"/>
    <x v="2"/>
    <n v="3"/>
    <x v="0"/>
    <d v="2025-12-19T17:44:00"/>
    <x v="79"/>
    <x v="15"/>
    <n v="1802"/>
    <n v="3"/>
    <n v="5406"/>
    <x v="2"/>
  </r>
  <r>
    <n v="795"/>
    <n v="18"/>
    <x v="2"/>
    <x v="280"/>
    <x v="1"/>
    <n v="6"/>
    <x v="0"/>
    <d v="2025-12-19T18:06:00"/>
    <x v="79"/>
    <x v="16"/>
    <n v="3918"/>
    <n v="2"/>
    <n v="7836"/>
    <x v="2"/>
  </r>
  <r>
    <n v="516"/>
    <n v="268"/>
    <x v="5"/>
    <x v="183"/>
    <x v="3"/>
    <n v="1"/>
    <x v="1"/>
    <d v="2025-12-19T19:02:00"/>
    <x v="79"/>
    <x v="22"/>
    <n v="2619"/>
    <n v="0"/>
    <n v="0"/>
    <x v="2"/>
  </r>
  <r>
    <n v="562"/>
    <n v="241"/>
    <x v="8"/>
    <x v="47"/>
    <x v="5"/>
    <n v="4"/>
    <x v="0"/>
    <d v="2025-12-19T19:23:00"/>
    <x v="79"/>
    <x v="22"/>
    <n v="242"/>
    <n v="4"/>
    <n v="968"/>
    <x v="3"/>
  </r>
  <r>
    <n v="228"/>
    <n v="120"/>
    <x v="6"/>
    <x v="302"/>
    <x v="4"/>
    <n v="7"/>
    <x v="0"/>
    <d v="2025-12-19T20:48:00"/>
    <x v="79"/>
    <x v="17"/>
    <n v="5263"/>
    <n v="1"/>
    <n v="5263"/>
    <x v="1"/>
  </r>
  <r>
    <n v="461"/>
    <n v="8"/>
    <x v="7"/>
    <x v="143"/>
    <x v="4"/>
    <n v="7"/>
    <x v="0"/>
    <d v="2025-12-19T20:50:00"/>
    <x v="79"/>
    <x v="17"/>
    <n v="3263"/>
    <n v="3"/>
    <n v="9789"/>
    <x v="2"/>
  </r>
  <r>
    <n v="620"/>
    <n v="7"/>
    <x v="5"/>
    <x v="352"/>
    <x v="2"/>
    <n v="3"/>
    <x v="0"/>
    <d v="2025-12-19T20:52:00"/>
    <x v="79"/>
    <x v="17"/>
    <n v="3404"/>
    <n v="4"/>
    <n v="13616"/>
    <x v="2"/>
  </r>
  <r>
    <n v="525"/>
    <n v="215"/>
    <x v="6"/>
    <x v="294"/>
    <x v="6"/>
    <n v="5"/>
    <x v="1"/>
    <d v="2025-12-19T20:54:00"/>
    <x v="79"/>
    <x v="17"/>
    <n v="3207"/>
    <n v="0"/>
    <n v="0"/>
    <x v="2"/>
  </r>
  <r>
    <n v="406"/>
    <n v="69"/>
    <x v="3"/>
    <x v="35"/>
    <x v="5"/>
    <n v="4"/>
    <x v="0"/>
    <d v="2025-12-19T20:59:00"/>
    <x v="79"/>
    <x v="17"/>
    <n v="50"/>
    <n v="5"/>
    <n v="250"/>
    <x v="3"/>
  </r>
  <r>
    <n v="269"/>
    <n v="35"/>
    <x v="4"/>
    <x v="102"/>
    <x v="3"/>
    <n v="1"/>
    <x v="1"/>
    <d v="2025-12-19T21:20:00"/>
    <x v="79"/>
    <x v="23"/>
    <n v="3791"/>
    <n v="0"/>
    <n v="0"/>
    <x v="2"/>
  </r>
  <r>
    <n v="626"/>
    <n v="18"/>
    <x v="5"/>
    <x v="257"/>
    <x v="3"/>
    <n v="1"/>
    <x v="0"/>
    <d v="2025-12-19T21:47:00"/>
    <x v="79"/>
    <x v="23"/>
    <n v="6254"/>
    <n v="2"/>
    <n v="12508"/>
    <x v="1"/>
  </r>
  <r>
    <n v="138"/>
    <n v="4"/>
    <x v="8"/>
    <x v="140"/>
    <x v="5"/>
    <n v="4"/>
    <x v="0"/>
    <d v="2025-12-19T21:48:00"/>
    <x v="79"/>
    <x v="23"/>
    <n v="1368"/>
    <n v="4"/>
    <n v="5472"/>
    <x v="2"/>
  </r>
  <r>
    <n v="21"/>
    <n v="29"/>
    <x v="7"/>
    <x v="107"/>
    <x v="6"/>
    <n v="5"/>
    <x v="0"/>
    <d v="2025-12-19T23:06:00"/>
    <x v="79"/>
    <x v="19"/>
    <n v="2087"/>
    <n v="2"/>
    <n v="4174"/>
    <x v="2"/>
  </r>
  <r>
    <n v="279"/>
    <n v="52"/>
    <x v="9"/>
    <x v="237"/>
    <x v="0"/>
    <n v="2"/>
    <x v="0"/>
    <d v="2025-12-19T23:55:00"/>
    <x v="79"/>
    <x v="19"/>
    <n v="12258"/>
    <n v="3"/>
    <n v="36774"/>
    <x v="0"/>
  </r>
  <r>
    <n v="381"/>
    <n v="123"/>
    <x v="4"/>
    <x v="137"/>
    <x v="6"/>
    <n v="5"/>
    <x v="0"/>
    <d v="2025-12-20T00:04:00"/>
    <x v="80"/>
    <x v="0"/>
    <n v="3024"/>
    <n v="3"/>
    <n v="9072"/>
    <x v="2"/>
  </r>
  <r>
    <n v="732"/>
    <n v="159"/>
    <x v="9"/>
    <x v="188"/>
    <x v="2"/>
    <n v="3"/>
    <x v="0"/>
    <d v="2025-12-20T00:06:00"/>
    <x v="80"/>
    <x v="0"/>
    <n v="1946"/>
    <n v="3"/>
    <n v="5838"/>
    <x v="2"/>
  </r>
  <r>
    <n v="769"/>
    <n v="142"/>
    <x v="4"/>
    <x v="153"/>
    <x v="5"/>
    <n v="4"/>
    <x v="1"/>
    <d v="2025-12-20T00:11:00"/>
    <x v="80"/>
    <x v="0"/>
    <n v="376"/>
    <n v="0"/>
    <n v="0"/>
    <x v="3"/>
  </r>
  <r>
    <n v="748"/>
    <n v="286"/>
    <x v="0"/>
    <x v="265"/>
    <x v="5"/>
    <n v="4"/>
    <x v="0"/>
    <d v="2025-12-20T00:15:00"/>
    <x v="80"/>
    <x v="0"/>
    <n v="1202"/>
    <n v="5"/>
    <n v="6010"/>
    <x v="2"/>
  </r>
  <r>
    <n v="589"/>
    <n v="209"/>
    <x v="2"/>
    <x v="80"/>
    <x v="0"/>
    <n v="2"/>
    <x v="0"/>
    <d v="2025-12-20T00:18:00"/>
    <x v="80"/>
    <x v="0"/>
    <n v="11653"/>
    <n v="5"/>
    <n v="58265"/>
    <x v="0"/>
  </r>
  <r>
    <n v="81"/>
    <n v="254"/>
    <x v="4"/>
    <x v="137"/>
    <x v="6"/>
    <n v="5"/>
    <x v="0"/>
    <d v="2025-12-20T00:38:00"/>
    <x v="80"/>
    <x v="0"/>
    <n v="1531"/>
    <n v="5"/>
    <n v="7655"/>
    <x v="2"/>
  </r>
  <r>
    <n v="297"/>
    <n v="8"/>
    <x v="4"/>
    <x v="6"/>
    <x v="3"/>
    <n v="1"/>
    <x v="0"/>
    <d v="2025-12-20T00:45:00"/>
    <x v="80"/>
    <x v="0"/>
    <n v="7849"/>
    <n v="5"/>
    <n v="39245"/>
    <x v="1"/>
  </r>
  <r>
    <n v="430"/>
    <n v="52"/>
    <x v="5"/>
    <x v="141"/>
    <x v="5"/>
    <n v="4"/>
    <x v="0"/>
    <d v="2025-12-20T00:57:00"/>
    <x v="80"/>
    <x v="0"/>
    <n v="747"/>
    <n v="5"/>
    <n v="3735"/>
    <x v="3"/>
  </r>
  <r>
    <n v="37"/>
    <n v="99"/>
    <x v="9"/>
    <x v="286"/>
    <x v="0"/>
    <n v="2"/>
    <x v="0"/>
    <d v="2025-12-20T02:57:00"/>
    <x v="80"/>
    <x v="2"/>
    <n v="5840"/>
    <n v="5"/>
    <n v="29200"/>
    <x v="1"/>
  </r>
  <r>
    <n v="102"/>
    <n v="196"/>
    <x v="3"/>
    <x v="138"/>
    <x v="6"/>
    <n v="5"/>
    <x v="0"/>
    <d v="2025-12-20T03:28:00"/>
    <x v="80"/>
    <x v="3"/>
    <n v="2046"/>
    <n v="2"/>
    <n v="4092"/>
    <x v="2"/>
  </r>
  <r>
    <n v="153"/>
    <n v="280"/>
    <x v="8"/>
    <x v="30"/>
    <x v="3"/>
    <n v="1"/>
    <x v="1"/>
    <d v="2025-12-20T04:47:00"/>
    <x v="80"/>
    <x v="4"/>
    <n v="2587"/>
    <n v="0"/>
    <n v="0"/>
    <x v="2"/>
  </r>
  <r>
    <n v="156"/>
    <n v="18"/>
    <x v="4"/>
    <x v="102"/>
    <x v="3"/>
    <n v="1"/>
    <x v="0"/>
    <d v="2025-12-20T04:51:00"/>
    <x v="80"/>
    <x v="4"/>
    <n v="4300"/>
    <n v="2"/>
    <n v="8600"/>
    <x v="2"/>
  </r>
  <r>
    <n v="401"/>
    <n v="213"/>
    <x v="6"/>
    <x v="11"/>
    <x v="2"/>
    <n v="3"/>
    <x v="1"/>
    <d v="2025-12-20T05:04:00"/>
    <x v="80"/>
    <x v="20"/>
    <n v="1864"/>
    <n v="0"/>
    <n v="0"/>
    <x v="2"/>
  </r>
  <r>
    <n v="202"/>
    <n v="210"/>
    <x v="9"/>
    <x v="113"/>
    <x v="5"/>
    <n v="4"/>
    <x v="0"/>
    <d v="2025-12-20T05:25:00"/>
    <x v="80"/>
    <x v="20"/>
    <n v="162"/>
    <n v="2"/>
    <n v="324"/>
    <x v="3"/>
  </r>
  <r>
    <n v="348"/>
    <n v="239"/>
    <x v="0"/>
    <x v="208"/>
    <x v="4"/>
    <n v="7"/>
    <x v="0"/>
    <d v="2025-12-20T05:27:00"/>
    <x v="80"/>
    <x v="20"/>
    <n v="6052"/>
    <n v="3"/>
    <n v="18156"/>
    <x v="1"/>
  </r>
  <r>
    <n v="62"/>
    <n v="50"/>
    <x v="6"/>
    <x v="385"/>
    <x v="0"/>
    <n v="2"/>
    <x v="0"/>
    <d v="2025-12-20T05:27:00"/>
    <x v="80"/>
    <x v="20"/>
    <n v="11904"/>
    <n v="5"/>
    <n v="59520"/>
    <x v="0"/>
  </r>
  <r>
    <n v="577"/>
    <n v="7"/>
    <x v="4"/>
    <x v="137"/>
    <x v="6"/>
    <n v="5"/>
    <x v="1"/>
    <d v="2025-12-20T05:57:00"/>
    <x v="80"/>
    <x v="20"/>
    <n v="2751"/>
    <n v="0"/>
    <n v="0"/>
    <x v="2"/>
  </r>
  <r>
    <n v="473"/>
    <n v="46"/>
    <x v="5"/>
    <x v="171"/>
    <x v="4"/>
    <n v="7"/>
    <x v="0"/>
    <d v="2025-12-20T06:24:00"/>
    <x v="80"/>
    <x v="5"/>
    <n v="1748"/>
    <n v="3"/>
    <n v="5244"/>
    <x v="2"/>
  </r>
  <r>
    <n v="463"/>
    <n v="88"/>
    <x v="0"/>
    <x v="39"/>
    <x v="3"/>
    <n v="1"/>
    <x v="0"/>
    <d v="2025-12-20T06:38:00"/>
    <x v="80"/>
    <x v="5"/>
    <n v="2737"/>
    <n v="3"/>
    <n v="8211"/>
    <x v="2"/>
  </r>
  <r>
    <n v="554"/>
    <n v="195"/>
    <x v="1"/>
    <x v="115"/>
    <x v="2"/>
    <n v="3"/>
    <x v="0"/>
    <d v="2025-12-20T06:56:00"/>
    <x v="80"/>
    <x v="5"/>
    <n v="2659"/>
    <n v="3"/>
    <n v="7977"/>
    <x v="2"/>
  </r>
  <r>
    <n v="78"/>
    <n v="200"/>
    <x v="3"/>
    <x v="230"/>
    <x v="1"/>
    <n v="6"/>
    <x v="0"/>
    <d v="2025-12-20T07:10:00"/>
    <x v="80"/>
    <x v="6"/>
    <n v="11100"/>
    <n v="3"/>
    <n v="33300"/>
    <x v="0"/>
  </r>
  <r>
    <n v="26"/>
    <n v="130"/>
    <x v="4"/>
    <x v="102"/>
    <x v="3"/>
    <n v="1"/>
    <x v="0"/>
    <d v="2025-12-20T07:11:00"/>
    <x v="80"/>
    <x v="6"/>
    <n v="4932"/>
    <n v="5"/>
    <n v="24660"/>
    <x v="2"/>
  </r>
  <r>
    <n v="115"/>
    <n v="254"/>
    <x v="7"/>
    <x v="236"/>
    <x v="5"/>
    <n v="4"/>
    <x v="0"/>
    <d v="2025-12-20T07:22:00"/>
    <x v="80"/>
    <x v="6"/>
    <n v="860"/>
    <n v="5"/>
    <n v="4300"/>
    <x v="3"/>
  </r>
  <r>
    <n v="71"/>
    <n v="243"/>
    <x v="4"/>
    <x v="241"/>
    <x v="1"/>
    <n v="6"/>
    <x v="0"/>
    <d v="2025-12-20T07:27:00"/>
    <x v="80"/>
    <x v="6"/>
    <n v="3908"/>
    <n v="5"/>
    <n v="19540"/>
    <x v="2"/>
  </r>
  <r>
    <n v="251"/>
    <n v="209"/>
    <x v="7"/>
    <x v="348"/>
    <x v="0"/>
    <n v="2"/>
    <x v="0"/>
    <d v="2025-12-20T07:29:00"/>
    <x v="80"/>
    <x v="6"/>
    <n v="4135"/>
    <n v="3"/>
    <n v="12405"/>
    <x v="2"/>
  </r>
  <r>
    <n v="301"/>
    <n v="68"/>
    <x v="5"/>
    <x v="313"/>
    <x v="6"/>
    <n v="5"/>
    <x v="0"/>
    <d v="2025-12-20T08:53:00"/>
    <x v="80"/>
    <x v="7"/>
    <n v="894"/>
    <n v="3"/>
    <n v="2682"/>
    <x v="3"/>
  </r>
  <r>
    <n v="664"/>
    <n v="204"/>
    <x v="4"/>
    <x v="196"/>
    <x v="5"/>
    <n v="4"/>
    <x v="0"/>
    <d v="2025-12-20T09:17:00"/>
    <x v="80"/>
    <x v="8"/>
    <n v="410"/>
    <n v="2"/>
    <n v="820"/>
    <x v="3"/>
  </r>
  <r>
    <n v="220"/>
    <n v="139"/>
    <x v="6"/>
    <x v="310"/>
    <x v="0"/>
    <n v="2"/>
    <x v="1"/>
    <d v="2025-12-20T09:51:00"/>
    <x v="80"/>
    <x v="8"/>
    <n v="4125"/>
    <n v="0"/>
    <n v="0"/>
    <x v="2"/>
  </r>
  <r>
    <n v="279"/>
    <n v="157"/>
    <x v="0"/>
    <x v="249"/>
    <x v="2"/>
    <n v="3"/>
    <x v="0"/>
    <d v="2025-12-20T10:01:00"/>
    <x v="80"/>
    <x v="9"/>
    <n v="2046"/>
    <n v="5"/>
    <n v="10230"/>
    <x v="2"/>
  </r>
  <r>
    <n v="385"/>
    <n v="12"/>
    <x v="8"/>
    <x v="387"/>
    <x v="4"/>
    <n v="7"/>
    <x v="0"/>
    <d v="2025-12-20T10:15:00"/>
    <x v="80"/>
    <x v="9"/>
    <n v="7605"/>
    <n v="3"/>
    <n v="22815"/>
    <x v="1"/>
  </r>
  <r>
    <n v="657"/>
    <n v="181"/>
    <x v="4"/>
    <x v="388"/>
    <x v="4"/>
    <n v="7"/>
    <x v="0"/>
    <d v="2025-12-20T10:22:00"/>
    <x v="80"/>
    <x v="9"/>
    <n v="3350"/>
    <n v="3"/>
    <n v="10050"/>
    <x v="2"/>
  </r>
  <r>
    <n v="482"/>
    <n v="210"/>
    <x v="5"/>
    <x v="246"/>
    <x v="3"/>
    <n v="1"/>
    <x v="1"/>
    <d v="2025-12-20T10:25:00"/>
    <x v="80"/>
    <x v="9"/>
    <n v="3435"/>
    <n v="0"/>
    <n v="0"/>
    <x v="2"/>
  </r>
  <r>
    <n v="308"/>
    <n v="286"/>
    <x v="8"/>
    <x v="132"/>
    <x v="5"/>
    <n v="4"/>
    <x v="0"/>
    <d v="2025-12-20T10:30:00"/>
    <x v="80"/>
    <x v="9"/>
    <n v="344"/>
    <n v="3"/>
    <n v="1032"/>
    <x v="3"/>
  </r>
  <r>
    <n v="354"/>
    <n v="184"/>
    <x v="4"/>
    <x v="63"/>
    <x v="2"/>
    <n v="3"/>
    <x v="0"/>
    <d v="2025-12-20T11:12:00"/>
    <x v="80"/>
    <x v="10"/>
    <n v="1843"/>
    <n v="3"/>
    <n v="5529"/>
    <x v="2"/>
  </r>
  <r>
    <n v="392"/>
    <n v="19"/>
    <x v="6"/>
    <x v="278"/>
    <x v="3"/>
    <n v="1"/>
    <x v="0"/>
    <d v="2025-12-20T11:42:00"/>
    <x v="80"/>
    <x v="10"/>
    <n v="5862"/>
    <n v="5"/>
    <n v="29310"/>
    <x v="1"/>
  </r>
  <r>
    <n v="684"/>
    <n v="57"/>
    <x v="1"/>
    <x v="149"/>
    <x v="0"/>
    <n v="2"/>
    <x v="0"/>
    <d v="2025-12-20T12:03:00"/>
    <x v="80"/>
    <x v="11"/>
    <n v="6007"/>
    <n v="5"/>
    <n v="30035"/>
    <x v="1"/>
  </r>
  <r>
    <n v="175"/>
    <n v="221"/>
    <x v="9"/>
    <x v="286"/>
    <x v="0"/>
    <n v="2"/>
    <x v="0"/>
    <d v="2025-12-20T12:20:00"/>
    <x v="80"/>
    <x v="11"/>
    <n v="9311"/>
    <n v="5"/>
    <n v="46555"/>
    <x v="1"/>
  </r>
  <r>
    <n v="549"/>
    <n v="212"/>
    <x v="7"/>
    <x v="26"/>
    <x v="6"/>
    <n v="5"/>
    <x v="1"/>
    <d v="2025-12-20T13:28:00"/>
    <x v="80"/>
    <x v="21"/>
    <n v="3020"/>
    <n v="0"/>
    <n v="0"/>
    <x v="2"/>
  </r>
  <r>
    <n v="527"/>
    <n v="216"/>
    <x v="3"/>
    <x v="232"/>
    <x v="3"/>
    <n v="1"/>
    <x v="1"/>
    <d v="2025-12-20T13:30:00"/>
    <x v="80"/>
    <x v="21"/>
    <n v="3136"/>
    <n v="0"/>
    <n v="0"/>
    <x v="2"/>
  </r>
  <r>
    <n v="61"/>
    <n v="5"/>
    <x v="8"/>
    <x v="134"/>
    <x v="0"/>
    <n v="2"/>
    <x v="0"/>
    <d v="2025-12-20T13:39:00"/>
    <x v="80"/>
    <x v="21"/>
    <n v="5988"/>
    <n v="3"/>
    <n v="17964"/>
    <x v="1"/>
  </r>
  <r>
    <n v="468"/>
    <n v="133"/>
    <x v="7"/>
    <x v="181"/>
    <x v="5"/>
    <n v="4"/>
    <x v="0"/>
    <d v="2025-12-20T13:50:00"/>
    <x v="80"/>
    <x v="21"/>
    <n v="1143"/>
    <n v="2"/>
    <n v="2286"/>
    <x v="2"/>
  </r>
  <r>
    <n v="674"/>
    <n v="286"/>
    <x v="5"/>
    <x v="297"/>
    <x v="2"/>
    <n v="3"/>
    <x v="0"/>
    <d v="2025-12-20T14:30:00"/>
    <x v="80"/>
    <x v="12"/>
    <n v="1754"/>
    <n v="2"/>
    <n v="3508"/>
    <x v="2"/>
  </r>
  <r>
    <n v="34"/>
    <n v="252"/>
    <x v="1"/>
    <x v="220"/>
    <x v="4"/>
    <n v="7"/>
    <x v="0"/>
    <d v="2025-12-20T16:40:00"/>
    <x v="80"/>
    <x v="14"/>
    <n v="2314"/>
    <n v="3"/>
    <n v="6942"/>
    <x v="2"/>
  </r>
  <r>
    <n v="88"/>
    <n v="224"/>
    <x v="9"/>
    <x v="312"/>
    <x v="5"/>
    <n v="4"/>
    <x v="0"/>
    <d v="2025-12-20T16:47:00"/>
    <x v="80"/>
    <x v="14"/>
    <n v="764"/>
    <n v="3"/>
    <n v="2292"/>
    <x v="3"/>
  </r>
  <r>
    <n v="585"/>
    <n v="271"/>
    <x v="0"/>
    <x v="154"/>
    <x v="3"/>
    <n v="1"/>
    <x v="0"/>
    <d v="2025-12-20T17:42:00"/>
    <x v="80"/>
    <x v="15"/>
    <n v="3285"/>
    <n v="3"/>
    <n v="9855"/>
    <x v="2"/>
  </r>
  <r>
    <n v="623"/>
    <n v="66"/>
    <x v="5"/>
    <x v="147"/>
    <x v="3"/>
    <n v="1"/>
    <x v="1"/>
    <d v="2025-12-20T18:29:00"/>
    <x v="80"/>
    <x v="16"/>
    <n v="7942"/>
    <n v="0"/>
    <n v="0"/>
    <x v="1"/>
  </r>
  <r>
    <n v="286"/>
    <n v="277"/>
    <x v="6"/>
    <x v="146"/>
    <x v="3"/>
    <n v="1"/>
    <x v="1"/>
    <d v="2025-12-20T18:36:00"/>
    <x v="80"/>
    <x v="16"/>
    <n v="7729"/>
    <n v="0"/>
    <n v="0"/>
    <x v="1"/>
  </r>
  <r>
    <n v="460"/>
    <n v="21"/>
    <x v="2"/>
    <x v="228"/>
    <x v="2"/>
    <n v="3"/>
    <x v="0"/>
    <d v="2025-12-20T18:50:00"/>
    <x v="80"/>
    <x v="16"/>
    <n v="3764"/>
    <n v="5"/>
    <n v="18820"/>
    <x v="2"/>
  </r>
  <r>
    <n v="588"/>
    <n v="271"/>
    <x v="1"/>
    <x v="115"/>
    <x v="2"/>
    <n v="3"/>
    <x v="0"/>
    <d v="2025-12-20T19:04:00"/>
    <x v="80"/>
    <x v="22"/>
    <n v="5510"/>
    <n v="5"/>
    <n v="27550"/>
    <x v="1"/>
  </r>
  <r>
    <n v="192"/>
    <n v="76"/>
    <x v="7"/>
    <x v="54"/>
    <x v="3"/>
    <n v="1"/>
    <x v="0"/>
    <d v="2025-12-20T20:45:00"/>
    <x v="80"/>
    <x v="17"/>
    <n v="4323"/>
    <n v="2"/>
    <n v="8646"/>
    <x v="2"/>
  </r>
  <r>
    <n v="171"/>
    <n v="103"/>
    <x v="4"/>
    <x v="102"/>
    <x v="3"/>
    <n v="1"/>
    <x v="0"/>
    <d v="2025-12-20T20:50:00"/>
    <x v="80"/>
    <x v="17"/>
    <n v="6656"/>
    <n v="2"/>
    <n v="13312"/>
    <x v="1"/>
  </r>
  <r>
    <n v="368"/>
    <n v="169"/>
    <x v="4"/>
    <x v="126"/>
    <x v="0"/>
    <n v="2"/>
    <x v="0"/>
    <d v="2025-12-20T21:33:00"/>
    <x v="80"/>
    <x v="23"/>
    <n v="12206"/>
    <n v="2"/>
    <n v="24412"/>
    <x v="0"/>
  </r>
  <r>
    <n v="63"/>
    <n v="11"/>
    <x v="5"/>
    <x v="257"/>
    <x v="3"/>
    <n v="1"/>
    <x v="0"/>
    <d v="2025-12-20T21:44:00"/>
    <x v="80"/>
    <x v="23"/>
    <n v="1000"/>
    <n v="2"/>
    <n v="2000"/>
    <x v="2"/>
  </r>
  <r>
    <n v="255"/>
    <n v="150"/>
    <x v="3"/>
    <x v="230"/>
    <x v="1"/>
    <n v="6"/>
    <x v="0"/>
    <d v="2025-12-20T22:18:00"/>
    <x v="80"/>
    <x v="18"/>
    <n v="2377"/>
    <n v="2"/>
    <n v="4754"/>
    <x v="2"/>
  </r>
  <r>
    <n v="114"/>
    <n v="3"/>
    <x v="5"/>
    <x v="34"/>
    <x v="0"/>
    <n v="2"/>
    <x v="0"/>
    <d v="2025-12-20T22:33:00"/>
    <x v="80"/>
    <x v="18"/>
    <n v="10639"/>
    <n v="5"/>
    <n v="53195"/>
    <x v="0"/>
  </r>
  <r>
    <n v="787"/>
    <n v="291"/>
    <x v="3"/>
    <x v="383"/>
    <x v="0"/>
    <n v="2"/>
    <x v="0"/>
    <d v="2025-12-20T22:56:00"/>
    <x v="80"/>
    <x v="18"/>
    <n v="4119"/>
    <n v="5"/>
    <n v="20595"/>
    <x v="2"/>
  </r>
  <r>
    <n v="416"/>
    <n v="2"/>
    <x v="7"/>
    <x v="107"/>
    <x v="6"/>
    <n v="5"/>
    <x v="0"/>
    <d v="2025-12-20T23:43:00"/>
    <x v="80"/>
    <x v="19"/>
    <n v="1030"/>
    <n v="3"/>
    <n v="3090"/>
    <x v="2"/>
  </r>
  <r>
    <n v="582"/>
    <n v="78"/>
    <x v="1"/>
    <x v="70"/>
    <x v="6"/>
    <n v="5"/>
    <x v="0"/>
    <d v="2025-12-21T00:26:00"/>
    <x v="81"/>
    <x v="0"/>
    <n v="990"/>
    <n v="4"/>
    <n v="3960"/>
    <x v="3"/>
  </r>
  <r>
    <n v="468"/>
    <n v="298"/>
    <x v="8"/>
    <x v="386"/>
    <x v="6"/>
    <n v="5"/>
    <x v="1"/>
    <d v="2025-12-21T01:20:00"/>
    <x v="81"/>
    <x v="1"/>
    <n v="1633"/>
    <n v="0"/>
    <n v="0"/>
    <x v="2"/>
  </r>
  <r>
    <n v="471"/>
    <n v="23"/>
    <x v="9"/>
    <x v="237"/>
    <x v="0"/>
    <n v="2"/>
    <x v="0"/>
    <d v="2025-12-21T01:21:00"/>
    <x v="81"/>
    <x v="1"/>
    <n v="12910"/>
    <n v="2"/>
    <n v="25820"/>
    <x v="0"/>
  </r>
  <r>
    <n v="308"/>
    <n v="279"/>
    <x v="3"/>
    <x v="59"/>
    <x v="2"/>
    <n v="3"/>
    <x v="0"/>
    <d v="2025-12-21T01:52:00"/>
    <x v="81"/>
    <x v="1"/>
    <n v="4484"/>
    <n v="2"/>
    <n v="8968"/>
    <x v="2"/>
  </r>
  <r>
    <n v="265"/>
    <n v="199"/>
    <x v="2"/>
    <x v="197"/>
    <x v="1"/>
    <n v="6"/>
    <x v="0"/>
    <d v="2025-12-21T01:56:00"/>
    <x v="81"/>
    <x v="1"/>
    <n v="3426"/>
    <n v="5"/>
    <n v="17130"/>
    <x v="2"/>
  </r>
  <r>
    <n v="612"/>
    <n v="264"/>
    <x v="0"/>
    <x v="101"/>
    <x v="1"/>
    <n v="6"/>
    <x v="0"/>
    <d v="2025-12-21T02:11:00"/>
    <x v="81"/>
    <x v="2"/>
    <n v="5833"/>
    <n v="5"/>
    <n v="29165"/>
    <x v="1"/>
  </r>
  <r>
    <n v="445"/>
    <n v="61"/>
    <x v="5"/>
    <x v="141"/>
    <x v="5"/>
    <n v="4"/>
    <x v="0"/>
    <d v="2025-12-21T02:32:00"/>
    <x v="81"/>
    <x v="2"/>
    <n v="767"/>
    <n v="4"/>
    <n v="3068"/>
    <x v="3"/>
  </r>
  <r>
    <n v="85"/>
    <n v="50"/>
    <x v="5"/>
    <x v="81"/>
    <x v="4"/>
    <n v="7"/>
    <x v="0"/>
    <d v="2025-12-21T02:45:00"/>
    <x v="81"/>
    <x v="2"/>
    <n v="2462"/>
    <n v="5"/>
    <n v="12310"/>
    <x v="2"/>
  </r>
  <r>
    <n v="679"/>
    <n v="285"/>
    <x v="6"/>
    <x v="278"/>
    <x v="3"/>
    <n v="1"/>
    <x v="0"/>
    <d v="2025-12-21T03:05:00"/>
    <x v="81"/>
    <x v="3"/>
    <n v="5130"/>
    <n v="4"/>
    <n v="20520"/>
    <x v="1"/>
  </r>
  <r>
    <n v="514"/>
    <n v="73"/>
    <x v="7"/>
    <x v="184"/>
    <x v="6"/>
    <n v="5"/>
    <x v="0"/>
    <d v="2025-12-21T05:35:00"/>
    <x v="81"/>
    <x v="20"/>
    <n v="3434"/>
    <n v="4"/>
    <n v="13736"/>
    <x v="2"/>
  </r>
  <r>
    <n v="19"/>
    <n v="97"/>
    <x v="7"/>
    <x v="337"/>
    <x v="3"/>
    <n v="1"/>
    <x v="0"/>
    <d v="2025-12-21T05:39:00"/>
    <x v="81"/>
    <x v="20"/>
    <n v="7312"/>
    <n v="5"/>
    <n v="36560"/>
    <x v="1"/>
  </r>
  <r>
    <n v="372"/>
    <n v="105"/>
    <x v="0"/>
    <x v="273"/>
    <x v="2"/>
    <n v="3"/>
    <x v="0"/>
    <d v="2025-12-21T06:09:00"/>
    <x v="81"/>
    <x v="5"/>
    <n v="3768"/>
    <n v="5"/>
    <n v="18840"/>
    <x v="2"/>
  </r>
  <r>
    <n v="423"/>
    <n v="211"/>
    <x v="5"/>
    <x v="195"/>
    <x v="4"/>
    <n v="7"/>
    <x v="0"/>
    <d v="2025-12-21T06:22:00"/>
    <x v="81"/>
    <x v="5"/>
    <n v="4343"/>
    <n v="2"/>
    <n v="8686"/>
    <x v="2"/>
  </r>
  <r>
    <n v="589"/>
    <n v="129"/>
    <x v="6"/>
    <x v="224"/>
    <x v="4"/>
    <n v="7"/>
    <x v="0"/>
    <d v="2025-12-21T06:26:00"/>
    <x v="81"/>
    <x v="5"/>
    <n v="1773"/>
    <n v="4"/>
    <n v="7092"/>
    <x v="2"/>
  </r>
  <r>
    <n v="443"/>
    <n v="227"/>
    <x v="7"/>
    <x v="240"/>
    <x v="2"/>
    <n v="3"/>
    <x v="1"/>
    <d v="2025-12-21T06:30:00"/>
    <x v="81"/>
    <x v="5"/>
    <n v="3918"/>
    <n v="0"/>
    <n v="0"/>
    <x v="2"/>
  </r>
  <r>
    <n v="60"/>
    <n v="282"/>
    <x v="0"/>
    <x v="273"/>
    <x v="2"/>
    <n v="3"/>
    <x v="0"/>
    <d v="2025-12-21T07:49:00"/>
    <x v="81"/>
    <x v="6"/>
    <n v="2880"/>
    <n v="5"/>
    <n v="14400"/>
    <x v="2"/>
  </r>
  <r>
    <n v="724"/>
    <n v="277"/>
    <x v="0"/>
    <x v="15"/>
    <x v="3"/>
    <n v="1"/>
    <x v="0"/>
    <d v="2025-12-21T08:45:00"/>
    <x v="81"/>
    <x v="7"/>
    <n v="2066"/>
    <n v="4"/>
    <n v="8264"/>
    <x v="2"/>
  </r>
  <r>
    <n v="142"/>
    <n v="114"/>
    <x v="3"/>
    <x v="91"/>
    <x v="3"/>
    <n v="1"/>
    <x v="0"/>
    <d v="2025-12-21T09:48:00"/>
    <x v="81"/>
    <x v="8"/>
    <n v="1902"/>
    <n v="5"/>
    <n v="9510"/>
    <x v="2"/>
  </r>
  <r>
    <n v="2"/>
    <n v="77"/>
    <x v="9"/>
    <x v="82"/>
    <x v="1"/>
    <n v="6"/>
    <x v="0"/>
    <d v="2025-12-21T11:55:00"/>
    <x v="81"/>
    <x v="10"/>
    <n v="10438"/>
    <n v="5"/>
    <n v="52190"/>
    <x v="0"/>
  </r>
  <r>
    <n v="355"/>
    <n v="257"/>
    <x v="0"/>
    <x v="323"/>
    <x v="0"/>
    <n v="2"/>
    <x v="0"/>
    <d v="2025-12-21T12:01:00"/>
    <x v="81"/>
    <x v="11"/>
    <n v="10279"/>
    <n v="4"/>
    <n v="41116"/>
    <x v="0"/>
  </r>
  <r>
    <n v="333"/>
    <n v="70"/>
    <x v="7"/>
    <x v="133"/>
    <x v="4"/>
    <n v="7"/>
    <x v="0"/>
    <d v="2025-12-21T12:13:00"/>
    <x v="81"/>
    <x v="11"/>
    <n v="2127"/>
    <n v="4"/>
    <n v="8508"/>
    <x v="2"/>
  </r>
  <r>
    <n v="198"/>
    <n v="211"/>
    <x v="6"/>
    <x v="203"/>
    <x v="3"/>
    <n v="1"/>
    <x v="0"/>
    <d v="2025-12-21T12:42:00"/>
    <x v="81"/>
    <x v="11"/>
    <n v="4746"/>
    <n v="4"/>
    <n v="18984"/>
    <x v="2"/>
  </r>
  <r>
    <n v="466"/>
    <n v="9"/>
    <x v="5"/>
    <x v="313"/>
    <x v="6"/>
    <n v="5"/>
    <x v="0"/>
    <d v="2025-12-21T12:59:00"/>
    <x v="81"/>
    <x v="11"/>
    <n v="1957"/>
    <n v="4"/>
    <n v="7828"/>
    <x v="2"/>
  </r>
  <r>
    <n v="635"/>
    <n v="49"/>
    <x v="1"/>
    <x v="115"/>
    <x v="2"/>
    <n v="3"/>
    <x v="1"/>
    <d v="2025-12-21T13:14:00"/>
    <x v="81"/>
    <x v="21"/>
    <n v="1518"/>
    <n v="0"/>
    <n v="0"/>
    <x v="2"/>
  </r>
  <r>
    <n v="719"/>
    <n v="170"/>
    <x v="4"/>
    <x v="27"/>
    <x v="3"/>
    <n v="1"/>
    <x v="0"/>
    <d v="2025-12-21T13:25:00"/>
    <x v="81"/>
    <x v="21"/>
    <n v="7406"/>
    <n v="5"/>
    <n v="37030"/>
    <x v="1"/>
  </r>
  <r>
    <n v="72"/>
    <n v="91"/>
    <x v="1"/>
    <x v="173"/>
    <x v="5"/>
    <n v="4"/>
    <x v="0"/>
    <d v="2025-12-21T13:49:00"/>
    <x v="81"/>
    <x v="21"/>
    <n v="350"/>
    <n v="5"/>
    <n v="1750"/>
    <x v="3"/>
  </r>
  <r>
    <n v="294"/>
    <n v="204"/>
    <x v="9"/>
    <x v="303"/>
    <x v="2"/>
    <n v="3"/>
    <x v="0"/>
    <d v="2025-12-21T14:12:00"/>
    <x v="81"/>
    <x v="12"/>
    <n v="4158"/>
    <n v="5"/>
    <n v="20790"/>
    <x v="2"/>
  </r>
  <r>
    <n v="617"/>
    <n v="89"/>
    <x v="0"/>
    <x v="254"/>
    <x v="4"/>
    <n v="7"/>
    <x v="1"/>
    <d v="2025-12-21T14:17:00"/>
    <x v="81"/>
    <x v="12"/>
    <n v="2253"/>
    <n v="0"/>
    <n v="0"/>
    <x v="2"/>
  </r>
  <r>
    <n v="419"/>
    <n v="13"/>
    <x v="7"/>
    <x v="156"/>
    <x v="0"/>
    <n v="2"/>
    <x v="0"/>
    <d v="2025-12-21T14:34:00"/>
    <x v="81"/>
    <x v="12"/>
    <n v="7417"/>
    <n v="5"/>
    <n v="37085"/>
    <x v="1"/>
  </r>
  <r>
    <n v="249"/>
    <n v="268"/>
    <x v="4"/>
    <x v="27"/>
    <x v="3"/>
    <n v="1"/>
    <x v="0"/>
    <d v="2025-12-21T14:55:00"/>
    <x v="81"/>
    <x v="12"/>
    <n v="1283"/>
    <n v="4"/>
    <n v="5132"/>
    <x v="2"/>
  </r>
  <r>
    <n v="92"/>
    <n v="90"/>
    <x v="1"/>
    <x v="314"/>
    <x v="6"/>
    <n v="5"/>
    <x v="0"/>
    <d v="2025-12-21T15:17:00"/>
    <x v="81"/>
    <x v="13"/>
    <n v="1421"/>
    <n v="5"/>
    <n v="7105"/>
    <x v="2"/>
  </r>
  <r>
    <n v="71"/>
    <n v="180"/>
    <x v="9"/>
    <x v="188"/>
    <x v="2"/>
    <n v="3"/>
    <x v="0"/>
    <d v="2025-12-21T15:24:00"/>
    <x v="81"/>
    <x v="13"/>
    <n v="3007"/>
    <n v="5"/>
    <n v="15035"/>
    <x v="2"/>
  </r>
  <r>
    <n v="546"/>
    <n v="192"/>
    <x v="0"/>
    <x v="300"/>
    <x v="6"/>
    <n v="5"/>
    <x v="1"/>
    <d v="2025-12-21T16:00:00"/>
    <x v="81"/>
    <x v="14"/>
    <n v="1030"/>
    <n v="0"/>
    <n v="0"/>
    <x v="2"/>
  </r>
  <r>
    <n v="770"/>
    <n v="167"/>
    <x v="2"/>
    <x v="97"/>
    <x v="6"/>
    <n v="5"/>
    <x v="0"/>
    <d v="2025-12-21T16:00:00"/>
    <x v="81"/>
    <x v="14"/>
    <n v="901"/>
    <n v="4"/>
    <n v="3604"/>
    <x v="3"/>
  </r>
  <r>
    <n v="391"/>
    <n v="24"/>
    <x v="7"/>
    <x v="83"/>
    <x v="3"/>
    <n v="1"/>
    <x v="1"/>
    <d v="2025-12-21T16:12:00"/>
    <x v="81"/>
    <x v="14"/>
    <n v="3033"/>
    <n v="0"/>
    <n v="0"/>
    <x v="2"/>
  </r>
  <r>
    <n v="451"/>
    <n v="215"/>
    <x v="4"/>
    <x v="153"/>
    <x v="5"/>
    <n v="4"/>
    <x v="0"/>
    <d v="2025-12-21T16:52:00"/>
    <x v="81"/>
    <x v="14"/>
    <n v="810"/>
    <n v="5"/>
    <n v="4050"/>
    <x v="3"/>
  </r>
  <r>
    <n v="26"/>
    <n v="55"/>
    <x v="7"/>
    <x v="54"/>
    <x v="3"/>
    <n v="1"/>
    <x v="0"/>
    <d v="2025-12-21T17:14:00"/>
    <x v="81"/>
    <x v="15"/>
    <n v="2916"/>
    <n v="5"/>
    <n v="14580"/>
    <x v="2"/>
  </r>
  <r>
    <n v="8"/>
    <n v="188"/>
    <x v="6"/>
    <x v="146"/>
    <x v="3"/>
    <n v="1"/>
    <x v="1"/>
    <d v="2025-12-21T17:22:00"/>
    <x v="81"/>
    <x v="15"/>
    <n v="5940"/>
    <n v="0"/>
    <n v="0"/>
    <x v="1"/>
  </r>
  <r>
    <n v="317"/>
    <n v="252"/>
    <x v="5"/>
    <x v="164"/>
    <x v="3"/>
    <n v="1"/>
    <x v="0"/>
    <d v="2025-12-21T17:53:00"/>
    <x v="81"/>
    <x v="15"/>
    <n v="5257"/>
    <n v="4"/>
    <n v="21028"/>
    <x v="1"/>
  </r>
  <r>
    <n v="572"/>
    <n v="216"/>
    <x v="5"/>
    <x v="195"/>
    <x v="4"/>
    <n v="7"/>
    <x v="0"/>
    <d v="2025-12-21T18:16:00"/>
    <x v="81"/>
    <x v="16"/>
    <n v="2651"/>
    <n v="2"/>
    <n v="5302"/>
    <x v="2"/>
  </r>
  <r>
    <n v="174"/>
    <n v="84"/>
    <x v="2"/>
    <x v="226"/>
    <x v="5"/>
    <n v="4"/>
    <x v="0"/>
    <d v="2025-12-21T18:58:00"/>
    <x v="81"/>
    <x v="16"/>
    <n v="271"/>
    <n v="2"/>
    <n v="542"/>
    <x v="3"/>
  </r>
  <r>
    <n v="470"/>
    <n v="94"/>
    <x v="1"/>
    <x v="115"/>
    <x v="2"/>
    <n v="3"/>
    <x v="0"/>
    <d v="2025-12-21T19:33:00"/>
    <x v="81"/>
    <x v="22"/>
    <n v="4290"/>
    <n v="4"/>
    <n v="17160"/>
    <x v="2"/>
  </r>
  <r>
    <n v="402"/>
    <n v="215"/>
    <x v="0"/>
    <x v="334"/>
    <x v="4"/>
    <n v="7"/>
    <x v="0"/>
    <d v="2025-12-21T19:58:00"/>
    <x v="81"/>
    <x v="22"/>
    <n v="4760"/>
    <n v="2"/>
    <n v="9520"/>
    <x v="2"/>
  </r>
  <r>
    <n v="410"/>
    <n v="79"/>
    <x v="6"/>
    <x v="203"/>
    <x v="3"/>
    <n v="1"/>
    <x v="0"/>
    <d v="2025-12-21T20:16:00"/>
    <x v="81"/>
    <x v="17"/>
    <n v="6761"/>
    <n v="2"/>
    <n v="13522"/>
    <x v="1"/>
  </r>
  <r>
    <n v="453"/>
    <n v="210"/>
    <x v="1"/>
    <x v="149"/>
    <x v="0"/>
    <n v="2"/>
    <x v="0"/>
    <d v="2025-12-21T20:19:00"/>
    <x v="81"/>
    <x v="17"/>
    <n v="6071"/>
    <n v="5"/>
    <n v="30355"/>
    <x v="1"/>
  </r>
  <r>
    <n v="639"/>
    <n v="151"/>
    <x v="3"/>
    <x v="56"/>
    <x v="5"/>
    <n v="4"/>
    <x v="0"/>
    <d v="2025-12-21T20:27:00"/>
    <x v="81"/>
    <x v="17"/>
    <n v="1193"/>
    <n v="2"/>
    <n v="2386"/>
    <x v="2"/>
  </r>
  <r>
    <n v="164"/>
    <n v="297"/>
    <x v="1"/>
    <x v="1"/>
    <x v="1"/>
    <n v="6"/>
    <x v="0"/>
    <d v="2025-12-21T20:42:00"/>
    <x v="81"/>
    <x v="17"/>
    <n v="9793"/>
    <n v="4"/>
    <n v="39172"/>
    <x v="1"/>
  </r>
  <r>
    <n v="16"/>
    <n v="19"/>
    <x v="5"/>
    <x v="195"/>
    <x v="4"/>
    <n v="7"/>
    <x v="0"/>
    <d v="2025-12-21T21:06:00"/>
    <x v="81"/>
    <x v="23"/>
    <n v="2119"/>
    <n v="4"/>
    <n v="8476"/>
    <x v="2"/>
  </r>
  <r>
    <n v="513"/>
    <n v="290"/>
    <x v="3"/>
    <x v="118"/>
    <x v="3"/>
    <n v="1"/>
    <x v="1"/>
    <d v="2025-12-21T21:25:00"/>
    <x v="81"/>
    <x v="23"/>
    <n v="4236"/>
    <n v="0"/>
    <n v="0"/>
    <x v="2"/>
  </r>
  <r>
    <n v="241"/>
    <n v="161"/>
    <x v="4"/>
    <x v="153"/>
    <x v="5"/>
    <n v="4"/>
    <x v="0"/>
    <d v="2025-12-21T21:34:00"/>
    <x v="81"/>
    <x v="23"/>
    <n v="993"/>
    <n v="2"/>
    <n v="1986"/>
    <x v="3"/>
  </r>
  <r>
    <n v="315"/>
    <n v="215"/>
    <x v="7"/>
    <x v="357"/>
    <x v="3"/>
    <n v="1"/>
    <x v="0"/>
    <d v="2025-12-21T21:34:00"/>
    <x v="81"/>
    <x v="23"/>
    <n v="3134"/>
    <n v="5"/>
    <n v="15670"/>
    <x v="2"/>
  </r>
  <r>
    <n v="155"/>
    <n v="45"/>
    <x v="4"/>
    <x v="196"/>
    <x v="5"/>
    <n v="4"/>
    <x v="0"/>
    <d v="2025-12-21T21:53:00"/>
    <x v="81"/>
    <x v="23"/>
    <n v="904"/>
    <n v="2"/>
    <n v="1808"/>
    <x v="3"/>
  </r>
  <r>
    <n v="620"/>
    <n v="183"/>
    <x v="2"/>
    <x v="80"/>
    <x v="0"/>
    <n v="2"/>
    <x v="0"/>
    <d v="2025-12-21T22:01:00"/>
    <x v="81"/>
    <x v="18"/>
    <n v="9635"/>
    <n v="5"/>
    <n v="48175"/>
    <x v="1"/>
  </r>
  <r>
    <n v="177"/>
    <n v="9"/>
    <x v="7"/>
    <x v="61"/>
    <x v="1"/>
    <n v="6"/>
    <x v="0"/>
    <d v="2025-12-21T22:37:00"/>
    <x v="81"/>
    <x v="18"/>
    <n v="4662"/>
    <n v="4"/>
    <n v="18648"/>
    <x v="2"/>
  </r>
  <r>
    <n v="659"/>
    <n v="46"/>
    <x v="7"/>
    <x v="184"/>
    <x v="6"/>
    <n v="5"/>
    <x v="1"/>
    <d v="2025-12-21T22:37:00"/>
    <x v="81"/>
    <x v="18"/>
    <n v="2574"/>
    <n v="0"/>
    <n v="0"/>
    <x v="2"/>
  </r>
  <r>
    <n v="728"/>
    <n v="253"/>
    <x v="1"/>
    <x v="194"/>
    <x v="3"/>
    <n v="1"/>
    <x v="0"/>
    <d v="2025-12-21T23:01:00"/>
    <x v="81"/>
    <x v="19"/>
    <n v="7141"/>
    <n v="5"/>
    <n v="35705"/>
    <x v="1"/>
  </r>
  <r>
    <n v="544"/>
    <n v="76"/>
    <x v="3"/>
    <x v="177"/>
    <x v="2"/>
    <n v="3"/>
    <x v="0"/>
    <d v="2025-12-22T00:16:00"/>
    <x v="82"/>
    <x v="0"/>
    <n v="3181"/>
    <n v="5"/>
    <n v="15905"/>
    <x v="2"/>
  </r>
  <r>
    <n v="440"/>
    <n v="120"/>
    <x v="0"/>
    <x v="344"/>
    <x v="4"/>
    <n v="7"/>
    <x v="0"/>
    <d v="2025-12-22T00:21:00"/>
    <x v="82"/>
    <x v="0"/>
    <n v="5224"/>
    <n v="5"/>
    <n v="26120"/>
    <x v="1"/>
  </r>
  <r>
    <n v="601"/>
    <n v="148"/>
    <x v="6"/>
    <x v="345"/>
    <x v="4"/>
    <n v="7"/>
    <x v="0"/>
    <d v="2025-12-22T00:38:00"/>
    <x v="82"/>
    <x v="0"/>
    <n v="3927"/>
    <n v="5"/>
    <n v="19635"/>
    <x v="2"/>
  </r>
  <r>
    <n v="541"/>
    <n v="265"/>
    <x v="4"/>
    <x v="196"/>
    <x v="5"/>
    <n v="4"/>
    <x v="0"/>
    <d v="2025-12-22T00:40:00"/>
    <x v="82"/>
    <x v="0"/>
    <n v="1131"/>
    <n v="5"/>
    <n v="5655"/>
    <x v="2"/>
  </r>
  <r>
    <n v="24"/>
    <n v="208"/>
    <x v="2"/>
    <x v="21"/>
    <x v="3"/>
    <n v="1"/>
    <x v="0"/>
    <d v="2025-12-22T01:06:00"/>
    <x v="82"/>
    <x v="1"/>
    <n v="3371"/>
    <n v="5"/>
    <n v="16855"/>
    <x v="2"/>
  </r>
  <r>
    <n v="101"/>
    <n v="52"/>
    <x v="0"/>
    <x v="218"/>
    <x v="5"/>
    <n v="4"/>
    <x v="0"/>
    <d v="2025-12-22T01:28:00"/>
    <x v="82"/>
    <x v="1"/>
    <n v="811"/>
    <n v="5"/>
    <n v="4055"/>
    <x v="3"/>
  </r>
  <r>
    <n v="380"/>
    <n v="160"/>
    <x v="1"/>
    <x v="16"/>
    <x v="5"/>
    <n v="4"/>
    <x v="0"/>
    <d v="2025-12-22T01:41:00"/>
    <x v="82"/>
    <x v="1"/>
    <n v="50"/>
    <n v="5"/>
    <n v="250"/>
    <x v="3"/>
  </r>
  <r>
    <n v="744"/>
    <n v="96"/>
    <x v="7"/>
    <x v="377"/>
    <x v="1"/>
    <n v="6"/>
    <x v="0"/>
    <d v="2025-12-22T02:01:00"/>
    <x v="82"/>
    <x v="2"/>
    <n v="5348"/>
    <n v="5"/>
    <n v="26740"/>
    <x v="1"/>
  </r>
  <r>
    <n v="412"/>
    <n v="27"/>
    <x v="1"/>
    <x v="268"/>
    <x v="4"/>
    <n v="7"/>
    <x v="1"/>
    <d v="2025-12-22T03:01:00"/>
    <x v="82"/>
    <x v="3"/>
    <n v="3339"/>
    <n v="0"/>
    <n v="0"/>
    <x v="2"/>
  </r>
  <r>
    <n v="5"/>
    <n v="123"/>
    <x v="3"/>
    <x v="4"/>
    <x v="0"/>
    <n v="2"/>
    <x v="0"/>
    <d v="2025-12-22T03:07:00"/>
    <x v="82"/>
    <x v="3"/>
    <n v="9206"/>
    <n v="2"/>
    <n v="18412"/>
    <x v="1"/>
  </r>
  <r>
    <n v="748"/>
    <n v="259"/>
    <x v="1"/>
    <x v="194"/>
    <x v="3"/>
    <n v="1"/>
    <x v="1"/>
    <d v="2025-12-22T03:07:00"/>
    <x v="82"/>
    <x v="3"/>
    <n v="4940"/>
    <n v="0"/>
    <n v="0"/>
    <x v="2"/>
  </r>
  <r>
    <n v="168"/>
    <n v="32"/>
    <x v="0"/>
    <x v="269"/>
    <x v="0"/>
    <n v="2"/>
    <x v="0"/>
    <d v="2025-12-22T04:00:00"/>
    <x v="82"/>
    <x v="4"/>
    <n v="10135"/>
    <n v="5"/>
    <n v="50675"/>
    <x v="0"/>
  </r>
  <r>
    <n v="564"/>
    <n v="26"/>
    <x v="9"/>
    <x v="98"/>
    <x v="0"/>
    <n v="2"/>
    <x v="0"/>
    <d v="2025-12-22T04:23:00"/>
    <x v="82"/>
    <x v="4"/>
    <n v="7156"/>
    <n v="5"/>
    <n v="35780"/>
    <x v="1"/>
  </r>
  <r>
    <n v="14"/>
    <n v="108"/>
    <x v="7"/>
    <x v="144"/>
    <x v="2"/>
    <n v="3"/>
    <x v="1"/>
    <d v="2025-12-22T05:21:00"/>
    <x v="82"/>
    <x v="20"/>
    <n v="2001"/>
    <n v="0"/>
    <n v="0"/>
    <x v="2"/>
  </r>
  <r>
    <n v="110"/>
    <n v="255"/>
    <x v="1"/>
    <x v="161"/>
    <x v="0"/>
    <n v="2"/>
    <x v="0"/>
    <d v="2025-12-22T05:45:00"/>
    <x v="82"/>
    <x v="20"/>
    <n v="8922"/>
    <n v="2"/>
    <n v="17844"/>
    <x v="1"/>
  </r>
  <r>
    <n v="781"/>
    <n v="285"/>
    <x v="9"/>
    <x v="217"/>
    <x v="6"/>
    <n v="5"/>
    <x v="0"/>
    <d v="2025-12-22T06:29:00"/>
    <x v="82"/>
    <x v="5"/>
    <n v="3711"/>
    <n v="2"/>
    <n v="7422"/>
    <x v="2"/>
  </r>
  <r>
    <n v="776"/>
    <n v="199"/>
    <x v="1"/>
    <x v="356"/>
    <x v="0"/>
    <n v="2"/>
    <x v="0"/>
    <d v="2025-12-22T06:44:00"/>
    <x v="82"/>
    <x v="5"/>
    <n v="10621"/>
    <n v="5"/>
    <n v="53105"/>
    <x v="0"/>
  </r>
  <r>
    <n v="770"/>
    <n v="27"/>
    <x v="6"/>
    <x v="96"/>
    <x v="5"/>
    <n v="4"/>
    <x v="0"/>
    <d v="2025-12-22T07:21:00"/>
    <x v="82"/>
    <x v="6"/>
    <n v="557"/>
    <n v="5"/>
    <n v="2785"/>
    <x v="3"/>
  </r>
  <r>
    <n v="664"/>
    <n v="146"/>
    <x v="1"/>
    <x v="23"/>
    <x v="5"/>
    <n v="4"/>
    <x v="1"/>
    <d v="2025-12-22T08:26:00"/>
    <x v="82"/>
    <x v="7"/>
    <n v="1021"/>
    <n v="0"/>
    <n v="0"/>
    <x v="2"/>
  </r>
  <r>
    <n v="374"/>
    <n v="5"/>
    <x v="3"/>
    <x v="56"/>
    <x v="5"/>
    <n v="4"/>
    <x v="0"/>
    <d v="2025-12-22T08:48:00"/>
    <x v="82"/>
    <x v="7"/>
    <n v="1390"/>
    <n v="5"/>
    <n v="6950"/>
    <x v="2"/>
  </r>
  <r>
    <n v="449"/>
    <n v="175"/>
    <x v="1"/>
    <x v="355"/>
    <x v="6"/>
    <n v="5"/>
    <x v="1"/>
    <d v="2025-12-22T08:53:00"/>
    <x v="82"/>
    <x v="7"/>
    <n v="3236"/>
    <n v="0"/>
    <n v="0"/>
    <x v="2"/>
  </r>
  <r>
    <n v="724"/>
    <n v="62"/>
    <x v="3"/>
    <x v="91"/>
    <x v="3"/>
    <n v="1"/>
    <x v="1"/>
    <d v="2025-12-22T09:02:00"/>
    <x v="82"/>
    <x v="8"/>
    <n v="2802"/>
    <n v="0"/>
    <n v="0"/>
    <x v="2"/>
  </r>
  <r>
    <n v="542"/>
    <n v="228"/>
    <x v="4"/>
    <x v="27"/>
    <x v="3"/>
    <n v="1"/>
    <x v="0"/>
    <d v="2025-12-22T09:08:00"/>
    <x v="82"/>
    <x v="8"/>
    <n v="1226"/>
    <n v="5"/>
    <n v="6130"/>
    <x v="2"/>
  </r>
  <r>
    <n v="141"/>
    <n v="240"/>
    <x v="0"/>
    <x v="322"/>
    <x v="5"/>
    <n v="4"/>
    <x v="0"/>
    <d v="2025-12-22T09:15:00"/>
    <x v="82"/>
    <x v="8"/>
    <n v="1301"/>
    <n v="5"/>
    <n v="6505"/>
    <x v="2"/>
  </r>
  <r>
    <n v="480"/>
    <n v="58"/>
    <x v="0"/>
    <x v="168"/>
    <x v="6"/>
    <n v="5"/>
    <x v="0"/>
    <d v="2025-12-22T09:25:00"/>
    <x v="82"/>
    <x v="8"/>
    <n v="3441"/>
    <n v="5"/>
    <n v="17205"/>
    <x v="2"/>
  </r>
  <r>
    <n v="566"/>
    <n v="263"/>
    <x v="2"/>
    <x v="341"/>
    <x v="5"/>
    <n v="4"/>
    <x v="0"/>
    <d v="2025-12-22T09:46:00"/>
    <x v="82"/>
    <x v="8"/>
    <n v="754"/>
    <n v="5"/>
    <n v="3770"/>
    <x v="3"/>
  </r>
  <r>
    <n v="159"/>
    <n v="67"/>
    <x v="9"/>
    <x v="342"/>
    <x v="1"/>
    <n v="6"/>
    <x v="0"/>
    <d v="2025-12-22T10:10:00"/>
    <x v="82"/>
    <x v="9"/>
    <n v="4017"/>
    <n v="5"/>
    <n v="20085"/>
    <x v="2"/>
  </r>
  <r>
    <n v="649"/>
    <n v="197"/>
    <x v="9"/>
    <x v="112"/>
    <x v="3"/>
    <n v="1"/>
    <x v="0"/>
    <d v="2025-12-22T10:25:00"/>
    <x v="82"/>
    <x v="9"/>
    <n v="2807"/>
    <n v="5"/>
    <n v="14035"/>
    <x v="2"/>
  </r>
  <r>
    <n v="549"/>
    <n v="102"/>
    <x v="8"/>
    <x v="368"/>
    <x v="4"/>
    <n v="7"/>
    <x v="0"/>
    <d v="2025-12-22T10:50:00"/>
    <x v="82"/>
    <x v="9"/>
    <n v="3604"/>
    <n v="5"/>
    <n v="18020"/>
    <x v="2"/>
  </r>
  <r>
    <n v="459"/>
    <n v="215"/>
    <x v="5"/>
    <x v="109"/>
    <x v="0"/>
    <n v="2"/>
    <x v="0"/>
    <d v="2025-12-22T10:52:00"/>
    <x v="82"/>
    <x v="9"/>
    <n v="11921"/>
    <n v="5"/>
    <n v="59605"/>
    <x v="0"/>
  </r>
  <r>
    <n v="294"/>
    <n v="281"/>
    <x v="0"/>
    <x v="87"/>
    <x v="5"/>
    <n v="4"/>
    <x v="0"/>
    <d v="2025-12-22T10:55:00"/>
    <x v="82"/>
    <x v="9"/>
    <n v="1050"/>
    <n v="2"/>
    <n v="2100"/>
    <x v="2"/>
  </r>
  <r>
    <n v="361"/>
    <n v="239"/>
    <x v="3"/>
    <x v="234"/>
    <x v="6"/>
    <n v="5"/>
    <x v="0"/>
    <d v="2025-12-22T11:00:00"/>
    <x v="82"/>
    <x v="10"/>
    <n v="1005"/>
    <n v="5"/>
    <n v="5025"/>
    <x v="2"/>
  </r>
  <r>
    <n v="667"/>
    <n v="132"/>
    <x v="0"/>
    <x v="301"/>
    <x v="2"/>
    <n v="3"/>
    <x v="0"/>
    <d v="2025-12-22T11:19:00"/>
    <x v="82"/>
    <x v="10"/>
    <n v="5416"/>
    <n v="5"/>
    <n v="27080"/>
    <x v="1"/>
  </r>
  <r>
    <n v="219"/>
    <n v="203"/>
    <x v="5"/>
    <x v="246"/>
    <x v="3"/>
    <n v="1"/>
    <x v="0"/>
    <d v="2025-12-22T11:25:00"/>
    <x v="82"/>
    <x v="10"/>
    <n v="6431"/>
    <n v="2"/>
    <n v="12862"/>
    <x v="1"/>
  </r>
  <r>
    <n v="600"/>
    <n v="20"/>
    <x v="1"/>
    <x v="178"/>
    <x v="4"/>
    <n v="7"/>
    <x v="0"/>
    <d v="2025-12-22T11:34:00"/>
    <x v="82"/>
    <x v="10"/>
    <n v="2908"/>
    <n v="5"/>
    <n v="14540"/>
    <x v="2"/>
  </r>
  <r>
    <n v="782"/>
    <n v="196"/>
    <x v="9"/>
    <x v="92"/>
    <x v="4"/>
    <n v="7"/>
    <x v="0"/>
    <d v="2025-12-22T11:48:00"/>
    <x v="82"/>
    <x v="10"/>
    <n v="7962"/>
    <n v="5"/>
    <n v="39810"/>
    <x v="1"/>
  </r>
  <r>
    <n v="408"/>
    <n v="242"/>
    <x v="8"/>
    <x v="103"/>
    <x v="3"/>
    <n v="1"/>
    <x v="0"/>
    <d v="2025-12-22T12:32:00"/>
    <x v="82"/>
    <x v="11"/>
    <n v="5497"/>
    <n v="5"/>
    <n v="27485"/>
    <x v="1"/>
  </r>
  <r>
    <n v="68"/>
    <n v="224"/>
    <x v="8"/>
    <x v="129"/>
    <x v="5"/>
    <n v="4"/>
    <x v="0"/>
    <d v="2025-12-22T12:32:00"/>
    <x v="82"/>
    <x v="11"/>
    <n v="89"/>
    <n v="5"/>
    <n v="445"/>
    <x v="3"/>
  </r>
  <r>
    <n v="592"/>
    <n v="187"/>
    <x v="1"/>
    <x v="16"/>
    <x v="5"/>
    <n v="4"/>
    <x v="0"/>
    <d v="2025-12-22T13:00:00"/>
    <x v="82"/>
    <x v="21"/>
    <n v="1472"/>
    <n v="5"/>
    <n v="7360"/>
    <x v="2"/>
  </r>
  <r>
    <n v="330"/>
    <n v="29"/>
    <x v="4"/>
    <x v="102"/>
    <x v="3"/>
    <n v="1"/>
    <x v="0"/>
    <d v="2025-12-22T13:29:00"/>
    <x v="82"/>
    <x v="21"/>
    <n v="6892"/>
    <n v="5"/>
    <n v="34460"/>
    <x v="1"/>
  </r>
  <r>
    <n v="398"/>
    <n v="38"/>
    <x v="7"/>
    <x v="124"/>
    <x v="5"/>
    <n v="4"/>
    <x v="0"/>
    <d v="2025-12-22T14:12:00"/>
    <x v="82"/>
    <x v="12"/>
    <n v="294"/>
    <n v="5"/>
    <n v="1470"/>
    <x v="3"/>
  </r>
  <r>
    <n v="203"/>
    <n v="187"/>
    <x v="0"/>
    <x v="269"/>
    <x v="0"/>
    <n v="2"/>
    <x v="0"/>
    <d v="2025-12-22T15:23:00"/>
    <x v="82"/>
    <x v="13"/>
    <n v="4117"/>
    <n v="2"/>
    <n v="8234"/>
    <x v="2"/>
  </r>
  <r>
    <n v="161"/>
    <n v="145"/>
    <x v="3"/>
    <x v="354"/>
    <x v="0"/>
    <n v="2"/>
    <x v="0"/>
    <d v="2025-12-22T15:24:00"/>
    <x v="82"/>
    <x v="13"/>
    <n v="4892"/>
    <n v="5"/>
    <n v="24460"/>
    <x v="2"/>
  </r>
  <r>
    <n v="552"/>
    <n v="114"/>
    <x v="1"/>
    <x v="8"/>
    <x v="3"/>
    <n v="1"/>
    <x v="0"/>
    <d v="2025-12-22T15:28:00"/>
    <x v="82"/>
    <x v="13"/>
    <n v="7859"/>
    <n v="5"/>
    <n v="39295"/>
    <x v="1"/>
  </r>
  <r>
    <n v="300"/>
    <n v="258"/>
    <x v="7"/>
    <x v="85"/>
    <x v="4"/>
    <n v="7"/>
    <x v="0"/>
    <d v="2025-12-22T16:26:00"/>
    <x v="82"/>
    <x v="14"/>
    <n v="6104"/>
    <n v="5"/>
    <n v="30520"/>
    <x v="1"/>
  </r>
  <r>
    <n v="309"/>
    <n v="55"/>
    <x v="0"/>
    <x v="105"/>
    <x v="3"/>
    <n v="1"/>
    <x v="0"/>
    <d v="2025-12-22T16:42:00"/>
    <x v="82"/>
    <x v="14"/>
    <n v="1452"/>
    <n v="5"/>
    <n v="7260"/>
    <x v="2"/>
  </r>
  <r>
    <n v="16"/>
    <n v="162"/>
    <x v="9"/>
    <x v="51"/>
    <x v="3"/>
    <n v="1"/>
    <x v="0"/>
    <d v="2025-12-22T17:04:00"/>
    <x v="82"/>
    <x v="15"/>
    <n v="7067"/>
    <n v="2"/>
    <n v="14134"/>
    <x v="1"/>
  </r>
  <r>
    <n v="378"/>
    <n v="37"/>
    <x v="4"/>
    <x v="271"/>
    <x v="2"/>
    <n v="3"/>
    <x v="1"/>
    <d v="2025-12-22T17:33:00"/>
    <x v="82"/>
    <x v="15"/>
    <n v="3195"/>
    <n v="0"/>
    <n v="0"/>
    <x v="2"/>
  </r>
  <r>
    <n v="398"/>
    <n v="149"/>
    <x v="6"/>
    <x v="96"/>
    <x v="5"/>
    <n v="4"/>
    <x v="0"/>
    <d v="2025-12-22T18:03:00"/>
    <x v="82"/>
    <x v="16"/>
    <n v="865"/>
    <n v="5"/>
    <n v="4325"/>
    <x v="3"/>
  </r>
  <r>
    <n v="684"/>
    <n v="169"/>
    <x v="5"/>
    <x v="13"/>
    <x v="6"/>
    <n v="5"/>
    <x v="1"/>
    <d v="2025-12-22T19:14:00"/>
    <x v="82"/>
    <x v="22"/>
    <n v="2620"/>
    <n v="0"/>
    <n v="0"/>
    <x v="2"/>
  </r>
  <r>
    <n v="96"/>
    <n v="2"/>
    <x v="3"/>
    <x v="49"/>
    <x v="3"/>
    <n v="1"/>
    <x v="0"/>
    <d v="2025-12-22T21:48:00"/>
    <x v="82"/>
    <x v="23"/>
    <n v="2864"/>
    <n v="5"/>
    <n v="14320"/>
    <x v="2"/>
  </r>
  <r>
    <n v="511"/>
    <n v="216"/>
    <x v="1"/>
    <x v="199"/>
    <x v="5"/>
    <n v="4"/>
    <x v="0"/>
    <d v="2025-12-22T22:21:00"/>
    <x v="82"/>
    <x v="18"/>
    <n v="525"/>
    <n v="5"/>
    <n v="2625"/>
    <x v="3"/>
  </r>
  <r>
    <n v="518"/>
    <n v="300"/>
    <x v="4"/>
    <x v="142"/>
    <x v="0"/>
    <n v="2"/>
    <x v="0"/>
    <d v="2025-12-22T22:30:00"/>
    <x v="82"/>
    <x v="18"/>
    <n v="8445"/>
    <n v="5"/>
    <n v="42225"/>
    <x v="1"/>
  </r>
  <r>
    <n v="253"/>
    <n v="283"/>
    <x v="6"/>
    <x v="373"/>
    <x v="1"/>
    <n v="6"/>
    <x v="0"/>
    <d v="2025-12-22T23:26:00"/>
    <x v="82"/>
    <x v="19"/>
    <n v="8816"/>
    <n v="5"/>
    <n v="44080"/>
    <x v="1"/>
  </r>
  <r>
    <n v="560"/>
    <n v="40"/>
    <x v="1"/>
    <x v="20"/>
    <x v="3"/>
    <n v="1"/>
    <x v="0"/>
    <d v="2025-12-22T23:28:00"/>
    <x v="82"/>
    <x v="19"/>
    <n v="3724"/>
    <n v="5"/>
    <n v="18620"/>
    <x v="2"/>
  </r>
  <r>
    <n v="138"/>
    <n v="120"/>
    <x v="6"/>
    <x v="167"/>
    <x v="1"/>
    <n v="6"/>
    <x v="0"/>
    <d v="2025-12-22T23:35:00"/>
    <x v="82"/>
    <x v="19"/>
    <n v="9409"/>
    <n v="5"/>
    <n v="47045"/>
    <x v="1"/>
  </r>
  <r>
    <n v="519"/>
    <n v="51"/>
    <x v="9"/>
    <x v="287"/>
    <x v="4"/>
    <n v="7"/>
    <x v="0"/>
    <d v="2025-12-23T00:35:00"/>
    <x v="83"/>
    <x v="0"/>
    <n v="6341"/>
    <n v="5"/>
    <n v="31705"/>
    <x v="1"/>
  </r>
  <r>
    <n v="386"/>
    <n v="24"/>
    <x v="7"/>
    <x v="281"/>
    <x v="6"/>
    <n v="5"/>
    <x v="0"/>
    <d v="2025-12-23T00:43:00"/>
    <x v="83"/>
    <x v="0"/>
    <n v="2183"/>
    <n v="5"/>
    <n v="10915"/>
    <x v="2"/>
  </r>
  <r>
    <n v="233"/>
    <n v="197"/>
    <x v="8"/>
    <x v="47"/>
    <x v="5"/>
    <n v="4"/>
    <x v="0"/>
    <d v="2025-12-23T00:50:00"/>
    <x v="83"/>
    <x v="0"/>
    <n v="1500"/>
    <n v="3"/>
    <n v="4500"/>
    <x v="2"/>
  </r>
  <r>
    <n v="446"/>
    <n v="190"/>
    <x v="7"/>
    <x v="83"/>
    <x v="3"/>
    <n v="1"/>
    <x v="0"/>
    <d v="2025-12-23T00:53:00"/>
    <x v="83"/>
    <x v="0"/>
    <n v="1032"/>
    <n v="5"/>
    <n v="5160"/>
    <x v="2"/>
  </r>
  <r>
    <n v="480"/>
    <n v="73"/>
    <x v="2"/>
    <x v="148"/>
    <x v="3"/>
    <n v="1"/>
    <x v="0"/>
    <d v="2025-12-23T01:45:00"/>
    <x v="83"/>
    <x v="1"/>
    <n v="7264"/>
    <n v="3"/>
    <n v="21792"/>
    <x v="1"/>
  </r>
  <r>
    <n v="105"/>
    <n v="14"/>
    <x v="1"/>
    <x v="77"/>
    <x v="3"/>
    <n v="1"/>
    <x v="0"/>
    <d v="2025-12-23T02:04:00"/>
    <x v="83"/>
    <x v="2"/>
    <n v="1283"/>
    <n v="5"/>
    <n v="6415"/>
    <x v="2"/>
  </r>
  <r>
    <n v="475"/>
    <n v="63"/>
    <x v="0"/>
    <x v="323"/>
    <x v="0"/>
    <n v="2"/>
    <x v="0"/>
    <d v="2025-12-23T02:34:00"/>
    <x v="83"/>
    <x v="2"/>
    <n v="11451"/>
    <n v="5"/>
    <n v="57255"/>
    <x v="0"/>
  </r>
  <r>
    <n v="493"/>
    <n v="273"/>
    <x v="7"/>
    <x v="117"/>
    <x v="3"/>
    <n v="1"/>
    <x v="0"/>
    <d v="2025-12-23T02:41:00"/>
    <x v="83"/>
    <x v="2"/>
    <n v="3958"/>
    <n v="3"/>
    <n v="11874"/>
    <x v="2"/>
  </r>
  <r>
    <n v="101"/>
    <n v="250"/>
    <x v="0"/>
    <x v="301"/>
    <x v="2"/>
    <n v="3"/>
    <x v="0"/>
    <d v="2025-12-23T03:18:00"/>
    <x v="83"/>
    <x v="3"/>
    <n v="3429"/>
    <n v="5"/>
    <n v="17145"/>
    <x v="2"/>
  </r>
  <r>
    <n v="17"/>
    <n v="96"/>
    <x v="5"/>
    <x v="284"/>
    <x v="6"/>
    <n v="5"/>
    <x v="0"/>
    <d v="2025-12-23T03:56:00"/>
    <x v="83"/>
    <x v="3"/>
    <n v="2059"/>
    <n v="5"/>
    <n v="10295"/>
    <x v="2"/>
  </r>
  <r>
    <n v="516"/>
    <n v="167"/>
    <x v="1"/>
    <x v="116"/>
    <x v="3"/>
    <n v="1"/>
    <x v="1"/>
    <d v="2025-12-23T04:06:00"/>
    <x v="83"/>
    <x v="4"/>
    <n v="4574"/>
    <n v="0"/>
    <n v="0"/>
    <x v="2"/>
  </r>
  <r>
    <n v="52"/>
    <n v="83"/>
    <x v="4"/>
    <x v="93"/>
    <x v="5"/>
    <n v="4"/>
    <x v="0"/>
    <d v="2025-12-23T04:20:00"/>
    <x v="83"/>
    <x v="4"/>
    <n v="1500"/>
    <n v="5"/>
    <n v="7500"/>
    <x v="2"/>
  </r>
  <r>
    <n v="702"/>
    <n v="271"/>
    <x v="7"/>
    <x v="240"/>
    <x v="2"/>
    <n v="3"/>
    <x v="1"/>
    <d v="2025-12-23T04:26:00"/>
    <x v="83"/>
    <x v="4"/>
    <n v="2885"/>
    <n v="0"/>
    <n v="0"/>
    <x v="2"/>
  </r>
  <r>
    <n v="569"/>
    <n v="265"/>
    <x v="8"/>
    <x v="166"/>
    <x v="3"/>
    <n v="1"/>
    <x v="0"/>
    <d v="2025-12-23T06:06:00"/>
    <x v="83"/>
    <x v="5"/>
    <n v="4174"/>
    <n v="5"/>
    <n v="20870"/>
    <x v="2"/>
  </r>
  <r>
    <n v="439"/>
    <n v="129"/>
    <x v="8"/>
    <x v="225"/>
    <x v="4"/>
    <n v="7"/>
    <x v="0"/>
    <d v="2025-12-23T06:33:00"/>
    <x v="83"/>
    <x v="5"/>
    <n v="3782"/>
    <n v="5"/>
    <n v="18910"/>
    <x v="2"/>
  </r>
  <r>
    <n v="700"/>
    <n v="106"/>
    <x v="8"/>
    <x v="140"/>
    <x v="5"/>
    <n v="4"/>
    <x v="0"/>
    <d v="2025-12-23T07:46:00"/>
    <x v="83"/>
    <x v="6"/>
    <n v="133"/>
    <n v="5"/>
    <n v="665"/>
    <x v="3"/>
  </r>
  <r>
    <n v="212"/>
    <n v="174"/>
    <x v="1"/>
    <x v="194"/>
    <x v="3"/>
    <n v="1"/>
    <x v="0"/>
    <d v="2025-12-23T07:55:00"/>
    <x v="83"/>
    <x v="6"/>
    <n v="2222"/>
    <n v="5"/>
    <n v="11110"/>
    <x v="2"/>
  </r>
  <r>
    <n v="488"/>
    <n v="214"/>
    <x v="3"/>
    <x v="68"/>
    <x v="2"/>
    <n v="3"/>
    <x v="1"/>
    <d v="2025-12-23T08:35:00"/>
    <x v="83"/>
    <x v="7"/>
    <n v="3377"/>
    <n v="0"/>
    <n v="0"/>
    <x v="2"/>
  </r>
  <r>
    <n v="224"/>
    <n v="271"/>
    <x v="9"/>
    <x v="128"/>
    <x v="0"/>
    <n v="2"/>
    <x v="1"/>
    <d v="2025-12-23T09:14:00"/>
    <x v="83"/>
    <x v="8"/>
    <n v="6249"/>
    <n v="0"/>
    <n v="0"/>
    <x v="1"/>
  </r>
  <r>
    <n v="622"/>
    <n v="27"/>
    <x v="3"/>
    <x v="324"/>
    <x v="4"/>
    <n v="7"/>
    <x v="0"/>
    <d v="2025-12-23T09:45:00"/>
    <x v="83"/>
    <x v="8"/>
    <n v="5201"/>
    <n v="5"/>
    <n v="26005"/>
    <x v="1"/>
  </r>
  <r>
    <n v="530"/>
    <n v="268"/>
    <x v="0"/>
    <x v="212"/>
    <x v="0"/>
    <n v="2"/>
    <x v="0"/>
    <d v="2025-12-23T11:14:00"/>
    <x v="83"/>
    <x v="10"/>
    <n v="10802"/>
    <n v="3"/>
    <n v="32406"/>
    <x v="0"/>
  </r>
  <r>
    <n v="59"/>
    <n v="172"/>
    <x v="5"/>
    <x v="246"/>
    <x v="3"/>
    <n v="1"/>
    <x v="0"/>
    <d v="2025-12-23T11:28:00"/>
    <x v="83"/>
    <x v="10"/>
    <n v="4324"/>
    <n v="3"/>
    <n v="12972"/>
    <x v="2"/>
  </r>
  <r>
    <n v="7"/>
    <n v="178"/>
    <x v="5"/>
    <x v="78"/>
    <x v="5"/>
    <n v="4"/>
    <x v="1"/>
    <d v="2025-12-23T11:31:00"/>
    <x v="83"/>
    <x v="10"/>
    <n v="1006"/>
    <n v="0"/>
    <n v="0"/>
    <x v="2"/>
  </r>
  <r>
    <n v="791"/>
    <n v="75"/>
    <x v="3"/>
    <x v="370"/>
    <x v="5"/>
    <n v="4"/>
    <x v="1"/>
    <d v="2025-12-23T12:01:00"/>
    <x v="83"/>
    <x v="11"/>
    <n v="253"/>
    <n v="0"/>
    <n v="0"/>
    <x v="3"/>
  </r>
  <r>
    <n v="761"/>
    <n v="43"/>
    <x v="9"/>
    <x v="217"/>
    <x v="6"/>
    <n v="5"/>
    <x v="0"/>
    <d v="2025-12-23T12:36:00"/>
    <x v="83"/>
    <x v="11"/>
    <n v="2644"/>
    <n v="5"/>
    <n v="13220"/>
    <x v="2"/>
  </r>
  <r>
    <n v="264"/>
    <n v="5"/>
    <x v="8"/>
    <x v="239"/>
    <x v="1"/>
    <n v="6"/>
    <x v="1"/>
    <d v="2025-12-23T12:58:00"/>
    <x v="83"/>
    <x v="11"/>
    <n v="7468"/>
    <n v="0"/>
    <n v="0"/>
    <x v="1"/>
  </r>
  <r>
    <n v="462"/>
    <n v="30"/>
    <x v="6"/>
    <x v="282"/>
    <x v="2"/>
    <n v="3"/>
    <x v="0"/>
    <d v="2025-12-23T13:04:00"/>
    <x v="83"/>
    <x v="21"/>
    <n v="3972"/>
    <n v="5"/>
    <n v="19860"/>
    <x v="2"/>
  </r>
  <r>
    <n v="475"/>
    <n v="256"/>
    <x v="3"/>
    <x v="3"/>
    <x v="3"/>
    <n v="1"/>
    <x v="0"/>
    <d v="2025-12-23T13:23:00"/>
    <x v="83"/>
    <x v="21"/>
    <n v="7077"/>
    <n v="5"/>
    <n v="35385"/>
    <x v="1"/>
  </r>
  <r>
    <n v="447"/>
    <n v="40"/>
    <x v="7"/>
    <x v="124"/>
    <x v="5"/>
    <n v="4"/>
    <x v="0"/>
    <d v="2025-12-23T13:33:00"/>
    <x v="83"/>
    <x v="21"/>
    <n v="720"/>
    <n v="5"/>
    <n v="3600"/>
    <x v="3"/>
  </r>
  <r>
    <n v="151"/>
    <n v="93"/>
    <x v="3"/>
    <x v="59"/>
    <x v="2"/>
    <n v="3"/>
    <x v="0"/>
    <d v="2025-12-23T13:48:00"/>
    <x v="83"/>
    <x v="21"/>
    <n v="1649"/>
    <n v="3"/>
    <n v="4947"/>
    <x v="2"/>
  </r>
  <r>
    <n v="467"/>
    <n v="106"/>
    <x v="2"/>
    <x v="374"/>
    <x v="2"/>
    <n v="3"/>
    <x v="0"/>
    <d v="2025-12-23T14:15:00"/>
    <x v="83"/>
    <x v="12"/>
    <n v="5313"/>
    <n v="5"/>
    <n v="26565"/>
    <x v="1"/>
  </r>
  <r>
    <n v="659"/>
    <n v="76"/>
    <x v="4"/>
    <x v="153"/>
    <x v="5"/>
    <n v="4"/>
    <x v="1"/>
    <d v="2025-12-23T14:51:00"/>
    <x v="83"/>
    <x v="12"/>
    <n v="249"/>
    <n v="0"/>
    <n v="0"/>
    <x v="3"/>
  </r>
  <r>
    <n v="476"/>
    <n v="190"/>
    <x v="1"/>
    <x v="60"/>
    <x v="3"/>
    <n v="1"/>
    <x v="0"/>
    <d v="2025-12-23T14:58:00"/>
    <x v="83"/>
    <x v="12"/>
    <n v="4801"/>
    <n v="5"/>
    <n v="24005"/>
    <x v="2"/>
  </r>
  <r>
    <n v="124"/>
    <n v="252"/>
    <x v="2"/>
    <x v="263"/>
    <x v="4"/>
    <n v="7"/>
    <x v="0"/>
    <d v="2025-12-23T15:12:00"/>
    <x v="83"/>
    <x v="13"/>
    <n v="6885"/>
    <n v="5"/>
    <n v="34425"/>
    <x v="1"/>
  </r>
  <r>
    <n v="799"/>
    <n v="151"/>
    <x v="4"/>
    <x v="378"/>
    <x v="6"/>
    <n v="5"/>
    <x v="0"/>
    <d v="2025-12-23T15:20:00"/>
    <x v="83"/>
    <x v="13"/>
    <n v="1252"/>
    <n v="5"/>
    <n v="6260"/>
    <x v="2"/>
  </r>
  <r>
    <n v="117"/>
    <n v="148"/>
    <x v="3"/>
    <x v="56"/>
    <x v="5"/>
    <n v="4"/>
    <x v="0"/>
    <d v="2025-12-23T15:26:00"/>
    <x v="83"/>
    <x v="13"/>
    <n v="487"/>
    <n v="5"/>
    <n v="2435"/>
    <x v="3"/>
  </r>
  <r>
    <n v="567"/>
    <n v="120"/>
    <x v="2"/>
    <x v="21"/>
    <x v="3"/>
    <n v="1"/>
    <x v="0"/>
    <d v="2025-12-23T16:07:00"/>
    <x v="83"/>
    <x v="14"/>
    <n v="3279"/>
    <n v="3"/>
    <n v="9837"/>
    <x v="2"/>
  </r>
  <r>
    <n v="436"/>
    <n v="297"/>
    <x v="4"/>
    <x v="242"/>
    <x v="4"/>
    <n v="7"/>
    <x v="1"/>
    <d v="2025-12-23T17:10:00"/>
    <x v="83"/>
    <x v="15"/>
    <n v="1756"/>
    <n v="0"/>
    <n v="0"/>
    <x v="2"/>
  </r>
  <r>
    <n v="192"/>
    <n v="16"/>
    <x v="9"/>
    <x v="312"/>
    <x v="5"/>
    <n v="4"/>
    <x v="0"/>
    <d v="2025-12-23T17:23:00"/>
    <x v="83"/>
    <x v="15"/>
    <n v="50"/>
    <n v="5"/>
    <n v="250"/>
    <x v="3"/>
  </r>
  <r>
    <n v="563"/>
    <n v="8"/>
    <x v="2"/>
    <x v="325"/>
    <x v="1"/>
    <n v="6"/>
    <x v="0"/>
    <d v="2025-12-23T18:00:00"/>
    <x v="83"/>
    <x v="16"/>
    <n v="5134"/>
    <n v="5"/>
    <n v="25670"/>
    <x v="1"/>
  </r>
  <r>
    <n v="276"/>
    <n v="254"/>
    <x v="4"/>
    <x v="216"/>
    <x v="6"/>
    <n v="5"/>
    <x v="0"/>
    <d v="2025-12-23T19:00:00"/>
    <x v="83"/>
    <x v="22"/>
    <n v="1127"/>
    <n v="3"/>
    <n v="3381"/>
    <x v="2"/>
  </r>
  <r>
    <n v="26"/>
    <n v="37"/>
    <x v="2"/>
    <x v="226"/>
    <x v="5"/>
    <n v="4"/>
    <x v="0"/>
    <d v="2025-12-23T19:49:00"/>
    <x v="83"/>
    <x v="22"/>
    <n v="50"/>
    <n v="5"/>
    <n v="250"/>
    <x v="3"/>
  </r>
  <r>
    <n v="83"/>
    <n v="205"/>
    <x v="0"/>
    <x v="15"/>
    <x v="3"/>
    <n v="1"/>
    <x v="0"/>
    <d v="2025-12-23T19:55:00"/>
    <x v="83"/>
    <x v="22"/>
    <n v="4728"/>
    <n v="5"/>
    <n v="23640"/>
    <x v="2"/>
  </r>
  <r>
    <n v="702"/>
    <n v="6"/>
    <x v="0"/>
    <x v="212"/>
    <x v="0"/>
    <n v="2"/>
    <x v="0"/>
    <d v="2025-12-23T21:18:00"/>
    <x v="83"/>
    <x v="23"/>
    <n v="7206"/>
    <n v="3"/>
    <n v="21618"/>
    <x v="1"/>
  </r>
  <r>
    <n v="214"/>
    <n v="95"/>
    <x v="9"/>
    <x v="312"/>
    <x v="5"/>
    <n v="4"/>
    <x v="0"/>
    <d v="2025-12-23T21:30:00"/>
    <x v="83"/>
    <x v="23"/>
    <n v="66"/>
    <n v="5"/>
    <n v="330"/>
    <x v="3"/>
  </r>
  <r>
    <n v="287"/>
    <n v="193"/>
    <x v="4"/>
    <x v="63"/>
    <x v="2"/>
    <n v="3"/>
    <x v="0"/>
    <d v="2025-12-23T21:41:00"/>
    <x v="83"/>
    <x v="23"/>
    <n v="4919"/>
    <n v="5"/>
    <n v="24595"/>
    <x v="2"/>
  </r>
  <r>
    <n v="164"/>
    <n v="289"/>
    <x v="1"/>
    <x v="77"/>
    <x v="3"/>
    <n v="1"/>
    <x v="0"/>
    <d v="2025-12-23T21:43:00"/>
    <x v="83"/>
    <x v="23"/>
    <n v="5645"/>
    <n v="5"/>
    <n v="28225"/>
    <x v="1"/>
  </r>
  <r>
    <n v="248"/>
    <n v="285"/>
    <x v="8"/>
    <x v="239"/>
    <x v="1"/>
    <n v="6"/>
    <x v="1"/>
    <d v="2025-12-23T22:00:00"/>
    <x v="83"/>
    <x v="18"/>
    <n v="6765"/>
    <n v="0"/>
    <n v="0"/>
    <x v="1"/>
  </r>
  <r>
    <n v="34"/>
    <n v="204"/>
    <x v="5"/>
    <x v="284"/>
    <x v="6"/>
    <n v="5"/>
    <x v="0"/>
    <d v="2025-12-23T22:04:00"/>
    <x v="83"/>
    <x v="18"/>
    <n v="897"/>
    <n v="3"/>
    <n v="2691"/>
    <x v="3"/>
  </r>
  <r>
    <n v="161"/>
    <n v="180"/>
    <x v="7"/>
    <x v="107"/>
    <x v="6"/>
    <n v="5"/>
    <x v="0"/>
    <d v="2025-12-23T22:11:00"/>
    <x v="83"/>
    <x v="18"/>
    <n v="3863"/>
    <n v="5"/>
    <n v="19315"/>
    <x v="2"/>
  </r>
  <r>
    <n v="333"/>
    <n v="56"/>
    <x v="9"/>
    <x v="100"/>
    <x v="5"/>
    <n v="4"/>
    <x v="0"/>
    <d v="2025-12-23T22:21:00"/>
    <x v="83"/>
    <x v="18"/>
    <n v="1484"/>
    <n v="5"/>
    <n v="7420"/>
    <x v="2"/>
  </r>
  <r>
    <n v="231"/>
    <n v="66"/>
    <x v="5"/>
    <x v="186"/>
    <x v="5"/>
    <n v="4"/>
    <x v="0"/>
    <d v="2025-12-23T23:05:00"/>
    <x v="83"/>
    <x v="19"/>
    <n v="1500"/>
    <n v="3"/>
    <n v="4500"/>
    <x v="2"/>
  </r>
  <r>
    <n v="185"/>
    <n v="277"/>
    <x v="4"/>
    <x v="93"/>
    <x v="5"/>
    <n v="4"/>
    <x v="0"/>
    <d v="2025-12-24T00:00:00"/>
    <x v="84"/>
    <x v="0"/>
    <n v="1154"/>
    <n v="5"/>
    <n v="5770"/>
    <x v="2"/>
  </r>
  <r>
    <n v="397"/>
    <n v="114"/>
    <x v="9"/>
    <x v="130"/>
    <x v="1"/>
    <n v="6"/>
    <x v="0"/>
    <d v="2025-12-24T00:10:00"/>
    <x v="84"/>
    <x v="0"/>
    <n v="3306"/>
    <n v="5"/>
    <n v="16530"/>
    <x v="2"/>
  </r>
  <r>
    <n v="791"/>
    <n v="289"/>
    <x v="0"/>
    <x v="215"/>
    <x v="2"/>
    <n v="3"/>
    <x v="0"/>
    <d v="2025-12-24T01:02:00"/>
    <x v="84"/>
    <x v="1"/>
    <n v="4484"/>
    <n v="5"/>
    <n v="22420"/>
    <x v="2"/>
  </r>
  <r>
    <n v="736"/>
    <n v="215"/>
    <x v="4"/>
    <x v="93"/>
    <x v="5"/>
    <n v="4"/>
    <x v="1"/>
    <d v="2025-12-24T01:53:00"/>
    <x v="84"/>
    <x v="1"/>
    <n v="759"/>
    <n v="0"/>
    <n v="0"/>
    <x v="3"/>
  </r>
  <r>
    <n v="465"/>
    <n v="86"/>
    <x v="6"/>
    <x v="279"/>
    <x v="4"/>
    <n v="7"/>
    <x v="0"/>
    <d v="2025-12-24T02:32:00"/>
    <x v="84"/>
    <x v="2"/>
    <n v="5209"/>
    <n v="5"/>
    <n v="26045"/>
    <x v="1"/>
  </r>
  <r>
    <n v="211"/>
    <n v="251"/>
    <x v="7"/>
    <x v="348"/>
    <x v="0"/>
    <n v="2"/>
    <x v="0"/>
    <d v="2025-12-24T02:36:00"/>
    <x v="84"/>
    <x v="2"/>
    <n v="13188"/>
    <n v="5"/>
    <n v="65940"/>
    <x v="0"/>
  </r>
  <r>
    <n v="24"/>
    <n v="232"/>
    <x v="9"/>
    <x v="274"/>
    <x v="2"/>
    <n v="3"/>
    <x v="0"/>
    <d v="2025-12-24T03:07:00"/>
    <x v="84"/>
    <x v="3"/>
    <n v="3788"/>
    <n v="5"/>
    <n v="18940"/>
    <x v="2"/>
  </r>
  <r>
    <n v="309"/>
    <n v="2"/>
    <x v="3"/>
    <x v="230"/>
    <x v="1"/>
    <n v="6"/>
    <x v="1"/>
    <d v="2025-12-24T04:24:00"/>
    <x v="84"/>
    <x v="4"/>
    <n v="2067"/>
    <n v="0"/>
    <n v="0"/>
    <x v="2"/>
  </r>
  <r>
    <n v="772"/>
    <n v="212"/>
    <x v="8"/>
    <x v="129"/>
    <x v="5"/>
    <n v="4"/>
    <x v="1"/>
    <d v="2025-12-24T04:54:00"/>
    <x v="84"/>
    <x v="4"/>
    <n v="1090"/>
    <n v="0"/>
    <n v="0"/>
    <x v="2"/>
  </r>
  <r>
    <n v="559"/>
    <n v="6"/>
    <x v="4"/>
    <x v="102"/>
    <x v="3"/>
    <n v="1"/>
    <x v="0"/>
    <d v="2025-12-24T05:05:00"/>
    <x v="84"/>
    <x v="20"/>
    <n v="7745"/>
    <n v="3"/>
    <n v="23235"/>
    <x v="1"/>
  </r>
  <r>
    <n v="48"/>
    <n v="85"/>
    <x v="4"/>
    <x v="131"/>
    <x v="2"/>
    <n v="3"/>
    <x v="0"/>
    <d v="2025-12-24T05:23:00"/>
    <x v="84"/>
    <x v="20"/>
    <n v="2435"/>
    <n v="5"/>
    <n v="12175"/>
    <x v="2"/>
  </r>
  <r>
    <n v="796"/>
    <n v="154"/>
    <x v="1"/>
    <x v="199"/>
    <x v="5"/>
    <n v="4"/>
    <x v="0"/>
    <d v="2025-12-24T05:51:00"/>
    <x v="84"/>
    <x v="20"/>
    <n v="626"/>
    <n v="5"/>
    <n v="3130"/>
    <x v="3"/>
  </r>
  <r>
    <n v="266"/>
    <n v="278"/>
    <x v="0"/>
    <x v="212"/>
    <x v="0"/>
    <n v="2"/>
    <x v="0"/>
    <d v="2025-12-24T06:10:00"/>
    <x v="84"/>
    <x v="5"/>
    <n v="8019"/>
    <n v="5"/>
    <n v="40095"/>
    <x v="1"/>
  </r>
  <r>
    <n v="178"/>
    <n v="81"/>
    <x v="9"/>
    <x v="312"/>
    <x v="5"/>
    <n v="4"/>
    <x v="0"/>
    <d v="2025-12-24T06:13:00"/>
    <x v="84"/>
    <x v="5"/>
    <n v="1039"/>
    <n v="3"/>
    <n v="3117"/>
    <x v="2"/>
  </r>
  <r>
    <n v="178"/>
    <n v="4"/>
    <x v="5"/>
    <x v="89"/>
    <x v="2"/>
    <n v="3"/>
    <x v="0"/>
    <d v="2025-12-24T06:23:00"/>
    <x v="84"/>
    <x v="5"/>
    <n v="4252"/>
    <n v="3"/>
    <n v="12756"/>
    <x v="2"/>
  </r>
  <r>
    <n v="42"/>
    <n v="79"/>
    <x v="6"/>
    <x v="278"/>
    <x v="3"/>
    <n v="1"/>
    <x v="0"/>
    <d v="2025-12-24T07:06:00"/>
    <x v="84"/>
    <x v="6"/>
    <n v="2299"/>
    <n v="5"/>
    <n v="11495"/>
    <x v="2"/>
  </r>
  <r>
    <n v="61"/>
    <n v="59"/>
    <x v="6"/>
    <x v="360"/>
    <x v="6"/>
    <n v="5"/>
    <x v="0"/>
    <d v="2025-12-24T07:58:00"/>
    <x v="84"/>
    <x v="6"/>
    <n v="2465"/>
    <n v="3"/>
    <n v="7395"/>
    <x v="2"/>
  </r>
  <r>
    <n v="736"/>
    <n v="18"/>
    <x v="7"/>
    <x v="275"/>
    <x v="1"/>
    <n v="6"/>
    <x v="0"/>
    <d v="2025-12-24T08:02:00"/>
    <x v="84"/>
    <x v="7"/>
    <n v="5678"/>
    <n v="3"/>
    <n v="17034"/>
    <x v="1"/>
  </r>
  <r>
    <n v="568"/>
    <n v="287"/>
    <x v="9"/>
    <x v="48"/>
    <x v="2"/>
    <n v="3"/>
    <x v="0"/>
    <d v="2025-12-24T09:23:00"/>
    <x v="84"/>
    <x v="8"/>
    <n v="3358"/>
    <n v="5"/>
    <n v="16790"/>
    <x v="2"/>
  </r>
  <r>
    <n v="199"/>
    <n v="126"/>
    <x v="5"/>
    <x v="186"/>
    <x v="5"/>
    <n v="4"/>
    <x v="0"/>
    <d v="2025-12-24T09:33:00"/>
    <x v="84"/>
    <x v="8"/>
    <n v="788"/>
    <n v="5"/>
    <n v="3940"/>
    <x v="3"/>
  </r>
  <r>
    <n v="404"/>
    <n v="84"/>
    <x v="7"/>
    <x v="281"/>
    <x v="6"/>
    <n v="5"/>
    <x v="0"/>
    <d v="2025-12-24T10:02:00"/>
    <x v="84"/>
    <x v="9"/>
    <n v="1472"/>
    <n v="5"/>
    <n v="7360"/>
    <x v="2"/>
  </r>
  <r>
    <n v="551"/>
    <n v="14"/>
    <x v="4"/>
    <x v="102"/>
    <x v="3"/>
    <n v="1"/>
    <x v="0"/>
    <d v="2025-12-24T10:39:00"/>
    <x v="84"/>
    <x v="9"/>
    <n v="5868"/>
    <n v="3"/>
    <n v="17604"/>
    <x v="1"/>
  </r>
  <r>
    <n v="237"/>
    <n v="63"/>
    <x v="3"/>
    <x v="305"/>
    <x v="3"/>
    <n v="1"/>
    <x v="0"/>
    <d v="2025-12-24T11:23:00"/>
    <x v="84"/>
    <x v="10"/>
    <n v="3929"/>
    <n v="5"/>
    <n v="19645"/>
    <x v="2"/>
  </r>
  <r>
    <n v="166"/>
    <n v="297"/>
    <x v="7"/>
    <x v="12"/>
    <x v="5"/>
    <n v="4"/>
    <x v="0"/>
    <d v="2025-12-24T12:41:00"/>
    <x v="84"/>
    <x v="11"/>
    <n v="245"/>
    <n v="3"/>
    <n v="735"/>
    <x v="3"/>
  </r>
  <r>
    <n v="403"/>
    <n v="161"/>
    <x v="6"/>
    <x v="145"/>
    <x v="0"/>
    <n v="2"/>
    <x v="0"/>
    <d v="2025-12-24T12:50:00"/>
    <x v="84"/>
    <x v="11"/>
    <n v="4969"/>
    <n v="5"/>
    <n v="24845"/>
    <x v="2"/>
  </r>
  <r>
    <n v="58"/>
    <n v="61"/>
    <x v="9"/>
    <x v="312"/>
    <x v="5"/>
    <n v="4"/>
    <x v="0"/>
    <d v="2025-12-24T13:42:00"/>
    <x v="84"/>
    <x v="21"/>
    <n v="1409"/>
    <n v="3"/>
    <n v="4227"/>
    <x v="2"/>
  </r>
  <r>
    <n v="203"/>
    <n v="39"/>
    <x v="8"/>
    <x v="140"/>
    <x v="5"/>
    <n v="4"/>
    <x v="0"/>
    <d v="2025-12-24T13:46:00"/>
    <x v="84"/>
    <x v="21"/>
    <n v="266"/>
    <n v="3"/>
    <n v="798"/>
    <x v="3"/>
  </r>
  <r>
    <n v="381"/>
    <n v="143"/>
    <x v="7"/>
    <x v="25"/>
    <x v="0"/>
    <n v="2"/>
    <x v="1"/>
    <d v="2025-12-24T14:18:00"/>
    <x v="84"/>
    <x v="12"/>
    <n v="11917"/>
    <n v="0"/>
    <n v="0"/>
    <x v="0"/>
  </r>
  <r>
    <n v="187"/>
    <n v="138"/>
    <x v="0"/>
    <x v="227"/>
    <x v="2"/>
    <n v="3"/>
    <x v="1"/>
    <d v="2025-12-24T14:54:00"/>
    <x v="84"/>
    <x v="12"/>
    <n v="2644"/>
    <n v="0"/>
    <n v="0"/>
    <x v="2"/>
  </r>
  <r>
    <n v="459"/>
    <n v="176"/>
    <x v="9"/>
    <x v="321"/>
    <x v="4"/>
    <n v="7"/>
    <x v="0"/>
    <d v="2025-12-24T15:24:00"/>
    <x v="84"/>
    <x v="13"/>
    <n v="6597"/>
    <n v="3"/>
    <n v="19791"/>
    <x v="1"/>
  </r>
  <r>
    <n v="186"/>
    <n v="203"/>
    <x v="9"/>
    <x v="88"/>
    <x v="6"/>
    <n v="5"/>
    <x v="0"/>
    <d v="2025-12-24T15:32:00"/>
    <x v="84"/>
    <x v="13"/>
    <n v="3198"/>
    <n v="3"/>
    <n v="9594"/>
    <x v="2"/>
  </r>
  <r>
    <n v="494"/>
    <n v="191"/>
    <x v="5"/>
    <x v="382"/>
    <x v="6"/>
    <n v="5"/>
    <x v="0"/>
    <d v="2025-12-24T16:27:00"/>
    <x v="84"/>
    <x v="14"/>
    <n v="2466"/>
    <n v="3"/>
    <n v="7398"/>
    <x v="2"/>
  </r>
  <r>
    <n v="434"/>
    <n v="141"/>
    <x v="2"/>
    <x v="32"/>
    <x v="5"/>
    <n v="4"/>
    <x v="0"/>
    <d v="2025-12-24T16:32:00"/>
    <x v="84"/>
    <x v="14"/>
    <n v="694"/>
    <n v="3"/>
    <n v="2082"/>
    <x v="3"/>
  </r>
  <r>
    <n v="521"/>
    <n v="205"/>
    <x v="4"/>
    <x v="380"/>
    <x v="0"/>
    <n v="2"/>
    <x v="0"/>
    <d v="2025-12-24T16:33:00"/>
    <x v="84"/>
    <x v="14"/>
    <n v="11720"/>
    <n v="5"/>
    <n v="58600"/>
    <x v="0"/>
  </r>
  <r>
    <n v="719"/>
    <n v="14"/>
    <x v="1"/>
    <x v="355"/>
    <x v="6"/>
    <n v="5"/>
    <x v="0"/>
    <d v="2025-12-24T17:07:00"/>
    <x v="84"/>
    <x v="15"/>
    <n v="1827"/>
    <n v="3"/>
    <n v="5481"/>
    <x v="2"/>
  </r>
  <r>
    <n v="785"/>
    <n v="118"/>
    <x v="1"/>
    <x v="77"/>
    <x v="3"/>
    <n v="1"/>
    <x v="0"/>
    <d v="2025-12-24T17:24:00"/>
    <x v="84"/>
    <x v="15"/>
    <n v="6102"/>
    <n v="3"/>
    <n v="18306"/>
    <x v="1"/>
  </r>
  <r>
    <n v="163"/>
    <n v="273"/>
    <x v="9"/>
    <x v="112"/>
    <x v="3"/>
    <n v="1"/>
    <x v="0"/>
    <d v="2025-12-24T18:14:00"/>
    <x v="84"/>
    <x v="16"/>
    <n v="1018"/>
    <n v="3"/>
    <n v="3054"/>
    <x v="2"/>
  </r>
  <r>
    <n v="63"/>
    <n v="98"/>
    <x v="4"/>
    <x v="137"/>
    <x v="6"/>
    <n v="5"/>
    <x v="0"/>
    <d v="2025-12-24T18:27:00"/>
    <x v="84"/>
    <x v="16"/>
    <n v="1861"/>
    <n v="5"/>
    <n v="9305"/>
    <x v="2"/>
  </r>
  <r>
    <n v="363"/>
    <n v="118"/>
    <x v="1"/>
    <x v="176"/>
    <x v="1"/>
    <n v="6"/>
    <x v="1"/>
    <d v="2025-12-24T18:31:00"/>
    <x v="84"/>
    <x v="16"/>
    <n v="4884"/>
    <n v="0"/>
    <n v="0"/>
    <x v="2"/>
  </r>
  <r>
    <n v="97"/>
    <n v="139"/>
    <x v="0"/>
    <x v="67"/>
    <x v="3"/>
    <n v="1"/>
    <x v="0"/>
    <d v="2025-12-24T19:19:00"/>
    <x v="84"/>
    <x v="22"/>
    <n v="3699"/>
    <n v="5"/>
    <n v="18495"/>
    <x v="2"/>
  </r>
  <r>
    <n v="596"/>
    <n v="54"/>
    <x v="4"/>
    <x v="271"/>
    <x v="2"/>
    <n v="3"/>
    <x v="0"/>
    <d v="2025-12-24T19:40:00"/>
    <x v="84"/>
    <x v="22"/>
    <n v="3387"/>
    <n v="5"/>
    <n v="16935"/>
    <x v="2"/>
  </r>
  <r>
    <n v="453"/>
    <n v="249"/>
    <x v="0"/>
    <x v="160"/>
    <x v="3"/>
    <n v="1"/>
    <x v="0"/>
    <d v="2025-12-24T19:46:00"/>
    <x v="84"/>
    <x v="22"/>
    <n v="3374"/>
    <n v="5"/>
    <n v="16870"/>
    <x v="2"/>
  </r>
  <r>
    <n v="478"/>
    <n v="65"/>
    <x v="4"/>
    <x v="198"/>
    <x v="0"/>
    <n v="2"/>
    <x v="1"/>
    <d v="2025-12-24T20:20:00"/>
    <x v="84"/>
    <x v="17"/>
    <n v="13723"/>
    <n v="0"/>
    <n v="0"/>
    <x v="0"/>
  </r>
  <r>
    <n v="158"/>
    <n v="48"/>
    <x v="7"/>
    <x v="124"/>
    <x v="5"/>
    <n v="4"/>
    <x v="0"/>
    <d v="2025-12-24T20:39:00"/>
    <x v="84"/>
    <x v="17"/>
    <n v="970"/>
    <n v="3"/>
    <n v="2910"/>
    <x v="3"/>
  </r>
  <r>
    <n v="644"/>
    <n v="165"/>
    <x v="5"/>
    <x v="78"/>
    <x v="5"/>
    <n v="4"/>
    <x v="0"/>
    <d v="2025-12-24T21:03:00"/>
    <x v="84"/>
    <x v="23"/>
    <n v="1156"/>
    <n v="5"/>
    <n v="5780"/>
    <x v="2"/>
  </r>
  <r>
    <n v="185"/>
    <n v="4"/>
    <x v="1"/>
    <x v="8"/>
    <x v="3"/>
    <n v="1"/>
    <x v="0"/>
    <d v="2025-12-24T21:20:00"/>
    <x v="84"/>
    <x v="23"/>
    <n v="6813"/>
    <n v="5"/>
    <n v="34065"/>
    <x v="1"/>
  </r>
  <r>
    <n v="505"/>
    <n v="22"/>
    <x v="3"/>
    <x v="230"/>
    <x v="1"/>
    <n v="6"/>
    <x v="0"/>
    <d v="2025-12-24T22:06:00"/>
    <x v="84"/>
    <x v="18"/>
    <n v="7151"/>
    <n v="5"/>
    <n v="35755"/>
    <x v="1"/>
  </r>
  <r>
    <n v="204"/>
    <n v="107"/>
    <x v="2"/>
    <x v="64"/>
    <x v="0"/>
    <n v="2"/>
    <x v="0"/>
    <d v="2025-12-24T22:53:00"/>
    <x v="84"/>
    <x v="18"/>
    <n v="11120"/>
    <n v="5"/>
    <n v="55600"/>
    <x v="0"/>
  </r>
  <r>
    <n v="604"/>
    <n v="286"/>
    <x v="4"/>
    <x v="19"/>
    <x v="5"/>
    <n v="4"/>
    <x v="0"/>
    <d v="2025-12-24T23:26:00"/>
    <x v="84"/>
    <x v="19"/>
    <n v="717"/>
    <n v="5"/>
    <n v="3585"/>
    <x v="3"/>
  </r>
  <r>
    <n v="633"/>
    <n v="30"/>
    <x v="1"/>
    <x v="276"/>
    <x v="4"/>
    <n v="7"/>
    <x v="0"/>
    <d v="2025-12-24T23:29:00"/>
    <x v="84"/>
    <x v="19"/>
    <n v="5003"/>
    <n v="5"/>
    <n v="25015"/>
    <x v="1"/>
  </r>
  <r>
    <n v="556"/>
    <n v="149"/>
    <x v="8"/>
    <x v="207"/>
    <x v="0"/>
    <n v="2"/>
    <x v="0"/>
    <d v="2025-12-25T00:17:00"/>
    <x v="85"/>
    <x v="0"/>
    <n v="6692"/>
    <n v="5"/>
    <n v="33460"/>
    <x v="1"/>
  </r>
  <r>
    <n v="342"/>
    <n v="258"/>
    <x v="0"/>
    <x v="249"/>
    <x v="2"/>
    <n v="3"/>
    <x v="1"/>
    <d v="2025-12-25T00:47:00"/>
    <x v="85"/>
    <x v="0"/>
    <n v="4989"/>
    <n v="0"/>
    <n v="0"/>
    <x v="2"/>
  </r>
  <r>
    <n v="197"/>
    <n v="278"/>
    <x v="3"/>
    <x v="3"/>
    <x v="3"/>
    <n v="1"/>
    <x v="0"/>
    <d v="2025-12-25T01:18:00"/>
    <x v="85"/>
    <x v="1"/>
    <n v="7418"/>
    <n v="5"/>
    <n v="37090"/>
    <x v="1"/>
  </r>
  <r>
    <n v="728"/>
    <n v="245"/>
    <x v="6"/>
    <x v="282"/>
    <x v="2"/>
    <n v="3"/>
    <x v="0"/>
    <d v="2025-12-25T01:30:00"/>
    <x v="85"/>
    <x v="1"/>
    <n v="3103"/>
    <n v="3"/>
    <n v="9309"/>
    <x v="2"/>
  </r>
  <r>
    <n v="758"/>
    <n v="261"/>
    <x v="4"/>
    <x v="378"/>
    <x v="6"/>
    <n v="5"/>
    <x v="0"/>
    <d v="2025-12-25T02:26:00"/>
    <x v="85"/>
    <x v="2"/>
    <n v="1359"/>
    <n v="5"/>
    <n v="6795"/>
    <x v="2"/>
  </r>
  <r>
    <n v="675"/>
    <n v="300"/>
    <x v="8"/>
    <x v="309"/>
    <x v="1"/>
    <n v="6"/>
    <x v="0"/>
    <d v="2025-12-25T03:01:00"/>
    <x v="85"/>
    <x v="3"/>
    <n v="6363"/>
    <n v="5"/>
    <n v="31815"/>
    <x v="1"/>
  </r>
  <r>
    <n v="222"/>
    <n v="164"/>
    <x v="6"/>
    <x v="219"/>
    <x v="3"/>
    <n v="1"/>
    <x v="0"/>
    <d v="2025-12-25T03:04:00"/>
    <x v="85"/>
    <x v="3"/>
    <n v="7266"/>
    <n v="5"/>
    <n v="36330"/>
    <x v="1"/>
  </r>
  <r>
    <n v="173"/>
    <n v="285"/>
    <x v="9"/>
    <x v="182"/>
    <x v="5"/>
    <n v="4"/>
    <x v="0"/>
    <d v="2025-12-25T03:18:00"/>
    <x v="85"/>
    <x v="3"/>
    <n v="655"/>
    <n v="5"/>
    <n v="3275"/>
    <x v="3"/>
  </r>
  <r>
    <n v="9"/>
    <n v="55"/>
    <x v="4"/>
    <x v="190"/>
    <x v="3"/>
    <n v="1"/>
    <x v="0"/>
    <d v="2025-12-25T04:15:00"/>
    <x v="85"/>
    <x v="4"/>
    <n v="2190"/>
    <n v="3"/>
    <n v="6570"/>
    <x v="2"/>
  </r>
  <r>
    <n v="680"/>
    <n v="208"/>
    <x v="6"/>
    <x v="76"/>
    <x v="0"/>
    <n v="2"/>
    <x v="0"/>
    <d v="2025-12-25T04:17:00"/>
    <x v="85"/>
    <x v="4"/>
    <n v="12630"/>
    <n v="5"/>
    <n v="63150"/>
    <x v="0"/>
  </r>
  <r>
    <n v="177"/>
    <n v="283"/>
    <x v="7"/>
    <x v="204"/>
    <x v="1"/>
    <n v="6"/>
    <x v="0"/>
    <d v="2025-12-25T05:43:00"/>
    <x v="85"/>
    <x v="20"/>
    <n v="4939"/>
    <n v="3"/>
    <n v="14817"/>
    <x v="2"/>
  </r>
  <r>
    <n v="185"/>
    <n v="7"/>
    <x v="9"/>
    <x v="231"/>
    <x v="3"/>
    <n v="1"/>
    <x v="0"/>
    <d v="2025-12-25T06:13:00"/>
    <x v="85"/>
    <x v="5"/>
    <n v="4264"/>
    <n v="5"/>
    <n v="21320"/>
    <x v="2"/>
  </r>
  <r>
    <n v="281"/>
    <n v="45"/>
    <x v="4"/>
    <x v="200"/>
    <x v="1"/>
    <n v="6"/>
    <x v="0"/>
    <d v="2025-12-25T06:39:00"/>
    <x v="85"/>
    <x v="5"/>
    <n v="3371"/>
    <n v="5"/>
    <n v="16855"/>
    <x v="2"/>
  </r>
  <r>
    <n v="609"/>
    <n v="6"/>
    <x v="9"/>
    <x v="128"/>
    <x v="0"/>
    <n v="2"/>
    <x v="0"/>
    <d v="2025-12-25T06:48:00"/>
    <x v="85"/>
    <x v="5"/>
    <n v="8800"/>
    <n v="5"/>
    <n v="44000"/>
    <x v="1"/>
  </r>
  <r>
    <n v="175"/>
    <n v="228"/>
    <x v="2"/>
    <x v="127"/>
    <x v="2"/>
    <n v="3"/>
    <x v="1"/>
    <d v="2025-12-25T06:55:00"/>
    <x v="85"/>
    <x v="5"/>
    <n v="1720"/>
    <n v="0"/>
    <n v="0"/>
    <x v="2"/>
  </r>
  <r>
    <n v="1"/>
    <n v="135"/>
    <x v="2"/>
    <x v="108"/>
    <x v="5"/>
    <n v="4"/>
    <x v="0"/>
    <d v="2025-12-25T08:11:00"/>
    <x v="85"/>
    <x v="7"/>
    <n v="50"/>
    <n v="5"/>
    <n v="250"/>
    <x v="3"/>
  </r>
  <r>
    <n v="441"/>
    <n v="100"/>
    <x v="9"/>
    <x v="274"/>
    <x v="2"/>
    <n v="3"/>
    <x v="0"/>
    <d v="2025-12-25T08:20:00"/>
    <x v="85"/>
    <x v="7"/>
    <n v="4133"/>
    <n v="5"/>
    <n v="20665"/>
    <x v="2"/>
  </r>
  <r>
    <n v="663"/>
    <n v="21"/>
    <x v="8"/>
    <x v="155"/>
    <x v="0"/>
    <n v="2"/>
    <x v="0"/>
    <d v="2025-12-25T09:00:00"/>
    <x v="85"/>
    <x v="8"/>
    <n v="6866"/>
    <n v="5"/>
    <n v="34330"/>
    <x v="1"/>
  </r>
  <r>
    <n v="77"/>
    <n v="26"/>
    <x v="5"/>
    <x v="307"/>
    <x v="1"/>
    <n v="6"/>
    <x v="0"/>
    <d v="2025-12-25T09:13:00"/>
    <x v="85"/>
    <x v="8"/>
    <n v="2474"/>
    <n v="5"/>
    <n v="12370"/>
    <x v="2"/>
  </r>
  <r>
    <n v="380"/>
    <n v="103"/>
    <x v="5"/>
    <x v="141"/>
    <x v="5"/>
    <n v="4"/>
    <x v="0"/>
    <d v="2025-12-25T09:17:00"/>
    <x v="85"/>
    <x v="8"/>
    <n v="316"/>
    <n v="3"/>
    <n v="948"/>
    <x v="3"/>
  </r>
  <r>
    <n v="165"/>
    <n v="153"/>
    <x v="4"/>
    <x v="120"/>
    <x v="6"/>
    <n v="5"/>
    <x v="0"/>
    <d v="2025-12-25T09:17:00"/>
    <x v="85"/>
    <x v="8"/>
    <n v="3123"/>
    <n v="5"/>
    <n v="15615"/>
    <x v="2"/>
  </r>
  <r>
    <n v="228"/>
    <n v="196"/>
    <x v="1"/>
    <x v="23"/>
    <x v="5"/>
    <n v="4"/>
    <x v="0"/>
    <d v="2025-12-25T09:38:00"/>
    <x v="85"/>
    <x v="8"/>
    <n v="846"/>
    <n v="5"/>
    <n v="4230"/>
    <x v="3"/>
  </r>
  <r>
    <n v="22"/>
    <n v="271"/>
    <x v="0"/>
    <x v="227"/>
    <x v="2"/>
    <n v="3"/>
    <x v="0"/>
    <d v="2025-12-25T11:17:00"/>
    <x v="85"/>
    <x v="10"/>
    <n v="1702"/>
    <n v="3"/>
    <n v="5106"/>
    <x v="2"/>
  </r>
  <r>
    <n v="39"/>
    <n v="165"/>
    <x v="8"/>
    <x v="343"/>
    <x v="3"/>
    <n v="1"/>
    <x v="0"/>
    <d v="2025-12-25T11:29:00"/>
    <x v="85"/>
    <x v="10"/>
    <n v="2212"/>
    <n v="5"/>
    <n v="11060"/>
    <x v="2"/>
  </r>
  <r>
    <n v="702"/>
    <n v="215"/>
    <x v="2"/>
    <x v="45"/>
    <x v="3"/>
    <n v="1"/>
    <x v="0"/>
    <d v="2025-12-25T11:41:00"/>
    <x v="85"/>
    <x v="10"/>
    <n v="4219"/>
    <n v="5"/>
    <n v="21095"/>
    <x v="2"/>
  </r>
  <r>
    <n v="401"/>
    <n v="145"/>
    <x v="2"/>
    <x v="90"/>
    <x v="0"/>
    <n v="2"/>
    <x v="0"/>
    <d v="2025-12-25T11:52:00"/>
    <x v="85"/>
    <x v="10"/>
    <n v="4941"/>
    <n v="5"/>
    <n v="24705"/>
    <x v="2"/>
  </r>
  <r>
    <n v="363"/>
    <n v="6"/>
    <x v="3"/>
    <x v="295"/>
    <x v="0"/>
    <n v="2"/>
    <x v="0"/>
    <d v="2025-12-25T12:11:00"/>
    <x v="85"/>
    <x v="11"/>
    <n v="7740"/>
    <n v="5"/>
    <n v="38700"/>
    <x v="1"/>
  </r>
  <r>
    <n v="475"/>
    <n v="89"/>
    <x v="6"/>
    <x v="53"/>
    <x v="5"/>
    <n v="4"/>
    <x v="0"/>
    <d v="2025-12-25T12:27:00"/>
    <x v="85"/>
    <x v="11"/>
    <n v="173"/>
    <n v="5"/>
    <n v="865"/>
    <x v="3"/>
  </r>
  <r>
    <n v="456"/>
    <n v="218"/>
    <x v="2"/>
    <x v="205"/>
    <x v="6"/>
    <n v="5"/>
    <x v="0"/>
    <d v="2025-12-25T13:23:00"/>
    <x v="85"/>
    <x v="21"/>
    <n v="1556"/>
    <n v="3"/>
    <n v="4668"/>
    <x v="2"/>
  </r>
  <r>
    <n v="114"/>
    <n v="106"/>
    <x v="5"/>
    <x v="298"/>
    <x v="4"/>
    <n v="7"/>
    <x v="0"/>
    <d v="2025-12-25T13:41:00"/>
    <x v="85"/>
    <x v="21"/>
    <n v="6773"/>
    <n v="5"/>
    <n v="33865"/>
    <x v="1"/>
  </r>
  <r>
    <n v="659"/>
    <n v="133"/>
    <x v="1"/>
    <x v="366"/>
    <x v="0"/>
    <n v="2"/>
    <x v="0"/>
    <d v="2025-12-25T14:00:00"/>
    <x v="85"/>
    <x v="12"/>
    <n v="7257"/>
    <n v="5"/>
    <n v="36285"/>
    <x v="1"/>
  </r>
  <r>
    <n v="307"/>
    <n v="71"/>
    <x v="1"/>
    <x v="251"/>
    <x v="0"/>
    <n v="2"/>
    <x v="0"/>
    <d v="2025-12-25T14:04:00"/>
    <x v="85"/>
    <x v="12"/>
    <n v="8802"/>
    <n v="5"/>
    <n v="44010"/>
    <x v="1"/>
  </r>
  <r>
    <n v="358"/>
    <n v="142"/>
    <x v="1"/>
    <x v="173"/>
    <x v="5"/>
    <n v="4"/>
    <x v="0"/>
    <d v="2025-12-25T15:52:00"/>
    <x v="85"/>
    <x v="13"/>
    <n v="625"/>
    <n v="5"/>
    <n v="3125"/>
    <x v="3"/>
  </r>
  <r>
    <n v="202"/>
    <n v="236"/>
    <x v="1"/>
    <x v="194"/>
    <x v="3"/>
    <n v="1"/>
    <x v="0"/>
    <d v="2025-12-25T15:59:00"/>
    <x v="85"/>
    <x v="13"/>
    <n v="7640"/>
    <n v="5"/>
    <n v="38200"/>
    <x v="1"/>
  </r>
  <r>
    <n v="398"/>
    <n v="268"/>
    <x v="8"/>
    <x v="343"/>
    <x v="3"/>
    <n v="1"/>
    <x v="0"/>
    <d v="2025-12-25T16:01:00"/>
    <x v="85"/>
    <x v="14"/>
    <n v="2500"/>
    <n v="5"/>
    <n v="12500"/>
    <x v="2"/>
  </r>
  <r>
    <n v="433"/>
    <n v="107"/>
    <x v="2"/>
    <x v="2"/>
    <x v="2"/>
    <n v="3"/>
    <x v="0"/>
    <d v="2025-12-25T16:30:00"/>
    <x v="85"/>
    <x v="14"/>
    <n v="4509"/>
    <n v="5"/>
    <n v="22545"/>
    <x v="2"/>
  </r>
  <r>
    <n v="639"/>
    <n v="24"/>
    <x v="7"/>
    <x v="288"/>
    <x v="2"/>
    <n v="3"/>
    <x v="0"/>
    <d v="2025-12-25T16:54:00"/>
    <x v="85"/>
    <x v="14"/>
    <n v="3665"/>
    <n v="5"/>
    <n v="18325"/>
    <x v="2"/>
  </r>
  <r>
    <n v="336"/>
    <n v="175"/>
    <x v="1"/>
    <x v="376"/>
    <x v="2"/>
    <n v="3"/>
    <x v="0"/>
    <d v="2025-12-25T17:08:00"/>
    <x v="85"/>
    <x v="15"/>
    <n v="3791"/>
    <n v="5"/>
    <n v="18955"/>
    <x v="2"/>
  </r>
  <r>
    <n v="21"/>
    <n v="45"/>
    <x v="3"/>
    <x v="68"/>
    <x v="2"/>
    <n v="3"/>
    <x v="1"/>
    <d v="2025-12-25T17:23:00"/>
    <x v="85"/>
    <x v="15"/>
    <n v="2380"/>
    <n v="0"/>
    <n v="0"/>
    <x v="2"/>
  </r>
  <r>
    <n v="194"/>
    <n v="89"/>
    <x v="9"/>
    <x v="52"/>
    <x v="0"/>
    <n v="2"/>
    <x v="1"/>
    <d v="2025-12-25T18:04:00"/>
    <x v="85"/>
    <x v="16"/>
    <n v="12217"/>
    <n v="0"/>
    <n v="0"/>
    <x v="0"/>
  </r>
  <r>
    <n v="173"/>
    <n v="147"/>
    <x v="4"/>
    <x v="102"/>
    <x v="3"/>
    <n v="1"/>
    <x v="1"/>
    <d v="2025-12-25T18:09:00"/>
    <x v="85"/>
    <x v="16"/>
    <n v="3612"/>
    <n v="0"/>
    <n v="0"/>
    <x v="2"/>
  </r>
  <r>
    <n v="791"/>
    <n v="137"/>
    <x v="7"/>
    <x v="73"/>
    <x v="2"/>
    <n v="3"/>
    <x v="0"/>
    <d v="2025-12-25T18:55:00"/>
    <x v="85"/>
    <x v="16"/>
    <n v="3322"/>
    <n v="5"/>
    <n v="16610"/>
    <x v="2"/>
  </r>
  <r>
    <n v="225"/>
    <n v="138"/>
    <x v="8"/>
    <x v="166"/>
    <x v="3"/>
    <n v="1"/>
    <x v="0"/>
    <d v="2025-12-25T19:23:00"/>
    <x v="85"/>
    <x v="22"/>
    <n v="1830"/>
    <n v="5"/>
    <n v="9150"/>
    <x v="2"/>
  </r>
  <r>
    <n v="514"/>
    <n v="200"/>
    <x v="6"/>
    <x v="11"/>
    <x v="2"/>
    <n v="3"/>
    <x v="0"/>
    <d v="2025-12-25T19:37:00"/>
    <x v="85"/>
    <x v="22"/>
    <n v="4348"/>
    <n v="5"/>
    <n v="21740"/>
    <x v="2"/>
  </r>
  <r>
    <n v="780"/>
    <n v="6"/>
    <x v="8"/>
    <x v="272"/>
    <x v="3"/>
    <n v="1"/>
    <x v="0"/>
    <d v="2025-12-25T19:53:00"/>
    <x v="85"/>
    <x v="22"/>
    <n v="5620"/>
    <n v="5"/>
    <n v="28100"/>
    <x v="1"/>
  </r>
  <r>
    <n v="379"/>
    <n v="116"/>
    <x v="7"/>
    <x v="163"/>
    <x v="3"/>
    <n v="1"/>
    <x v="0"/>
    <d v="2025-12-25T20:01:00"/>
    <x v="85"/>
    <x v="17"/>
    <n v="2338"/>
    <n v="5"/>
    <n v="11690"/>
    <x v="2"/>
  </r>
  <r>
    <n v="573"/>
    <n v="291"/>
    <x v="4"/>
    <x v="66"/>
    <x v="3"/>
    <n v="1"/>
    <x v="0"/>
    <d v="2025-12-25T20:38:00"/>
    <x v="85"/>
    <x v="17"/>
    <n v="4289"/>
    <n v="5"/>
    <n v="21445"/>
    <x v="2"/>
  </r>
  <r>
    <n v="203"/>
    <n v="265"/>
    <x v="8"/>
    <x v="166"/>
    <x v="3"/>
    <n v="1"/>
    <x v="0"/>
    <d v="2025-12-25T20:57:00"/>
    <x v="85"/>
    <x v="17"/>
    <n v="1282"/>
    <n v="5"/>
    <n v="6410"/>
    <x v="2"/>
  </r>
  <r>
    <n v="669"/>
    <n v="7"/>
    <x v="7"/>
    <x v="152"/>
    <x v="4"/>
    <n v="7"/>
    <x v="0"/>
    <d v="2025-12-25T21:07:00"/>
    <x v="85"/>
    <x v="23"/>
    <n v="5229"/>
    <n v="3"/>
    <n v="15687"/>
    <x v="1"/>
  </r>
  <r>
    <n v="513"/>
    <n v="173"/>
    <x v="6"/>
    <x v="11"/>
    <x v="2"/>
    <n v="3"/>
    <x v="1"/>
    <d v="2025-12-25T21:31:00"/>
    <x v="85"/>
    <x v="23"/>
    <n v="1630"/>
    <n v="0"/>
    <n v="0"/>
    <x v="2"/>
  </r>
  <r>
    <n v="94"/>
    <n v="201"/>
    <x v="7"/>
    <x v="288"/>
    <x v="2"/>
    <n v="3"/>
    <x v="1"/>
    <d v="2025-12-25T23:56:00"/>
    <x v="85"/>
    <x v="19"/>
    <n v="4109"/>
    <n v="0"/>
    <n v="0"/>
    <x v="2"/>
  </r>
  <r>
    <n v="618"/>
    <n v="9"/>
    <x v="6"/>
    <x v="145"/>
    <x v="0"/>
    <n v="2"/>
    <x v="0"/>
    <d v="2025-12-26T00:11:00"/>
    <x v="86"/>
    <x v="0"/>
    <n v="8483"/>
    <n v="4"/>
    <n v="33932"/>
    <x v="1"/>
  </r>
  <r>
    <n v="489"/>
    <n v="274"/>
    <x v="9"/>
    <x v="106"/>
    <x v="3"/>
    <n v="1"/>
    <x v="0"/>
    <d v="2025-12-26T01:18:00"/>
    <x v="86"/>
    <x v="1"/>
    <n v="7658"/>
    <n v="1"/>
    <n v="7658"/>
    <x v="1"/>
  </r>
  <r>
    <n v="313"/>
    <n v="251"/>
    <x v="2"/>
    <x v="45"/>
    <x v="3"/>
    <n v="1"/>
    <x v="0"/>
    <d v="2025-12-26T01:30:00"/>
    <x v="86"/>
    <x v="1"/>
    <n v="1570"/>
    <n v="3"/>
    <n v="4710"/>
    <x v="2"/>
  </r>
  <r>
    <n v="228"/>
    <n v="234"/>
    <x v="1"/>
    <x v="95"/>
    <x v="2"/>
    <n v="3"/>
    <x v="1"/>
    <d v="2025-12-26T01:31:00"/>
    <x v="86"/>
    <x v="1"/>
    <n v="5040"/>
    <n v="0"/>
    <n v="0"/>
    <x v="1"/>
  </r>
  <r>
    <n v="218"/>
    <n v="235"/>
    <x v="7"/>
    <x v="83"/>
    <x v="3"/>
    <n v="1"/>
    <x v="0"/>
    <d v="2025-12-26T01:37:00"/>
    <x v="86"/>
    <x v="1"/>
    <n v="5205"/>
    <n v="2"/>
    <n v="10410"/>
    <x v="1"/>
  </r>
  <r>
    <n v="556"/>
    <n v="232"/>
    <x v="2"/>
    <x v="205"/>
    <x v="6"/>
    <n v="5"/>
    <x v="0"/>
    <d v="2025-12-26T01:51:00"/>
    <x v="86"/>
    <x v="1"/>
    <n v="1011"/>
    <n v="1"/>
    <n v="1011"/>
    <x v="2"/>
  </r>
  <r>
    <n v="263"/>
    <n v="213"/>
    <x v="6"/>
    <x v="317"/>
    <x v="3"/>
    <n v="1"/>
    <x v="1"/>
    <d v="2025-12-26T01:58:00"/>
    <x v="86"/>
    <x v="1"/>
    <n v="8000"/>
    <n v="0"/>
    <n v="0"/>
    <x v="1"/>
  </r>
  <r>
    <n v="414"/>
    <n v="284"/>
    <x v="2"/>
    <x v="32"/>
    <x v="5"/>
    <n v="4"/>
    <x v="0"/>
    <d v="2025-12-26T01:58:00"/>
    <x v="86"/>
    <x v="1"/>
    <n v="874"/>
    <n v="2"/>
    <n v="1748"/>
    <x v="3"/>
  </r>
  <r>
    <n v="532"/>
    <n v="191"/>
    <x v="7"/>
    <x v="12"/>
    <x v="5"/>
    <n v="4"/>
    <x v="0"/>
    <d v="2025-12-26T03:03:00"/>
    <x v="86"/>
    <x v="3"/>
    <n v="175"/>
    <n v="1"/>
    <n v="175"/>
    <x v="3"/>
  </r>
  <r>
    <n v="35"/>
    <n v="31"/>
    <x v="9"/>
    <x v="100"/>
    <x v="5"/>
    <n v="4"/>
    <x v="0"/>
    <d v="2025-12-26T03:53:00"/>
    <x v="86"/>
    <x v="3"/>
    <n v="1291"/>
    <n v="1"/>
    <n v="1291"/>
    <x v="2"/>
  </r>
  <r>
    <n v="171"/>
    <n v="296"/>
    <x v="8"/>
    <x v="213"/>
    <x v="1"/>
    <n v="6"/>
    <x v="0"/>
    <d v="2025-12-26T04:28:00"/>
    <x v="86"/>
    <x v="4"/>
    <n v="4474"/>
    <n v="2"/>
    <n v="8948"/>
    <x v="2"/>
  </r>
  <r>
    <n v="343"/>
    <n v="21"/>
    <x v="3"/>
    <x v="354"/>
    <x v="0"/>
    <n v="2"/>
    <x v="0"/>
    <d v="2025-12-26T04:33:00"/>
    <x v="86"/>
    <x v="4"/>
    <n v="5607"/>
    <n v="5"/>
    <n v="28035"/>
    <x v="1"/>
  </r>
  <r>
    <n v="21"/>
    <n v="149"/>
    <x v="3"/>
    <x v="230"/>
    <x v="1"/>
    <n v="6"/>
    <x v="0"/>
    <d v="2025-12-26T04:37:00"/>
    <x v="86"/>
    <x v="4"/>
    <n v="9577"/>
    <n v="2"/>
    <n v="19154"/>
    <x v="1"/>
  </r>
  <r>
    <n v="35"/>
    <n v="173"/>
    <x v="2"/>
    <x v="108"/>
    <x v="5"/>
    <n v="4"/>
    <x v="1"/>
    <d v="2025-12-26T04:39:00"/>
    <x v="86"/>
    <x v="4"/>
    <n v="519"/>
    <n v="0"/>
    <n v="0"/>
    <x v="3"/>
  </r>
  <r>
    <n v="274"/>
    <n v="218"/>
    <x v="5"/>
    <x v="72"/>
    <x v="6"/>
    <n v="5"/>
    <x v="0"/>
    <d v="2025-12-26T05:13:00"/>
    <x v="86"/>
    <x v="20"/>
    <n v="865"/>
    <n v="1"/>
    <n v="865"/>
    <x v="3"/>
  </r>
  <r>
    <n v="28"/>
    <n v="203"/>
    <x v="5"/>
    <x v="179"/>
    <x v="0"/>
    <n v="2"/>
    <x v="0"/>
    <d v="2025-12-26T06:23:00"/>
    <x v="86"/>
    <x v="5"/>
    <n v="13761"/>
    <n v="2"/>
    <n v="27522"/>
    <x v="0"/>
  </r>
  <r>
    <n v="217"/>
    <n v="12"/>
    <x v="8"/>
    <x v="207"/>
    <x v="0"/>
    <n v="2"/>
    <x v="0"/>
    <d v="2025-12-26T06:38:00"/>
    <x v="86"/>
    <x v="5"/>
    <n v="12044"/>
    <n v="2"/>
    <n v="24088"/>
    <x v="0"/>
  </r>
  <r>
    <n v="124"/>
    <n v="281"/>
    <x v="8"/>
    <x v="343"/>
    <x v="3"/>
    <n v="1"/>
    <x v="1"/>
    <d v="2025-12-26T06:41:00"/>
    <x v="86"/>
    <x v="5"/>
    <n v="7703"/>
    <n v="0"/>
    <n v="0"/>
    <x v="1"/>
  </r>
  <r>
    <n v="421"/>
    <n v="244"/>
    <x v="4"/>
    <x v="66"/>
    <x v="3"/>
    <n v="1"/>
    <x v="0"/>
    <d v="2025-12-26T07:00:00"/>
    <x v="86"/>
    <x v="6"/>
    <n v="2004"/>
    <n v="4"/>
    <n v="8016"/>
    <x v="2"/>
  </r>
  <r>
    <n v="630"/>
    <n v="9"/>
    <x v="7"/>
    <x v="357"/>
    <x v="3"/>
    <n v="1"/>
    <x v="1"/>
    <d v="2025-12-26T07:11:00"/>
    <x v="86"/>
    <x v="6"/>
    <n v="5835"/>
    <n v="0"/>
    <n v="0"/>
    <x v="1"/>
  </r>
  <r>
    <n v="520"/>
    <n v="221"/>
    <x v="3"/>
    <x v="247"/>
    <x v="1"/>
    <n v="6"/>
    <x v="0"/>
    <d v="2025-12-26T07:24:00"/>
    <x v="86"/>
    <x v="6"/>
    <n v="10417"/>
    <n v="1"/>
    <n v="10417"/>
    <x v="0"/>
  </r>
  <r>
    <n v="693"/>
    <n v="24"/>
    <x v="3"/>
    <x v="118"/>
    <x v="3"/>
    <n v="1"/>
    <x v="0"/>
    <d v="2025-12-26T07:50:00"/>
    <x v="86"/>
    <x v="6"/>
    <n v="3606"/>
    <n v="2"/>
    <n v="7212"/>
    <x v="2"/>
  </r>
  <r>
    <n v="425"/>
    <n v="105"/>
    <x v="5"/>
    <x v="171"/>
    <x v="4"/>
    <n v="7"/>
    <x v="0"/>
    <d v="2025-12-26T08:23:00"/>
    <x v="86"/>
    <x v="7"/>
    <n v="4713"/>
    <n v="2"/>
    <n v="9426"/>
    <x v="2"/>
  </r>
  <r>
    <n v="711"/>
    <n v="258"/>
    <x v="4"/>
    <x v="19"/>
    <x v="5"/>
    <n v="4"/>
    <x v="0"/>
    <d v="2025-12-26T08:26:00"/>
    <x v="86"/>
    <x v="7"/>
    <n v="821"/>
    <n v="3"/>
    <n v="2463"/>
    <x v="3"/>
  </r>
  <r>
    <n v="323"/>
    <n v="166"/>
    <x v="0"/>
    <x v="211"/>
    <x v="1"/>
    <n v="6"/>
    <x v="0"/>
    <d v="2025-12-26T08:27:00"/>
    <x v="86"/>
    <x v="7"/>
    <n v="9894"/>
    <n v="4"/>
    <n v="39576"/>
    <x v="1"/>
  </r>
  <r>
    <n v="142"/>
    <n v="72"/>
    <x v="7"/>
    <x v="163"/>
    <x v="3"/>
    <n v="1"/>
    <x v="1"/>
    <d v="2025-12-26T10:44:00"/>
    <x v="86"/>
    <x v="9"/>
    <n v="7759"/>
    <n v="0"/>
    <n v="0"/>
    <x v="1"/>
  </r>
  <r>
    <n v="269"/>
    <n v="288"/>
    <x v="8"/>
    <x v="111"/>
    <x v="2"/>
    <n v="3"/>
    <x v="0"/>
    <d v="2025-12-26T10:51:00"/>
    <x v="86"/>
    <x v="9"/>
    <n v="2621"/>
    <n v="2"/>
    <n v="5242"/>
    <x v="2"/>
  </r>
  <r>
    <n v="412"/>
    <n v="227"/>
    <x v="1"/>
    <x v="266"/>
    <x v="6"/>
    <n v="5"/>
    <x v="0"/>
    <d v="2025-12-26T10:53:00"/>
    <x v="86"/>
    <x v="9"/>
    <n v="2721"/>
    <n v="2"/>
    <n v="5442"/>
    <x v="2"/>
  </r>
  <r>
    <n v="192"/>
    <n v="32"/>
    <x v="2"/>
    <x v="374"/>
    <x v="2"/>
    <n v="3"/>
    <x v="0"/>
    <d v="2025-12-26T10:58:00"/>
    <x v="86"/>
    <x v="9"/>
    <n v="1751"/>
    <n v="2"/>
    <n v="3502"/>
    <x v="2"/>
  </r>
  <r>
    <n v="693"/>
    <n v="8"/>
    <x v="4"/>
    <x v="131"/>
    <x v="2"/>
    <n v="3"/>
    <x v="0"/>
    <d v="2025-12-26T10:59:00"/>
    <x v="86"/>
    <x v="9"/>
    <n v="2076"/>
    <n v="3"/>
    <n v="6228"/>
    <x v="2"/>
  </r>
  <r>
    <n v="182"/>
    <n v="261"/>
    <x v="9"/>
    <x v="112"/>
    <x v="3"/>
    <n v="1"/>
    <x v="0"/>
    <d v="2025-12-26T11:13:00"/>
    <x v="86"/>
    <x v="10"/>
    <n v="4785"/>
    <n v="2"/>
    <n v="9570"/>
    <x v="2"/>
  </r>
  <r>
    <n v="164"/>
    <n v="252"/>
    <x v="9"/>
    <x v="100"/>
    <x v="5"/>
    <n v="4"/>
    <x v="0"/>
    <d v="2025-12-26T11:56:00"/>
    <x v="86"/>
    <x v="10"/>
    <n v="1151"/>
    <n v="3"/>
    <n v="3453"/>
    <x v="2"/>
  </r>
  <r>
    <n v="720"/>
    <n v="166"/>
    <x v="4"/>
    <x v="93"/>
    <x v="5"/>
    <n v="4"/>
    <x v="0"/>
    <d v="2025-12-26T12:07:00"/>
    <x v="86"/>
    <x v="11"/>
    <n v="382"/>
    <n v="4"/>
    <n v="1528"/>
    <x v="3"/>
  </r>
  <r>
    <n v="93"/>
    <n v="235"/>
    <x v="5"/>
    <x v="297"/>
    <x v="2"/>
    <n v="3"/>
    <x v="0"/>
    <d v="2025-12-26T12:22:00"/>
    <x v="86"/>
    <x v="11"/>
    <n v="3366"/>
    <n v="3"/>
    <n v="10098"/>
    <x v="2"/>
  </r>
  <r>
    <n v="626"/>
    <n v="135"/>
    <x v="2"/>
    <x v="280"/>
    <x v="1"/>
    <n v="6"/>
    <x v="0"/>
    <d v="2025-12-26T12:52:00"/>
    <x v="86"/>
    <x v="11"/>
    <n v="2172"/>
    <n v="2"/>
    <n v="4344"/>
    <x v="2"/>
  </r>
  <r>
    <n v="162"/>
    <n v="16"/>
    <x v="9"/>
    <x v="231"/>
    <x v="3"/>
    <n v="1"/>
    <x v="1"/>
    <d v="2025-12-26T13:11:00"/>
    <x v="86"/>
    <x v="21"/>
    <n v="2412"/>
    <n v="0"/>
    <n v="0"/>
    <x v="2"/>
  </r>
  <r>
    <n v="704"/>
    <n v="121"/>
    <x v="9"/>
    <x v="48"/>
    <x v="2"/>
    <n v="3"/>
    <x v="0"/>
    <d v="2025-12-26T14:03:00"/>
    <x v="86"/>
    <x v="12"/>
    <n v="3356"/>
    <n v="1"/>
    <n v="3356"/>
    <x v="2"/>
  </r>
  <r>
    <n v="310"/>
    <n v="10"/>
    <x v="5"/>
    <x v="86"/>
    <x v="2"/>
    <n v="3"/>
    <x v="0"/>
    <d v="2025-12-26T14:56:00"/>
    <x v="86"/>
    <x v="12"/>
    <n v="2358"/>
    <n v="1"/>
    <n v="2358"/>
    <x v="2"/>
  </r>
  <r>
    <n v="626"/>
    <n v="215"/>
    <x v="6"/>
    <x v="145"/>
    <x v="0"/>
    <n v="2"/>
    <x v="0"/>
    <d v="2025-12-26T14:57:00"/>
    <x v="86"/>
    <x v="12"/>
    <n v="5794"/>
    <n v="5"/>
    <n v="28970"/>
    <x v="1"/>
  </r>
  <r>
    <n v="184"/>
    <n v="33"/>
    <x v="2"/>
    <x v="226"/>
    <x v="5"/>
    <n v="4"/>
    <x v="0"/>
    <d v="2025-12-26T15:37:00"/>
    <x v="86"/>
    <x v="13"/>
    <n v="783"/>
    <n v="2"/>
    <n v="1566"/>
    <x v="3"/>
  </r>
  <r>
    <n v="195"/>
    <n v="2"/>
    <x v="3"/>
    <x v="232"/>
    <x v="3"/>
    <n v="1"/>
    <x v="1"/>
    <d v="2025-12-26T15:53:00"/>
    <x v="86"/>
    <x v="13"/>
    <n v="6027"/>
    <n v="0"/>
    <n v="0"/>
    <x v="1"/>
  </r>
  <r>
    <n v="167"/>
    <n v="140"/>
    <x v="9"/>
    <x v="112"/>
    <x v="3"/>
    <n v="1"/>
    <x v="1"/>
    <d v="2025-12-26T17:52:00"/>
    <x v="86"/>
    <x v="15"/>
    <n v="3945"/>
    <n v="0"/>
    <n v="0"/>
    <x v="2"/>
  </r>
  <r>
    <n v="675"/>
    <n v="126"/>
    <x v="3"/>
    <x v="234"/>
    <x v="6"/>
    <n v="5"/>
    <x v="0"/>
    <d v="2025-12-26T18:10:00"/>
    <x v="86"/>
    <x v="16"/>
    <n v="1837"/>
    <n v="3"/>
    <n v="5511"/>
    <x v="2"/>
  </r>
  <r>
    <n v="478"/>
    <n v="276"/>
    <x v="4"/>
    <x v="378"/>
    <x v="6"/>
    <n v="5"/>
    <x v="0"/>
    <d v="2025-12-26T20:04:00"/>
    <x v="86"/>
    <x v="17"/>
    <n v="1179"/>
    <n v="1"/>
    <n v="1179"/>
    <x v="2"/>
  </r>
  <r>
    <n v="6"/>
    <n v="198"/>
    <x v="8"/>
    <x v="272"/>
    <x v="3"/>
    <n v="1"/>
    <x v="0"/>
    <d v="2025-12-26T20:42:00"/>
    <x v="86"/>
    <x v="17"/>
    <n v="1926"/>
    <n v="1"/>
    <n v="1926"/>
    <x v="2"/>
  </r>
  <r>
    <n v="228"/>
    <n v="59"/>
    <x v="7"/>
    <x v="117"/>
    <x v="3"/>
    <n v="1"/>
    <x v="0"/>
    <d v="2025-12-26T20:49:00"/>
    <x v="86"/>
    <x v="17"/>
    <n v="6185"/>
    <n v="3"/>
    <n v="18555"/>
    <x v="1"/>
  </r>
  <r>
    <n v="774"/>
    <n v="27"/>
    <x v="3"/>
    <x v="201"/>
    <x v="2"/>
    <n v="3"/>
    <x v="0"/>
    <d v="2025-12-26T21:10:00"/>
    <x v="86"/>
    <x v="23"/>
    <n v="4445"/>
    <n v="3"/>
    <n v="13335"/>
    <x v="2"/>
  </r>
  <r>
    <n v="741"/>
    <n v="73"/>
    <x v="7"/>
    <x v="61"/>
    <x v="1"/>
    <n v="6"/>
    <x v="0"/>
    <d v="2025-12-26T23:18:00"/>
    <x v="86"/>
    <x v="19"/>
    <n v="3680"/>
    <n v="1"/>
    <n v="3680"/>
    <x v="2"/>
  </r>
  <r>
    <n v="205"/>
    <n v="230"/>
    <x v="6"/>
    <x v="79"/>
    <x v="2"/>
    <n v="3"/>
    <x v="0"/>
    <d v="2025-12-27T00:10:00"/>
    <x v="87"/>
    <x v="0"/>
    <n v="5533"/>
    <n v="1"/>
    <n v="5533"/>
    <x v="1"/>
  </r>
  <r>
    <n v="614"/>
    <n v="80"/>
    <x v="8"/>
    <x v="214"/>
    <x v="5"/>
    <n v="4"/>
    <x v="0"/>
    <d v="2025-12-27T00:12:00"/>
    <x v="87"/>
    <x v="0"/>
    <n v="50"/>
    <n v="2"/>
    <n v="100"/>
    <x v="3"/>
  </r>
  <r>
    <n v="457"/>
    <n v="25"/>
    <x v="7"/>
    <x v="158"/>
    <x v="0"/>
    <n v="2"/>
    <x v="0"/>
    <d v="2025-12-27T00:45:00"/>
    <x v="87"/>
    <x v="0"/>
    <n v="10876"/>
    <n v="2"/>
    <n v="21752"/>
    <x v="0"/>
  </r>
  <r>
    <n v="33"/>
    <n v="266"/>
    <x v="3"/>
    <x v="370"/>
    <x v="5"/>
    <n v="4"/>
    <x v="0"/>
    <d v="2025-12-27T00:56:00"/>
    <x v="87"/>
    <x v="0"/>
    <n v="281"/>
    <n v="5"/>
    <n v="1405"/>
    <x v="3"/>
  </r>
  <r>
    <n v="412"/>
    <n v="77"/>
    <x v="8"/>
    <x v="386"/>
    <x v="6"/>
    <n v="5"/>
    <x v="0"/>
    <d v="2025-12-27T00:56:00"/>
    <x v="87"/>
    <x v="0"/>
    <n v="3256"/>
    <n v="4"/>
    <n v="13024"/>
    <x v="2"/>
  </r>
  <r>
    <n v="564"/>
    <n v="90"/>
    <x v="9"/>
    <x v="217"/>
    <x v="6"/>
    <n v="5"/>
    <x v="0"/>
    <d v="2025-12-27T01:10:00"/>
    <x v="87"/>
    <x v="1"/>
    <n v="2849"/>
    <n v="1"/>
    <n v="2849"/>
    <x v="2"/>
  </r>
  <r>
    <n v="540"/>
    <n v="168"/>
    <x v="7"/>
    <x v="83"/>
    <x v="3"/>
    <n v="1"/>
    <x v="1"/>
    <d v="2025-12-27T01:17:00"/>
    <x v="87"/>
    <x v="1"/>
    <n v="6529"/>
    <n v="0"/>
    <n v="0"/>
    <x v="1"/>
  </r>
  <r>
    <n v="151"/>
    <n v="265"/>
    <x v="0"/>
    <x v="322"/>
    <x v="5"/>
    <n v="4"/>
    <x v="0"/>
    <d v="2025-12-27T02:02:00"/>
    <x v="87"/>
    <x v="2"/>
    <n v="249"/>
    <n v="2"/>
    <n v="498"/>
    <x v="3"/>
  </r>
  <r>
    <n v="579"/>
    <n v="95"/>
    <x v="9"/>
    <x v="75"/>
    <x v="0"/>
    <n v="2"/>
    <x v="0"/>
    <d v="2025-12-27T02:13:00"/>
    <x v="87"/>
    <x v="2"/>
    <n v="12454"/>
    <n v="1"/>
    <n v="12454"/>
    <x v="0"/>
  </r>
  <r>
    <n v="283"/>
    <n v="46"/>
    <x v="8"/>
    <x v="343"/>
    <x v="3"/>
    <n v="1"/>
    <x v="0"/>
    <d v="2025-12-27T03:00:00"/>
    <x v="87"/>
    <x v="3"/>
    <n v="6386"/>
    <n v="2"/>
    <n v="12772"/>
    <x v="1"/>
  </r>
  <r>
    <n v="434"/>
    <n v="58"/>
    <x v="3"/>
    <x v="290"/>
    <x v="5"/>
    <n v="4"/>
    <x v="1"/>
    <d v="2025-12-27T03:00:00"/>
    <x v="87"/>
    <x v="3"/>
    <n v="218"/>
    <n v="0"/>
    <n v="0"/>
    <x v="3"/>
  </r>
  <r>
    <n v="416"/>
    <n v="201"/>
    <x v="4"/>
    <x v="270"/>
    <x v="2"/>
    <n v="3"/>
    <x v="1"/>
    <d v="2025-12-27T03:10:00"/>
    <x v="87"/>
    <x v="3"/>
    <n v="4508"/>
    <n v="0"/>
    <n v="0"/>
    <x v="2"/>
  </r>
  <r>
    <n v="544"/>
    <n v="69"/>
    <x v="3"/>
    <x v="43"/>
    <x v="4"/>
    <n v="7"/>
    <x v="0"/>
    <d v="2025-12-27T03:17:00"/>
    <x v="87"/>
    <x v="3"/>
    <n v="2391"/>
    <n v="1"/>
    <n v="2391"/>
    <x v="2"/>
  </r>
  <r>
    <n v="468"/>
    <n v="30"/>
    <x v="9"/>
    <x v="303"/>
    <x v="2"/>
    <n v="3"/>
    <x v="0"/>
    <d v="2025-12-27T03:24:00"/>
    <x v="87"/>
    <x v="3"/>
    <n v="1559"/>
    <n v="2"/>
    <n v="3118"/>
    <x v="2"/>
  </r>
  <r>
    <n v="200"/>
    <n v="136"/>
    <x v="4"/>
    <x v="93"/>
    <x v="5"/>
    <n v="4"/>
    <x v="0"/>
    <d v="2025-12-27T03:26:00"/>
    <x v="87"/>
    <x v="3"/>
    <n v="1500"/>
    <n v="2"/>
    <n v="3000"/>
    <x v="2"/>
  </r>
  <r>
    <n v="610"/>
    <n v="196"/>
    <x v="5"/>
    <x v="195"/>
    <x v="4"/>
    <n v="7"/>
    <x v="0"/>
    <d v="2025-12-27T03:31:00"/>
    <x v="87"/>
    <x v="3"/>
    <n v="3735"/>
    <n v="1"/>
    <n v="3735"/>
    <x v="2"/>
  </r>
  <r>
    <n v="260"/>
    <n v="172"/>
    <x v="4"/>
    <x v="36"/>
    <x v="3"/>
    <n v="1"/>
    <x v="1"/>
    <d v="2025-12-27T03:53:00"/>
    <x v="87"/>
    <x v="3"/>
    <n v="6295"/>
    <n v="0"/>
    <n v="0"/>
    <x v="1"/>
  </r>
  <r>
    <n v="84"/>
    <n v="92"/>
    <x v="8"/>
    <x v="30"/>
    <x v="3"/>
    <n v="1"/>
    <x v="0"/>
    <d v="2025-12-27T04:02:00"/>
    <x v="87"/>
    <x v="4"/>
    <n v="5423"/>
    <n v="3"/>
    <n v="16269"/>
    <x v="1"/>
  </r>
  <r>
    <n v="674"/>
    <n v="74"/>
    <x v="7"/>
    <x v="133"/>
    <x v="4"/>
    <n v="7"/>
    <x v="1"/>
    <d v="2025-12-27T04:16:00"/>
    <x v="87"/>
    <x v="4"/>
    <n v="1765"/>
    <n v="0"/>
    <n v="0"/>
    <x v="2"/>
  </r>
  <r>
    <n v="418"/>
    <n v="10"/>
    <x v="6"/>
    <x v="11"/>
    <x v="2"/>
    <n v="3"/>
    <x v="0"/>
    <d v="2025-12-27T04:29:00"/>
    <x v="87"/>
    <x v="4"/>
    <n v="3826"/>
    <n v="5"/>
    <n v="19130"/>
    <x v="2"/>
  </r>
  <r>
    <n v="470"/>
    <n v="187"/>
    <x v="4"/>
    <x v="316"/>
    <x v="0"/>
    <n v="2"/>
    <x v="0"/>
    <d v="2025-12-27T05:24:00"/>
    <x v="87"/>
    <x v="20"/>
    <n v="13439"/>
    <n v="1"/>
    <n v="13439"/>
    <x v="0"/>
  </r>
  <r>
    <n v="273"/>
    <n v="292"/>
    <x v="4"/>
    <x v="19"/>
    <x v="5"/>
    <n v="4"/>
    <x v="0"/>
    <d v="2025-12-27T06:27:00"/>
    <x v="87"/>
    <x v="5"/>
    <n v="363"/>
    <n v="1"/>
    <n v="363"/>
    <x v="3"/>
  </r>
  <r>
    <n v="625"/>
    <n v="193"/>
    <x v="0"/>
    <x v="301"/>
    <x v="2"/>
    <n v="3"/>
    <x v="0"/>
    <d v="2025-12-27T06:45:00"/>
    <x v="87"/>
    <x v="5"/>
    <n v="5204"/>
    <n v="4"/>
    <n v="20816"/>
    <x v="1"/>
  </r>
  <r>
    <n v="136"/>
    <n v="151"/>
    <x v="8"/>
    <x v="193"/>
    <x v="0"/>
    <n v="2"/>
    <x v="0"/>
    <d v="2025-12-27T06:55:00"/>
    <x v="87"/>
    <x v="5"/>
    <n v="14822"/>
    <n v="3"/>
    <n v="44466"/>
    <x v="0"/>
  </r>
  <r>
    <n v="784"/>
    <n v="158"/>
    <x v="6"/>
    <x v="310"/>
    <x v="0"/>
    <n v="2"/>
    <x v="0"/>
    <d v="2025-12-27T06:58:00"/>
    <x v="87"/>
    <x v="5"/>
    <n v="7961"/>
    <n v="3"/>
    <n v="23883"/>
    <x v="1"/>
  </r>
  <r>
    <n v="716"/>
    <n v="218"/>
    <x v="6"/>
    <x v="279"/>
    <x v="4"/>
    <n v="7"/>
    <x v="1"/>
    <d v="2025-12-27T08:19:00"/>
    <x v="87"/>
    <x v="7"/>
    <n v="1824"/>
    <n v="0"/>
    <n v="0"/>
    <x v="2"/>
  </r>
  <r>
    <n v="546"/>
    <n v="226"/>
    <x v="1"/>
    <x v="356"/>
    <x v="0"/>
    <n v="2"/>
    <x v="0"/>
    <d v="2025-12-27T08:21:00"/>
    <x v="87"/>
    <x v="7"/>
    <n v="8247"/>
    <n v="3"/>
    <n v="24741"/>
    <x v="1"/>
  </r>
  <r>
    <n v="17"/>
    <n v="125"/>
    <x v="7"/>
    <x v="133"/>
    <x v="4"/>
    <n v="7"/>
    <x v="0"/>
    <d v="2025-12-27T08:30:00"/>
    <x v="87"/>
    <x v="7"/>
    <n v="7957"/>
    <n v="2"/>
    <n v="15914"/>
    <x v="1"/>
  </r>
  <r>
    <n v="560"/>
    <n v="76"/>
    <x v="7"/>
    <x v="163"/>
    <x v="3"/>
    <n v="1"/>
    <x v="0"/>
    <d v="2025-12-27T08:40:00"/>
    <x v="87"/>
    <x v="7"/>
    <n v="4436"/>
    <n v="3"/>
    <n v="13308"/>
    <x v="2"/>
  </r>
  <r>
    <n v="511"/>
    <n v="128"/>
    <x v="9"/>
    <x v="182"/>
    <x v="5"/>
    <n v="4"/>
    <x v="0"/>
    <d v="2025-12-27T08:50:00"/>
    <x v="87"/>
    <x v="7"/>
    <n v="273"/>
    <n v="2"/>
    <n v="546"/>
    <x v="3"/>
  </r>
  <r>
    <n v="421"/>
    <n v="78"/>
    <x v="7"/>
    <x v="236"/>
    <x v="5"/>
    <n v="4"/>
    <x v="0"/>
    <d v="2025-12-27T08:55:00"/>
    <x v="87"/>
    <x v="7"/>
    <n v="1099"/>
    <n v="1"/>
    <n v="1099"/>
    <x v="2"/>
  </r>
  <r>
    <n v="40"/>
    <n v="196"/>
    <x v="5"/>
    <x v="147"/>
    <x v="3"/>
    <n v="1"/>
    <x v="0"/>
    <d v="2025-12-27T09:35:00"/>
    <x v="87"/>
    <x v="8"/>
    <n v="2483"/>
    <n v="2"/>
    <n v="4966"/>
    <x v="2"/>
  </r>
  <r>
    <n v="542"/>
    <n v="209"/>
    <x v="9"/>
    <x v="52"/>
    <x v="0"/>
    <n v="2"/>
    <x v="0"/>
    <d v="2025-12-27T09:39:00"/>
    <x v="87"/>
    <x v="8"/>
    <n v="10643"/>
    <n v="2"/>
    <n v="21286"/>
    <x v="0"/>
  </r>
  <r>
    <n v="382"/>
    <n v="298"/>
    <x v="1"/>
    <x v="115"/>
    <x v="2"/>
    <n v="3"/>
    <x v="1"/>
    <d v="2025-12-27T10:05:00"/>
    <x v="87"/>
    <x v="9"/>
    <n v="3923"/>
    <n v="0"/>
    <n v="0"/>
    <x v="2"/>
  </r>
  <r>
    <n v="139"/>
    <n v="26"/>
    <x v="8"/>
    <x v="47"/>
    <x v="5"/>
    <n v="4"/>
    <x v="0"/>
    <d v="2025-12-27T10:09:00"/>
    <x v="87"/>
    <x v="9"/>
    <n v="775"/>
    <n v="2"/>
    <n v="1550"/>
    <x v="3"/>
  </r>
  <r>
    <n v="397"/>
    <n v="95"/>
    <x v="9"/>
    <x v="100"/>
    <x v="5"/>
    <n v="4"/>
    <x v="0"/>
    <d v="2025-12-27T10:11:00"/>
    <x v="87"/>
    <x v="9"/>
    <n v="470"/>
    <n v="1"/>
    <n v="470"/>
    <x v="3"/>
  </r>
  <r>
    <n v="132"/>
    <n v="6"/>
    <x v="9"/>
    <x v="48"/>
    <x v="2"/>
    <n v="3"/>
    <x v="1"/>
    <d v="2025-12-27T11:14:00"/>
    <x v="87"/>
    <x v="10"/>
    <n v="2868"/>
    <n v="0"/>
    <n v="0"/>
    <x v="2"/>
  </r>
  <r>
    <n v="465"/>
    <n v="292"/>
    <x v="2"/>
    <x v="45"/>
    <x v="3"/>
    <n v="1"/>
    <x v="0"/>
    <d v="2025-12-27T11:20:00"/>
    <x v="87"/>
    <x v="10"/>
    <n v="4157"/>
    <n v="4"/>
    <n v="16628"/>
    <x v="2"/>
  </r>
  <r>
    <n v="354"/>
    <n v="194"/>
    <x v="4"/>
    <x v="316"/>
    <x v="0"/>
    <n v="2"/>
    <x v="0"/>
    <d v="2025-12-27T12:06:00"/>
    <x v="87"/>
    <x v="11"/>
    <n v="13566"/>
    <n v="2"/>
    <n v="27132"/>
    <x v="0"/>
  </r>
  <r>
    <n v="603"/>
    <n v="281"/>
    <x v="9"/>
    <x v="88"/>
    <x v="6"/>
    <n v="5"/>
    <x v="1"/>
    <d v="2025-12-27T12:27:00"/>
    <x v="87"/>
    <x v="11"/>
    <n v="3401"/>
    <n v="0"/>
    <n v="0"/>
    <x v="2"/>
  </r>
  <r>
    <n v="753"/>
    <n v="245"/>
    <x v="6"/>
    <x v="139"/>
    <x v="2"/>
    <n v="3"/>
    <x v="0"/>
    <d v="2025-12-27T12:29:00"/>
    <x v="87"/>
    <x v="11"/>
    <n v="3441"/>
    <n v="2"/>
    <n v="6882"/>
    <x v="2"/>
  </r>
  <r>
    <n v="728"/>
    <n v="254"/>
    <x v="3"/>
    <x v="68"/>
    <x v="2"/>
    <n v="3"/>
    <x v="0"/>
    <d v="2025-12-27T13:51:00"/>
    <x v="87"/>
    <x v="21"/>
    <n v="4859"/>
    <n v="4"/>
    <n v="19436"/>
    <x v="2"/>
  </r>
  <r>
    <n v="800"/>
    <n v="223"/>
    <x v="4"/>
    <x v="190"/>
    <x v="3"/>
    <n v="1"/>
    <x v="0"/>
    <d v="2025-12-27T13:59:00"/>
    <x v="87"/>
    <x v="21"/>
    <n v="4806"/>
    <n v="1"/>
    <n v="4806"/>
    <x v="2"/>
  </r>
  <r>
    <n v="261"/>
    <n v="269"/>
    <x v="1"/>
    <x v="115"/>
    <x v="2"/>
    <n v="3"/>
    <x v="0"/>
    <d v="2025-12-27T14:51:00"/>
    <x v="87"/>
    <x v="12"/>
    <n v="1555"/>
    <n v="3"/>
    <n v="4665"/>
    <x v="2"/>
  </r>
  <r>
    <n v="623"/>
    <n v="127"/>
    <x v="3"/>
    <x v="234"/>
    <x v="6"/>
    <n v="5"/>
    <x v="0"/>
    <d v="2025-12-27T14:56:00"/>
    <x v="87"/>
    <x v="12"/>
    <n v="1332"/>
    <n v="2"/>
    <n v="2664"/>
    <x v="2"/>
  </r>
  <r>
    <n v="541"/>
    <n v="98"/>
    <x v="5"/>
    <x v="307"/>
    <x v="1"/>
    <n v="6"/>
    <x v="0"/>
    <d v="2025-12-27T15:47:00"/>
    <x v="87"/>
    <x v="13"/>
    <n v="3534"/>
    <n v="2"/>
    <n v="7068"/>
    <x v="2"/>
  </r>
  <r>
    <n v="413"/>
    <n v="6"/>
    <x v="4"/>
    <x v="153"/>
    <x v="5"/>
    <n v="4"/>
    <x v="0"/>
    <d v="2025-12-27T15:47:00"/>
    <x v="87"/>
    <x v="13"/>
    <n v="1120"/>
    <n v="1"/>
    <n v="1120"/>
    <x v="2"/>
  </r>
  <r>
    <n v="305"/>
    <n v="26"/>
    <x v="1"/>
    <x v="24"/>
    <x v="0"/>
    <n v="2"/>
    <x v="0"/>
    <d v="2025-12-27T16:06:00"/>
    <x v="87"/>
    <x v="14"/>
    <n v="4282"/>
    <n v="2"/>
    <n v="8564"/>
    <x v="2"/>
  </r>
  <r>
    <n v="151"/>
    <n v="35"/>
    <x v="8"/>
    <x v="37"/>
    <x v="3"/>
    <n v="1"/>
    <x v="0"/>
    <d v="2025-12-27T16:45:00"/>
    <x v="87"/>
    <x v="14"/>
    <n v="6481"/>
    <n v="4"/>
    <n v="25924"/>
    <x v="1"/>
  </r>
  <r>
    <n v="292"/>
    <n v="289"/>
    <x v="5"/>
    <x v="257"/>
    <x v="3"/>
    <n v="1"/>
    <x v="0"/>
    <d v="2025-12-27T17:57:00"/>
    <x v="87"/>
    <x v="15"/>
    <n v="7447"/>
    <n v="3"/>
    <n v="22341"/>
    <x v="1"/>
  </r>
  <r>
    <n v="18"/>
    <n v="105"/>
    <x v="7"/>
    <x v="12"/>
    <x v="5"/>
    <n v="4"/>
    <x v="1"/>
    <d v="2025-12-27T19:01:00"/>
    <x v="87"/>
    <x v="22"/>
    <n v="105"/>
    <n v="0"/>
    <n v="0"/>
    <x v="3"/>
  </r>
  <r>
    <n v="156"/>
    <n v="279"/>
    <x v="8"/>
    <x v="129"/>
    <x v="5"/>
    <n v="4"/>
    <x v="0"/>
    <d v="2025-12-27T19:46:00"/>
    <x v="87"/>
    <x v="22"/>
    <n v="1201"/>
    <n v="1"/>
    <n v="1201"/>
    <x v="2"/>
  </r>
  <r>
    <n v="628"/>
    <n v="277"/>
    <x v="0"/>
    <x v="249"/>
    <x v="2"/>
    <n v="3"/>
    <x v="1"/>
    <d v="2025-12-27T20:44:00"/>
    <x v="87"/>
    <x v="17"/>
    <n v="5217"/>
    <n v="0"/>
    <n v="0"/>
    <x v="1"/>
  </r>
  <r>
    <n v="393"/>
    <n v="153"/>
    <x v="6"/>
    <x v="203"/>
    <x v="3"/>
    <n v="1"/>
    <x v="1"/>
    <d v="2025-12-27T20:50:00"/>
    <x v="87"/>
    <x v="17"/>
    <n v="4690"/>
    <n v="0"/>
    <n v="0"/>
    <x v="2"/>
  </r>
  <r>
    <n v="12"/>
    <n v="169"/>
    <x v="4"/>
    <x v="315"/>
    <x v="4"/>
    <n v="7"/>
    <x v="0"/>
    <d v="2025-12-27T20:59:00"/>
    <x v="87"/>
    <x v="17"/>
    <n v="2988"/>
    <n v="2"/>
    <n v="5976"/>
    <x v="2"/>
  </r>
  <r>
    <n v="532"/>
    <n v="94"/>
    <x v="4"/>
    <x v="126"/>
    <x v="0"/>
    <n v="2"/>
    <x v="0"/>
    <d v="2025-12-27T21:08:00"/>
    <x v="87"/>
    <x v="23"/>
    <n v="14338"/>
    <n v="2"/>
    <n v="28676"/>
    <x v="0"/>
  </r>
  <r>
    <n v="584"/>
    <n v="249"/>
    <x v="5"/>
    <x v="382"/>
    <x v="6"/>
    <n v="5"/>
    <x v="0"/>
    <d v="2025-12-27T21:20:00"/>
    <x v="87"/>
    <x v="23"/>
    <n v="1728"/>
    <n v="1"/>
    <n v="1728"/>
    <x v="2"/>
  </r>
  <r>
    <n v="638"/>
    <n v="134"/>
    <x v="9"/>
    <x v="151"/>
    <x v="5"/>
    <n v="4"/>
    <x v="1"/>
    <d v="2025-12-27T21:34:00"/>
    <x v="87"/>
    <x v="23"/>
    <n v="942"/>
    <n v="0"/>
    <n v="0"/>
    <x v="3"/>
  </r>
  <r>
    <n v="583"/>
    <n v="280"/>
    <x v="2"/>
    <x v="32"/>
    <x v="5"/>
    <n v="4"/>
    <x v="0"/>
    <d v="2025-12-27T21:54:00"/>
    <x v="87"/>
    <x v="23"/>
    <n v="1311"/>
    <n v="4"/>
    <n v="5244"/>
    <x v="2"/>
  </r>
  <r>
    <n v="547"/>
    <n v="68"/>
    <x v="6"/>
    <x v="373"/>
    <x v="1"/>
    <n v="6"/>
    <x v="0"/>
    <d v="2025-12-27T21:59:00"/>
    <x v="87"/>
    <x v="23"/>
    <n v="2688"/>
    <n v="2"/>
    <n v="5376"/>
    <x v="2"/>
  </r>
  <r>
    <n v="374"/>
    <n v="126"/>
    <x v="8"/>
    <x v="364"/>
    <x v="4"/>
    <n v="7"/>
    <x v="1"/>
    <d v="2025-12-27T22:30:00"/>
    <x v="87"/>
    <x v="18"/>
    <n v="1500"/>
    <n v="0"/>
    <n v="0"/>
    <x v="2"/>
  </r>
  <r>
    <n v="419"/>
    <n v="210"/>
    <x v="8"/>
    <x v="272"/>
    <x v="3"/>
    <n v="1"/>
    <x v="1"/>
    <d v="2025-12-27T22:35:00"/>
    <x v="87"/>
    <x v="18"/>
    <n v="5945"/>
    <n v="0"/>
    <n v="0"/>
    <x v="1"/>
  </r>
  <r>
    <n v="342"/>
    <n v="246"/>
    <x v="2"/>
    <x v="21"/>
    <x v="3"/>
    <n v="1"/>
    <x v="0"/>
    <d v="2025-12-27T22:45:00"/>
    <x v="87"/>
    <x v="18"/>
    <n v="1892"/>
    <n v="3"/>
    <n v="5676"/>
    <x v="2"/>
  </r>
  <r>
    <n v="318"/>
    <n v="127"/>
    <x v="7"/>
    <x v="12"/>
    <x v="5"/>
    <n v="4"/>
    <x v="0"/>
    <d v="2025-12-27T23:03:00"/>
    <x v="87"/>
    <x v="19"/>
    <n v="550"/>
    <n v="3"/>
    <n v="1650"/>
    <x v="3"/>
  </r>
  <r>
    <n v="728"/>
    <n v="84"/>
    <x v="7"/>
    <x v="158"/>
    <x v="0"/>
    <n v="2"/>
    <x v="0"/>
    <d v="2025-12-27T23:46:00"/>
    <x v="87"/>
    <x v="19"/>
    <n v="9086"/>
    <n v="2"/>
    <n v="18172"/>
    <x v="1"/>
  </r>
  <r>
    <n v="199"/>
    <n v="247"/>
    <x v="1"/>
    <x v="356"/>
    <x v="0"/>
    <n v="2"/>
    <x v="1"/>
    <d v="2025-12-28T00:21:00"/>
    <x v="88"/>
    <x v="0"/>
    <n v="9124"/>
    <n v="0"/>
    <n v="0"/>
    <x v="1"/>
  </r>
  <r>
    <n v="100"/>
    <n v="7"/>
    <x v="6"/>
    <x v="28"/>
    <x v="0"/>
    <n v="2"/>
    <x v="0"/>
    <d v="2025-12-28T00:49:00"/>
    <x v="88"/>
    <x v="0"/>
    <n v="14937"/>
    <n v="4"/>
    <n v="59748"/>
    <x v="0"/>
  </r>
  <r>
    <n v="202"/>
    <n v="87"/>
    <x v="8"/>
    <x v="134"/>
    <x v="0"/>
    <n v="2"/>
    <x v="0"/>
    <d v="2025-12-28T00:53:00"/>
    <x v="88"/>
    <x v="0"/>
    <n v="4903"/>
    <n v="4"/>
    <n v="19612"/>
    <x v="2"/>
  </r>
  <r>
    <n v="232"/>
    <n v="215"/>
    <x v="6"/>
    <x v="385"/>
    <x v="0"/>
    <n v="2"/>
    <x v="0"/>
    <d v="2025-12-28T01:14:00"/>
    <x v="88"/>
    <x v="1"/>
    <n v="5254"/>
    <n v="5"/>
    <n v="26270"/>
    <x v="1"/>
  </r>
  <r>
    <n v="184"/>
    <n v="24"/>
    <x v="9"/>
    <x v="260"/>
    <x v="1"/>
    <n v="6"/>
    <x v="0"/>
    <d v="2025-12-28T01:17:00"/>
    <x v="88"/>
    <x v="1"/>
    <n v="3598"/>
    <n v="2"/>
    <n v="7196"/>
    <x v="2"/>
  </r>
  <r>
    <n v="763"/>
    <n v="299"/>
    <x v="6"/>
    <x v="145"/>
    <x v="0"/>
    <n v="2"/>
    <x v="0"/>
    <d v="2025-12-28T01:29:00"/>
    <x v="88"/>
    <x v="1"/>
    <n v="6557"/>
    <n v="2"/>
    <n v="13114"/>
    <x v="1"/>
  </r>
  <r>
    <n v="204"/>
    <n v="265"/>
    <x v="1"/>
    <x v="8"/>
    <x v="3"/>
    <n v="1"/>
    <x v="0"/>
    <d v="2025-12-28T01:43:00"/>
    <x v="88"/>
    <x v="1"/>
    <n v="6064"/>
    <n v="5"/>
    <n v="30320"/>
    <x v="1"/>
  </r>
  <r>
    <n v="42"/>
    <n v="98"/>
    <x v="5"/>
    <x v="81"/>
    <x v="4"/>
    <n v="7"/>
    <x v="0"/>
    <d v="2025-12-28T01:44:00"/>
    <x v="88"/>
    <x v="1"/>
    <n v="5366"/>
    <n v="2"/>
    <n v="10732"/>
    <x v="1"/>
  </r>
  <r>
    <n v="318"/>
    <n v="141"/>
    <x v="4"/>
    <x v="190"/>
    <x v="3"/>
    <n v="1"/>
    <x v="0"/>
    <d v="2025-12-28T01:53:00"/>
    <x v="88"/>
    <x v="1"/>
    <n v="3617"/>
    <n v="2"/>
    <n v="7234"/>
    <x v="2"/>
  </r>
  <r>
    <n v="1"/>
    <n v="139"/>
    <x v="3"/>
    <x v="383"/>
    <x v="0"/>
    <n v="2"/>
    <x v="0"/>
    <d v="2025-12-28T03:15:00"/>
    <x v="88"/>
    <x v="3"/>
    <n v="11295"/>
    <n v="2"/>
    <n v="22590"/>
    <x v="0"/>
  </r>
  <r>
    <n v="768"/>
    <n v="274"/>
    <x v="0"/>
    <x v="283"/>
    <x v="0"/>
    <n v="2"/>
    <x v="1"/>
    <d v="2025-12-28T04:37:00"/>
    <x v="88"/>
    <x v="4"/>
    <n v="12103"/>
    <n v="0"/>
    <n v="0"/>
    <x v="0"/>
  </r>
  <r>
    <n v="68"/>
    <n v="3"/>
    <x v="5"/>
    <x v="259"/>
    <x v="3"/>
    <n v="1"/>
    <x v="0"/>
    <d v="2025-12-28T04:48:00"/>
    <x v="88"/>
    <x v="4"/>
    <n v="4272"/>
    <n v="5"/>
    <n v="21360"/>
    <x v="2"/>
  </r>
  <r>
    <n v="797"/>
    <n v="37"/>
    <x v="6"/>
    <x v="167"/>
    <x v="1"/>
    <n v="6"/>
    <x v="0"/>
    <d v="2025-12-28T04:50:00"/>
    <x v="88"/>
    <x v="4"/>
    <n v="9718"/>
    <n v="2"/>
    <n v="19436"/>
    <x v="1"/>
  </r>
  <r>
    <n v="571"/>
    <n v="183"/>
    <x v="0"/>
    <x v="0"/>
    <x v="0"/>
    <n v="2"/>
    <x v="0"/>
    <d v="2025-12-28T04:55:00"/>
    <x v="88"/>
    <x v="4"/>
    <n v="11842"/>
    <n v="4"/>
    <n v="47368"/>
    <x v="0"/>
  </r>
  <r>
    <n v="171"/>
    <n v="276"/>
    <x v="5"/>
    <x v="164"/>
    <x v="3"/>
    <n v="1"/>
    <x v="0"/>
    <d v="2025-12-28T05:08:00"/>
    <x v="88"/>
    <x v="20"/>
    <n v="1782"/>
    <n v="4"/>
    <n v="7128"/>
    <x v="2"/>
  </r>
  <r>
    <n v="361"/>
    <n v="197"/>
    <x v="1"/>
    <x v="199"/>
    <x v="5"/>
    <n v="4"/>
    <x v="0"/>
    <d v="2025-12-28T06:26:00"/>
    <x v="88"/>
    <x v="5"/>
    <n v="1241"/>
    <n v="2"/>
    <n v="2482"/>
    <x v="2"/>
  </r>
  <r>
    <n v="76"/>
    <n v="286"/>
    <x v="0"/>
    <x v="358"/>
    <x v="1"/>
    <n v="6"/>
    <x v="0"/>
    <d v="2025-12-28T06:30:00"/>
    <x v="88"/>
    <x v="5"/>
    <n v="5085"/>
    <n v="2"/>
    <n v="10170"/>
    <x v="1"/>
  </r>
  <r>
    <n v="355"/>
    <n v="279"/>
    <x v="0"/>
    <x v="233"/>
    <x v="4"/>
    <n v="7"/>
    <x v="0"/>
    <d v="2025-12-28T07:08:00"/>
    <x v="88"/>
    <x v="6"/>
    <n v="4460"/>
    <n v="4"/>
    <n v="17840"/>
    <x v="2"/>
  </r>
  <r>
    <n v="463"/>
    <n v="134"/>
    <x v="1"/>
    <x v="199"/>
    <x v="5"/>
    <n v="4"/>
    <x v="0"/>
    <d v="2025-12-28T07:11:00"/>
    <x v="88"/>
    <x v="6"/>
    <n v="384"/>
    <n v="4"/>
    <n v="1536"/>
    <x v="3"/>
  </r>
  <r>
    <n v="686"/>
    <n v="188"/>
    <x v="9"/>
    <x v="217"/>
    <x v="6"/>
    <n v="5"/>
    <x v="0"/>
    <d v="2025-12-28T08:57:00"/>
    <x v="88"/>
    <x v="7"/>
    <n v="2078"/>
    <n v="4"/>
    <n v="8312"/>
    <x v="2"/>
  </r>
  <r>
    <n v="49"/>
    <n v="252"/>
    <x v="1"/>
    <x v="376"/>
    <x v="2"/>
    <n v="3"/>
    <x v="0"/>
    <d v="2025-12-28T09:10:00"/>
    <x v="88"/>
    <x v="8"/>
    <n v="3646"/>
    <n v="4"/>
    <n v="14584"/>
    <x v="2"/>
  </r>
  <r>
    <n v="12"/>
    <n v="126"/>
    <x v="0"/>
    <x v="212"/>
    <x v="0"/>
    <n v="2"/>
    <x v="0"/>
    <d v="2025-12-28T09:49:00"/>
    <x v="88"/>
    <x v="8"/>
    <n v="11547"/>
    <n v="4"/>
    <n v="46188"/>
    <x v="0"/>
  </r>
  <r>
    <n v="320"/>
    <n v="61"/>
    <x v="7"/>
    <x v="184"/>
    <x v="6"/>
    <n v="5"/>
    <x v="0"/>
    <d v="2025-12-28T10:00:00"/>
    <x v="88"/>
    <x v="9"/>
    <n v="1018"/>
    <n v="2"/>
    <n v="2036"/>
    <x v="2"/>
  </r>
  <r>
    <n v="619"/>
    <n v="280"/>
    <x v="0"/>
    <x v="269"/>
    <x v="0"/>
    <n v="2"/>
    <x v="0"/>
    <d v="2025-12-28T10:26:00"/>
    <x v="88"/>
    <x v="9"/>
    <n v="12781"/>
    <n v="4"/>
    <n v="51124"/>
    <x v="0"/>
  </r>
  <r>
    <n v="25"/>
    <n v="108"/>
    <x v="1"/>
    <x v="23"/>
    <x v="5"/>
    <n v="4"/>
    <x v="0"/>
    <d v="2025-12-28T10:32:00"/>
    <x v="88"/>
    <x v="9"/>
    <n v="247"/>
    <n v="2"/>
    <n v="494"/>
    <x v="3"/>
  </r>
  <r>
    <n v="786"/>
    <n v="21"/>
    <x v="2"/>
    <x v="256"/>
    <x v="4"/>
    <n v="7"/>
    <x v="0"/>
    <d v="2025-12-28T10:36:00"/>
    <x v="88"/>
    <x v="9"/>
    <n v="6316"/>
    <n v="2"/>
    <n v="12632"/>
    <x v="1"/>
  </r>
  <r>
    <n v="568"/>
    <n v="205"/>
    <x v="6"/>
    <x v="96"/>
    <x v="5"/>
    <n v="4"/>
    <x v="0"/>
    <d v="2025-12-28T11:50:00"/>
    <x v="88"/>
    <x v="10"/>
    <n v="601"/>
    <n v="4"/>
    <n v="2404"/>
    <x v="3"/>
  </r>
  <r>
    <n v="456"/>
    <n v="274"/>
    <x v="0"/>
    <x v="211"/>
    <x v="1"/>
    <n v="6"/>
    <x v="0"/>
    <d v="2025-12-28T12:56:00"/>
    <x v="88"/>
    <x v="11"/>
    <n v="6687"/>
    <n v="2"/>
    <n v="13374"/>
    <x v="1"/>
  </r>
  <r>
    <n v="330"/>
    <n v="81"/>
    <x v="4"/>
    <x v="329"/>
    <x v="1"/>
    <n v="6"/>
    <x v="0"/>
    <d v="2025-12-28T13:54:00"/>
    <x v="88"/>
    <x v="21"/>
    <n v="10661"/>
    <n v="5"/>
    <n v="53305"/>
    <x v="0"/>
  </r>
  <r>
    <n v="392"/>
    <n v="145"/>
    <x v="6"/>
    <x v="278"/>
    <x v="3"/>
    <n v="1"/>
    <x v="0"/>
    <d v="2025-12-28T14:20:00"/>
    <x v="88"/>
    <x v="12"/>
    <n v="6138"/>
    <n v="2"/>
    <n v="12276"/>
    <x v="1"/>
  </r>
  <r>
    <n v="209"/>
    <n v="122"/>
    <x v="9"/>
    <x v="128"/>
    <x v="0"/>
    <n v="2"/>
    <x v="0"/>
    <d v="2025-12-28T15:04:00"/>
    <x v="88"/>
    <x v="13"/>
    <n v="11328"/>
    <n v="4"/>
    <n v="45312"/>
    <x v="0"/>
  </r>
  <r>
    <n v="205"/>
    <n v="29"/>
    <x v="2"/>
    <x v="291"/>
    <x v="1"/>
    <n v="6"/>
    <x v="0"/>
    <d v="2025-12-28T15:06:00"/>
    <x v="88"/>
    <x v="13"/>
    <n v="7781"/>
    <n v="4"/>
    <n v="31124"/>
    <x v="1"/>
  </r>
  <r>
    <n v="270"/>
    <n v="11"/>
    <x v="8"/>
    <x v="243"/>
    <x v="1"/>
    <n v="6"/>
    <x v="0"/>
    <d v="2025-12-28T15:16:00"/>
    <x v="88"/>
    <x v="13"/>
    <n v="5219"/>
    <n v="4"/>
    <n v="20876"/>
    <x v="1"/>
  </r>
  <r>
    <n v="500"/>
    <n v="22"/>
    <x v="0"/>
    <x v="283"/>
    <x v="0"/>
    <n v="2"/>
    <x v="0"/>
    <d v="2025-12-28T15:26:00"/>
    <x v="88"/>
    <x v="13"/>
    <n v="12302"/>
    <n v="4"/>
    <n v="49208"/>
    <x v="0"/>
  </r>
  <r>
    <n v="495"/>
    <n v="22"/>
    <x v="9"/>
    <x v="100"/>
    <x v="5"/>
    <n v="4"/>
    <x v="0"/>
    <d v="2025-12-28T15:53:00"/>
    <x v="88"/>
    <x v="13"/>
    <n v="1253"/>
    <n v="5"/>
    <n v="6265"/>
    <x v="2"/>
  </r>
  <r>
    <n v="733"/>
    <n v="61"/>
    <x v="0"/>
    <x v="344"/>
    <x v="4"/>
    <n v="7"/>
    <x v="0"/>
    <d v="2025-12-28T16:05:00"/>
    <x v="88"/>
    <x v="14"/>
    <n v="6273"/>
    <n v="4"/>
    <n v="25092"/>
    <x v="1"/>
  </r>
  <r>
    <n v="554"/>
    <n v="145"/>
    <x v="9"/>
    <x v="51"/>
    <x v="3"/>
    <n v="1"/>
    <x v="0"/>
    <d v="2025-12-28T16:09:00"/>
    <x v="88"/>
    <x v="14"/>
    <n v="6068"/>
    <n v="5"/>
    <n v="30340"/>
    <x v="1"/>
  </r>
  <r>
    <n v="698"/>
    <n v="75"/>
    <x v="1"/>
    <x v="355"/>
    <x v="6"/>
    <n v="5"/>
    <x v="0"/>
    <d v="2025-12-28T16:33:00"/>
    <x v="88"/>
    <x v="14"/>
    <n v="1550"/>
    <n v="2"/>
    <n v="3100"/>
    <x v="2"/>
  </r>
  <r>
    <n v="344"/>
    <n v="276"/>
    <x v="1"/>
    <x v="253"/>
    <x v="2"/>
    <n v="3"/>
    <x v="0"/>
    <d v="2025-12-28T17:18:00"/>
    <x v="88"/>
    <x v="15"/>
    <n v="4686"/>
    <n v="2"/>
    <n v="9372"/>
    <x v="2"/>
  </r>
  <r>
    <n v="49"/>
    <n v="176"/>
    <x v="6"/>
    <x v="145"/>
    <x v="0"/>
    <n v="2"/>
    <x v="1"/>
    <d v="2025-12-28T17:31:00"/>
    <x v="88"/>
    <x v="15"/>
    <n v="8599"/>
    <n v="0"/>
    <n v="0"/>
    <x v="1"/>
  </r>
  <r>
    <n v="674"/>
    <n v="62"/>
    <x v="5"/>
    <x v="13"/>
    <x v="6"/>
    <n v="5"/>
    <x v="0"/>
    <d v="2025-12-28T17:34:00"/>
    <x v="88"/>
    <x v="15"/>
    <n v="1471"/>
    <n v="5"/>
    <n v="7355"/>
    <x v="2"/>
  </r>
  <r>
    <n v="303"/>
    <n v="233"/>
    <x v="2"/>
    <x v="205"/>
    <x v="6"/>
    <n v="5"/>
    <x v="0"/>
    <d v="2025-12-28T17:40:00"/>
    <x v="88"/>
    <x v="15"/>
    <n v="1360"/>
    <n v="5"/>
    <n v="6800"/>
    <x v="2"/>
  </r>
  <r>
    <n v="232"/>
    <n v="241"/>
    <x v="0"/>
    <x v="212"/>
    <x v="0"/>
    <n v="2"/>
    <x v="1"/>
    <d v="2025-12-28T17:47:00"/>
    <x v="88"/>
    <x v="15"/>
    <n v="6478"/>
    <n v="0"/>
    <n v="0"/>
    <x v="1"/>
  </r>
  <r>
    <n v="280"/>
    <n v="187"/>
    <x v="8"/>
    <x v="37"/>
    <x v="3"/>
    <n v="1"/>
    <x v="1"/>
    <d v="2025-12-28T17:57:00"/>
    <x v="88"/>
    <x v="15"/>
    <n v="6358"/>
    <n v="0"/>
    <n v="0"/>
    <x v="1"/>
  </r>
  <r>
    <n v="715"/>
    <n v="30"/>
    <x v="8"/>
    <x v="207"/>
    <x v="0"/>
    <n v="2"/>
    <x v="0"/>
    <d v="2025-12-28T18:24:00"/>
    <x v="88"/>
    <x v="16"/>
    <n v="8514"/>
    <n v="4"/>
    <n v="34056"/>
    <x v="1"/>
  </r>
  <r>
    <n v="202"/>
    <n v="41"/>
    <x v="4"/>
    <x v="252"/>
    <x v="1"/>
    <n v="6"/>
    <x v="0"/>
    <d v="2025-12-28T18:48:00"/>
    <x v="88"/>
    <x v="16"/>
    <n v="10860"/>
    <n v="4"/>
    <n v="43440"/>
    <x v="0"/>
  </r>
  <r>
    <n v="400"/>
    <n v="38"/>
    <x v="1"/>
    <x v="116"/>
    <x v="3"/>
    <n v="1"/>
    <x v="0"/>
    <d v="2025-12-28T19:20:00"/>
    <x v="88"/>
    <x v="22"/>
    <n v="4819"/>
    <n v="5"/>
    <n v="24095"/>
    <x v="2"/>
  </r>
  <r>
    <n v="250"/>
    <n v="296"/>
    <x v="6"/>
    <x v="345"/>
    <x v="4"/>
    <n v="7"/>
    <x v="0"/>
    <d v="2025-12-28T19:32:00"/>
    <x v="88"/>
    <x v="22"/>
    <n v="6652"/>
    <n v="4"/>
    <n v="26608"/>
    <x v="1"/>
  </r>
  <r>
    <n v="418"/>
    <n v="68"/>
    <x v="8"/>
    <x v="37"/>
    <x v="3"/>
    <n v="1"/>
    <x v="0"/>
    <d v="2025-12-28T20:18:00"/>
    <x v="88"/>
    <x v="17"/>
    <n v="3245"/>
    <n v="2"/>
    <n v="6490"/>
    <x v="2"/>
  </r>
  <r>
    <n v="720"/>
    <n v="296"/>
    <x v="5"/>
    <x v="78"/>
    <x v="5"/>
    <n v="4"/>
    <x v="0"/>
    <d v="2025-12-28T20:24:00"/>
    <x v="88"/>
    <x v="17"/>
    <n v="776"/>
    <n v="5"/>
    <n v="3880"/>
    <x v="3"/>
  </r>
  <r>
    <n v="14"/>
    <n v="71"/>
    <x v="6"/>
    <x v="310"/>
    <x v="0"/>
    <n v="2"/>
    <x v="0"/>
    <d v="2025-12-28T20:41:00"/>
    <x v="88"/>
    <x v="17"/>
    <n v="9960"/>
    <n v="2"/>
    <n v="19920"/>
    <x v="1"/>
  </r>
  <r>
    <n v="17"/>
    <n v="67"/>
    <x v="3"/>
    <x v="56"/>
    <x v="5"/>
    <n v="4"/>
    <x v="0"/>
    <d v="2025-12-28T21:23:00"/>
    <x v="88"/>
    <x v="23"/>
    <n v="674"/>
    <n v="2"/>
    <n v="1348"/>
    <x v="3"/>
  </r>
  <r>
    <n v="7"/>
    <n v="111"/>
    <x v="3"/>
    <x v="138"/>
    <x v="6"/>
    <n v="5"/>
    <x v="0"/>
    <d v="2025-12-28T21:29:00"/>
    <x v="88"/>
    <x v="23"/>
    <n v="2379"/>
    <n v="2"/>
    <n v="4758"/>
    <x v="2"/>
  </r>
  <r>
    <n v="339"/>
    <n v="27"/>
    <x v="2"/>
    <x v="7"/>
    <x v="0"/>
    <n v="2"/>
    <x v="1"/>
    <d v="2025-12-28T21:32:00"/>
    <x v="88"/>
    <x v="23"/>
    <n v="10425"/>
    <n v="0"/>
    <n v="0"/>
    <x v="0"/>
  </r>
  <r>
    <n v="406"/>
    <n v="123"/>
    <x v="0"/>
    <x v="322"/>
    <x v="5"/>
    <n v="4"/>
    <x v="0"/>
    <d v="2025-12-28T22:29:00"/>
    <x v="88"/>
    <x v="18"/>
    <n v="776"/>
    <n v="2"/>
    <n v="1552"/>
    <x v="3"/>
  </r>
  <r>
    <n v="133"/>
    <n v="272"/>
    <x v="6"/>
    <x v="278"/>
    <x v="3"/>
    <n v="1"/>
    <x v="0"/>
    <d v="2025-12-28T22:40:00"/>
    <x v="88"/>
    <x v="18"/>
    <n v="4359"/>
    <n v="4"/>
    <n v="17436"/>
    <x v="2"/>
  </r>
  <r>
    <n v="9"/>
    <n v="280"/>
    <x v="2"/>
    <x v="80"/>
    <x v="0"/>
    <n v="2"/>
    <x v="0"/>
    <d v="2025-12-28T23:10:00"/>
    <x v="88"/>
    <x v="19"/>
    <n v="14347"/>
    <n v="4"/>
    <n v="57388"/>
    <x v="0"/>
  </r>
  <r>
    <n v="601"/>
    <n v="23"/>
    <x v="0"/>
    <x v="269"/>
    <x v="0"/>
    <n v="2"/>
    <x v="0"/>
    <d v="2025-12-28T23:11:00"/>
    <x v="88"/>
    <x v="19"/>
    <n v="13490"/>
    <n v="4"/>
    <n v="53960"/>
    <x v="0"/>
  </r>
  <r>
    <n v="759"/>
    <n v="122"/>
    <x v="4"/>
    <x v="126"/>
    <x v="0"/>
    <n v="2"/>
    <x v="0"/>
    <d v="2025-12-28T23:42:00"/>
    <x v="88"/>
    <x v="19"/>
    <n v="13565"/>
    <n v="5"/>
    <n v="67825"/>
    <x v="0"/>
  </r>
  <r>
    <n v="139"/>
    <n v="12"/>
    <x v="4"/>
    <x v="190"/>
    <x v="3"/>
    <n v="1"/>
    <x v="0"/>
    <d v="2025-12-28T23:52:00"/>
    <x v="88"/>
    <x v="19"/>
    <n v="6049"/>
    <n v="5"/>
    <n v="30245"/>
    <x v="1"/>
  </r>
  <r>
    <n v="706"/>
    <n v="103"/>
    <x v="6"/>
    <x v="384"/>
    <x v="1"/>
    <n v="6"/>
    <x v="0"/>
    <d v="2025-12-28T23:54:00"/>
    <x v="88"/>
    <x v="19"/>
    <n v="11900"/>
    <n v="4"/>
    <n v="47600"/>
    <x v="0"/>
  </r>
  <r>
    <n v="479"/>
    <n v="188"/>
    <x v="6"/>
    <x v="96"/>
    <x v="5"/>
    <n v="4"/>
    <x v="0"/>
    <d v="2025-12-29T00:19:00"/>
    <x v="89"/>
    <x v="0"/>
    <n v="1179"/>
    <n v="4"/>
    <n v="4716"/>
    <x v="2"/>
  </r>
  <r>
    <n v="402"/>
    <n v="22"/>
    <x v="9"/>
    <x v="312"/>
    <x v="5"/>
    <n v="4"/>
    <x v="0"/>
    <d v="2025-12-29T00:26:00"/>
    <x v="89"/>
    <x v="0"/>
    <n v="380"/>
    <n v="4"/>
    <n v="1520"/>
    <x v="3"/>
  </r>
  <r>
    <n v="45"/>
    <n v="69"/>
    <x v="3"/>
    <x v="68"/>
    <x v="2"/>
    <n v="3"/>
    <x v="0"/>
    <d v="2025-12-29T00:39:00"/>
    <x v="89"/>
    <x v="0"/>
    <n v="2024"/>
    <n v="5"/>
    <n v="10120"/>
    <x v="2"/>
  </r>
  <r>
    <n v="678"/>
    <n v="165"/>
    <x v="8"/>
    <x v="103"/>
    <x v="3"/>
    <n v="1"/>
    <x v="0"/>
    <d v="2025-12-29T00:41:00"/>
    <x v="89"/>
    <x v="0"/>
    <n v="4774"/>
    <n v="2"/>
    <n v="9548"/>
    <x v="2"/>
  </r>
  <r>
    <n v="45"/>
    <n v="164"/>
    <x v="9"/>
    <x v="321"/>
    <x v="4"/>
    <n v="7"/>
    <x v="0"/>
    <d v="2025-12-29T00:45:00"/>
    <x v="89"/>
    <x v="0"/>
    <n v="3550"/>
    <n v="2"/>
    <n v="7100"/>
    <x v="2"/>
  </r>
  <r>
    <n v="289"/>
    <n v="147"/>
    <x v="3"/>
    <x v="370"/>
    <x v="5"/>
    <n v="4"/>
    <x v="0"/>
    <d v="2025-12-29T00:55:00"/>
    <x v="89"/>
    <x v="0"/>
    <n v="817"/>
    <n v="4"/>
    <n v="3268"/>
    <x v="3"/>
  </r>
  <r>
    <n v="128"/>
    <n v="286"/>
    <x v="3"/>
    <x v="43"/>
    <x v="4"/>
    <n v="7"/>
    <x v="0"/>
    <d v="2025-12-29T00:57:00"/>
    <x v="89"/>
    <x v="0"/>
    <n v="4113"/>
    <n v="4"/>
    <n v="16452"/>
    <x v="2"/>
  </r>
  <r>
    <n v="736"/>
    <n v="281"/>
    <x v="3"/>
    <x v="264"/>
    <x v="0"/>
    <n v="2"/>
    <x v="0"/>
    <d v="2025-12-29T02:01:00"/>
    <x v="89"/>
    <x v="2"/>
    <n v="4388"/>
    <n v="4"/>
    <n v="17552"/>
    <x v="2"/>
  </r>
  <r>
    <n v="359"/>
    <n v="272"/>
    <x v="6"/>
    <x v="76"/>
    <x v="0"/>
    <n v="2"/>
    <x v="0"/>
    <d v="2025-12-29T02:01:00"/>
    <x v="89"/>
    <x v="2"/>
    <n v="13751"/>
    <n v="4"/>
    <n v="55004"/>
    <x v="0"/>
  </r>
  <r>
    <n v="408"/>
    <n v="208"/>
    <x v="7"/>
    <x v="348"/>
    <x v="0"/>
    <n v="2"/>
    <x v="0"/>
    <d v="2025-12-29T02:19:00"/>
    <x v="89"/>
    <x v="2"/>
    <n v="7407"/>
    <n v="4"/>
    <n v="29628"/>
    <x v="1"/>
  </r>
  <r>
    <n v="380"/>
    <n v="77"/>
    <x v="9"/>
    <x v="92"/>
    <x v="4"/>
    <n v="7"/>
    <x v="0"/>
    <d v="2025-12-29T02:22:00"/>
    <x v="89"/>
    <x v="2"/>
    <n v="2670"/>
    <n v="5"/>
    <n v="13350"/>
    <x v="2"/>
  </r>
  <r>
    <n v="54"/>
    <n v="162"/>
    <x v="9"/>
    <x v="18"/>
    <x v="3"/>
    <n v="1"/>
    <x v="0"/>
    <d v="2025-12-29T02:32:00"/>
    <x v="89"/>
    <x v="2"/>
    <n v="2062"/>
    <n v="5"/>
    <n v="10310"/>
    <x v="2"/>
  </r>
  <r>
    <n v="241"/>
    <n v="210"/>
    <x v="2"/>
    <x v="333"/>
    <x v="4"/>
    <n v="7"/>
    <x v="1"/>
    <d v="2025-12-29T03:41:00"/>
    <x v="89"/>
    <x v="3"/>
    <n v="7237"/>
    <n v="0"/>
    <n v="0"/>
    <x v="1"/>
  </r>
  <r>
    <n v="555"/>
    <n v="217"/>
    <x v="4"/>
    <x v="63"/>
    <x v="2"/>
    <n v="3"/>
    <x v="0"/>
    <d v="2025-12-29T03:46:00"/>
    <x v="89"/>
    <x v="3"/>
    <n v="2355"/>
    <n v="4"/>
    <n v="9420"/>
    <x v="2"/>
  </r>
  <r>
    <n v="460"/>
    <n v="79"/>
    <x v="0"/>
    <x v="67"/>
    <x v="3"/>
    <n v="1"/>
    <x v="0"/>
    <d v="2025-12-29T05:15:00"/>
    <x v="89"/>
    <x v="20"/>
    <n v="1278"/>
    <n v="4"/>
    <n v="5112"/>
    <x v="2"/>
  </r>
  <r>
    <n v="202"/>
    <n v="181"/>
    <x v="0"/>
    <x v="87"/>
    <x v="5"/>
    <n v="4"/>
    <x v="1"/>
    <d v="2025-12-29T05:21:00"/>
    <x v="89"/>
    <x v="20"/>
    <n v="920"/>
    <n v="0"/>
    <n v="0"/>
    <x v="3"/>
  </r>
  <r>
    <n v="374"/>
    <n v="14"/>
    <x v="6"/>
    <x v="135"/>
    <x v="3"/>
    <n v="1"/>
    <x v="0"/>
    <d v="2025-12-29T05:57:00"/>
    <x v="89"/>
    <x v="20"/>
    <n v="7383"/>
    <n v="4"/>
    <n v="29532"/>
    <x v="1"/>
  </r>
  <r>
    <n v="5"/>
    <n v="35"/>
    <x v="5"/>
    <x v="164"/>
    <x v="3"/>
    <n v="1"/>
    <x v="0"/>
    <d v="2025-12-29T06:18:00"/>
    <x v="89"/>
    <x v="5"/>
    <n v="1572"/>
    <n v="5"/>
    <n v="7860"/>
    <x v="2"/>
  </r>
  <r>
    <n v="509"/>
    <n v="49"/>
    <x v="1"/>
    <x v="376"/>
    <x v="2"/>
    <n v="3"/>
    <x v="0"/>
    <d v="2025-12-29T07:15:00"/>
    <x v="89"/>
    <x v="6"/>
    <n v="5031"/>
    <n v="4"/>
    <n v="20124"/>
    <x v="1"/>
  </r>
  <r>
    <n v="540"/>
    <n v="226"/>
    <x v="0"/>
    <x v="67"/>
    <x v="3"/>
    <n v="1"/>
    <x v="1"/>
    <d v="2025-12-29T07:37:00"/>
    <x v="89"/>
    <x v="6"/>
    <n v="3604"/>
    <n v="0"/>
    <n v="0"/>
    <x v="2"/>
  </r>
  <r>
    <n v="184"/>
    <n v="131"/>
    <x v="6"/>
    <x v="279"/>
    <x v="4"/>
    <n v="7"/>
    <x v="0"/>
    <d v="2025-12-29T07:57:00"/>
    <x v="89"/>
    <x v="6"/>
    <n v="6017"/>
    <n v="2"/>
    <n v="12034"/>
    <x v="1"/>
  </r>
  <r>
    <n v="605"/>
    <n v="168"/>
    <x v="5"/>
    <x v="89"/>
    <x v="2"/>
    <n v="3"/>
    <x v="0"/>
    <d v="2025-12-29T08:03:00"/>
    <x v="89"/>
    <x v="7"/>
    <n v="3813"/>
    <n v="4"/>
    <n v="15252"/>
    <x v="2"/>
  </r>
  <r>
    <n v="58"/>
    <n v="193"/>
    <x v="9"/>
    <x v="231"/>
    <x v="3"/>
    <n v="1"/>
    <x v="0"/>
    <d v="2025-12-29T08:08:00"/>
    <x v="89"/>
    <x v="7"/>
    <n v="3545"/>
    <n v="5"/>
    <n v="17725"/>
    <x v="2"/>
  </r>
  <r>
    <n v="100"/>
    <n v="164"/>
    <x v="6"/>
    <x v="279"/>
    <x v="4"/>
    <n v="7"/>
    <x v="0"/>
    <d v="2025-12-29T09:13:00"/>
    <x v="89"/>
    <x v="8"/>
    <n v="3838"/>
    <n v="4"/>
    <n v="15352"/>
    <x v="2"/>
  </r>
  <r>
    <n v="327"/>
    <n v="236"/>
    <x v="9"/>
    <x v="51"/>
    <x v="3"/>
    <n v="1"/>
    <x v="0"/>
    <d v="2025-12-29T09:24:00"/>
    <x v="89"/>
    <x v="8"/>
    <n v="6727"/>
    <n v="4"/>
    <n v="26908"/>
    <x v="1"/>
  </r>
  <r>
    <n v="538"/>
    <n v="295"/>
    <x v="1"/>
    <x v="194"/>
    <x v="3"/>
    <n v="1"/>
    <x v="0"/>
    <d v="2025-12-29T09:36:00"/>
    <x v="89"/>
    <x v="8"/>
    <n v="2101"/>
    <n v="4"/>
    <n v="8404"/>
    <x v="2"/>
  </r>
  <r>
    <n v="308"/>
    <n v="208"/>
    <x v="2"/>
    <x v="69"/>
    <x v="3"/>
    <n v="1"/>
    <x v="1"/>
    <d v="2025-12-29T10:14:00"/>
    <x v="89"/>
    <x v="9"/>
    <n v="5357"/>
    <n v="0"/>
    <n v="0"/>
    <x v="1"/>
  </r>
  <r>
    <n v="398"/>
    <n v="64"/>
    <x v="2"/>
    <x v="104"/>
    <x v="5"/>
    <n v="4"/>
    <x v="0"/>
    <d v="2025-12-29T10:25:00"/>
    <x v="89"/>
    <x v="9"/>
    <n v="1148"/>
    <n v="4"/>
    <n v="4592"/>
    <x v="2"/>
  </r>
  <r>
    <n v="731"/>
    <n v="254"/>
    <x v="5"/>
    <x v="313"/>
    <x v="6"/>
    <n v="5"/>
    <x v="0"/>
    <d v="2025-12-29T11:46:00"/>
    <x v="89"/>
    <x v="10"/>
    <n v="2988"/>
    <n v="5"/>
    <n v="14940"/>
    <x v="2"/>
  </r>
  <r>
    <n v="406"/>
    <n v="281"/>
    <x v="3"/>
    <x v="138"/>
    <x v="6"/>
    <n v="5"/>
    <x v="0"/>
    <d v="2025-12-29T12:21:00"/>
    <x v="89"/>
    <x v="11"/>
    <n v="2001"/>
    <n v="5"/>
    <n v="10005"/>
    <x v="2"/>
  </r>
  <r>
    <n v="791"/>
    <n v="96"/>
    <x v="8"/>
    <x v="368"/>
    <x v="4"/>
    <n v="7"/>
    <x v="0"/>
    <d v="2025-12-29T12:45:00"/>
    <x v="89"/>
    <x v="11"/>
    <n v="1547"/>
    <n v="4"/>
    <n v="6188"/>
    <x v="2"/>
  </r>
  <r>
    <n v="749"/>
    <n v="46"/>
    <x v="8"/>
    <x v="140"/>
    <x v="5"/>
    <n v="4"/>
    <x v="0"/>
    <d v="2025-12-29T13:42:00"/>
    <x v="89"/>
    <x v="21"/>
    <n v="728"/>
    <n v="2"/>
    <n v="1456"/>
    <x v="3"/>
  </r>
  <r>
    <n v="658"/>
    <n v="52"/>
    <x v="5"/>
    <x v="109"/>
    <x v="0"/>
    <n v="2"/>
    <x v="0"/>
    <d v="2025-12-29T13:43:00"/>
    <x v="89"/>
    <x v="21"/>
    <n v="12816"/>
    <n v="2"/>
    <n v="25632"/>
    <x v="0"/>
  </r>
  <r>
    <n v="618"/>
    <n v="185"/>
    <x v="4"/>
    <x v="150"/>
    <x v="1"/>
    <n v="6"/>
    <x v="0"/>
    <d v="2025-12-29T13:51:00"/>
    <x v="89"/>
    <x v="21"/>
    <n v="11130"/>
    <n v="2"/>
    <n v="22260"/>
    <x v="0"/>
  </r>
  <r>
    <n v="195"/>
    <n v="74"/>
    <x v="5"/>
    <x v="179"/>
    <x v="0"/>
    <n v="2"/>
    <x v="1"/>
    <d v="2025-12-29T14:07:00"/>
    <x v="89"/>
    <x v="12"/>
    <n v="11135"/>
    <n v="0"/>
    <n v="0"/>
    <x v="0"/>
  </r>
  <r>
    <n v="491"/>
    <n v="109"/>
    <x v="9"/>
    <x v="180"/>
    <x v="3"/>
    <n v="1"/>
    <x v="0"/>
    <d v="2025-12-29T14:14:00"/>
    <x v="89"/>
    <x v="12"/>
    <n v="6815"/>
    <n v="4"/>
    <n v="27260"/>
    <x v="1"/>
  </r>
  <r>
    <n v="415"/>
    <n v="149"/>
    <x v="5"/>
    <x v="284"/>
    <x v="6"/>
    <n v="5"/>
    <x v="0"/>
    <d v="2025-12-29T14:50:00"/>
    <x v="89"/>
    <x v="12"/>
    <n v="3463"/>
    <n v="4"/>
    <n v="13852"/>
    <x v="2"/>
  </r>
  <r>
    <n v="137"/>
    <n v="165"/>
    <x v="4"/>
    <x v="131"/>
    <x v="2"/>
    <n v="3"/>
    <x v="0"/>
    <d v="2025-12-29T15:57:00"/>
    <x v="89"/>
    <x v="13"/>
    <n v="3442"/>
    <n v="5"/>
    <n v="17210"/>
    <x v="2"/>
  </r>
  <r>
    <n v="472"/>
    <n v="193"/>
    <x v="4"/>
    <x v="66"/>
    <x v="3"/>
    <n v="1"/>
    <x v="0"/>
    <d v="2025-12-29T16:12:00"/>
    <x v="89"/>
    <x v="14"/>
    <n v="3156"/>
    <n v="4"/>
    <n v="12624"/>
    <x v="2"/>
  </r>
  <r>
    <n v="170"/>
    <n v="225"/>
    <x v="4"/>
    <x v="277"/>
    <x v="5"/>
    <n v="4"/>
    <x v="0"/>
    <d v="2025-12-29T16:23:00"/>
    <x v="89"/>
    <x v="14"/>
    <n v="1417"/>
    <n v="5"/>
    <n v="7085"/>
    <x v="2"/>
  </r>
  <r>
    <n v="230"/>
    <n v="274"/>
    <x v="9"/>
    <x v="312"/>
    <x v="5"/>
    <n v="4"/>
    <x v="0"/>
    <d v="2025-12-29T17:49:00"/>
    <x v="89"/>
    <x v="15"/>
    <n v="940"/>
    <n v="2"/>
    <n v="1880"/>
    <x v="3"/>
  </r>
  <r>
    <n v="140"/>
    <n v="123"/>
    <x v="4"/>
    <x v="271"/>
    <x v="2"/>
    <n v="3"/>
    <x v="1"/>
    <d v="2025-12-29T18:05:00"/>
    <x v="89"/>
    <x v="16"/>
    <n v="4403"/>
    <n v="0"/>
    <n v="0"/>
    <x v="2"/>
  </r>
  <r>
    <n v="258"/>
    <n v="1"/>
    <x v="9"/>
    <x v="286"/>
    <x v="0"/>
    <n v="2"/>
    <x v="0"/>
    <d v="2025-12-29T18:22:00"/>
    <x v="89"/>
    <x v="16"/>
    <n v="6798"/>
    <n v="2"/>
    <n v="13596"/>
    <x v="1"/>
  </r>
  <r>
    <n v="234"/>
    <n v="90"/>
    <x v="9"/>
    <x v="312"/>
    <x v="5"/>
    <n v="4"/>
    <x v="1"/>
    <d v="2025-12-29T18:34:00"/>
    <x v="89"/>
    <x v="16"/>
    <n v="199"/>
    <n v="0"/>
    <n v="0"/>
    <x v="3"/>
  </r>
  <r>
    <n v="218"/>
    <n v="153"/>
    <x v="7"/>
    <x v="124"/>
    <x v="5"/>
    <n v="4"/>
    <x v="0"/>
    <d v="2025-12-29T19:37:00"/>
    <x v="89"/>
    <x v="22"/>
    <n v="1049"/>
    <n v="5"/>
    <n v="5245"/>
    <x v="2"/>
  </r>
  <r>
    <n v="606"/>
    <n v="269"/>
    <x v="1"/>
    <x v="8"/>
    <x v="3"/>
    <n v="1"/>
    <x v="0"/>
    <d v="2025-12-29T20:00:00"/>
    <x v="89"/>
    <x v="17"/>
    <n v="5189"/>
    <n v="4"/>
    <n v="20756"/>
    <x v="1"/>
  </r>
  <r>
    <n v="340"/>
    <n v="165"/>
    <x v="0"/>
    <x v="322"/>
    <x v="5"/>
    <n v="4"/>
    <x v="1"/>
    <d v="2025-12-29T20:38:00"/>
    <x v="89"/>
    <x v="17"/>
    <n v="466"/>
    <n v="0"/>
    <n v="0"/>
    <x v="3"/>
  </r>
  <r>
    <n v="351"/>
    <n v="65"/>
    <x v="7"/>
    <x v="235"/>
    <x v="0"/>
    <n v="2"/>
    <x v="1"/>
    <d v="2025-12-29T21:22:00"/>
    <x v="89"/>
    <x v="23"/>
    <n v="5345"/>
    <n v="0"/>
    <n v="0"/>
    <x v="1"/>
  </r>
  <r>
    <n v="447"/>
    <n v="292"/>
    <x v="8"/>
    <x v="103"/>
    <x v="3"/>
    <n v="1"/>
    <x v="0"/>
    <d v="2025-12-29T21:33:00"/>
    <x v="89"/>
    <x v="23"/>
    <n v="4015"/>
    <n v="2"/>
    <n v="8030"/>
    <x v="2"/>
  </r>
  <r>
    <n v="565"/>
    <n v="114"/>
    <x v="1"/>
    <x v="161"/>
    <x v="0"/>
    <n v="2"/>
    <x v="0"/>
    <d v="2025-12-29T21:48:00"/>
    <x v="89"/>
    <x v="23"/>
    <n v="14101"/>
    <n v="5"/>
    <n v="70505"/>
    <x v="0"/>
  </r>
  <r>
    <n v="292"/>
    <n v="126"/>
    <x v="0"/>
    <x v="322"/>
    <x v="5"/>
    <n v="4"/>
    <x v="1"/>
    <d v="2025-12-29T22:38:00"/>
    <x v="89"/>
    <x v="18"/>
    <n v="119"/>
    <n v="0"/>
    <n v="0"/>
    <x v="3"/>
  </r>
  <r>
    <n v="793"/>
    <n v="222"/>
    <x v="4"/>
    <x v="331"/>
    <x v="2"/>
    <n v="3"/>
    <x v="0"/>
    <d v="2025-12-29T22:50:00"/>
    <x v="89"/>
    <x v="18"/>
    <n v="3392"/>
    <n v="2"/>
    <n v="6784"/>
    <x v="2"/>
  </r>
  <r>
    <n v="505"/>
    <n v="231"/>
    <x v="4"/>
    <x v="316"/>
    <x v="0"/>
    <n v="2"/>
    <x v="0"/>
    <d v="2025-12-29T23:32:00"/>
    <x v="89"/>
    <x v="19"/>
    <n v="14417"/>
    <n v="2"/>
    <n v="28834"/>
    <x v="0"/>
  </r>
  <r>
    <n v="78"/>
    <n v="213"/>
    <x v="5"/>
    <x v="246"/>
    <x v="3"/>
    <n v="1"/>
    <x v="0"/>
    <d v="2025-12-30T00:47:00"/>
    <x v="90"/>
    <x v="0"/>
    <n v="4868"/>
    <n v="4"/>
    <n v="19472"/>
    <x v="2"/>
  </r>
  <r>
    <n v="412"/>
    <n v="153"/>
    <x v="0"/>
    <x v="154"/>
    <x v="3"/>
    <n v="1"/>
    <x v="0"/>
    <d v="2025-12-30T01:13:00"/>
    <x v="90"/>
    <x v="1"/>
    <n v="7006"/>
    <n v="4"/>
    <n v="28024"/>
    <x v="1"/>
  </r>
  <r>
    <n v="213"/>
    <n v="286"/>
    <x v="8"/>
    <x v="214"/>
    <x v="5"/>
    <n v="4"/>
    <x v="0"/>
    <d v="2025-12-30T01:49:00"/>
    <x v="90"/>
    <x v="1"/>
    <n v="843"/>
    <n v="5"/>
    <n v="4215"/>
    <x v="3"/>
  </r>
  <r>
    <n v="36"/>
    <n v="172"/>
    <x v="5"/>
    <x v="147"/>
    <x v="3"/>
    <n v="1"/>
    <x v="0"/>
    <d v="2025-12-30T02:32:00"/>
    <x v="90"/>
    <x v="2"/>
    <n v="3787"/>
    <n v="2"/>
    <n v="7574"/>
    <x v="2"/>
  </r>
  <r>
    <n v="312"/>
    <n v="70"/>
    <x v="9"/>
    <x v="351"/>
    <x v="1"/>
    <n v="6"/>
    <x v="0"/>
    <d v="2025-12-30T03:21:00"/>
    <x v="90"/>
    <x v="3"/>
    <n v="7017"/>
    <n v="5"/>
    <n v="35085"/>
    <x v="1"/>
  </r>
  <r>
    <n v="39"/>
    <n v="243"/>
    <x v="1"/>
    <x v="356"/>
    <x v="0"/>
    <n v="2"/>
    <x v="0"/>
    <d v="2025-12-30T03:35:00"/>
    <x v="90"/>
    <x v="3"/>
    <n v="14271"/>
    <n v="5"/>
    <n v="71355"/>
    <x v="0"/>
  </r>
  <r>
    <n v="508"/>
    <n v="139"/>
    <x v="0"/>
    <x v="87"/>
    <x v="5"/>
    <n v="4"/>
    <x v="0"/>
    <d v="2025-12-30T03:36:00"/>
    <x v="90"/>
    <x v="3"/>
    <n v="1452"/>
    <n v="4"/>
    <n v="5808"/>
    <x v="2"/>
  </r>
  <r>
    <n v="777"/>
    <n v="188"/>
    <x v="2"/>
    <x v="148"/>
    <x v="3"/>
    <n v="1"/>
    <x v="0"/>
    <d v="2025-12-30T03:50:00"/>
    <x v="90"/>
    <x v="3"/>
    <n v="1296"/>
    <n v="4"/>
    <n v="5184"/>
    <x v="2"/>
  </r>
  <r>
    <n v="431"/>
    <n v="71"/>
    <x v="2"/>
    <x v="108"/>
    <x v="5"/>
    <n v="4"/>
    <x v="0"/>
    <d v="2025-12-30T04:19:00"/>
    <x v="90"/>
    <x v="4"/>
    <n v="971"/>
    <n v="5"/>
    <n v="4855"/>
    <x v="3"/>
  </r>
  <r>
    <n v="164"/>
    <n v="8"/>
    <x v="0"/>
    <x v="227"/>
    <x v="2"/>
    <n v="3"/>
    <x v="0"/>
    <d v="2025-12-30T04:35:00"/>
    <x v="90"/>
    <x v="4"/>
    <n v="4632"/>
    <n v="5"/>
    <n v="23160"/>
    <x v="2"/>
  </r>
  <r>
    <n v="521"/>
    <n v="183"/>
    <x v="2"/>
    <x v="32"/>
    <x v="5"/>
    <n v="4"/>
    <x v="0"/>
    <d v="2025-12-30T05:12:00"/>
    <x v="90"/>
    <x v="20"/>
    <n v="56"/>
    <n v="5"/>
    <n v="280"/>
    <x v="3"/>
  </r>
  <r>
    <n v="747"/>
    <n v="37"/>
    <x v="7"/>
    <x v="143"/>
    <x v="4"/>
    <n v="7"/>
    <x v="0"/>
    <d v="2025-12-30T05:24:00"/>
    <x v="90"/>
    <x v="20"/>
    <n v="6702"/>
    <n v="4"/>
    <n v="26808"/>
    <x v="1"/>
  </r>
  <r>
    <n v="323"/>
    <n v="249"/>
    <x v="8"/>
    <x v="103"/>
    <x v="3"/>
    <n v="1"/>
    <x v="0"/>
    <d v="2025-12-30T05:50:00"/>
    <x v="90"/>
    <x v="20"/>
    <n v="3409"/>
    <n v="2"/>
    <n v="6818"/>
    <x v="2"/>
  </r>
  <r>
    <n v="536"/>
    <n v="112"/>
    <x v="5"/>
    <x v="29"/>
    <x v="5"/>
    <n v="4"/>
    <x v="0"/>
    <d v="2025-12-30T05:56:00"/>
    <x v="90"/>
    <x v="20"/>
    <n v="1472"/>
    <n v="5"/>
    <n v="7360"/>
    <x v="2"/>
  </r>
  <r>
    <n v="497"/>
    <n v="295"/>
    <x v="9"/>
    <x v="260"/>
    <x v="1"/>
    <n v="6"/>
    <x v="0"/>
    <d v="2025-12-30T06:32:00"/>
    <x v="90"/>
    <x v="5"/>
    <n v="11775"/>
    <n v="4"/>
    <n v="47100"/>
    <x v="0"/>
  </r>
  <r>
    <n v="80"/>
    <n v="132"/>
    <x v="7"/>
    <x v="61"/>
    <x v="1"/>
    <n v="6"/>
    <x v="1"/>
    <d v="2025-12-30T06:53:00"/>
    <x v="90"/>
    <x v="5"/>
    <n v="11036"/>
    <n v="0"/>
    <n v="0"/>
    <x v="0"/>
  </r>
  <r>
    <n v="36"/>
    <n v="162"/>
    <x v="3"/>
    <x v="138"/>
    <x v="6"/>
    <n v="5"/>
    <x v="1"/>
    <d v="2025-12-30T06:59:00"/>
    <x v="90"/>
    <x v="5"/>
    <n v="3413"/>
    <n v="0"/>
    <n v="0"/>
    <x v="2"/>
  </r>
  <r>
    <n v="720"/>
    <n v="107"/>
    <x v="7"/>
    <x v="25"/>
    <x v="0"/>
    <n v="2"/>
    <x v="1"/>
    <d v="2025-12-30T07:09:00"/>
    <x v="90"/>
    <x v="6"/>
    <n v="8944"/>
    <n v="0"/>
    <n v="0"/>
    <x v="1"/>
  </r>
  <r>
    <n v="222"/>
    <n v="66"/>
    <x v="2"/>
    <x v="228"/>
    <x v="2"/>
    <n v="3"/>
    <x v="0"/>
    <d v="2025-12-30T07:45:00"/>
    <x v="90"/>
    <x v="6"/>
    <n v="2683"/>
    <n v="5"/>
    <n v="13415"/>
    <x v="2"/>
  </r>
  <r>
    <n v="264"/>
    <n v="196"/>
    <x v="5"/>
    <x v="183"/>
    <x v="3"/>
    <n v="1"/>
    <x v="0"/>
    <d v="2025-12-30T08:03:00"/>
    <x v="90"/>
    <x v="7"/>
    <n v="2260"/>
    <n v="4"/>
    <n v="9040"/>
    <x v="2"/>
  </r>
  <r>
    <n v="736"/>
    <n v="281"/>
    <x v="1"/>
    <x v="20"/>
    <x v="3"/>
    <n v="1"/>
    <x v="0"/>
    <d v="2025-12-30T08:09:00"/>
    <x v="90"/>
    <x v="7"/>
    <n v="1696"/>
    <n v="5"/>
    <n v="8480"/>
    <x v="2"/>
  </r>
  <r>
    <n v="77"/>
    <n v="54"/>
    <x v="3"/>
    <x v="175"/>
    <x v="4"/>
    <n v="7"/>
    <x v="0"/>
    <d v="2025-12-30T09:40:00"/>
    <x v="90"/>
    <x v="8"/>
    <n v="6458"/>
    <n v="4"/>
    <n v="25832"/>
    <x v="1"/>
  </r>
  <r>
    <n v="348"/>
    <n v="117"/>
    <x v="7"/>
    <x v="58"/>
    <x v="2"/>
    <n v="3"/>
    <x v="0"/>
    <d v="2025-12-30T10:13:00"/>
    <x v="90"/>
    <x v="9"/>
    <n v="4314"/>
    <n v="4"/>
    <n v="17256"/>
    <x v="2"/>
  </r>
  <r>
    <n v="187"/>
    <n v="231"/>
    <x v="0"/>
    <x v="172"/>
    <x v="5"/>
    <n v="4"/>
    <x v="0"/>
    <d v="2025-12-30T11:36:00"/>
    <x v="90"/>
    <x v="10"/>
    <n v="373"/>
    <n v="4"/>
    <n v="1492"/>
    <x v="3"/>
  </r>
  <r>
    <n v="198"/>
    <n v="272"/>
    <x v="4"/>
    <x v="153"/>
    <x v="5"/>
    <n v="4"/>
    <x v="1"/>
    <d v="2025-12-30T11:51:00"/>
    <x v="90"/>
    <x v="10"/>
    <n v="1123"/>
    <n v="0"/>
    <n v="0"/>
    <x v="2"/>
  </r>
  <r>
    <n v="653"/>
    <n v="83"/>
    <x v="7"/>
    <x v="209"/>
    <x v="0"/>
    <n v="2"/>
    <x v="1"/>
    <d v="2025-12-30T12:08:00"/>
    <x v="90"/>
    <x v="11"/>
    <n v="9037"/>
    <n v="0"/>
    <n v="0"/>
    <x v="1"/>
  </r>
  <r>
    <n v="517"/>
    <n v="252"/>
    <x v="8"/>
    <x v="213"/>
    <x v="1"/>
    <n v="6"/>
    <x v="0"/>
    <d v="2025-12-30T13:09:00"/>
    <x v="90"/>
    <x v="21"/>
    <n v="7590"/>
    <n v="4"/>
    <n v="30360"/>
    <x v="1"/>
  </r>
  <r>
    <n v="145"/>
    <n v="66"/>
    <x v="3"/>
    <x v="338"/>
    <x v="4"/>
    <n v="7"/>
    <x v="0"/>
    <d v="2025-12-30T13:28:00"/>
    <x v="90"/>
    <x v="21"/>
    <n v="2088"/>
    <n v="4"/>
    <n v="8352"/>
    <x v="2"/>
  </r>
  <r>
    <n v="665"/>
    <n v="248"/>
    <x v="3"/>
    <x v="201"/>
    <x v="2"/>
    <n v="3"/>
    <x v="0"/>
    <d v="2025-12-30T14:01:00"/>
    <x v="90"/>
    <x v="12"/>
    <n v="3209"/>
    <n v="5"/>
    <n v="16045"/>
    <x v="2"/>
  </r>
  <r>
    <n v="70"/>
    <n v="199"/>
    <x v="3"/>
    <x v="118"/>
    <x v="3"/>
    <n v="1"/>
    <x v="0"/>
    <d v="2025-12-30T14:09:00"/>
    <x v="90"/>
    <x v="12"/>
    <n v="1441"/>
    <n v="4"/>
    <n v="5764"/>
    <x v="2"/>
  </r>
  <r>
    <n v="749"/>
    <n v="103"/>
    <x v="2"/>
    <x v="2"/>
    <x v="2"/>
    <n v="3"/>
    <x v="0"/>
    <d v="2025-12-30T14:24:00"/>
    <x v="90"/>
    <x v="12"/>
    <n v="5602"/>
    <n v="5"/>
    <n v="28010"/>
    <x v="1"/>
  </r>
  <r>
    <n v="658"/>
    <n v="190"/>
    <x v="7"/>
    <x v="163"/>
    <x v="3"/>
    <n v="1"/>
    <x v="0"/>
    <d v="2025-12-30T14:28:00"/>
    <x v="90"/>
    <x v="12"/>
    <n v="6887"/>
    <n v="4"/>
    <n v="27548"/>
    <x v="1"/>
  </r>
  <r>
    <n v="614"/>
    <n v="275"/>
    <x v="8"/>
    <x v="132"/>
    <x v="5"/>
    <n v="4"/>
    <x v="0"/>
    <d v="2025-12-30T14:34:00"/>
    <x v="90"/>
    <x v="12"/>
    <n v="826"/>
    <n v="2"/>
    <n v="1652"/>
    <x v="3"/>
  </r>
  <r>
    <n v="528"/>
    <n v="220"/>
    <x v="0"/>
    <x v="215"/>
    <x v="2"/>
    <n v="3"/>
    <x v="0"/>
    <d v="2025-12-30T14:34:00"/>
    <x v="90"/>
    <x v="12"/>
    <n v="3720"/>
    <n v="4"/>
    <n v="14880"/>
    <x v="2"/>
  </r>
  <r>
    <n v="794"/>
    <n v="199"/>
    <x v="7"/>
    <x v="25"/>
    <x v="0"/>
    <n v="2"/>
    <x v="0"/>
    <d v="2025-12-30T14:35:00"/>
    <x v="90"/>
    <x v="12"/>
    <n v="11390"/>
    <n v="4"/>
    <n v="45560"/>
    <x v="0"/>
  </r>
  <r>
    <n v="4"/>
    <n v="228"/>
    <x v="3"/>
    <x v="35"/>
    <x v="5"/>
    <n v="4"/>
    <x v="0"/>
    <d v="2025-12-30T16:15:00"/>
    <x v="90"/>
    <x v="14"/>
    <n v="591"/>
    <n v="4"/>
    <n v="2364"/>
    <x v="3"/>
  </r>
  <r>
    <n v="52"/>
    <n v="279"/>
    <x v="2"/>
    <x v="341"/>
    <x v="5"/>
    <n v="4"/>
    <x v="0"/>
    <d v="2025-12-30T16:23:00"/>
    <x v="90"/>
    <x v="14"/>
    <n v="268"/>
    <n v="5"/>
    <n v="1340"/>
    <x v="3"/>
  </r>
  <r>
    <n v="86"/>
    <n v="197"/>
    <x v="4"/>
    <x v="66"/>
    <x v="3"/>
    <n v="1"/>
    <x v="0"/>
    <d v="2025-12-30T16:52:00"/>
    <x v="90"/>
    <x v="14"/>
    <n v="1579"/>
    <n v="2"/>
    <n v="3158"/>
    <x v="2"/>
  </r>
  <r>
    <n v="429"/>
    <n v="166"/>
    <x v="0"/>
    <x v="105"/>
    <x v="3"/>
    <n v="1"/>
    <x v="0"/>
    <d v="2025-12-30T17:40:00"/>
    <x v="90"/>
    <x v="15"/>
    <n v="4150"/>
    <n v="5"/>
    <n v="20750"/>
    <x v="2"/>
  </r>
  <r>
    <n v="417"/>
    <n v="143"/>
    <x v="8"/>
    <x v="22"/>
    <x v="2"/>
    <n v="3"/>
    <x v="0"/>
    <d v="2025-12-30T18:01:00"/>
    <x v="90"/>
    <x v="16"/>
    <n v="4382"/>
    <n v="2"/>
    <n v="8764"/>
    <x v="2"/>
  </r>
  <r>
    <n v="331"/>
    <n v="168"/>
    <x v="3"/>
    <x v="4"/>
    <x v="0"/>
    <n v="2"/>
    <x v="0"/>
    <d v="2025-12-30T18:06:00"/>
    <x v="90"/>
    <x v="16"/>
    <n v="9470"/>
    <n v="4"/>
    <n v="37880"/>
    <x v="1"/>
  </r>
  <r>
    <n v="361"/>
    <n v="52"/>
    <x v="6"/>
    <x v="317"/>
    <x v="3"/>
    <n v="1"/>
    <x v="0"/>
    <d v="2025-12-30T18:40:00"/>
    <x v="90"/>
    <x v="16"/>
    <n v="7345"/>
    <n v="4"/>
    <n v="29380"/>
    <x v="1"/>
  </r>
  <r>
    <n v="282"/>
    <n v="3"/>
    <x v="8"/>
    <x v="37"/>
    <x v="3"/>
    <n v="1"/>
    <x v="0"/>
    <d v="2025-12-30T19:04:00"/>
    <x v="90"/>
    <x v="22"/>
    <n v="2340"/>
    <n v="5"/>
    <n v="11700"/>
    <x v="2"/>
  </r>
  <r>
    <n v="458"/>
    <n v="173"/>
    <x v="2"/>
    <x v="226"/>
    <x v="5"/>
    <n v="4"/>
    <x v="0"/>
    <d v="2025-12-30T19:39:00"/>
    <x v="90"/>
    <x v="22"/>
    <n v="50"/>
    <n v="4"/>
    <n v="200"/>
    <x v="3"/>
  </r>
  <r>
    <n v="299"/>
    <n v="30"/>
    <x v="3"/>
    <x v="238"/>
    <x v="6"/>
    <n v="5"/>
    <x v="0"/>
    <d v="2025-12-30T20:18:00"/>
    <x v="90"/>
    <x v="17"/>
    <n v="2946"/>
    <n v="5"/>
    <n v="14730"/>
    <x v="2"/>
  </r>
  <r>
    <n v="362"/>
    <n v="131"/>
    <x v="2"/>
    <x v="127"/>
    <x v="2"/>
    <n v="3"/>
    <x v="0"/>
    <d v="2025-12-30T21:56:00"/>
    <x v="90"/>
    <x v="23"/>
    <n v="4263"/>
    <n v="5"/>
    <n v="21315"/>
    <x v="2"/>
  </r>
  <r>
    <n v="263"/>
    <n v="155"/>
    <x v="4"/>
    <x v="120"/>
    <x v="6"/>
    <n v="5"/>
    <x v="0"/>
    <d v="2025-12-30T22:19:00"/>
    <x v="90"/>
    <x v="18"/>
    <n v="1985"/>
    <n v="5"/>
    <n v="9925"/>
    <x v="2"/>
  </r>
  <r>
    <n v="627"/>
    <n v="242"/>
    <x v="3"/>
    <x v="3"/>
    <x v="3"/>
    <n v="1"/>
    <x v="0"/>
    <d v="2025-12-30T22:30:00"/>
    <x v="90"/>
    <x v="18"/>
    <n v="2965"/>
    <n v="4"/>
    <n v="11860"/>
    <x v="2"/>
  </r>
  <r>
    <n v="207"/>
    <n v="271"/>
    <x v="4"/>
    <x v="6"/>
    <x v="3"/>
    <n v="1"/>
    <x v="0"/>
    <d v="2025-12-30T22:58:00"/>
    <x v="90"/>
    <x v="18"/>
    <n v="3227"/>
    <n v="2"/>
    <n v="6454"/>
    <x v="2"/>
  </r>
  <r>
    <n v="525"/>
    <n v="120"/>
    <x v="2"/>
    <x v="45"/>
    <x v="3"/>
    <n v="1"/>
    <x v="1"/>
    <d v="2025-12-30T23:00:00"/>
    <x v="90"/>
    <x v="19"/>
    <n v="4403"/>
    <n v="0"/>
    <n v="0"/>
    <x v="2"/>
  </r>
  <r>
    <n v="464"/>
    <n v="11"/>
    <x v="0"/>
    <x v="229"/>
    <x v="6"/>
    <n v="5"/>
    <x v="0"/>
    <d v="2025-12-31T00:00:00"/>
    <x v="91"/>
    <x v="0"/>
    <n v="2143"/>
    <n v="5"/>
    <n v="10715"/>
    <x v="2"/>
  </r>
  <r>
    <n v="638"/>
    <n v="153"/>
    <x v="5"/>
    <x v="382"/>
    <x v="6"/>
    <n v="5"/>
    <x v="0"/>
    <d v="2025-12-31T00:03:00"/>
    <x v="91"/>
    <x v="0"/>
    <n v="1813"/>
    <n v="2"/>
    <n v="3626"/>
    <x v="2"/>
  </r>
  <r>
    <n v="659"/>
    <n v="211"/>
    <x v="5"/>
    <x v="186"/>
    <x v="5"/>
    <n v="4"/>
    <x v="0"/>
    <d v="2025-12-31T00:14:00"/>
    <x v="91"/>
    <x v="0"/>
    <n v="476"/>
    <n v="2"/>
    <n v="952"/>
    <x v="3"/>
  </r>
  <r>
    <n v="749"/>
    <n v="25"/>
    <x v="0"/>
    <x v="300"/>
    <x v="6"/>
    <n v="5"/>
    <x v="0"/>
    <d v="2025-12-31T00:59:00"/>
    <x v="91"/>
    <x v="0"/>
    <n v="936"/>
    <n v="5"/>
    <n v="4680"/>
    <x v="3"/>
  </r>
  <r>
    <n v="32"/>
    <n v="143"/>
    <x v="3"/>
    <x v="91"/>
    <x v="3"/>
    <n v="1"/>
    <x v="0"/>
    <d v="2025-12-31T01:23:00"/>
    <x v="91"/>
    <x v="1"/>
    <n v="5541"/>
    <n v="5"/>
    <n v="2770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7FA49-7358-4DF9-AFB2-DB80A319EE58}" name="数据透视表1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6">
    <pivotField showAll="0"/>
    <pivotField showAll="0"/>
    <pivotField axis="axisRow" showAll="0" sortType="descending">
      <items count="11">
        <item x="0"/>
        <item x="2"/>
        <item x="8"/>
        <item x="4"/>
        <item x="3"/>
        <item x="6"/>
        <item x="9"/>
        <item x="1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1">
    <i>
      <x v="7"/>
    </i>
    <i>
      <x v="2"/>
    </i>
    <i>
      <x v="6"/>
    </i>
    <i>
      <x v="1"/>
    </i>
    <i>
      <x/>
    </i>
    <i>
      <x v="3"/>
    </i>
    <i>
      <x v="5"/>
    </i>
    <i>
      <x v="8"/>
    </i>
    <i>
      <x v="4"/>
    </i>
    <i>
      <x v="9"/>
    </i>
    <i t="grand">
      <x/>
    </i>
  </rowItems>
  <colItems count="1">
    <i/>
  </colItems>
  <dataFields count="1">
    <dataField name="求和项:销售额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1E3D8-F37F-4493-A268-D9FCB2E86991}" name="数据透视表2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16">
    <pivotField showAll="0"/>
    <pivotField showAll="0"/>
    <pivotField showAll="0"/>
    <pivotField showAll="0"/>
    <pivotField axis="axisRow" showAll="0" sortType="descending">
      <items count="8">
        <item x="0"/>
        <item x="4"/>
        <item x="5"/>
        <item x="2"/>
        <item x="1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6"/>
    </i>
    <i>
      <x v="4"/>
    </i>
    <i>
      <x v="1"/>
    </i>
    <i>
      <x v="3"/>
    </i>
    <i>
      <x v="5"/>
    </i>
    <i>
      <x v="2"/>
    </i>
    <i t="grand">
      <x/>
    </i>
  </rowItems>
  <colItems count="1">
    <i/>
  </colItems>
  <dataFields count="1">
    <dataField name="求和项:销售额" fld="12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34199-3FDB-445A-93C0-AC1C40921DCA}" name="数据透视表3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6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计数项:用户ID" fld="0" subtotal="count" baseField="6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55D94-53F3-49EE-9804-39FB5B26445B}" name="数据透视表9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numFmtId="22" showAll="0"/>
    <pivotField axis="axisRow"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8"/>
  </rowFields>
  <rowItems count="4">
    <i>
      <x v="10"/>
    </i>
    <i>
      <x v="11"/>
    </i>
    <i>
      <x v="12"/>
    </i>
    <i t="grand">
      <x/>
    </i>
  </rowItems>
  <colItems count="1">
    <i/>
  </colItems>
  <dataFields count="1">
    <dataField name="求和项:销售额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6DF09-4ADE-4B8E-B6BC-B4AD0E75436C}" name="数据透视表1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D29" firstHeaderRow="1" firstDataRow="2" firstDataCol="1"/>
  <pivotFields count="16">
    <pivotField dataFiel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numFmtId="176" showAll="0">
      <items count="25">
        <item x="0"/>
        <item x="1"/>
        <item x="2"/>
        <item x="3"/>
        <item x="4"/>
        <item x="20"/>
        <item x="5"/>
        <item x="6"/>
        <item x="7"/>
        <item x="8"/>
        <item x="9"/>
        <item x="10"/>
        <item x="11"/>
        <item x="21"/>
        <item x="12"/>
        <item x="13"/>
        <item x="14"/>
        <item x="15"/>
        <item x="16"/>
        <item x="22"/>
        <item x="17"/>
        <item x="23"/>
        <item x="18"/>
        <item x="19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计数项:用户ID" fld="0" subtotal="count" baseField="9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DB4C3-73E4-4711-9D60-4A3FF21B5791}" name="数据透视表2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16">
    <pivotField showAll="0"/>
    <pivotField showAll="0"/>
    <pivotField showAll="0"/>
    <pivotField axis="axisRow" showAll="0" measureFilter="1" sortType="ascending">
      <items count="390">
        <item x="101"/>
        <item x="254"/>
        <item x="172"/>
        <item x="229"/>
        <item x="208"/>
        <item x="292"/>
        <item x="218"/>
        <item x="87"/>
        <item x="67"/>
        <item x="301"/>
        <item x="168"/>
        <item x="154"/>
        <item x="358"/>
        <item x="0"/>
        <item x="273"/>
        <item x="105"/>
        <item x="15"/>
        <item x="347"/>
        <item x="215"/>
        <item x="265"/>
        <item x="160"/>
        <item x="344"/>
        <item x="233"/>
        <item x="353"/>
        <item x="323"/>
        <item x="322"/>
        <item x="283"/>
        <item x="249"/>
        <item x="212"/>
        <item x="334"/>
        <item x="300"/>
        <item x="5"/>
        <item x="39"/>
        <item x="227"/>
        <item x="187"/>
        <item x="269"/>
        <item x="319"/>
        <item x="192"/>
        <item x="211"/>
        <item x="165"/>
        <item x="362"/>
        <item x="341"/>
        <item x="205"/>
        <item x="333"/>
        <item x="162"/>
        <item x="104"/>
        <item x="32"/>
        <item x="250"/>
        <item x="374"/>
        <item x="361"/>
        <item x="148"/>
        <item x="325"/>
        <item x="46"/>
        <item x="2"/>
        <item x="45"/>
        <item x="185"/>
        <item x="7"/>
        <item x="228"/>
        <item x="226"/>
        <item x="21"/>
        <item x="332"/>
        <item x="62"/>
        <item x="291"/>
        <item x="64"/>
        <item x="108"/>
        <item x="99"/>
        <item x="169"/>
        <item x="80"/>
        <item x="263"/>
        <item x="38"/>
        <item x="256"/>
        <item x="69"/>
        <item x="127"/>
        <item x="97"/>
        <item x="90"/>
        <item x="197"/>
        <item x="280"/>
        <item x="340"/>
        <item x="293"/>
        <item x="225"/>
        <item x="214"/>
        <item x="318"/>
        <item x="368"/>
        <item x="210"/>
        <item x="129"/>
        <item x="47"/>
        <item x="103"/>
        <item x="114"/>
        <item x="386"/>
        <item x="37"/>
        <item x="350"/>
        <item x="207"/>
        <item x="111"/>
        <item x="30"/>
        <item x="166"/>
        <item x="193"/>
        <item x="71"/>
        <item x="132"/>
        <item x="272"/>
        <item x="364"/>
        <item x="381"/>
        <item x="309"/>
        <item x="31"/>
        <item x="140"/>
        <item x="134"/>
        <item x="22"/>
        <item x="155"/>
        <item x="221"/>
        <item x="379"/>
        <item x="387"/>
        <item x="343"/>
        <item x="17"/>
        <item x="44"/>
        <item x="41"/>
        <item x="239"/>
        <item x="243"/>
        <item x="213"/>
        <item x="150"/>
        <item x="388"/>
        <item x="196"/>
        <item x="378"/>
        <item x="242"/>
        <item x="335"/>
        <item x="277"/>
        <item x="153"/>
        <item x="190"/>
        <item x="331"/>
        <item x="120"/>
        <item x="66"/>
        <item x="241"/>
        <item x="380"/>
        <item x="271"/>
        <item x="102"/>
        <item x="6"/>
        <item x="126"/>
        <item x="63"/>
        <item x="19"/>
        <item x="27"/>
        <item x="159"/>
        <item x="315"/>
        <item x="200"/>
        <item x="65"/>
        <item x="93"/>
        <item x="142"/>
        <item x="131"/>
        <item x="198"/>
        <item x="223"/>
        <item x="137"/>
        <item x="367"/>
        <item x="36"/>
        <item x="270"/>
        <item x="216"/>
        <item x="316"/>
        <item x="329"/>
        <item x="363"/>
        <item x="252"/>
        <item x="304"/>
        <item x="324"/>
        <item x="290"/>
        <item x="365"/>
        <item x="43"/>
        <item x="326"/>
        <item x="56"/>
        <item x="35"/>
        <item x="118"/>
        <item x="311"/>
        <item x="238"/>
        <item x="232"/>
        <item x="299"/>
        <item x="295"/>
        <item x="177"/>
        <item x="49"/>
        <item x="91"/>
        <item x="264"/>
        <item x="59"/>
        <item x="370"/>
        <item x="3"/>
        <item x="175"/>
        <item x="267"/>
        <item x="123"/>
        <item x="383"/>
        <item x="84"/>
        <item x="4"/>
        <item x="201"/>
        <item x="354"/>
        <item x="338"/>
        <item x="234"/>
        <item x="14"/>
        <item x="305"/>
        <item x="68"/>
        <item x="138"/>
        <item x="248"/>
        <item x="230"/>
        <item x="74"/>
        <item x="247"/>
        <item x="167"/>
        <item x="224"/>
        <item x="40"/>
        <item x="110"/>
        <item x="296"/>
        <item x="170"/>
        <item x="262"/>
        <item x="53"/>
        <item x="219"/>
        <item x="11"/>
        <item x="294"/>
        <item x="317"/>
        <item x="174"/>
        <item x="76"/>
        <item x="79"/>
        <item x="278"/>
        <item x="146"/>
        <item x="385"/>
        <item x="371"/>
        <item x="96"/>
        <item x="135"/>
        <item x="345"/>
        <item x="261"/>
        <item x="384"/>
        <item x="145"/>
        <item x="33"/>
        <item x="28"/>
        <item x="139"/>
        <item x="57"/>
        <item x="302"/>
        <item x="360"/>
        <item x="279"/>
        <item x="203"/>
        <item x="282"/>
        <item x="136"/>
        <item x="310"/>
        <item x="373"/>
        <item x="336"/>
        <item x="369"/>
        <item x="130"/>
        <item x="287"/>
        <item x="151"/>
        <item x="372"/>
        <item x="330"/>
        <item x="55"/>
        <item x="113"/>
        <item x="312"/>
        <item x="231"/>
        <item x="349"/>
        <item x="88"/>
        <item x="18"/>
        <item x="351"/>
        <item x="237"/>
        <item x="303"/>
        <item x="51"/>
        <item x="106"/>
        <item x="286"/>
        <item x="274"/>
        <item x="100"/>
        <item x="112"/>
        <item x="92"/>
        <item x="125"/>
        <item x="202"/>
        <item x="52"/>
        <item x="182"/>
        <item x="98"/>
        <item x="48"/>
        <item x="75"/>
        <item x="121"/>
        <item x="191"/>
        <item x="321"/>
        <item x="180"/>
        <item x="188"/>
        <item x="217"/>
        <item x="128"/>
        <item x="342"/>
        <item x="82"/>
        <item x="260"/>
        <item x="176"/>
        <item x="178"/>
        <item x="9"/>
        <item x="314"/>
        <item x="320"/>
        <item x="266"/>
        <item x="199"/>
        <item x="16"/>
        <item x="116"/>
        <item x="115"/>
        <item x="355"/>
        <item x="77"/>
        <item x="346"/>
        <item x="356"/>
        <item x="253"/>
        <item x="60"/>
        <item x="20"/>
        <item x="366"/>
        <item x="95"/>
        <item x="23"/>
        <item x="8"/>
        <item x="268"/>
        <item x="276"/>
        <item x="327"/>
        <item x="149"/>
        <item x="173"/>
        <item x="251"/>
        <item x="359"/>
        <item x="24"/>
        <item x="220"/>
        <item x="206"/>
        <item x="157"/>
        <item x="194"/>
        <item x="376"/>
        <item x="70"/>
        <item x="161"/>
        <item x="328"/>
        <item x="1"/>
        <item x="377"/>
        <item x="143"/>
        <item x="12"/>
        <item x="107"/>
        <item x="152"/>
        <item x="26"/>
        <item x="181"/>
        <item x="124"/>
        <item x="83"/>
        <item x="288"/>
        <item x="281"/>
        <item x="54"/>
        <item x="61"/>
        <item x="235"/>
        <item x="144"/>
        <item x="357"/>
        <item x="337"/>
        <item x="158"/>
        <item x="73"/>
        <item x="94"/>
        <item x="163"/>
        <item x="133"/>
        <item x="308"/>
        <item x="289"/>
        <item x="25"/>
        <item x="236"/>
        <item x="156"/>
        <item x="58"/>
        <item x="348"/>
        <item x="85"/>
        <item x="184"/>
        <item x="122"/>
        <item x="117"/>
        <item x="240"/>
        <item x="255"/>
        <item x="209"/>
        <item x="204"/>
        <item x="275"/>
        <item x="245"/>
        <item x="10"/>
        <item x="81"/>
        <item x="29"/>
        <item x="382"/>
        <item x="42"/>
        <item x="284"/>
        <item x="78"/>
        <item x="141"/>
        <item x="259"/>
        <item x="89"/>
        <item x="13"/>
        <item x="147"/>
        <item x="307"/>
        <item x="222"/>
        <item x="352"/>
        <item x="257"/>
        <item x="246"/>
        <item x="109"/>
        <item x="86"/>
        <item x="186"/>
        <item x="183"/>
        <item x="298"/>
        <item x="195"/>
        <item x="285"/>
        <item x="34"/>
        <item x="50"/>
        <item x="306"/>
        <item x="258"/>
        <item x="189"/>
        <item x="171"/>
        <item x="313"/>
        <item x="375"/>
        <item x="164"/>
        <item x="297"/>
        <item x="72"/>
        <item x="179"/>
        <item x="244"/>
        <item x="119"/>
        <item x="3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dataField="1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11">
    <i>
      <x v="262"/>
    </i>
    <i>
      <x v="91"/>
    </i>
    <i>
      <x v="132"/>
    </i>
    <i>
      <x v="328"/>
    </i>
    <i>
      <x v="35"/>
    </i>
    <i>
      <x v="308"/>
    </i>
    <i>
      <x v="286"/>
    </i>
    <i>
      <x v="258"/>
    </i>
    <i>
      <x v="221"/>
    </i>
    <i>
      <x v="28"/>
    </i>
    <i t="grand">
      <x/>
    </i>
  </rowItems>
  <colItems count="1">
    <i/>
  </colItems>
  <dataFields count="1">
    <dataField name="求和项:销售额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4E45C-5307-43C7-92BE-0C2B175D2E37}" name="数据透视表3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dataField="1" showAll="0"/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销量" fld="11" subtotal="count" baseField="0" baseItem="0"/>
    <dataField name="求和项:销售额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2A69C4-34F6-4A17-8932-61187AC3F857}" name="数据透视表4" cacheId="1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3">
  <location ref="A3:D12" firstHeaderRow="1" firstDataRow="2" firstDataCol="1"/>
  <pivotFields count="16">
    <pivotField dataField="1" showAll="0"/>
    <pivotField showAll="0"/>
    <pivotField showAll="0"/>
    <pivotField showAll="0"/>
    <pivotField axis="axisRow" showAll="0">
      <items count="8">
        <item x="0"/>
        <item x="4"/>
        <item x="5"/>
        <item x="2"/>
        <item x="1"/>
        <item x="6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22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umFmtId="176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计数项:用户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61268F-FD0F-4055-ABA4-2B327BD0AACD}" autoFormatId="16" applyNumberFormats="0" applyBorderFormats="0" applyFontFormats="0" applyPatternFormats="0" applyAlignmentFormats="0" applyWidthHeightFormats="0">
  <queryTableRefresh nextId="15" unboundColumnsRight="2">
    <queryTableFields count="14">
      <queryTableField id="1" name="用户ID" tableColumnId="1"/>
      <queryTableField id="2" name="商品ID" tableColumnId="2"/>
      <queryTableField id="3" name="品牌" tableColumnId="3"/>
      <queryTableField id="4" name="商品名称" tableColumnId="4"/>
      <queryTableField id="5" name="商品类别" tableColumnId="5"/>
      <queryTableField id="6" name="商品类目ID" tableColumnId="6"/>
      <queryTableField id="7" name="行为类型" tableColumnId="7"/>
      <queryTableField id="8" name="时间戳" tableColumnId="8"/>
      <queryTableField id="13" dataBound="0" tableColumnId="13"/>
      <queryTableField id="12" dataBound="0" tableColumnId="12"/>
      <queryTableField id="9" name="售价" tableColumnId="9"/>
      <queryTableField id="10" name="销量" tableColumnId="10"/>
      <queryTableField id="11" dataBound="0" tableColumnId="11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F2837-79A8-474D-BB43-E6F9E52B0055}" name="TB" displayName="TB" ref="A1:N5001" tableType="queryTable" totalsRowShown="0">
  <autoFilter ref="A1:N5001" xr:uid="{073F2837-79A8-474D-BB43-E6F9E52B0055}"/>
  <tableColumns count="14">
    <tableColumn id="1" xr3:uid="{E2839581-F565-4001-9DF8-404D06510600}" uniqueName="1" name="用户ID" queryTableFieldId="1"/>
    <tableColumn id="2" xr3:uid="{763D365C-56A3-47BE-8C3A-DEC61DF79E0A}" uniqueName="2" name="商品ID" queryTableFieldId="2"/>
    <tableColumn id="3" xr3:uid="{B6E4CE41-3954-472A-B6E2-52F243E92212}" uniqueName="3" name="品牌" queryTableFieldId="3" dataDxfId="8"/>
    <tableColumn id="4" xr3:uid="{54BBE2FF-1B3C-4C19-860E-7F47996F8AA5}" uniqueName="4" name="商品名称" queryTableFieldId="4" dataDxfId="7"/>
    <tableColumn id="5" xr3:uid="{16CBF886-FA29-4FD8-8F14-A994FE48122E}" uniqueName="5" name="商品类别" queryTableFieldId="5" dataDxfId="6"/>
    <tableColumn id="6" xr3:uid="{5241BF86-2566-474B-B147-74AA394B30CF}" uniqueName="6" name="商品类目ID" queryTableFieldId="6"/>
    <tableColumn id="7" xr3:uid="{5A1A4F96-025E-4625-B583-02B408717D9A}" uniqueName="7" name="行为类型" queryTableFieldId="7" dataDxfId="5"/>
    <tableColumn id="8" xr3:uid="{8BCC962C-9FCE-46F8-965A-F18698435DCC}" uniqueName="8" name="时间戳" queryTableFieldId="8" dataDxfId="2"/>
    <tableColumn id="13" xr3:uid="{48F69EBE-87B0-4B07-9696-828A9BE53EFB}" uniqueName="13" name="日期" queryTableFieldId="13" dataDxfId="1">
      <calculatedColumnFormula>INT(TB[[#This Row],[时间戳]])</calculatedColumnFormula>
    </tableColumn>
    <tableColumn id="12" xr3:uid="{B38986C0-DBE2-4E8E-AA6A-626F9315C19C}" uniqueName="12" name="小时" queryTableFieldId="12" dataDxfId="0">
      <calculatedColumnFormula>HOUR(TB[[#This Row],[时间戳]])</calculatedColumnFormula>
    </tableColumn>
    <tableColumn id="9" xr3:uid="{2C016F07-CA16-4264-AFCD-B25D17D229CF}" uniqueName="9" name="售价" queryTableFieldId="9"/>
    <tableColumn id="10" xr3:uid="{37F2755C-F213-469D-9539-B956EAC87F25}" uniqueName="10" name="销量" queryTableFieldId="10"/>
    <tableColumn id="11" xr3:uid="{F15FC055-01AB-4099-B235-A8192F779879}" uniqueName="11" name="销售额" queryTableFieldId="11" dataDxfId="4">
      <calculatedColumnFormula>TB[[#This Row],[售价]]*TB[[#This Row],[销量]]</calculatedColumnFormula>
    </tableColumn>
    <tableColumn id="14" xr3:uid="{301E7D93-EF7B-4332-8207-04B968E30FF4}" uniqueName="14" name="销售区间" queryTableFieldId="14" dataDxfId="3">
      <calculatedColumnFormula>IF(TB[[#This Row],[售价]]&lt;1000,"低价商品",IF(TB[[#This Row],[售价]]&lt;5000,"中价商品",IF(TB[[#This Row],[售价]]&lt;10000,"高价商品","超高价商品")))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BE4D-FE91-4013-B4B3-36D2239D66FA}">
  <dimension ref="A3:B14"/>
  <sheetViews>
    <sheetView topLeftCell="A5" workbookViewId="0">
      <selection activeCell="L21" sqref="L21"/>
    </sheetView>
  </sheetViews>
  <sheetFormatPr defaultRowHeight="14.25" x14ac:dyDescent="0.2"/>
  <cols>
    <col min="1" max="1" width="9.125" bestFit="1" customWidth="1"/>
    <col min="2" max="2" width="13.625" bestFit="1" customWidth="1"/>
  </cols>
  <sheetData>
    <row r="3" spans="1:2" x14ac:dyDescent="0.2">
      <c r="A3" s="3" t="s">
        <v>420</v>
      </c>
      <c r="B3" t="s">
        <v>422</v>
      </c>
    </row>
    <row r="4" spans="1:2" x14ac:dyDescent="0.2">
      <c r="A4" s="4" t="s">
        <v>14</v>
      </c>
      <c r="B4" s="6">
        <v>5658907</v>
      </c>
    </row>
    <row r="5" spans="1:2" x14ac:dyDescent="0.2">
      <c r="A5" s="4" t="s">
        <v>44</v>
      </c>
      <c r="B5" s="6">
        <v>5296905</v>
      </c>
    </row>
    <row r="6" spans="1:2" x14ac:dyDescent="0.2">
      <c r="A6" s="4" t="s">
        <v>46</v>
      </c>
      <c r="B6" s="6">
        <v>5281872</v>
      </c>
    </row>
    <row r="7" spans="1:2" x14ac:dyDescent="0.2">
      <c r="A7" s="4" t="s">
        <v>17</v>
      </c>
      <c r="B7" s="6">
        <v>5215719</v>
      </c>
    </row>
    <row r="8" spans="1:2" x14ac:dyDescent="0.2">
      <c r="A8" s="4" t="s">
        <v>10</v>
      </c>
      <c r="B8" s="6">
        <v>5161794</v>
      </c>
    </row>
    <row r="9" spans="1:2" x14ac:dyDescent="0.2">
      <c r="A9" s="4" t="s">
        <v>26</v>
      </c>
      <c r="B9" s="6">
        <v>5082422</v>
      </c>
    </row>
    <row r="10" spans="1:2" x14ac:dyDescent="0.2">
      <c r="A10" s="4" t="s">
        <v>34</v>
      </c>
      <c r="B10" s="6">
        <v>5051067</v>
      </c>
    </row>
    <row r="11" spans="1:2" x14ac:dyDescent="0.2">
      <c r="A11" s="4" t="s">
        <v>36</v>
      </c>
      <c r="B11" s="6">
        <v>4960923</v>
      </c>
    </row>
    <row r="12" spans="1:2" x14ac:dyDescent="0.2">
      <c r="A12" s="4" t="s">
        <v>20</v>
      </c>
      <c r="B12" s="6">
        <v>4844290</v>
      </c>
    </row>
    <row r="13" spans="1:2" x14ac:dyDescent="0.2">
      <c r="A13" s="4" t="s">
        <v>32</v>
      </c>
      <c r="B13" s="6">
        <v>4339988</v>
      </c>
    </row>
    <row r="14" spans="1:2" x14ac:dyDescent="0.2">
      <c r="A14" s="4" t="s">
        <v>421</v>
      </c>
      <c r="B14" s="6">
        <v>50893887</v>
      </c>
    </row>
  </sheetData>
  <phoneticPr fontId="1" type="noConversion"/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8814-10B7-4728-AAC6-934B1D63D417}">
  <dimension ref="A3:B11"/>
  <sheetViews>
    <sheetView workbookViewId="0">
      <selection activeCell="L20" sqref="L20"/>
    </sheetView>
  </sheetViews>
  <sheetFormatPr defaultRowHeight="14.25" x14ac:dyDescent="0.2"/>
  <cols>
    <col min="1" max="1" width="11" bestFit="1" customWidth="1"/>
    <col min="2" max="2" width="13.625" bestFit="1" customWidth="1"/>
  </cols>
  <sheetData>
    <row r="3" spans="1:2" x14ac:dyDescent="0.2">
      <c r="A3" s="3" t="s">
        <v>420</v>
      </c>
      <c r="B3" t="s">
        <v>422</v>
      </c>
    </row>
    <row r="4" spans="1:2" x14ac:dyDescent="0.2">
      <c r="A4" s="4" t="s">
        <v>12</v>
      </c>
      <c r="B4" s="6">
        <v>16565439</v>
      </c>
    </row>
    <row r="5" spans="1:2" x14ac:dyDescent="0.2">
      <c r="A5" s="4" t="s">
        <v>22</v>
      </c>
      <c r="B5" s="6">
        <v>12881007</v>
      </c>
    </row>
    <row r="6" spans="1:2" x14ac:dyDescent="0.2">
      <c r="A6" s="4" t="s">
        <v>16</v>
      </c>
      <c r="B6" s="6">
        <v>7397845</v>
      </c>
    </row>
    <row r="7" spans="1:2" x14ac:dyDescent="0.2">
      <c r="A7" s="4" t="s">
        <v>25</v>
      </c>
      <c r="B7" s="6">
        <v>5199263</v>
      </c>
    </row>
    <row r="8" spans="1:2" x14ac:dyDescent="0.2">
      <c r="A8" s="4" t="s">
        <v>19</v>
      </c>
      <c r="B8" s="6">
        <v>4439887</v>
      </c>
    </row>
    <row r="9" spans="1:2" x14ac:dyDescent="0.2">
      <c r="A9" s="4" t="s">
        <v>39</v>
      </c>
      <c r="B9" s="6">
        <v>2616971</v>
      </c>
    </row>
    <row r="10" spans="1:2" x14ac:dyDescent="0.2">
      <c r="A10" s="4" t="s">
        <v>31</v>
      </c>
      <c r="B10" s="6">
        <v>1793475</v>
      </c>
    </row>
    <row r="11" spans="1:2" x14ac:dyDescent="0.2">
      <c r="A11" s="4" t="s">
        <v>421</v>
      </c>
      <c r="B11" s="6">
        <v>50893887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68933-7694-4789-A6F0-27D0546B095D}">
  <dimension ref="A3:B6"/>
  <sheetViews>
    <sheetView workbookViewId="0">
      <selection activeCell="B4" sqref="B4"/>
    </sheetView>
  </sheetViews>
  <sheetFormatPr defaultRowHeight="14.25" x14ac:dyDescent="0.2"/>
  <cols>
    <col min="1" max="1" width="9.125" bestFit="1" customWidth="1"/>
    <col min="2" max="2" width="13.625" bestFit="1" customWidth="1"/>
  </cols>
  <sheetData>
    <row r="3" spans="1:2" x14ac:dyDescent="0.2">
      <c r="A3" s="3" t="s">
        <v>420</v>
      </c>
      <c r="B3" t="s">
        <v>423</v>
      </c>
    </row>
    <row r="4" spans="1:2" x14ac:dyDescent="0.2">
      <c r="A4" s="4" t="s">
        <v>42</v>
      </c>
      <c r="B4" s="6">
        <v>791</v>
      </c>
    </row>
    <row r="5" spans="1:2" x14ac:dyDescent="0.2">
      <c r="A5" s="4" t="s">
        <v>13</v>
      </c>
      <c r="B5" s="6">
        <v>4209</v>
      </c>
    </row>
    <row r="6" spans="1:2" x14ac:dyDescent="0.2">
      <c r="A6" s="4" t="s">
        <v>421</v>
      </c>
      <c r="B6" s="6">
        <v>5000</v>
      </c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26BA-7C8F-4C77-B439-D0A5153A3F0C}">
  <dimension ref="A3:B7"/>
  <sheetViews>
    <sheetView workbookViewId="0">
      <selection activeCell="A4" sqref="A4"/>
    </sheetView>
  </sheetViews>
  <sheetFormatPr defaultRowHeight="14.25" x14ac:dyDescent="0.2"/>
  <cols>
    <col min="1" max="1" width="9.125" bestFit="1" customWidth="1"/>
    <col min="2" max="2" width="13.625" bestFit="1" customWidth="1"/>
  </cols>
  <sheetData>
    <row r="3" spans="1:2" x14ac:dyDescent="0.2">
      <c r="A3" s="3" t="s">
        <v>420</v>
      </c>
      <c r="B3" t="s">
        <v>422</v>
      </c>
    </row>
    <row r="4" spans="1:2" x14ac:dyDescent="0.2">
      <c r="A4" s="4" t="s">
        <v>425</v>
      </c>
      <c r="B4" s="6">
        <v>13746329</v>
      </c>
    </row>
    <row r="5" spans="1:2" x14ac:dyDescent="0.2">
      <c r="A5" s="4" t="s">
        <v>426</v>
      </c>
      <c r="B5" s="6">
        <v>20018956</v>
      </c>
    </row>
    <row r="6" spans="1:2" x14ac:dyDescent="0.2">
      <c r="A6" s="4" t="s">
        <v>427</v>
      </c>
      <c r="B6" s="6">
        <v>17128602</v>
      </c>
    </row>
    <row r="7" spans="1:2" x14ac:dyDescent="0.2">
      <c r="A7" s="4" t="s">
        <v>421</v>
      </c>
      <c r="B7" s="6">
        <v>50893887</v>
      </c>
    </row>
  </sheetData>
  <phoneticPr fontId="1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ACBE-20FC-4F53-8332-25FFCE2D0273}">
  <dimension ref="A3:D29"/>
  <sheetViews>
    <sheetView workbookViewId="0">
      <selection activeCell="A3" sqref="A3"/>
    </sheetView>
  </sheetViews>
  <sheetFormatPr defaultRowHeight="14.25" x14ac:dyDescent="0.2"/>
  <cols>
    <col min="1" max="1" width="13.625" bestFit="1" customWidth="1"/>
    <col min="2" max="2" width="9.125" bestFit="1" customWidth="1"/>
    <col min="3" max="4" width="5.5" bestFit="1" customWidth="1"/>
  </cols>
  <sheetData>
    <row r="3" spans="1:4" x14ac:dyDescent="0.2">
      <c r="A3" s="3" t="s">
        <v>423</v>
      </c>
      <c r="B3" s="3" t="s">
        <v>428</v>
      </c>
    </row>
    <row r="4" spans="1:4" x14ac:dyDescent="0.2">
      <c r="A4" s="3" t="s">
        <v>420</v>
      </c>
      <c r="B4" t="s">
        <v>42</v>
      </c>
      <c r="C4" t="s">
        <v>13</v>
      </c>
      <c r="D4" t="s">
        <v>421</v>
      </c>
    </row>
    <row r="5" spans="1:4" x14ac:dyDescent="0.2">
      <c r="A5" s="7">
        <v>0</v>
      </c>
      <c r="B5" s="6">
        <v>33</v>
      </c>
      <c r="C5" s="6">
        <v>217</v>
      </c>
      <c r="D5" s="6">
        <v>250</v>
      </c>
    </row>
    <row r="6" spans="1:4" x14ac:dyDescent="0.2">
      <c r="A6" s="7">
        <v>1</v>
      </c>
      <c r="B6" s="6">
        <v>26</v>
      </c>
      <c r="C6" s="6">
        <v>199</v>
      </c>
      <c r="D6" s="6">
        <v>225</v>
      </c>
    </row>
    <row r="7" spans="1:4" x14ac:dyDescent="0.2">
      <c r="A7" s="7">
        <v>2</v>
      </c>
      <c r="B7" s="6">
        <v>18</v>
      </c>
      <c r="C7" s="6">
        <v>184</v>
      </c>
      <c r="D7" s="6">
        <v>202</v>
      </c>
    </row>
    <row r="8" spans="1:4" x14ac:dyDescent="0.2">
      <c r="A8" s="7">
        <v>3</v>
      </c>
      <c r="B8" s="6">
        <v>42</v>
      </c>
      <c r="C8" s="6">
        <v>150</v>
      </c>
      <c r="D8" s="6">
        <v>192</v>
      </c>
    </row>
    <row r="9" spans="1:4" x14ac:dyDescent="0.2">
      <c r="A9" s="7">
        <v>4</v>
      </c>
      <c r="B9" s="6">
        <v>29</v>
      </c>
      <c r="C9" s="6">
        <v>163</v>
      </c>
      <c r="D9" s="6">
        <v>192</v>
      </c>
    </row>
    <row r="10" spans="1:4" x14ac:dyDescent="0.2">
      <c r="A10" s="7">
        <v>5</v>
      </c>
      <c r="B10" s="6">
        <v>36</v>
      </c>
      <c r="C10" s="6">
        <v>189</v>
      </c>
      <c r="D10" s="6">
        <v>225</v>
      </c>
    </row>
    <row r="11" spans="1:4" x14ac:dyDescent="0.2">
      <c r="A11" s="7">
        <v>6</v>
      </c>
      <c r="B11" s="6">
        <v>35</v>
      </c>
      <c r="C11" s="6">
        <v>178</v>
      </c>
      <c r="D11" s="6">
        <v>213</v>
      </c>
    </row>
    <row r="12" spans="1:4" x14ac:dyDescent="0.2">
      <c r="A12" s="7">
        <v>7</v>
      </c>
      <c r="B12" s="6">
        <v>33</v>
      </c>
      <c r="C12" s="6">
        <v>171</v>
      </c>
      <c r="D12" s="6">
        <v>204</v>
      </c>
    </row>
    <row r="13" spans="1:4" x14ac:dyDescent="0.2">
      <c r="A13" s="7">
        <v>8</v>
      </c>
      <c r="B13" s="6">
        <v>29</v>
      </c>
      <c r="C13" s="6">
        <v>190</v>
      </c>
      <c r="D13" s="6">
        <v>219</v>
      </c>
    </row>
    <row r="14" spans="1:4" x14ac:dyDescent="0.2">
      <c r="A14" s="7">
        <v>9</v>
      </c>
      <c r="B14" s="6">
        <v>27</v>
      </c>
      <c r="C14" s="6">
        <v>182</v>
      </c>
      <c r="D14" s="6">
        <v>209</v>
      </c>
    </row>
    <row r="15" spans="1:4" x14ac:dyDescent="0.2">
      <c r="A15" s="7">
        <v>10</v>
      </c>
      <c r="B15" s="6">
        <v>29</v>
      </c>
      <c r="C15" s="6">
        <v>175</v>
      </c>
      <c r="D15" s="6">
        <v>204</v>
      </c>
    </row>
    <row r="16" spans="1:4" x14ac:dyDescent="0.2">
      <c r="A16" s="7">
        <v>11</v>
      </c>
      <c r="B16" s="6">
        <v>36</v>
      </c>
      <c r="C16" s="6">
        <v>177</v>
      </c>
      <c r="D16" s="6">
        <v>213</v>
      </c>
    </row>
    <row r="17" spans="1:4" x14ac:dyDescent="0.2">
      <c r="A17" s="7">
        <v>12</v>
      </c>
      <c r="B17" s="6">
        <v>38</v>
      </c>
      <c r="C17" s="6">
        <v>172</v>
      </c>
      <c r="D17" s="6">
        <v>210</v>
      </c>
    </row>
    <row r="18" spans="1:4" x14ac:dyDescent="0.2">
      <c r="A18" s="7">
        <v>13</v>
      </c>
      <c r="B18" s="6">
        <v>37</v>
      </c>
      <c r="C18" s="6">
        <v>160</v>
      </c>
      <c r="D18" s="6">
        <v>197</v>
      </c>
    </row>
    <row r="19" spans="1:4" x14ac:dyDescent="0.2">
      <c r="A19" s="7">
        <v>14</v>
      </c>
      <c r="B19" s="6">
        <v>33</v>
      </c>
      <c r="C19" s="6">
        <v>180</v>
      </c>
      <c r="D19" s="6">
        <v>213</v>
      </c>
    </row>
    <row r="20" spans="1:4" x14ac:dyDescent="0.2">
      <c r="A20" s="7">
        <v>15</v>
      </c>
      <c r="B20" s="6">
        <v>33</v>
      </c>
      <c r="C20" s="6">
        <v>171</v>
      </c>
      <c r="D20" s="6">
        <v>204</v>
      </c>
    </row>
    <row r="21" spans="1:4" x14ac:dyDescent="0.2">
      <c r="A21" s="7">
        <v>16</v>
      </c>
      <c r="B21" s="6">
        <v>23</v>
      </c>
      <c r="C21" s="6">
        <v>184</v>
      </c>
      <c r="D21" s="6">
        <v>207</v>
      </c>
    </row>
    <row r="22" spans="1:4" x14ac:dyDescent="0.2">
      <c r="A22" s="7">
        <v>17</v>
      </c>
      <c r="B22" s="6">
        <v>41</v>
      </c>
      <c r="C22" s="6">
        <v>189</v>
      </c>
      <c r="D22" s="6">
        <v>230</v>
      </c>
    </row>
    <row r="23" spans="1:4" x14ac:dyDescent="0.2">
      <c r="A23" s="7">
        <v>18</v>
      </c>
      <c r="B23" s="6">
        <v>41</v>
      </c>
      <c r="C23" s="6">
        <v>155</v>
      </c>
      <c r="D23" s="6">
        <v>196</v>
      </c>
    </row>
    <row r="24" spans="1:4" x14ac:dyDescent="0.2">
      <c r="A24" s="7">
        <v>19</v>
      </c>
      <c r="B24" s="6">
        <v>38</v>
      </c>
      <c r="C24" s="6">
        <v>178</v>
      </c>
      <c r="D24" s="6">
        <v>216</v>
      </c>
    </row>
    <row r="25" spans="1:4" x14ac:dyDescent="0.2">
      <c r="A25" s="7">
        <v>20</v>
      </c>
      <c r="B25" s="6">
        <v>29</v>
      </c>
      <c r="C25" s="6">
        <v>171</v>
      </c>
      <c r="D25" s="6">
        <v>200</v>
      </c>
    </row>
    <row r="26" spans="1:4" x14ac:dyDescent="0.2">
      <c r="A26" s="7">
        <v>21</v>
      </c>
      <c r="B26" s="6">
        <v>38</v>
      </c>
      <c r="C26" s="6">
        <v>156</v>
      </c>
      <c r="D26" s="6">
        <v>194</v>
      </c>
    </row>
    <row r="27" spans="1:4" x14ac:dyDescent="0.2">
      <c r="A27" s="7">
        <v>22</v>
      </c>
      <c r="B27" s="6">
        <v>40</v>
      </c>
      <c r="C27" s="6">
        <v>169</v>
      </c>
      <c r="D27" s="6">
        <v>209</v>
      </c>
    </row>
    <row r="28" spans="1:4" x14ac:dyDescent="0.2">
      <c r="A28" s="7">
        <v>23</v>
      </c>
      <c r="B28" s="6">
        <v>27</v>
      </c>
      <c r="C28" s="6">
        <v>149</v>
      </c>
      <c r="D28" s="6">
        <v>176</v>
      </c>
    </row>
    <row r="29" spans="1:4" x14ac:dyDescent="0.2">
      <c r="A29" s="7" t="s">
        <v>421</v>
      </c>
      <c r="B29" s="6">
        <v>791</v>
      </c>
      <c r="C29" s="6">
        <v>4209</v>
      </c>
      <c r="D29" s="6">
        <v>5000</v>
      </c>
    </row>
  </sheetData>
  <phoneticPr fontId="1" type="noConversion"/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86E8-5697-4C49-BB9D-73A40D116527}">
  <dimension ref="A3:B14"/>
  <sheetViews>
    <sheetView workbookViewId="0">
      <selection activeCell="K20" sqref="K20"/>
    </sheetView>
  </sheetViews>
  <sheetFormatPr defaultRowHeight="14.25" x14ac:dyDescent="0.2"/>
  <cols>
    <col min="1" max="1" width="22.625" bestFit="1" customWidth="1"/>
    <col min="2" max="2" width="13.625" bestFit="1" customWidth="1"/>
  </cols>
  <sheetData>
    <row r="3" spans="1:2" x14ac:dyDescent="0.2">
      <c r="A3" s="3" t="s">
        <v>420</v>
      </c>
      <c r="B3" t="s">
        <v>422</v>
      </c>
    </row>
    <row r="4" spans="1:2" x14ac:dyDescent="0.2">
      <c r="A4" s="4" t="s">
        <v>104</v>
      </c>
      <c r="B4" s="6">
        <v>372175</v>
      </c>
    </row>
    <row r="5" spans="1:2" x14ac:dyDescent="0.2">
      <c r="A5" s="4" t="s">
        <v>236</v>
      </c>
      <c r="B5" s="6">
        <v>385917</v>
      </c>
    </row>
    <row r="6" spans="1:2" x14ac:dyDescent="0.2">
      <c r="A6" s="4" t="s">
        <v>131</v>
      </c>
      <c r="B6" s="6">
        <v>397597</v>
      </c>
    </row>
    <row r="7" spans="1:2" x14ac:dyDescent="0.2">
      <c r="A7" s="4" t="s">
        <v>187</v>
      </c>
      <c r="B7" s="6">
        <v>406929</v>
      </c>
    </row>
    <row r="8" spans="1:2" x14ac:dyDescent="0.2">
      <c r="A8" s="4" t="s">
        <v>298</v>
      </c>
      <c r="B8" s="6">
        <v>411003</v>
      </c>
    </row>
    <row r="9" spans="1:2" x14ac:dyDescent="0.2">
      <c r="A9" s="4" t="s">
        <v>190</v>
      </c>
      <c r="B9" s="6">
        <v>423298</v>
      </c>
    </row>
    <row r="10" spans="1:2" x14ac:dyDescent="0.2">
      <c r="A10" s="4" t="s">
        <v>385</v>
      </c>
      <c r="B10" s="6">
        <v>440626</v>
      </c>
    </row>
    <row r="11" spans="1:2" x14ac:dyDescent="0.2">
      <c r="A11" s="4" t="s">
        <v>81</v>
      </c>
      <c r="B11" s="6">
        <v>445753</v>
      </c>
    </row>
    <row r="12" spans="1:2" x14ac:dyDescent="0.2">
      <c r="A12" s="4" t="s">
        <v>57</v>
      </c>
      <c r="B12" s="6">
        <v>461139</v>
      </c>
    </row>
    <row r="13" spans="1:2" x14ac:dyDescent="0.2">
      <c r="A13" s="4" t="s">
        <v>241</v>
      </c>
      <c r="B13" s="6">
        <v>463920</v>
      </c>
    </row>
    <row r="14" spans="1:2" x14ac:dyDescent="0.2">
      <c r="A14" s="4" t="s">
        <v>421</v>
      </c>
      <c r="B14" s="6">
        <v>4208357</v>
      </c>
    </row>
  </sheetData>
  <phoneticPr fontId="1" type="noConversion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8ABC-7D5D-4274-80F3-F6AB18BCEF63}">
  <dimension ref="A3:C8"/>
  <sheetViews>
    <sheetView workbookViewId="0">
      <selection activeCell="C17" sqref="C17"/>
    </sheetView>
  </sheetViews>
  <sheetFormatPr defaultRowHeight="14.25" x14ac:dyDescent="0.2"/>
  <cols>
    <col min="1" max="1" width="11" bestFit="1" customWidth="1"/>
    <col min="2" max="2" width="11.5" bestFit="1" customWidth="1"/>
    <col min="3" max="3" width="13.625" bestFit="1" customWidth="1"/>
  </cols>
  <sheetData>
    <row r="3" spans="1:3" x14ac:dyDescent="0.2">
      <c r="A3" s="3" t="s">
        <v>420</v>
      </c>
      <c r="B3" t="s">
        <v>434</v>
      </c>
      <c r="C3" t="s">
        <v>422</v>
      </c>
    </row>
    <row r="4" spans="1:3" x14ac:dyDescent="0.2">
      <c r="A4" s="4" t="s">
        <v>430</v>
      </c>
      <c r="B4" s="6">
        <v>430</v>
      </c>
      <c r="C4" s="6">
        <v>12269364</v>
      </c>
    </row>
    <row r="5" spans="1:3" x14ac:dyDescent="0.2">
      <c r="A5" s="4" t="s">
        <v>431</v>
      </c>
      <c r="B5" s="6">
        <v>749</v>
      </c>
      <c r="C5" s="6">
        <v>951568</v>
      </c>
    </row>
    <row r="6" spans="1:3" x14ac:dyDescent="0.2">
      <c r="A6" s="4" t="s">
        <v>432</v>
      </c>
      <c r="B6" s="6">
        <v>1432</v>
      </c>
      <c r="C6" s="6">
        <v>22248819</v>
      </c>
    </row>
    <row r="7" spans="1:3" x14ac:dyDescent="0.2">
      <c r="A7" s="4" t="s">
        <v>433</v>
      </c>
      <c r="B7" s="6">
        <v>2389</v>
      </c>
      <c r="C7" s="6">
        <v>15424136</v>
      </c>
    </row>
    <row r="8" spans="1:3" x14ac:dyDescent="0.2">
      <c r="A8" s="4" t="s">
        <v>421</v>
      </c>
      <c r="B8" s="6">
        <v>5000</v>
      </c>
      <c r="C8" s="6">
        <v>50893887</v>
      </c>
    </row>
  </sheetData>
  <phoneticPr fontId="1" type="noConversion"/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FFE6-1650-4E42-A843-3A06CB40F125}">
  <dimension ref="A3:D12"/>
  <sheetViews>
    <sheetView workbookViewId="0">
      <selection activeCell="A3" sqref="A3"/>
    </sheetView>
  </sheetViews>
  <sheetFormatPr defaultRowHeight="14.25" x14ac:dyDescent="0.2"/>
  <cols>
    <col min="1" max="1" width="13.625" bestFit="1" customWidth="1"/>
    <col min="2" max="2" width="9.125" bestFit="1" customWidth="1"/>
    <col min="3" max="4" width="5.5" bestFit="1" customWidth="1"/>
    <col min="5" max="14" width="15.625" bestFit="1" customWidth="1"/>
    <col min="15" max="15" width="17.75" bestFit="1" customWidth="1"/>
    <col min="16" max="16" width="19.875" bestFit="1" customWidth="1"/>
  </cols>
  <sheetData>
    <row r="3" spans="1:4" x14ac:dyDescent="0.2">
      <c r="A3" s="3" t="s">
        <v>423</v>
      </c>
      <c r="B3" s="3" t="s">
        <v>428</v>
      </c>
    </row>
    <row r="4" spans="1:4" x14ac:dyDescent="0.2">
      <c r="A4" s="3" t="s">
        <v>420</v>
      </c>
      <c r="B4" t="s">
        <v>42</v>
      </c>
      <c r="C4" t="s">
        <v>13</v>
      </c>
      <c r="D4" t="s">
        <v>421</v>
      </c>
    </row>
    <row r="5" spans="1:4" x14ac:dyDescent="0.2">
      <c r="A5" s="4" t="s">
        <v>12</v>
      </c>
      <c r="B5" s="6">
        <v>118</v>
      </c>
      <c r="C5" s="6">
        <v>631</v>
      </c>
      <c r="D5" s="6">
        <v>749</v>
      </c>
    </row>
    <row r="6" spans="1:4" x14ac:dyDescent="0.2">
      <c r="A6" s="4" t="s">
        <v>25</v>
      </c>
      <c r="B6" s="6">
        <v>65</v>
      </c>
      <c r="C6" s="6">
        <v>423</v>
      </c>
      <c r="D6" s="6">
        <v>488</v>
      </c>
    </row>
    <row r="7" spans="1:4" x14ac:dyDescent="0.2">
      <c r="A7" s="4" t="s">
        <v>31</v>
      </c>
      <c r="B7" s="6">
        <v>160</v>
      </c>
      <c r="C7" s="6">
        <v>876</v>
      </c>
      <c r="D7" s="6">
        <v>1036</v>
      </c>
    </row>
    <row r="8" spans="1:4" x14ac:dyDescent="0.2">
      <c r="A8" s="4" t="s">
        <v>19</v>
      </c>
      <c r="B8" s="6">
        <v>90</v>
      </c>
      <c r="C8" s="6">
        <v>426</v>
      </c>
      <c r="D8" s="6">
        <v>516</v>
      </c>
    </row>
    <row r="9" spans="1:4" x14ac:dyDescent="0.2">
      <c r="A9" s="4" t="s">
        <v>16</v>
      </c>
      <c r="B9" s="6">
        <v>75</v>
      </c>
      <c r="C9" s="6">
        <v>404</v>
      </c>
      <c r="D9" s="6">
        <v>479</v>
      </c>
    </row>
    <row r="10" spans="1:4" x14ac:dyDescent="0.2">
      <c r="A10" s="4" t="s">
        <v>39</v>
      </c>
      <c r="B10" s="6">
        <v>67</v>
      </c>
      <c r="C10" s="6">
        <v>408</v>
      </c>
      <c r="D10" s="6">
        <v>475</v>
      </c>
    </row>
    <row r="11" spans="1:4" x14ac:dyDescent="0.2">
      <c r="A11" s="4" t="s">
        <v>22</v>
      </c>
      <c r="B11" s="6">
        <v>216</v>
      </c>
      <c r="C11" s="6">
        <v>1041</v>
      </c>
      <c r="D11" s="6">
        <v>1257</v>
      </c>
    </row>
    <row r="12" spans="1:4" x14ac:dyDescent="0.2">
      <c r="A12" s="4" t="s">
        <v>421</v>
      </c>
      <c r="B12" s="6">
        <v>791</v>
      </c>
      <c r="C12" s="6">
        <v>4209</v>
      </c>
      <c r="D12" s="6">
        <v>5000</v>
      </c>
    </row>
  </sheetData>
  <phoneticPr fontId="1" type="noConversion"/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8FCD-4D2C-4E40-98E0-13D59E2F2CFB}">
  <dimension ref="A1:N5001"/>
  <sheetViews>
    <sheetView workbookViewId="0">
      <selection activeCell="M9" sqref="A2:N5001"/>
    </sheetView>
  </sheetViews>
  <sheetFormatPr defaultRowHeight="14.25" x14ac:dyDescent="0.2"/>
  <cols>
    <col min="1" max="3" width="9.125" bestFit="1" customWidth="1"/>
    <col min="4" max="4" width="24.125" bestFit="1" customWidth="1"/>
    <col min="5" max="5" width="11" bestFit="1" customWidth="1"/>
    <col min="6" max="6" width="13" bestFit="1" customWidth="1"/>
    <col min="7" max="7" width="11" bestFit="1" customWidth="1"/>
    <col min="8" max="8" width="16.5" bestFit="1" customWidth="1"/>
    <col min="9" max="9" width="11.125" style="2" bestFit="1" customWidth="1"/>
    <col min="10" max="12" width="7.25" bestFit="1" customWidth="1"/>
    <col min="13" max="13" width="9.125" bestFit="1" customWidth="1"/>
    <col min="14" max="14" width="1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424</v>
      </c>
      <c r="J1" s="2" t="s">
        <v>419</v>
      </c>
      <c r="K1" t="s">
        <v>8</v>
      </c>
      <c r="L1" t="s">
        <v>9</v>
      </c>
      <c r="M1" t="s">
        <v>418</v>
      </c>
      <c r="N1" t="s">
        <v>429</v>
      </c>
    </row>
    <row r="2" spans="1:14" x14ac:dyDescent="0.2">
      <c r="A2">
        <v>282</v>
      </c>
      <c r="B2">
        <v>126</v>
      </c>
      <c r="C2" t="s">
        <v>10</v>
      </c>
      <c r="D2" t="s">
        <v>11</v>
      </c>
      <c r="E2" t="s">
        <v>12</v>
      </c>
      <c r="F2">
        <v>2</v>
      </c>
      <c r="G2" t="s">
        <v>13</v>
      </c>
      <c r="H2" s="1">
        <v>45931.008333333331</v>
      </c>
      <c r="I2" s="5">
        <f>INT(TB[[#This Row],[时间戳]])</f>
        <v>45931</v>
      </c>
      <c r="J2" s="2">
        <f>HOUR(TB[[#This Row],[时间戳]])</f>
        <v>0</v>
      </c>
      <c r="K2">
        <v>14333</v>
      </c>
      <c r="L2">
        <v>2</v>
      </c>
      <c r="M2">
        <f>TB[[#This Row],[售价]]*TB[[#This Row],[销量]]</f>
        <v>28666</v>
      </c>
      <c r="N2" t="str">
        <f>IF(TB[[#This Row],[售价]]&lt;1000,"低价商品",IF(TB[[#This Row],[售价]]&lt;5000,"中价商品",IF(TB[[#This Row],[售价]]&lt;10000,"高价商品","超高价商品")))</f>
        <v>超高价商品</v>
      </c>
    </row>
    <row r="3" spans="1:14" x14ac:dyDescent="0.2">
      <c r="A3">
        <v>759</v>
      </c>
      <c r="B3">
        <v>280</v>
      </c>
      <c r="C3" t="s">
        <v>14</v>
      </c>
      <c r="D3" t="s">
        <v>15</v>
      </c>
      <c r="E3" t="s">
        <v>16</v>
      </c>
      <c r="F3">
        <v>6</v>
      </c>
      <c r="G3" t="s">
        <v>13</v>
      </c>
      <c r="H3" s="1">
        <v>45931.063888888886</v>
      </c>
      <c r="I3" s="5">
        <f>INT(TB[[#This Row],[时间戳]])</f>
        <v>45931</v>
      </c>
      <c r="J3" s="2">
        <f>HOUR(TB[[#This Row],[时间戳]])</f>
        <v>1</v>
      </c>
      <c r="K3">
        <v>5528</v>
      </c>
      <c r="L3">
        <v>3</v>
      </c>
      <c r="M3">
        <f>TB[[#This Row],[售价]]*TB[[#This Row],[销量]]</f>
        <v>16584</v>
      </c>
      <c r="N3" t="str">
        <f>IF(TB[[#This Row],[售价]]&lt;1000,"低价商品",IF(TB[[#This Row],[售价]]&lt;5000,"中价商品",IF(TB[[#This Row],[售价]]&lt;10000,"高价商品","超高价商品")))</f>
        <v>高价商品</v>
      </c>
    </row>
    <row r="4" spans="1:14" x14ac:dyDescent="0.2">
      <c r="A4">
        <v>31</v>
      </c>
      <c r="B4">
        <v>48</v>
      </c>
      <c r="C4" t="s">
        <v>17</v>
      </c>
      <c r="D4" t="s">
        <v>18</v>
      </c>
      <c r="E4" t="s">
        <v>19</v>
      </c>
      <c r="F4">
        <v>3</v>
      </c>
      <c r="G4" t="s">
        <v>13</v>
      </c>
      <c r="H4" s="1">
        <v>45931.088194444441</v>
      </c>
      <c r="I4" s="5">
        <f>INT(TB[[#This Row],[时间戳]])</f>
        <v>45931</v>
      </c>
      <c r="J4" s="2">
        <f>HOUR(TB[[#This Row],[时间戳]])</f>
        <v>2</v>
      </c>
      <c r="K4">
        <v>2314</v>
      </c>
      <c r="L4">
        <v>3</v>
      </c>
      <c r="M4">
        <f>TB[[#This Row],[售价]]*TB[[#This Row],[销量]]</f>
        <v>6942</v>
      </c>
      <c r="N4" t="str">
        <f>IF(TB[[#This Row],[售价]]&lt;1000,"低价商品",IF(TB[[#This Row],[售价]]&lt;5000,"中价商品",IF(TB[[#This Row],[售价]]&lt;10000,"高价商品","超高价商品")))</f>
        <v>中价商品</v>
      </c>
    </row>
    <row r="5" spans="1:14" x14ac:dyDescent="0.2">
      <c r="A5">
        <v>28</v>
      </c>
      <c r="B5">
        <v>288</v>
      </c>
      <c r="C5" t="s">
        <v>20</v>
      </c>
      <c r="D5" t="s">
        <v>21</v>
      </c>
      <c r="E5" t="s">
        <v>22</v>
      </c>
      <c r="F5">
        <v>1</v>
      </c>
      <c r="G5" t="s">
        <v>13</v>
      </c>
      <c r="H5" s="1">
        <v>45931.104861111111</v>
      </c>
      <c r="I5" s="5">
        <f>INT(TB[[#This Row],[时间戳]])</f>
        <v>45931</v>
      </c>
      <c r="J5" s="2">
        <f>HOUR(TB[[#This Row],[时间戳]])</f>
        <v>2</v>
      </c>
      <c r="K5">
        <v>2710</v>
      </c>
      <c r="L5">
        <v>1</v>
      </c>
      <c r="M5">
        <f>TB[[#This Row],[售价]]*TB[[#This Row],[销量]]</f>
        <v>2710</v>
      </c>
      <c r="N5" t="str">
        <f>IF(TB[[#This Row],[售价]]&lt;1000,"低价商品",IF(TB[[#This Row],[售价]]&lt;5000,"中价商品",IF(TB[[#This Row],[售价]]&lt;10000,"高价商品","超高价商品")))</f>
        <v>中价商品</v>
      </c>
    </row>
    <row r="6" spans="1:14" x14ac:dyDescent="0.2">
      <c r="A6">
        <v>226</v>
      </c>
      <c r="B6">
        <v>230</v>
      </c>
      <c r="C6" t="s">
        <v>20</v>
      </c>
      <c r="D6" t="s">
        <v>23</v>
      </c>
      <c r="E6" t="s">
        <v>12</v>
      </c>
      <c r="F6">
        <v>2</v>
      </c>
      <c r="G6" t="s">
        <v>13</v>
      </c>
      <c r="H6" s="1">
        <v>45931.107638888891</v>
      </c>
      <c r="I6" s="5">
        <f>INT(TB[[#This Row],[时间戳]])</f>
        <v>45931</v>
      </c>
      <c r="J6" s="2">
        <f>HOUR(TB[[#This Row],[时间戳]])</f>
        <v>2</v>
      </c>
      <c r="K6">
        <v>7423</v>
      </c>
      <c r="L6">
        <v>3</v>
      </c>
      <c r="M6">
        <f>TB[[#This Row],[售价]]*TB[[#This Row],[销量]]</f>
        <v>22269</v>
      </c>
      <c r="N6" t="str">
        <f>IF(TB[[#This Row],[售价]]&lt;1000,"低价商品",IF(TB[[#This Row],[售价]]&lt;5000,"中价商品",IF(TB[[#This Row],[售价]]&lt;10000,"高价商品","超高价商品")))</f>
        <v>高价商品</v>
      </c>
    </row>
    <row r="7" spans="1:14" x14ac:dyDescent="0.2">
      <c r="A7">
        <v>715</v>
      </c>
      <c r="B7">
        <v>217</v>
      </c>
      <c r="C7" t="s">
        <v>10</v>
      </c>
      <c r="D7" t="s">
        <v>24</v>
      </c>
      <c r="E7" t="s">
        <v>25</v>
      </c>
      <c r="F7">
        <v>7</v>
      </c>
      <c r="G7" t="s">
        <v>13</v>
      </c>
      <c r="H7" s="1">
        <v>45931.111111111109</v>
      </c>
      <c r="I7" s="5">
        <f>INT(TB[[#This Row],[时间戳]])</f>
        <v>45931</v>
      </c>
      <c r="J7" s="2">
        <f>HOUR(TB[[#This Row],[时间戳]])</f>
        <v>2</v>
      </c>
      <c r="K7">
        <v>6269</v>
      </c>
      <c r="L7">
        <v>3</v>
      </c>
      <c r="M7">
        <f>TB[[#This Row],[售价]]*TB[[#This Row],[销量]]</f>
        <v>18807</v>
      </c>
      <c r="N7" t="str">
        <f>IF(TB[[#This Row],[售价]]&lt;1000,"低价商品",IF(TB[[#This Row],[售价]]&lt;5000,"中价商品",IF(TB[[#This Row],[售价]]&lt;10000,"高价商品","超高价商品")))</f>
        <v>高价商品</v>
      </c>
    </row>
    <row r="8" spans="1:14" x14ac:dyDescent="0.2">
      <c r="A8">
        <v>782</v>
      </c>
      <c r="B8">
        <v>173</v>
      </c>
      <c r="C8" t="s">
        <v>26</v>
      </c>
      <c r="D8" t="s">
        <v>27</v>
      </c>
      <c r="E8" t="s">
        <v>22</v>
      </c>
      <c r="F8">
        <v>1</v>
      </c>
      <c r="G8" t="s">
        <v>13</v>
      </c>
      <c r="H8" s="1">
        <v>45931.111805555556</v>
      </c>
      <c r="I8" s="5">
        <f>INT(TB[[#This Row],[时间戳]])</f>
        <v>45931</v>
      </c>
      <c r="J8" s="2">
        <f>HOUR(TB[[#This Row],[时间戳]])</f>
        <v>2</v>
      </c>
      <c r="K8">
        <v>3729</v>
      </c>
      <c r="L8">
        <v>1</v>
      </c>
      <c r="M8">
        <f>TB[[#This Row],[售价]]*TB[[#This Row],[销量]]</f>
        <v>3729</v>
      </c>
      <c r="N8" t="str">
        <f>IF(TB[[#This Row],[售价]]&lt;1000,"低价商品",IF(TB[[#This Row],[售价]]&lt;5000,"中价商品",IF(TB[[#This Row],[售价]]&lt;10000,"高价商品","超高价商品")))</f>
        <v>中价商品</v>
      </c>
    </row>
    <row r="9" spans="1:14" x14ac:dyDescent="0.2">
      <c r="A9">
        <v>368</v>
      </c>
      <c r="B9">
        <v>177</v>
      </c>
      <c r="C9" t="s">
        <v>17</v>
      </c>
      <c r="D9" t="s">
        <v>28</v>
      </c>
      <c r="E9" t="s">
        <v>12</v>
      </c>
      <c r="F9">
        <v>2</v>
      </c>
      <c r="G9" t="s">
        <v>13</v>
      </c>
      <c r="H9" s="1">
        <v>45931.149305555555</v>
      </c>
      <c r="I9" s="5">
        <f>INT(TB[[#This Row],[时间戳]])</f>
        <v>45931</v>
      </c>
      <c r="J9" s="2">
        <f>HOUR(TB[[#This Row],[时间戳]])</f>
        <v>3</v>
      </c>
      <c r="K9">
        <v>5521</v>
      </c>
      <c r="L9">
        <v>3</v>
      </c>
      <c r="M9">
        <f>TB[[#This Row],[售价]]*TB[[#This Row],[销量]]</f>
        <v>16563</v>
      </c>
      <c r="N9" t="str">
        <f>IF(TB[[#This Row],[售价]]&lt;1000,"低价商品",IF(TB[[#This Row],[售价]]&lt;5000,"中价商品",IF(TB[[#This Row],[售价]]&lt;10000,"高价商品","超高价商品")))</f>
        <v>高价商品</v>
      </c>
    </row>
    <row r="10" spans="1:14" x14ac:dyDescent="0.2">
      <c r="A10">
        <v>471</v>
      </c>
      <c r="B10">
        <v>275</v>
      </c>
      <c r="C10" t="s">
        <v>10</v>
      </c>
      <c r="D10" t="s">
        <v>11</v>
      </c>
      <c r="E10" t="s">
        <v>12</v>
      </c>
      <c r="F10">
        <v>2</v>
      </c>
      <c r="G10" t="s">
        <v>13</v>
      </c>
      <c r="H10" s="1">
        <v>45931.165972222225</v>
      </c>
      <c r="I10" s="5">
        <f>INT(TB[[#This Row],[时间戳]])</f>
        <v>45931</v>
      </c>
      <c r="J10" s="2">
        <f>HOUR(TB[[#This Row],[时间戳]])</f>
        <v>3</v>
      </c>
      <c r="K10">
        <v>13826</v>
      </c>
      <c r="L10">
        <v>5</v>
      </c>
      <c r="M10">
        <f>TB[[#This Row],[售价]]*TB[[#This Row],[销量]]</f>
        <v>69130</v>
      </c>
      <c r="N10" t="str">
        <f>IF(TB[[#This Row],[售价]]&lt;1000,"低价商品",IF(TB[[#This Row],[售价]]&lt;5000,"中价商品",IF(TB[[#This Row],[售价]]&lt;10000,"高价商品","超高价商品")))</f>
        <v>超高价商品</v>
      </c>
    </row>
    <row r="11" spans="1:14" x14ac:dyDescent="0.2">
      <c r="A11">
        <v>301</v>
      </c>
      <c r="B11">
        <v>186</v>
      </c>
      <c r="C11" t="s">
        <v>14</v>
      </c>
      <c r="D11" t="s">
        <v>29</v>
      </c>
      <c r="E11" t="s">
        <v>22</v>
      </c>
      <c r="F11">
        <v>1</v>
      </c>
      <c r="G11" t="s">
        <v>13</v>
      </c>
      <c r="H11" s="1">
        <v>45931.188888888886</v>
      </c>
      <c r="I11" s="5">
        <f>INT(TB[[#This Row],[时间戳]])</f>
        <v>45931</v>
      </c>
      <c r="J11" s="2">
        <f>HOUR(TB[[#This Row],[时间戳]])</f>
        <v>4</v>
      </c>
      <c r="K11">
        <v>2015</v>
      </c>
      <c r="L11">
        <v>3</v>
      </c>
      <c r="M11">
        <f>TB[[#This Row],[售价]]*TB[[#This Row],[销量]]</f>
        <v>6045</v>
      </c>
      <c r="N11" t="str">
        <f>IF(TB[[#This Row],[售价]]&lt;1000,"低价商品",IF(TB[[#This Row],[售价]]&lt;5000,"中价商品",IF(TB[[#This Row],[售价]]&lt;10000,"高价商品","超高价商品")))</f>
        <v>中价商品</v>
      </c>
    </row>
    <row r="12" spans="1:14" x14ac:dyDescent="0.2">
      <c r="A12">
        <v>678</v>
      </c>
      <c r="B12">
        <v>117</v>
      </c>
      <c r="C12" t="s">
        <v>14</v>
      </c>
      <c r="D12" t="s">
        <v>30</v>
      </c>
      <c r="E12" t="s">
        <v>31</v>
      </c>
      <c r="F12">
        <v>4</v>
      </c>
      <c r="G12" t="s">
        <v>13</v>
      </c>
      <c r="H12" s="1">
        <v>45931.188888888886</v>
      </c>
      <c r="I12" s="5">
        <f>INT(TB[[#This Row],[时间戳]])</f>
        <v>45931</v>
      </c>
      <c r="J12" s="2">
        <f>HOUR(TB[[#This Row],[时间戳]])</f>
        <v>4</v>
      </c>
      <c r="K12">
        <v>1130</v>
      </c>
      <c r="L12">
        <v>2</v>
      </c>
      <c r="M12">
        <f>TB[[#This Row],[售价]]*TB[[#This Row],[销量]]</f>
        <v>2260</v>
      </c>
      <c r="N12" t="str">
        <f>IF(TB[[#This Row],[售价]]&lt;1000,"低价商品",IF(TB[[#This Row],[售价]]&lt;5000,"中价商品",IF(TB[[#This Row],[售价]]&lt;10000,"高价商品","超高价商品")))</f>
        <v>中价商品</v>
      </c>
    </row>
    <row r="13" spans="1:14" x14ac:dyDescent="0.2">
      <c r="A13">
        <v>390</v>
      </c>
      <c r="B13">
        <v>143</v>
      </c>
      <c r="C13" t="s">
        <v>32</v>
      </c>
      <c r="D13" t="s">
        <v>33</v>
      </c>
      <c r="E13" t="s">
        <v>16</v>
      </c>
      <c r="F13">
        <v>6</v>
      </c>
      <c r="G13" t="s">
        <v>13</v>
      </c>
      <c r="H13" s="1">
        <v>45931.253472222219</v>
      </c>
      <c r="I13" s="5">
        <f>INT(TB[[#This Row],[时间戳]])</f>
        <v>45931</v>
      </c>
      <c r="J13" s="2">
        <f>HOUR(TB[[#This Row],[时间戳]])</f>
        <v>6</v>
      </c>
      <c r="K13">
        <v>6581</v>
      </c>
      <c r="L13">
        <v>1</v>
      </c>
      <c r="M13">
        <f>TB[[#This Row],[售价]]*TB[[#This Row],[销量]]</f>
        <v>6581</v>
      </c>
      <c r="N13" t="str">
        <f>IF(TB[[#This Row],[售价]]&lt;1000,"低价商品",IF(TB[[#This Row],[售价]]&lt;5000,"中价商品",IF(TB[[#This Row],[售价]]&lt;10000,"高价商品","超高价商品")))</f>
        <v>高价商品</v>
      </c>
    </row>
    <row r="14" spans="1:14" x14ac:dyDescent="0.2">
      <c r="A14">
        <v>380</v>
      </c>
      <c r="B14">
        <v>182</v>
      </c>
      <c r="C14" t="s">
        <v>34</v>
      </c>
      <c r="D14" t="s">
        <v>35</v>
      </c>
      <c r="E14" t="s">
        <v>19</v>
      </c>
      <c r="F14">
        <v>3</v>
      </c>
      <c r="G14" t="s">
        <v>13</v>
      </c>
      <c r="H14" s="1">
        <v>45931.286111111112</v>
      </c>
      <c r="I14" s="5">
        <f>INT(TB[[#This Row],[时间戳]])</f>
        <v>45931</v>
      </c>
      <c r="J14" s="2">
        <f>HOUR(TB[[#This Row],[时间戳]])</f>
        <v>6</v>
      </c>
      <c r="K14">
        <v>5339</v>
      </c>
      <c r="L14">
        <v>2</v>
      </c>
      <c r="M14">
        <f>TB[[#This Row],[售价]]*TB[[#This Row],[销量]]</f>
        <v>10678</v>
      </c>
      <c r="N14" t="str">
        <f>IF(TB[[#This Row],[售价]]&lt;1000,"低价商品",IF(TB[[#This Row],[售价]]&lt;5000,"中价商品",IF(TB[[#This Row],[售价]]&lt;10000,"高价商品","超高价商品")))</f>
        <v>高价商品</v>
      </c>
    </row>
    <row r="15" spans="1:14" x14ac:dyDescent="0.2">
      <c r="A15">
        <v>624</v>
      </c>
      <c r="B15">
        <v>88</v>
      </c>
      <c r="C15" t="s">
        <v>36</v>
      </c>
      <c r="D15" t="s">
        <v>37</v>
      </c>
      <c r="E15" t="s">
        <v>31</v>
      </c>
      <c r="F15">
        <v>4</v>
      </c>
      <c r="G15" t="s">
        <v>13</v>
      </c>
      <c r="H15" s="1">
        <v>45931.290972222225</v>
      </c>
      <c r="I15" s="5">
        <f>INT(TB[[#This Row],[时间戳]])</f>
        <v>45931</v>
      </c>
      <c r="J15" s="2">
        <f>HOUR(TB[[#This Row],[时间戳]])</f>
        <v>6</v>
      </c>
      <c r="K15">
        <v>622</v>
      </c>
      <c r="L15">
        <v>4</v>
      </c>
      <c r="M15">
        <f>TB[[#This Row],[售价]]*TB[[#This Row],[销量]]</f>
        <v>2488</v>
      </c>
      <c r="N15" t="str">
        <f>IF(TB[[#This Row],[售价]]&lt;1000,"低价商品",IF(TB[[#This Row],[售价]]&lt;5000,"中价商品",IF(TB[[#This Row],[售价]]&lt;10000,"高价商品","超高价商品")))</f>
        <v>低价商品</v>
      </c>
    </row>
    <row r="16" spans="1:14" x14ac:dyDescent="0.2">
      <c r="A16">
        <v>474</v>
      </c>
      <c r="B16">
        <v>195</v>
      </c>
      <c r="C16" t="s">
        <v>32</v>
      </c>
      <c r="D16" t="s">
        <v>38</v>
      </c>
      <c r="E16" t="s">
        <v>39</v>
      </c>
      <c r="F16">
        <v>5</v>
      </c>
      <c r="G16" t="s">
        <v>13</v>
      </c>
      <c r="H16" s="1">
        <v>45931.294444444444</v>
      </c>
      <c r="I16" s="5">
        <f>INT(TB[[#This Row],[时间戳]])</f>
        <v>45931</v>
      </c>
      <c r="J16" s="2">
        <f>HOUR(TB[[#This Row],[时间戳]])</f>
        <v>7</v>
      </c>
      <c r="K16">
        <v>3160</v>
      </c>
      <c r="L16">
        <v>2</v>
      </c>
      <c r="M16">
        <f>TB[[#This Row],[售价]]*TB[[#This Row],[销量]]</f>
        <v>6320</v>
      </c>
      <c r="N16" t="str">
        <f>IF(TB[[#This Row],[售价]]&lt;1000,"低价商品",IF(TB[[#This Row],[售价]]&lt;5000,"中价商品",IF(TB[[#This Row],[售价]]&lt;10000,"高价商品","超高价商品")))</f>
        <v>中价商品</v>
      </c>
    </row>
    <row r="17" spans="1:14" x14ac:dyDescent="0.2">
      <c r="A17">
        <v>702</v>
      </c>
      <c r="B17">
        <v>167</v>
      </c>
      <c r="C17" t="s">
        <v>20</v>
      </c>
      <c r="D17" t="s">
        <v>40</v>
      </c>
      <c r="E17" t="s">
        <v>25</v>
      </c>
      <c r="F17">
        <v>7</v>
      </c>
      <c r="G17" t="s">
        <v>13</v>
      </c>
      <c r="H17" s="1">
        <v>45931.29791666667</v>
      </c>
      <c r="I17" s="5">
        <f>INT(TB[[#This Row],[时间戳]])</f>
        <v>45931</v>
      </c>
      <c r="J17" s="2">
        <f>HOUR(TB[[#This Row],[时间戳]])</f>
        <v>7</v>
      </c>
      <c r="K17">
        <v>3838</v>
      </c>
      <c r="L17">
        <v>3</v>
      </c>
      <c r="M17">
        <f>TB[[#This Row],[售价]]*TB[[#This Row],[销量]]</f>
        <v>11514</v>
      </c>
      <c r="N17" t="str">
        <f>IF(TB[[#This Row],[售价]]&lt;1000,"低价商品",IF(TB[[#This Row],[售价]]&lt;5000,"中价商品",IF(TB[[#This Row],[售价]]&lt;10000,"高价商品","超高价商品")))</f>
        <v>中价商品</v>
      </c>
    </row>
    <row r="18" spans="1:14" x14ac:dyDescent="0.2">
      <c r="A18">
        <v>33</v>
      </c>
      <c r="B18">
        <v>162</v>
      </c>
      <c r="C18" t="s">
        <v>10</v>
      </c>
      <c r="D18" t="s">
        <v>41</v>
      </c>
      <c r="E18" t="s">
        <v>22</v>
      </c>
      <c r="F18">
        <v>1</v>
      </c>
      <c r="G18" t="s">
        <v>42</v>
      </c>
      <c r="H18" s="1">
        <v>45931.304861111108</v>
      </c>
      <c r="I18" s="5">
        <f>INT(TB[[#This Row],[时间戳]])</f>
        <v>45931</v>
      </c>
      <c r="J18" s="2">
        <f>HOUR(TB[[#This Row],[时间戳]])</f>
        <v>7</v>
      </c>
      <c r="K18">
        <v>8000</v>
      </c>
      <c r="L18">
        <v>0</v>
      </c>
      <c r="M18">
        <f>TB[[#This Row],[售价]]*TB[[#This Row],[销量]]</f>
        <v>0</v>
      </c>
      <c r="N18" t="str">
        <f>IF(TB[[#This Row],[售价]]&lt;1000,"低价商品",IF(TB[[#This Row],[售价]]&lt;5000,"中价商品",IF(TB[[#This Row],[售价]]&lt;10000,"高价商品","超高价商品")))</f>
        <v>高价商品</v>
      </c>
    </row>
    <row r="19" spans="1:14" x14ac:dyDescent="0.2">
      <c r="A19">
        <v>581</v>
      </c>
      <c r="B19">
        <v>162</v>
      </c>
      <c r="C19" t="s">
        <v>14</v>
      </c>
      <c r="D19" t="s">
        <v>43</v>
      </c>
      <c r="E19" t="s">
        <v>31</v>
      </c>
      <c r="F19">
        <v>4</v>
      </c>
      <c r="G19" t="s">
        <v>13</v>
      </c>
      <c r="H19" s="1">
        <v>45931.318749999999</v>
      </c>
      <c r="I19" s="5">
        <f>INT(TB[[#This Row],[时间戳]])</f>
        <v>45931</v>
      </c>
      <c r="J19" s="2">
        <f>HOUR(TB[[#This Row],[时间戳]])</f>
        <v>7</v>
      </c>
      <c r="K19">
        <v>808</v>
      </c>
      <c r="L19">
        <v>1</v>
      </c>
      <c r="M19">
        <f>TB[[#This Row],[售价]]*TB[[#This Row],[销量]]</f>
        <v>808</v>
      </c>
      <c r="N19" t="str">
        <f>IF(TB[[#This Row],[售价]]&lt;1000,"低价商品",IF(TB[[#This Row],[售价]]&lt;5000,"中价商品",IF(TB[[#This Row],[售价]]&lt;10000,"高价商品","超高价商品")))</f>
        <v>低价商品</v>
      </c>
    </row>
    <row r="20" spans="1:14" x14ac:dyDescent="0.2">
      <c r="A20">
        <v>659</v>
      </c>
      <c r="B20">
        <v>235</v>
      </c>
      <c r="C20" t="s">
        <v>44</v>
      </c>
      <c r="D20" t="s">
        <v>45</v>
      </c>
      <c r="E20" t="s">
        <v>19</v>
      </c>
      <c r="F20">
        <v>3</v>
      </c>
      <c r="G20" t="s">
        <v>13</v>
      </c>
      <c r="H20" s="1">
        <v>45931.32916666667</v>
      </c>
      <c r="I20" s="5">
        <f>INT(TB[[#This Row],[时间戳]])</f>
        <v>45931</v>
      </c>
      <c r="J20" s="2">
        <f>HOUR(TB[[#This Row],[时间戳]])</f>
        <v>7</v>
      </c>
      <c r="K20">
        <v>3376</v>
      </c>
      <c r="L20">
        <v>1</v>
      </c>
      <c r="M20">
        <f>TB[[#This Row],[售价]]*TB[[#This Row],[销量]]</f>
        <v>3376</v>
      </c>
      <c r="N20" t="str">
        <f>IF(TB[[#This Row],[售价]]&lt;1000,"低价商品",IF(TB[[#This Row],[售价]]&lt;5000,"中价商品",IF(TB[[#This Row],[售价]]&lt;10000,"高价商品","超高价商品")))</f>
        <v>中价商品</v>
      </c>
    </row>
    <row r="21" spans="1:14" x14ac:dyDescent="0.2">
      <c r="A21">
        <v>763</v>
      </c>
      <c r="B21">
        <v>288</v>
      </c>
      <c r="C21" t="s">
        <v>26</v>
      </c>
      <c r="D21" t="s">
        <v>27</v>
      </c>
      <c r="E21" t="s">
        <v>22</v>
      </c>
      <c r="F21">
        <v>1</v>
      </c>
      <c r="G21" t="s">
        <v>13</v>
      </c>
      <c r="H21" s="1">
        <v>45931.335416666669</v>
      </c>
      <c r="I21" s="5">
        <f>INT(TB[[#This Row],[时间戳]])</f>
        <v>45931</v>
      </c>
      <c r="J21" s="2">
        <f>HOUR(TB[[#This Row],[时间戳]])</f>
        <v>8</v>
      </c>
      <c r="K21">
        <v>2105</v>
      </c>
      <c r="L21">
        <v>1</v>
      </c>
      <c r="M21">
        <f>TB[[#This Row],[售价]]*TB[[#This Row],[销量]]</f>
        <v>2105</v>
      </c>
      <c r="N21" t="str">
        <f>IF(TB[[#This Row],[售价]]&lt;1000,"低价商品",IF(TB[[#This Row],[售价]]&lt;5000,"中价商品",IF(TB[[#This Row],[售价]]&lt;10000,"高价商品","超高价商品")))</f>
        <v>中价商品</v>
      </c>
    </row>
    <row r="22" spans="1:14" x14ac:dyDescent="0.2">
      <c r="A22">
        <v>598</v>
      </c>
      <c r="B22">
        <v>205</v>
      </c>
      <c r="C22" t="s">
        <v>46</v>
      </c>
      <c r="D22" t="s">
        <v>47</v>
      </c>
      <c r="E22" t="s">
        <v>22</v>
      </c>
      <c r="F22">
        <v>1</v>
      </c>
      <c r="G22" t="s">
        <v>13</v>
      </c>
      <c r="H22" s="1">
        <v>45931.352777777778</v>
      </c>
      <c r="I22" s="5">
        <f>INT(TB[[#This Row],[时间戳]])</f>
        <v>45931</v>
      </c>
      <c r="J22" s="2">
        <f>HOUR(TB[[#This Row],[时间戳]])</f>
        <v>8</v>
      </c>
      <c r="K22">
        <v>5349</v>
      </c>
      <c r="L22">
        <v>2</v>
      </c>
      <c r="M22">
        <f>TB[[#This Row],[售价]]*TB[[#This Row],[销量]]</f>
        <v>10698</v>
      </c>
      <c r="N22" t="str">
        <f>IF(TB[[#This Row],[售价]]&lt;1000,"低价商品",IF(TB[[#This Row],[售价]]&lt;5000,"中价商品",IF(TB[[#This Row],[售价]]&lt;10000,"高价商品","超高价商品")))</f>
        <v>高价商品</v>
      </c>
    </row>
    <row r="23" spans="1:14" x14ac:dyDescent="0.2">
      <c r="A23">
        <v>506</v>
      </c>
      <c r="B23">
        <v>47</v>
      </c>
      <c r="C23" t="s">
        <v>26</v>
      </c>
      <c r="D23" t="s">
        <v>48</v>
      </c>
      <c r="E23" t="s">
        <v>31</v>
      </c>
      <c r="F23">
        <v>4</v>
      </c>
      <c r="G23" t="s">
        <v>13</v>
      </c>
      <c r="H23" s="1">
        <v>45931.355555555558</v>
      </c>
      <c r="I23" s="5">
        <f>INT(TB[[#This Row],[时间戳]])</f>
        <v>45931</v>
      </c>
      <c r="J23" s="2">
        <f>HOUR(TB[[#This Row],[时间戳]])</f>
        <v>8</v>
      </c>
      <c r="K23">
        <v>703</v>
      </c>
      <c r="L23">
        <v>1</v>
      </c>
      <c r="M23">
        <f>TB[[#This Row],[售价]]*TB[[#This Row],[销量]]</f>
        <v>703</v>
      </c>
      <c r="N23" t="str">
        <f>IF(TB[[#This Row],[售价]]&lt;1000,"低价商品",IF(TB[[#This Row],[售价]]&lt;5000,"中价商品",IF(TB[[#This Row],[售价]]&lt;10000,"高价商品","超高价商品")))</f>
        <v>低价商品</v>
      </c>
    </row>
    <row r="24" spans="1:14" x14ac:dyDescent="0.2">
      <c r="A24">
        <v>643</v>
      </c>
      <c r="B24">
        <v>82</v>
      </c>
      <c r="C24" t="s">
        <v>14</v>
      </c>
      <c r="D24" t="s">
        <v>49</v>
      </c>
      <c r="E24" t="s">
        <v>22</v>
      </c>
      <c r="F24">
        <v>1</v>
      </c>
      <c r="G24" t="s">
        <v>13</v>
      </c>
      <c r="H24" s="1">
        <v>45931.361805555556</v>
      </c>
      <c r="I24" s="5">
        <f>INT(TB[[#This Row],[时间戳]])</f>
        <v>45931</v>
      </c>
      <c r="J24" s="2">
        <f>HOUR(TB[[#This Row],[时间戳]])</f>
        <v>8</v>
      </c>
      <c r="K24">
        <v>7015</v>
      </c>
      <c r="L24">
        <v>1</v>
      </c>
      <c r="M24">
        <f>TB[[#This Row],[售价]]*TB[[#This Row],[销量]]</f>
        <v>7015</v>
      </c>
      <c r="N24" t="str">
        <f>IF(TB[[#This Row],[售价]]&lt;1000,"低价商品",IF(TB[[#This Row],[售价]]&lt;5000,"中价商品",IF(TB[[#This Row],[售价]]&lt;10000,"高价商品","超高价商品")))</f>
        <v>高价商品</v>
      </c>
    </row>
    <row r="25" spans="1:14" x14ac:dyDescent="0.2">
      <c r="A25">
        <v>66</v>
      </c>
      <c r="B25">
        <v>198</v>
      </c>
      <c r="C25" t="s">
        <v>17</v>
      </c>
      <c r="D25" t="s">
        <v>50</v>
      </c>
      <c r="E25" t="s">
        <v>22</v>
      </c>
      <c r="F25">
        <v>1</v>
      </c>
      <c r="G25" t="s">
        <v>13</v>
      </c>
      <c r="H25" s="1">
        <v>45931.370138888888</v>
      </c>
      <c r="I25" s="5">
        <f>INT(TB[[#This Row],[时间戳]])</f>
        <v>45931</v>
      </c>
      <c r="J25" s="2">
        <f>HOUR(TB[[#This Row],[时间戳]])</f>
        <v>8</v>
      </c>
      <c r="K25">
        <v>7636</v>
      </c>
      <c r="L25">
        <v>2</v>
      </c>
      <c r="M25">
        <f>TB[[#This Row],[售价]]*TB[[#This Row],[销量]]</f>
        <v>15272</v>
      </c>
      <c r="N25" t="str">
        <f>IF(TB[[#This Row],[售价]]&lt;1000,"低价商品",IF(TB[[#This Row],[售价]]&lt;5000,"中价商品",IF(TB[[#This Row],[售价]]&lt;10000,"高价商品","超高价商品")))</f>
        <v>高价商品</v>
      </c>
    </row>
    <row r="26" spans="1:14" x14ac:dyDescent="0.2">
      <c r="A26">
        <v>258</v>
      </c>
      <c r="B26">
        <v>284</v>
      </c>
      <c r="C26" t="s">
        <v>44</v>
      </c>
      <c r="D26" t="s">
        <v>51</v>
      </c>
      <c r="E26" t="s">
        <v>19</v>
      </c>
      <c r="F26">
        <v>3</v>
      </c>
      <c r="G26" t="s">
        <v>13</v>
      </c>
      <c r="H26" s="1">
        <v>45931.381249999999</v>
      </c>
      <c r="I26" s="5">
        <f>INT(TB[[#This Row],[时间戳]])</f>
        <v>45931</v>
      </c>
      <c r="J26" s="2">
        <f>HOUR(TB[[#This Row],[时间戳]])</f>
        <v>9</v>
      </c>
      <c r="K26">
        <v>4731</v>
      </c>
      <c r="L26">
        <v>2</v>
      </c>
      <c r="M26">
        <f>TB[[#This Row],[售价]]*TB[[#This Row],[销量]]</f>
        <v>9462</v>
      </c>
      <c r="N26" t="str">
        <f>IF(TB[[#This Row],[售价]]&lt;1000,"低价商品",IF(TB[[#This Row],[售价]]&lt;5000,"中价商品",IF(TB[[#This Row],[售价]]&lt;10000,"高价商品","超高价商品")))</f>
        <v>中价商品</v>
      </c>
    </row>
    <row r="27" spans="1:14" x14ac:dyDescent="0.2">
      <c r="A27">
        <v>769</v>
      </c>
      <c r="B27">
        <v>137</v>
      </c>
      <c r="C27" t="s">
        <v>14</v>
      </c>
      <c r="D27" t="s">
        <v>52</v>
      </c>
      <c r="E27" t="s">
        <v>31</v>
      </c>
      <c r="F27">
        <v>4</v>
      </c>
      <c r="G27" t="s">
        <v>13</v>
      </c>
      <c r="H27" s="1">
        <v>45931.409722222219</v>
      </c>
      <c r="I27" s="5">
        <f>INT(TB[[#This Row],[时间戳]])</f>
        <v>45931</v>
      </c>
      <c r="J27" s="2">
        <f>HOUR(TB[[#This Row],[时间戳]])</f>
        <v>9</v>
      </c>
      <c r="K27">
        <v>221</v>
      </c>
      <c r="L27">
        <v>2</v>
      </c>
      <c r="M27">
        <f>TB[[#This Row],[售价]]*TB[[#This Row],[销量]]</f>
        <v>442</v>
      </c>
      <c r="N27" t="str">
        <f>IF(TB[[#This Row],[售价]]&lt;1000,"低价商品",IF(TB[[#This Row],[售价]]&lt;5000,"中价商品",IF(TB[[#This Row],[售价]]&lt;10000,"高价商品","超高价商品")))</f>
        <v>低价商品</v>
      </c>
    </row>
    <row r="28" spans="1:14" x14ac:dyDescent="0.2">
      <c r="A28">
        <v>446</v>
      </c>
      <c r="B28">
        <v>81</v>
      </c>
      <c r="C28" t="s">
        <v>14</v>
      </c>
      <c r="D28" t="s">
        <v>53</v>
      </c>
      <c r="E28" t="s">
        <v>12</v>
      </c>
      <c r="F28">
        <v>2</v>
      </c>
      <c r="G28" t="s">
        <v>13</v>
      </c>
      <c r="H28" s="1">
        <v>45931.413888888892</v>
      </c>
      <c r="I28" s="5">
        <f>INT(TB[[#This Row],[时间戳]])</f>
        <v>45931</v>
      </c>
      <c r="J28" s="2">
        <f>HOUR(TB[[#This Row],[时间戳]])</f>
        <v>9</v>
      </c>
      <c r="K28">
        <v>14475</v>
      </c>
      <c r="L28">
        <v>5</v>
      </c>
      <c r="M28">
        <f>TB[[#This Row],[售价]]*TB[[#This Row],[销量]]</f>
        <v>72375</v>
      </c>
      <c r="N28" t="str">
        <f>IF(TB[[#This Row],[售价]]&lt;1000,"低价商品",IF(TB[[#This Row],[售价]]&lt;5000,"中价商品",IF(TB[[#This Row],[售价]]&lt;10000,"高价商品","超高价商品")))</f>
        <v>超高价商品</v>
      </c>
    </row>
    <row r="29" spans="1:14" x14ac:dyDescent="0.2">
      <c r="A29">
        <v>781</v>
      </c>
      <c r="B29">
        <v>92</v>
      </c>
      <c r="C29" t="s">
        <v>36</v>
      </c>
      <c r="D29" t="s">
        <v>54</v>
      </c>
      <c r="E29" t="s">
        <v>12</v>
      </c>
      <c r="F29">
        <v>2</v>
      </c>
      <c r="G29" t="s">
        <v>13</v>
      </c>
      <c r="H29" s="1">
        <v>45931.427083333336</v>
      </c>
      <c r="I29" s="5">
        <f>INT(TB[[#This Row],[时间戳]])</f>
        <v>45931</v>
      </c>
      <c r="J29" s="2">
        <f>HOUR(TB[[#This Row],[时间戳]])</f>
        <v>10</v>
      </c>
      <c r="K29">
        <v>11234</v>
      </c>
      <c r="L29">
        <v>2</v>
      </c>
      <c r="M29">
        <f>TB[[#This Row],[售价]]*TB[[#This Row],[销量]]</f>
        <v>22468</v>
      </c>
      <c r="N29" t="str">
        <f>IF(TB[[#This Row],[售价]]&lt;1000,"低价商品",IF(TB[[#This Row],[售价]]&lt;5000,"中价商品",IF(TB[[#This Row],[售价]]&lt;10000,"高价商品","超高价商品")))</f>
        <v>超高价商品</v>
      </c>
    </row>
    <row r="30" spans="1:14" x14ac:dyDescent="0.2">
      <c r="A30">
        <v>624</v>
      </c>
      <c r="B30">
        <v>102</v>
      </c>
      <c r="C30" t="s">
        <v>36</v>
      </c>
      <c r="D30" t="s">
        <v>55</v>
      </c>
      <c r="E30" t="s">
        <v>39</v>
      </c>
      <c r="F30">
        <v>5</v>
      </c>
      <c r="G30" t="s">
        <v>13</v>
      </c>
      <c r="H30" s="1">
        <v>45931.443749999999</v>
      </c>
      <c r="I30" s="5">
        <f>INT(TB[[#This Row],[时间戳]])</f>
        <v>45931</v>
      </c>
      <c r="J30" s="2">
        <f>HOUR(TB[[#This Row],[时间戳]])</f>
        <v>10</v>
      </c>
      <c r="K30">
        <v>2733</v>
      </c>
      <c r="L30">
        <v>2</v>
      </c>
      <c r="M30">
        <f>TB[[#This Row],[售价]]*TB[[#This Row],[销量]]</f>
        <v>5466</v>
      </c>
      <c r="N30" t="str">
        <f>IF(TB[[#This Row],[售价]]&lt;1000,"低价商品",IF(TB[[#This Row],[售价]]&lt;5000,"中价商品",IF(TB[[#This Row],[售价]]&lt;10000,"高价商品","超高价商品")))</f>
        <v>中价商品</v>
      </c>
    </row>
    <row r="31" spans="1:14" x14ac:dyDescent="0.2">
      <c r="A31">
        <v>798</v>
      </c>
      <c r="B31">
        <v>272</v>
      </c>
      <c r="C31" t="s">
        <v>26</v>
      </c>
      <c r="D31" t="s">
        <v>56</v>
      </c>
      <c r="E31" t="s">
        <v>22</v>
      </c>
      <c r="F31">
        <v>1</v>
      </c>
      <c r="G31" t="s">
        <v>13</v>
      </c>
      <c r="H31" s="1">
        <v>45931.444444444445</v>
      </c>
      <c r="I31" s="5">
        <f>INT(TB[[#This Row],[时间戳]])</f>
        <v>45931</v>
      </c>
      <c r="J31" s="2">
        <f>HOUR(TB[[#This Row],[时间戳]])</f>
        <v>10</v>
      </c>
      <c r="K31">
        <v>2243</v>
      </c>
      <c r="L31">
        <v>4</v>
      </c>
      <c r="M31">
        <f>TB[[#This Row],[售价]]*TB[[#This Row],[销量]]</f>
        <v>8972</v>
      </c>
      <c r="N31" t="str">
        <f>IF(TB[[#This Row],[售价]]&lt;1000,"低价商品",IF(TB[[#This Row],[售价]]&lt;5000,"中价商品",IF(TB[[#This Row],[售价]]&lt;10000,"高价商品","超高价商品")))</f>
        <v>中价商品</v>
      </c>
    </row>
    <row r="32" spans="1:14" x14ac:dyDescent="0.2">
      <c r="A32">
        <v>20</v>
      </c>
      <c r="B32">
        <v>58</v>
      </c>
      <c r="C32" t="s">
        <v>34</v>
      </c>
      <c r="D32" t="s">
        <v>57</v>
      </c>
      <c r="E32" t="s">
        <v>12</v>
      </c>
      <c r="F32">
        <v>2</v>
      </c>
      <c r="G32" t="s">
        <v>42</v>
      </c>
      <c r="H32" s="1">
        <v>45931.461805555555</v>
      </c>
      <c r="I32" s="5">
        <f>INT(TB[[#This Row],[时间戳]])</f>
        <v>45931</v>
      </c>
      <c r="J32" s="2">
        <f>HOUR(TB[[#This Row],[时间戳]])</f>
        <v>11</v>
      </c>
      <c r="K32">
        <v>4115</v>
      </c>
      <c r="L32">
        <v>0</v>
      </c>
      <c r="M32">
        <f>TB[[#This Row],[售价]]*TB[[#This Row],[销量]]</f>
        <v>0</v>
      </c>
      <c r="N32" t="str">
        <f>IF(TB[[#This Row],[售价]]&lt;1000,"低价商品",IF(TB[[#This Row],[售价]]&lt;5000,"中价商品",IF(TB[[#This Row],[售价]]&lt;10000,"高价商品","超高价商品")))</f>
        <v>中价商品</v>
      </c>
    </row>
    <row r="33" spans="1:14" x14ac:dyDescent="0.2">
      <c r="A33">
        <v>247</v>
      </c>
      <c r="B33">
        <v>291</v>
      </c>
      <c r="C33" t="s">
        <v>32</v>
      </c>
      <c r="D33" t="s">
        <v>58</v>
      </c>
      <c r="E33" t="s">
        <v>31</v>
      </c>
      <c r="F33">
        <v>4</v>
      </c>
      <c r="G33" t="s">
        <v>13</v>
      </c>
      <c r="H33" s="1">
        <v>45931.465277777781</v>
      </c>
      <c r="I33" s="5">
        <f>INT(TB[[#This Row],[时间戳]])</f>
        <v>45931</v>
      </c>
      <c r="J33" s="2">
        <f>HOUR(TB[[#This Row],[时间戳]])</f>
        <v>11</v>
      </c>
      <c r="K33">
        <v>750</v>
      </c>
      <c r="L33">
        <v>1</v>
      </c>
      <c r="M33">
        <f>TB[[#This Row],[售价]]*TB[[#This Row],[销量]]</f>
        <v>750</v>
      </c>
      <c r="N33" t="str">
        <f>IF(TB[[#This Row],[售价]]&lt;1000,"低价商品",IF(TB[[#This Row],[售价]]&lt;5000,"中价商品",IF(TB[[#This Row],[售价]]&lt;10000,"高价商品","超高价商品")))</f>
        <v>低价商品</v>
      </c>
    </row>
    <row r="34" spans="1:14" x14ac:dyDescent="0.2">
      <c r="A34">
        <v>779</v>
      </c>
      <c r="B34">
        <v>273</v>
      </c>
      <c r="C34" t="s">
        <v>44</v>
      </c>
      <c r="D34" t="s">
        <v>59</v>
      </c>
      <c r="E34" t="s">
        <v>22</v>
      </c>
      <c r="F34">
        <v>1</v>
      </c>
      <c r="G34" t="s">
        <v>42</v>
      </c>
      <c r="H34" s="1">
        <v>45931.466666666667</v>
      </c>
      <c r="I34" s="5">
        <f>INT(TB[[#This Row],[时间戳]])</f>
        <v>45931</v>
      </c>
      <c r="J34" s="2">
        <f>HOUR(TB[[#This Row],[时间戳]])</f>
        <v>11</v>
      </c>
      <c r="K34">
        <v>1488</v>
      </c>
      <c r="L34">
        <v>0</v>
      </c>
      <c r="M34">
        <f>TB[[#This Row],[售价]]*TB[[#This Row],[销量]]</f>
        <v>0</v>
      </c>
      <c r="N34" t="str">
        <f>IF(TB[[#This Row],[售价]]&lt;1000,"低价商品",IF(TB[[#This Row],[售价]]&lt;5000,"中价商品",IF(TB[[#This Row],[售价]]&lt;10000,"高价商品","超高价商品")))</f>
        <v>中价商品</v>
      </c>
    </row>
    <row r="35" spans="1:14" x14ac:dyDescent="0.2">
      <c r="A35">
        <v>170</v>
      </c>
      <c r="B35">
        <v>136</v>
      </c>
      <c r="C35" t="s">
        <v>44</v>
      </c>
      <c r="D35" t="s">
        <v>60</v>
      </c>
      <c r="E35" t="s">
        <v>12</v>
      </c>
      <c r="F35">
        <v>2</v>
      </c>
      <c r="G35" t="s">
        <v>13</v>
      </c>
      <c r="H35" s="1">
        <v>45931.520833333336</v>
      </c>
      <c r="I35" s="5">
        <f>INT(TB[[#This Row],[时间戳]])</f>
        <v>45931</v>
      </c>
      <c r="J35" s="2">
        <f>HOUR(TB[[#This Row],[时间戳]])</f>
        <v>12</v>
      </c>
      <c r="K35">
        <v>5925</v>
      </c>
      <c r="L35">
        <v>1</v>
      </c>
      <c r="M35">
        <f>TB[[#This Row],[售价]]*TB[[#This Row],[销量]]</f>
        <v>5925</v>
      </c>
      <c r="N35" t="str">
        <f>IF(TB[[#This Row],[售价]]&lt;1000,"低价商品",IF(TB[[#This Row],[售价]]&lt;5000,"中价商品",IF(TB[[#This Row],[售价]]&lt;10000,"高价商品","超高价商品")))</f>
        <v>高价商品</v>
      </c>
    </row>
    <row r="36" spans="1:14" x14ac:dyDescent="0.2">
      <c r="A36">
        <v>553</v>
      </c>
      <c r="B36">
        <v>103</v>
      </c>
      <c r="C36" t="s">
        <v>17</v>
      </c>
      <c r="D36" t="s">
        <v>61</v>
      </c>
      <c r="E36" t="s">
        <v>31</v>
      </c>
      <c r="F36">
        <v>4</v>
      </c>
      <c r="G36" t="s">
        <v>42</v>
      </c>
      <c r="H36" s="1">
        <v>45931.583333333336</v>
      </c>
      <c r="I36" s="5">
        <f>INT(TB[[#This Row],[时间戳]])</f>
        <v>45931</v>
      </c>
      <c r="J36" s="2">
        <f>HOUR(TB[[#This Row],[时间戳]])</f>
        <v>14</v>
      </c>
      <c r="K36">
        <v>1240</v>
      </c>
      <c r="L36">
        <v>0</v>
      </c>
      <c r="M36">
        <f>TB[[#This Row],[售价]]*TB[[#This Row],[销量]]</f>
        <v>0</v>
      </c>
      <c r="N36" t="str">
        <f>IF(TB[[#This Row],[售价]]&lt;1000,"低价商品",IF(TB[[#This Row],[售价]]&lt;5000,"中价商品",IF(TB[[#This Row],[售价]]&lt;10000,"高价商品","超高价商品")))</f>
        <v>中价商品</v>
      </c>
    </row>
    <row r="37" spans="1:14" x14ac:dyDescent="0.2">
      <c r="A37">
        <v>530</v>
      </c>
      <c r="B37">
        <v>232</v>
      </c>
      <c r="C37" t="s">
        <v>34</v>
      </c>
      <c r="D37" t="s">
        <v>62</v>
      </c>
      <c r="E37" t="s">
        <v>31</v>
      </c>
      <c r="F37">
        <v>4</v>
      </c>
      <c r="G37" t="s">
        <v>13</v>
      </c>
      <c r="H37" s="1">
        <v>45931.613194444442</v>
      </c>
      <c r="I37" s="5">
        <f>INT(TB[[#This Row],[时间戳]])</f>
        <v>45931</v>
      </c>
      <c r="J37" s="2">
        <f>HOUR(TB[[#This Row],[时间戳]])</f>
        <v>14</v>
      </c>
      <c r="K37">
        <v>692</v>
      </c>
      <c r="L37">
        <v>3</v>
      </c>
      <c r="M37">
        <f>TB[[#This Row],[售价]]*TB[[#This Row],[销量]]</f>
        <v>2076</v>
      </c>
      <c r="N37" t="str">
        <f>IF(TB[[#This Row],[售价]]&lt;1000,"低价商品",IF(TB[[#This Row],[售价]]&lt;5000,"中价商品",IF(TB[[#This Row],[售价]]&lt;10000,"高价商品","超高价商品")))</f>
        <v>低价商品</v>
      </c>
    </row>
    <row r="38" spans="1:14" x14ac:dyDescent="0.2">
      <c r="A38">
        <v>347</v>
      </c>
      <c r="B38">
        <v>11</v>
      </c>
      <c r="C38" t="s">
        <v>32</v>
      </c>
      <c r="D38" t="s">
        <v>33</v>
      </c>
      <c r="E38" t="s">
        <v>16</v>
      </c>
      <c r="F38">
        <v>6</v>
      </c>
      <c r="G38" t="s">
        <v>13</v>
      </c>
      <c r="H38" s="1">
        <v>45931.620138888888</v>
      </c>
      <c r="I38" s="5">
        <f>INT(TB[[#This Row],[时间戳]])</f>
        <v>45931</v>
      </c>
      <c r="J38" s="2">
        <f>HOUR(TB[[#This Row],[时间戳]])</f>
        <v>14</v>
      </c>
      <c r="K38">
        <v>3908</v>
      </c>
      <c r="L38">
        <v>3</v>
      </c>
      <c r="M38">
        <f>TB[[#This Row],[售价]]*TB[[#This Row],[销量]]</f>
        <v>11724</v>
      </c>
      <c r="N38" t="str">
        <f>IF(TB[[#This Row],[售价]]&lt;1000,"低价商品",IF(TB[[#This Row],[售价]]&lt;5000,"中价商品",IF(TB[[#This Row],[售价]]&lt;10000,"高价商品","超高价商品")))</f>
        <v>中价商品</v>
      </c>
    </row>
    <row r="39" spans="1:14" x14ac:dyDescent="0.2">
      <c r="A39">
        <v>226</v>
      </c>
      <c r="B39">
        <v>4</v>
      </c>
      <c r="C39" t="s">
        <v>32</v>
      </c>
      <c r="D39" t="s">
        <v>63</v>
      </c>
      <c r="E39" t="s">
        <v>12</v>
      </c>
      <c r="F39">
        <v>2</v>
      </c>
      <c r="G39" t="s">
        <v>13</v>
      </c>
      <c r="H39" s="1">
        <v>45931.62222222222</v>
      </c>
      <c r="I39" s="5">
        <f>INT(TB[[#This Row],[时间戳]])</f>
        <v>45931</v>
      </c>
      <c r="J39" s="2">
        <f>HOUR(TB[[#This Row],[时间戳]])</f>
        <v>14</v>
      </c>
      <c r="K39">
        <v>13721</v>
      </c>
      <c r="L39">
        <v>4</v>
      </c>
      <c r="M39">
        <f>TB[[#This Row],[售价]]*TB[[#This Row],[销量]]</f>
        <v>54884</v>
      </c>
      <c r="N39" t="str">
        <f>IF(TB[[#This Row],[售价]]&lt;1000,"低价商品",IF(TB[[#This Row],[售价]]&lt;5000,"中价商品",IF(TB[[#This Row],[售价]]&lt;10000,"高价商品","超高价商品")))</f>
        <v>超高价商品</v>
      </c>
    </row>
    <row r="40" spans="1:14" x14ac:dyDescent="0.2">
      <c r="A40">
        <v>70</v>
      </c>
      <c r="B40">
        <v>17</v>
      </c>
      <c r="C40" t="s">
        <v>10</v>
      </c>
      <c r="D40" t="s">
        <v>41</v>
      </c>
      <c r="E40" t="s">
        <v>22</v>
      </c>
      <c r="F40">
        <v>1</v>
      </c>
      <c r="G40" t="s">
        <v>13</v>
      </c>
      <c r="H40" s="1">
        <v>45931.643055555556</v>
      </c>
      <c r="I40" s="5">
        <f>INT(TB[[#This Row],[时间戳]])</f>
        <v>45931</v>
      </c>
      <c r="J40" s="2">
        <f>HOUR(TB[[#This Row],[时间戳]])</f>
        <v>15</v>
      </c>
      <c r="K40">
        <v>1743</v>
      </c>
      <c r="L40">
        <v>2</v>
      </c>
      <c r="M40">
        <f>TB[[#This Row],[售价]]*TB[[#This Row],[销量]]</f>
        <v>3486</v>
      </c>
      <c r="N40" t="str">
        <f>IF(TB[[#This Row],[售价]]&lt;1000,"低价商品",IF(TB[[#This Row],[售价]]&lt;5000,"中价商品",IF(TB[[#This Row],[售价]]&lt;10000,"高价商品","超高价商品")))</f>
        <v>中价商品</v>
      </c>
    </row>
    <row r="41" spans="1:14" x14ac:dyDescent="0.2">
      <c r="A41">
        <v>286</v>
      </c>
      <c r="B41">
        <v>249</v>
      </c>
      <c r="C41" t="s">
        <v>20</v>
      </c>
      <c r="D41" t="s">
        <v>64</v>
      </c>
      <c r="E41" t="s">
        <v>31</v>
      </c>
      <c r="F41">
        <v>4</v>
      </c>
      <c r="G41" t="s">
        <v>13</v>
      </c>
      <c r="H41" s="1">
        <v>45931.654166666667</v>
      </c>
      <c r="I41" s="5">
        <f>INT(TB[[#This Row],[时间戳]])</f>
        <v>45931</v>
      </c>
      <c r="J41" s="2">
        <f>HOUR(TB[[#This Row],[时间戳]])</f>
        <v>15</v>
      </c>
      <c r="K41">
        <v>562</v>
      </c>
      <c r="L41">
        <v>2</v>
      </c>
      <c r="M41">
        <f>TB[[#This Row],[售价]]*TB[[#This Row],[销量]]</f>
        <v>1124</v>
      </c>
      <c r="N41" t="str">
        <f>IF(TB[[#This Row],[售价]]&lt;1000,"低价商品",IF(TB[[#This Row],[售价]]&lt;5000,"中价商品",IF(TB[[#This Row],[售价]]&lt;10000,"高价商品","超高价商品")))</f>
        <v>低价商品</v>
      </c>
    </row>
    <row r="42" spans="1:14" x14ac:dyDescent="0.2">
      <c r="A42">
        <v>585</v>
      </c>
      <c r="B42">
        <v>296</v>
      </c>
      <c r="C42" t="s">
        <v>26</v>
      </c>
      <c r="D42" t="s">
        <v>65</v>
      </c>
      <c r="E42" t="s">
        <v>22</v>
      </c>
      <c r="F42">
        <v>1</v>
      </c>
      <c r="G42" t="s">
        <v>42</v>
      </c>
      <c r="H42" s="1">
        <v>45931.65625</v>
      </c>
      <c r="I42" s="5">
        <f>INT(TB[[#This Row],[时间戳]])</f>
        <v>45931</v>
      </c>
      <c r="J42" s="2">
        <f>HOUR(TB[[#This Row],[时间戳]])</f>
        <v>15</v>
      </c>
      <c r="K42">
        <v>2831</v>
      </c>
      <c r="L42">
        <v>0</v>
      </c>
      <c r="M42">
        <f>TB[[#This Row],[售价]]*TB[[#This Row],[销量]]</f>
        <v>0</v>
      </c>
      <c r="N42" t="str">
        <f>IF(TB[[#This Row],[售价]]&lt;1000,"低价商品",IF(TB[[#This Row],[售价]]&lt;5000,"中价商品",IF(TB[[#This Row],[售价]]&lt;10000,"高价商品","超高价商品")))</f>
        <v>中价商品</v>
      </c>
    </row>
    <row r="43" spans="1:14" x14ac:dyDescent="0.2">
      <c r="A43">
        <v>195</v>
      </c>
      <c r="B43">
        <v>49</v>
      </c>
      <c r="C43" t="s">
        <v>44</v>
      </c>
      <c r="D43" t="s">
        <v>66</v>
      </c>
      <c r="E43" t="s">
        <v>22</v>
      </c>
      <c r="F43">
        <v>1</v>
      </c>
      <c r="G43" t="s">
        <v>13</v>
      </c>
      <c r="H43" s="1">
        <v>45931.668749999997</v>
      </c>
      <c r="I43" s="5">
        <f>INT(TB[[#This Row],[时间戳]])</f>
        <v>45931</v>
      </c>
      <c r="J43" s="2">
        <f>HOUR(TB[[#This Row],[时间戳]])</f>
        <v>16</v>
      </c>
      <c r="K43">
        <v>4796</v>
      </c>
      <c r="L43">
        <v>1</v>
      </c>
      <c r="M43">
        <f>TB[[#This Row],[售价]]*TB[[#This Row],[销量]]</f>
        <v>4796</v>
      </c>
      <c r="N43" t="str">
        <f>IF(TB[[#This Row],[售价]]&lt;1000,"低价商品",IF(TB[[#This Row],[售价]]&lt;5000,"中价商品",IF(TB[[#This Row],[售价]]&lt;10000,"高价商品","超高价商品")))</f>
        <v>中价商品</v>
      </c>
    </row>
    <row r="44" spans="1:14" x14ac:dyDescent="0.2">
      <c r="A44">
        <v>434</v>
      </c>
      <c r="B44">
        <v>211</v>
      </c>
      <c r="C44" t="s">
        <v>17</v>
      </c>
      <c r="D44" t="s">
        <v>67</v>
      </c>
      <c r="E44" t="s">
        <v>39</v>
      </c>
      <c r="F44">
        <v>5</v>
      </c>
      <c r="G44" t="s">
        <v>13</v>
      </c>
      <c r="H44" s="1">
        <v>45931.669444444444</v>
      </c>
      <c r="I44" s="5">
        <f>INT(TB[[#This Row],[时间戳]])</f>
        <v>45931</v>
      </c>
      <c r="J44" s="2">
        <f>HOUR(TB[[#This Row],[时间戳]])</f>
        <v>16</v>
      </c>
      <c r="K44">
        <v>1334</v>
      </c>
      <c r="L44">
        <v>2</v>
      </c>
      <c r="M44">
        <f>TB[[#This Row],[售价]]*TB[[#This Row],[销量]]</f>
        <v>2668</v>
      </c>
      <c r="N44" t="str">
        <f>IF(TB[[#This Row],[售价]]&lt;1000,"低价商品",IF(TB[[#This Row],[售价]]&lt;5000,"中价商品",IF(TB[[#This Row],[售价]]&lt;10000,"高价商品","超高价商品")))</f>
        <v>中价商品</v>
      </c>
    </row>
    <row r="45" spans="1:14" x14ac:dyDescent="0.2">
      <c r="A45">
        <v>670</v>
      </c>
      <c r="B45">
        <v>51</v>
      </c>
      <c r="C45" t="s">
        <v>10</v>
      </c>
      <c r="D45" t="s">
        <v>68</v>
      </c>
      <c r="E45" t="s">
        <v>22</v>
      </c>
      <c r="F45">
        <v>1</v>
      </c>
      <c r="G45" t="s">
        <v>13</v>
      </c>
      <c r="H45" s="1">
        <v>45931.713888888888</v>
      </c>
      <c r="I45" s="5">
        <f>INT(TB[[#This Row],[时间戳]])</f>
        <v>45931</v>
      </c>
      <c r="J45" s="2">
        <f>HOUR(TB[[#This Row],[时间戳]])</f>
        <v>17</v>
      </c>
      <c r="K45">
        <v>4998</v>
      </c>
      <c r="L45">
        <v>3</v>
      </c>
      <c r="M45">
        <f>TB[[#This Row],[售价]]*TB[[#This Row],[销量]]</f>
        <v>14994</v>
      </c>
      <c r="N45" t="str">
        <f>IF(TB[[#This Row],[售价]]&lt;1000,"低价商品",IF(TB[[#This Row],[售价]]&lt;5000,"中价商品",IF(TB[[#This Row],[售价]]&lt;10000,"高价商品","超高价商品")))</f>
        <v>中价商品</v>
      </c>
    </row>
    <row r="46" spans="1:14" x14ac:dyDescent="0.2">
      <c r="A46">
        <v>255</v>
      </c>
      <c r="B46">
        <v>99</v>
      </c>
      <c r="C46" t="s">
        <v>34</v>
      </c>
      <c r="D46" t="s">
        <v>69</v>
      </c>
      <c r="E46" t="s">
        <v>31</v>
      </c>
      <c r="F46">
        <v>4</v>
      </c>
      <c r="G46" t="s">
        <v>42</v>
      </c>
      <c r="H46" s="1">
        <v>45931.719444444447</v>
      </c>
      <c r="I46" s="5">
        <f>INT(TB[[#This Row],[时间戳]])</f>
        <v>45931</v>
      </c>
      <c r="J46" s="2">
        <f>HOUR(TB[[#This Row],[时间戳]])</f>
        <v>17</v>
      </c>
      <c r="K46">
        <v>180</v>
      </c>
      <c r="L46">
        <v>0</v>
      </c>
      <c r="M46">
        <f>TB[[#This Row],[售价]]*TB[[#This Row],[销量]]</f>
        <v>0</v>
      </c>
      <c r="N46" t="str">
        <f>IF(TB[[#This Row],[售价]]&lt;1000,"低价商品",IF(TB[[#This Row],[售价]]&lt;5000,"中价商品",IF(TB[[#This Row],[售价]]&lt;10000,"高价商品","超高价商品")))</f>
        <v>低价商品</v>
      </c>
    </row>
    <row r="47" spans="1:14" x14ac:dyDescent="0.2">
      <c r="A47">
        <v>433</v>
      </c>
      <c r="B47">
        <v>94</v>
      </c>
      <c r="C47" t="s">
        <v>44</v>
      </c>
      <c r="D47" t="s">
        <v>70</v>
      </c>
      <c r="E47" t="s">
        <v>12</v>
      </c>
      <c r="F47">
        <v>2</v>
      </c>
      <c r="G47" t="s">
        <v>13</v>
      </c>
      <c r="H47" s="1">
        <v>45931.738888888889</v>
      </c>
      <c r="I47" s="5">
        <f>INT(TB[[#This Row],[时间戳]])</f>
        <v>45931</v>
      </c>
      <c r="J47" s="2">
        <f>HOUR(TB[[#This Row],[时间戳]])</f>
        <v>17</v>
      </c>
      <c r="K47">
        <v>7190</v>
      </c>
      <c r="L47">
        <v>1</v>
      </c>
      <c r="M47">
        <f>TB[[#This Row],[售价]]*TB[[#This Row],[销量]]</f>
        <v>7190</v>
      </c>
      <c r="N47" t="str">
        <f>IF(TB[[#This Row],[售价]]&lt;1000,"低价商品",IF(TB[[#This Row],[售价]]&lt;5000,"中价商品",IF(TB[[#This Row],[售价]]&lt;10000,"高价商品","超高价商品")))</f>
        <v>高价商品</v>
      </c>
    </row>
    <row r="48" spans="1:14" x14ac:dyDescent="0.2">
      <c r="A48">
        <v>454</v>
      </c>
      <c r="B48">
        <v>282</v>
      </c>
      <c r="C48" t="s">
        <v>32</v>
      </c>
      <c r="D48" t="s">
        <v>71</v>
      </c>
      <c r="E48" t="s">
        <v>25</v>
      </c>
      <c r="F48">
        <v>7</v>
      </c>
      <c r="G48" t="s">
        <v>13</v>
      </c>
      <c r="H48" s="1">
        <v>45931.745833333334</v>
      </c>
      <c r="I48" s="5">
        <f>INT(TB[[#This Row],[时间戳]])</f>
        <v>45931</v>
      </c>
      <c r="J48" s="2">
        <f>HOUR(TB[[#This Row],[时间戳]])</f>
        <v>17</v>
      </c>
      <c r="K48">
        <v>3817</v>
      </c>
      <c r="L48">
        <v>3</v>
      </c>
      <c r="M48">
        <f>TB[[#This Row],[售价]]*TB[[#This Row],[销量]]</f>
        <v>11451</v>
      </c>
      <c r="N48" t="str">
        <f>IF(TB[[#This Row],[售价]]&lt;1000,"低价商品",IF(TB[[#This Row],[售价]]&lt;5000,"中价商品",IF(TB[[#This Row],[售价]]&lt;10000,"高价商品","超高价商品")))</f>
        <v>中价商品</v>
      </c>
    </row>
    <row r="49" spans="1:14" x14ac:dyDescent="0.2">
      <c r="A49">
        <v>96</v>
      </c>
      <c r="B49">
        <v>122</v>
      </c>
      <c r="C49" t="s">
        <v>20</v>
      </c>
      <c r="D49" t="s">
        <v>72</v>
      </c>
      <c r="E49" t="s">
        <v>25</v>
      </c>
      <c r="F49">
        <v>7</v>
      </c>
      <c r="G49" t="s">
        <v>13</v>
      </c>
      <c r="H49" s="1">
        <v>45931.759722222225</v>
      </c>
      <c r="I49" s="5">
        <f>INT(TB[[#This Row],[时间戳]])</f>
        <v>45931</v>
      </c>
      <c r="J49" s="2">
        <f>HOUR(TB[[#This Row],[时间戳]])</f>
        <v>18</v>
      </c>
      <c r="K49">
        <v>2127</v>
      </c>
      <c r="L49">
        <v>2</v>
      </c>
      <c r="M49">
        <f>TB[[#This Row],[售价]]*TB[[#This Row],[销量]]</f>
        <v>4254</v>
      </c>
      <c r="N49" t="str">
        <f>IF(TB[[#This Row],[售价]]&lt;1000,"低价商品",IF(TB[[#This Row],[售价]]&lt;5000,"中价商品",IF(TB[[#This Row],[售价]]&lt;10000,"高价商品","超高价商品")))</f>
        <v>中价商品</v>
      </c>
    </row>
    <row r="50" spans="1:14" x14ac:dyDescent="0.2">
      <c r="A50">
        <v>219</v>
      </c>
      <c r="B50">
        <v>206</v>
      </c>
      <c r="C50" t="s">
        <v>44</v>
      </c>
      <c r="D50" t="s">
        <v>73</v>
      </c>
      <c r="E50" t="s">
        <v>39</v>
      </c>
      <c r="F50">
        <v>5</v>
      </c>
      <c r="G50" t="s">
        <v>42</v>
      </c>
      <c r="H50" s="1">
        <v>45931.774305555555</v>
      </c>
      <c r="I50" s="5">
        <f>INT(TB[[#This Row],[时间戳]])</f>
        <v>45931</v>
      </c>
      <c r="J50" s="2">
        <f>HOUR(TB[[#This Row],[时间戳]])</f>
        <v>18</v>
      </c>
      <c r="K50">
        <v>1489</v>
      </c>
      <c r="L50">
        <v>0</v>
      </c>
      <c r="M50">
        <f>TB[[#This Row],[售价]]*TB[[#This Row],[销量]]</f>
        <v>0</v>
      </c>
      <c r="N50" t="str">
        <f>IF(TB[[#This Row],[售价]]&lt;1000,"低价商品",IF(TB[[#This Row],[售价]]&lt;5000,"中价商品",IF(TB[[#This Row],[售价]]&lt;10000,"高价商品","超高价商品")))</f>
        <v>中价商品</v>
      </c>
    </row>
    <row r="51" spans="1:14" x14ac:dyDescent="0.2">
      <c r="A51">
        <v>400</v>
      </c>
      <c r="B51">
        <v>136</v>
      </c>
      <c r="C51" t="s">
        <v>17</v>
      </c>
      <c r="D51" t="s">
        <v>74</v>
      </c>
      <c r="E51" t="s">
        <v>22</v>
      </c>
      <c r="F51">
        <v>1</v>
      </c>
      <c r="G51" t="s">
        <v>13</v>
      </c>
      <c r="H51" s="1">
        <v>45931.777777777781</v>
      </c>
      <c r="I51" s="5">
        <f>INT(TB[[#This Row],[时间戳]])</f>
        <v>45931</v>
      </c>
      <c r="J51" s="2">
        <f>HOUR(TB[[#This Row],[时间戳]])</f>
        <v>18</v>
      </c>
      <c r="K51">
        <v>1364</v>
      </c>
      <c r="L51">
        <v>2</v>
      </c>
      <c r="M51">
        <f>TB[[#This Row],[售价]]*TB[[#This Row],[销量]]</f>
        <v>2728</v>
      </c>
      <c r="N51" t="str">
        <f>IF(TB[[#This Row],[售价]]&lt;1000,"低价商品",IF(TB[[#This Row],[售价]]&lt;5000,"中价商品",IF(TB[[#This Row],[售价]]&lt;10000,"高价商品","超高价商品")))</f>
        <v>中价商品</v>
      </c>
    </row>
    <row r="52" spans="1:14" x14ac:dyDescent="0.2">
      <c r="A52">
        <v>749</v>
      </c>
      <c r="B52">
        <v>285</v>
      </c>
      <c r="C52" t="s">
        <v>17</v>
      </c>
      <c r="D52" t="s">
        <v>75</v>
      </c>
      <c r="E52" t="s">
        <v>12</v>
      </c>
      <c r="F52">
        <v>2</v>
      </c>
      <c r="G52" t="s">
        <v>13</v>
      </c>
      <c r="H52" s="1">
        <v>45931.842361111114</v>
      </c>
      <c r="I52" s="5">
        <f>INT(TB[[#This Row],[时间戳]])</f>
        <v>45931</v>
      </c>
      <c r="J52" s="2">
        <f>HOUR(TB[[#This Row],[时间戳]])</f>
        <v>20</v>
      </c>
      <c r="K52">
        <v>11400</v>
      </c>
      <c r="L52">
        <v>2</v>
      </c>
      <c r="M52">
        <f>TB[[#This Row],[售价]]*TB[[#This Row],[销量]]</f>
        <v>22800</v>
      </c>
      <c r="N52" t="str">
        <f>IF(TB[[#This Row],[售价]]&lt;1000,"低价商品",IF(TB[[#This Row],[售价]]&lt;5000,"中价商品",IF(TB[[#This Row],[售价]]&lt;10000,"高价商品","超高价商品")))</f>
        <v>超高价商品</v>
      </c>
    </row>
    <row r="53" spans="1:14" x14ac:dyDescent="0.2">
      <c r="A53">
        <v>195</v>
      </c>
      <c r="B53">
        <v>152</v>
      </c>
      <c r="C53" t="s">
        <v>44</v>
      </c>
      <c r="D53" t="s">
        <v>76</v>
      </c>
      <c r="E53" t="s">
        <v>31</v>
      </c>
      <c r="F53">
        <v>4</v>
      </c>
      <c r="G53" t="s">
        <v>13</v>
      </c>
      <c r="H53" s="1">
        <v>45931.869444444441</v>
      </c>
      <c r="I53" s="5">
        <f>INT(TB[[#This Row],[时间戳]])</f>
        <v>45931</v>
      </c>
      <c r="J53" s="2">
        <f>HOUR(TB[[#This Row],[时间戳]])</f>
        <v>20</v>
      </c>
      <c r="K53">
        <v>1500</v>
      </c>
      <c r="L53">
        <v>3</v>
      </c>
      <c r="M53">
        <f>TB[[#This Row],[售价]]*TB[[#This Row],[销量]]</f>
        <v>4500</v>
      </c>
      <c r="N53" t="str">
        <f>IF(TB[[#This Row],[售价]]&lt;1000,"低价商品",IF(TB[[#This Row],[售价]]&lt;5000,"中价商品",IF(TB[[#This Row],[售价]]&lt;10000,"高价商品","超高价商品")))</f>
        <v>中价商品</v>
      </c>
    </row>
    <row r="54" spans="1:14" x14ac:dyDescent="0.2">
      <c r="A54">
        <v>63</v>
      </c>
      <c r="B54">
        <v>161</v>
      </c>
      <c r="C54" t="s">
        <v>46</v>
      </c>
      <c r="D54" t="s">
        <v>77</v>
      </c>
      <c r="E54" t="s">
        <v>19</v>
      </c>
      <c r="F54">
        <v>3</v>
      </c>
      <c r="G54" t="s">
        <v>42</v>
      </c>
      <c r="H54" s="1">
        <v>45931.921527777777</v>
      </c>
      <c r="I54" s="5">
        <f>INT(TB[[#This Row],[时间戳]])</f>
        <v>45931</v>
      </c>
      <c r="J54" s="2">
        <f>HOUR(TB[[#This Row],[时间戳]])</f>
        <v>22</v>
      </c>
      <c r="K54">
        <v>3112</v>
      </c>
      <c r="L54">
        <v>0</v>
      </c>
      <c r="M54">
        <f>TB[[#This Row],[售价]]*TB[[#This Row],[销量]]</f>
        <v>0</v>
      </c>
      <c r="N54" t="str">
        <f>IF(TB[[#This Row],[售价]]&lt;1000,"低价商品",IF(TB[[#This Row],[售价]]&lt;5000,"中价商品",IF(TB[[#This Row],[售价]]&lt;10000,"高价商品","超高价商品")))</f>
        <v>中价商品</v>
      </c>
    </row>
    <row r="55" spans="1:14" x14ac:dyDescent="0.2">
      <c r="A55">
        <v>515</v>
      </c>
      <c r="B55">
        <v>272</v>
      </c>
      <c r="C55" t="s">
        <v>46</v>
      </c>
      <c r="D55" t="s">
        <v>47</v>
      </c>
      <c r="E55" t="s">
        <v>22</v>
      </c>
      <c r="F55">
        <v>1</v>
      </c>
      <c r="G55" t="s">
        <v>42</v>
      </c>
      <c r="H55" s="1">
        <v>45931.962500000001</v>
      </c>
      <c r="I55" s="5">
        <f>INT(TB[[#This Row],[时间戳]])</f>
        <v>45931</v>
      </c>
      <c r="J55" s="2">
        <f>HOUR(TB[[#This Row],[时间戳]])</f>
        <v>23</v>
      </c>
      <c r="K55">
        <v>1293</v>
      </c>
      <c r="L55">
        <v>0</v>
      </c>
      <c r="M55">
        <f>TB[[#This Row],[售价]]*TB[[#This Row],[销量]]</f>
        <v>0</v>
      </c>
      <c r="N55" t="str">
        <f>IF(TB[[#This Row],[售价]]&lt;1000,"低价商品",IF(TB[[#This Row],[售价]]&lt;5000,"中价商品",IF(TB[[#This Row],[售价]]&lt;10000,"高价商品","超高价商品")))</f>
        <v>中价商品</v>
      </c>
    </row>
    <row r="56" spans="1:14" x14ac:dyDescent="0.2">
      <c r="A56">
        <v>191</v>
      </c>
      <c r="B56">
        <v>36</v>
      </c>
      <c r="C56" t="s">
        <v>20</v>
      </c>
      <c r="D56" t="s">
        <v>78</v>
      </c>
      <c r="E56" t="s">
        <v>22</v>
      </c>
      <c r="F56">
        <v>1</v>
      </c>
      <c r="G56" t="s">
        <v>13</v>
      </c>
      <c r="H56" s="1">
        <v>45931.979166666664</v>
      </c>
      <c r="I56" s="5">
        <f>INT(TB[[#This Row],[时间戳]])</f>
        <v>45931</v>
      </c>
      <c r="J56" s="2">
        <f>HOUR(TB[[#This Row],[时间戳]])</f>
        <v>23</v>
      </c>
      <c r="K56">
        <v>2118</v>
      </c>
      <c r="L56">
        <v>2</v>
      </c>
      <c r="M56">
        <f>TB[[#This Row],[售价]]*TB[[#This Row],[销量]]</f>
        <v>4236</v>
      </c>
      <c r="N56" t="str">
        <f>IF(TB[[#This Row],[售价]]&lt;1000,"低价商品",IF(TB[[#This Row],[售价]]&lt;5000,"中价商品",IF(TB[[#This Row],[售价]]&lt;10000,"高价商品","超高价商品")))</f>
        <v>中价商品</v>
      </c>
    </row>
    <row r="57" spans="1:14" x14ac:dyDescent="0.2">
      <c r="A57">
        <v>123</v>
      </c>
      <c r="B57">
        <v>292</v>
      </c>
      <c r="C57" t="s">
        <v>32</v>
      </c>
      <c r="D57" t="s">
        <v>79</v>
      </c>
      <c r="E57" t="s">
        <v>31</v>
      </c>
      <c r="F57">
        <v>4</v>
      </c>
      <c r="G57" t="s">
        <v>13</v>
      </c>
      <c r="H57" s="1">
        <v>45932.026388888888</v>
      </c>
      <c r="I57" s="5">
        <f>INT(TB[[#This Row],[时间戳]])</f>
        <v>45932</v>
      </c>
      <c r="J57" s="2">
        <f>HOUR(TB[[#This Row],[时间戳]])</f>
        <v>0</v>
      </c>
      <c r="K57">
        <v>1102</v>
      </c>
      <c r="L57">
        <v>2</v>
      </c>
      <c r="M57">
        <f>TB[[#This Row],[售价]]*TB[[#This Row],[销量]]</f>
        <v>2204</v>
      </c>
      <c r="N57" t="str">
        <f>IF(TB[[#This Row],[售价]]&lt;1000,"低价商品",IF(TB[[#This Row],[售价]]&lt;5000,"中价商品",IF(TB[[#This Row],[售价]]&lt;10000,"高价商品","超高价商品")))</f>
        <v>中价商品</v>
      </c>
    </row>
    <row r="58" spans="1:14" x14ac:dyDescent="0.2">
      <c r="A58">
        <v>635</v>
      </c>
      <c r="B58">
        <v>42</v>
      </c>
      <c r="C58" t="s">
        <v>46</v>
      </c>
      <c r="D58" t="s">
        <v>80</v>
      </c>
      <c r="E58" t="s">
        <v>22</v>
      </c>
      <c r="F58">
        <v>1</v>
      </c>
      <c r="G58" t="s">
        <v>13</v>
      </c>
      <c r="H58" s="1">
        <v>45932.027777777781</v>
      </c>
      <c r="I58" s="5">
        <f>INT(TB[[#This Row],[时间戳]])</f>
        <v>45932</v>
      </c>
      <c r="J58" s="2">
        <f>HOUR(TB[[#This Row],[时间戳]])</f>
        <v>0</v>
      </c>
      <c r="K58">
        <v>3112</v>
      </c>
      <c r="L58">
        <v>2</v>
      </c>
      <c r="M58">
        <f>TB[[#This Row],[售价]]*TB[[#This Row],[销量]]</f>
        <v>6224</v>
      </c>
      <c r="N58" t="str">
        <f>IF(TB[[#This Row],[售价]]&lt;1000,"低价商品",IF(TB[[#This Row],[售价]]&lt;5000,"中价商品",IF(TB[[#This Row],[售价]]&lt;10000,"高价商品","超高价商品")))</f>
        <v>中价商品</v>
      </c>
    </row>
    <row r="59" spans="1:14" x14ac:dyDescent="0.2">
      <c r="A59">
        <v>536</v>
      </c>
      <c r="B59">
        <v>162</v>
      </c>
      <c r="C59" t="s">
        <v>46</v>
      </c>
      <c r="D59" t="s">
        <v>81</v>
      </c>
      <c r="E59" t="s">
        <v>12</v>
      </c>
      <c r="F59">
        <v>2</v>
      </c>
      <c r="G59" t="s">
        <v>13</v>
      </c>
      <c r="H59" s="1">
        <v>45932.031944444447</v>
      </c>
      <c r="I59" s="5">
        <f>INT(TB[[#This Row],[时间戳]])</f>
        <v>45932</v>
      </c>
      <c r="J59" s="2">
        <f>HOUR(TB[[#This Row],[时间戳]])</f>
        <v>0</v>
      </c>
      <c r="K59">
        <v>11004</v>
      </c>
      <c r="L59">
        <v>1</v>
      </c>
      <c r="M59">
        <f>TB[[#This Row],[售价]]*TB[[#This Row],[销量]]</f>
        <v>11004</v>
      </c>
      <c r="N59" t="str">
        <f>IF(TB[[#This Row],[售价]]&lt;1000,"低价商品",IF(TB[[#This Row],[售价]]&lt;5000,"中价商品",IF(TB[[#This Row],[售价]]&lt;10000,"高价商品","超高价商品")))</f>
        <v>超高价商品</v>
      </c>
    </row>
    <row r="60" spans="1:14" x14ac:dyDescent="0.2">
      <c r="A60">
        <v>272</v>
      </c>
      <c r="B60">
        <v>203</v>
      </c>
      <c r="C60" t="s">
        <v>34</v>
      </c>
      <c r="D60" t="s">
        <v>82</v>
      </c>
      <c r="E60" t="s">
        <v>31</v>
      </c>
      <c r="F60">
        <v>4</v>
      </c>
      <c r="G60" t="s">
        <v>42</v>
      </c>
      <c r="H60" s="1">
        <v>45932.032638888886</v>
      </c>
      <c r="I60" s="5">
        <f>INT(TB[[#This Row],[时间戳]])</f>
        <v>45932</v>
      </c>
      <c r="J60" s="2">
        <f>HOUR(TB[[#This Row],[时间戳]])</f>
        <v>0</v>
      </c>
      <c r="K60">
        <v>488</v>
      </c>
      <c r="L60">
        <v>0</v>
      </c>
      <c r="M60">
        <f>TB[[#This Row],[售价]]*TB[[#This Row],[销量]]</f>
        <v>0</v>
      </c>
      <c r="N60" t="str">
        <f>IF(TB[[#This Row],[售价]]&lt;1000,"低价商品",IF(TB[[#This Row],[售价]]&lt;5000,"中价商品",IF(TB[[#This Row],[售价]]&lt;10000,"高价商品","超高价商品")))</f>
        <v>低价商品</v>
      </c>
    </row>
    <row r="61" spans="1:14" x14ac:dyDescent="0.2">
      <c r="A61">
        <v>324</v>
      </c>
      <c r="B61">
        <v>38</v>
      </c>
      <c r="C61" t="s">
        <v>36</v>
      </c>
      <c r="D61" t="s">
        <v>83</v>
      </c>
      <c r="E61" t="s">
        <v>22</v>
      </c>
      <c r="F61">
        <v>1</v>
      </c>
      <c r="G61" t="s">
        <v>13</v>
      </c>
      <c r="H61" s="1">
        <v>45932.040277777778</v>
      </c>
      <c r="I61" s="5">
        <f>INT(TB[[#This Row],[时间戳]])</f>
        <v>45932</v>
      </c>
      <c r="J61" s="2">
        <f>HOUR(TB[[#This Row],[时间戳]])</f>
        <v>0</v>
      </c>
      <c r="K61">
        <v>2215</v>
      </c>
      <c r="L61">
        <v>2</v>
      </c>
      <c r="M61">
        <f>TB[[#This Row],[售价]]*TB[[#This Row],[销量]]</f>
        <v>4430</v>
      </c>
      <c r="N61" t="str">
        <f>IF(TB[[#This Row],[售价]]&lt;1000,"低价商品",IF(TB[[#This Row],[售价]]&lt;5000,"中价商品",IF(TB[[#This Row],[售价]]&lt;10000,"高价商品","超高价商品")))</f>
        <v>中价商品</v>
      </c>
    </row>
    <row r="62" spans="1:14" x14ac:dyDescent="0.2">
      <c r="A62">
        <v>103</v>
      </c>
      <c r="B62">
        <v>38</v>
      </c>
      <c r="C62" t="s">
        <v>46</v>
      </c>
      <c r="D62" t="s">
        <v>84</v>
      </c>
      <c r="E62" t="s">
        <v>39</v>
      </c>
      <c r="F62">
        <v>5</v>
      </c>
      <c r="G62" t="s">
        <v>13</v>
      </c>
      <c r="H62" s="1">
        <v>45932.049305555556</v>
      </c>
      <c r="I62" s="5">
        <f>INT(TB[[#This Row],[时间戳]])</f>
        <v>45932</v>
      </c>
      <c r="J62" s="2">
        <f>HOUR(TB[[#This Row],[时间戳]])</f>
        <v>1</v>
      </c>
      <c r="K62">
        <v>872</v>
      </c>
      <c r="L62">
        <v>2</v>
      </c>
      <c r="M62">
        <f>TB[[#This Row],[售价]]*TB[[#This Row],[销量]]</f>
        <v>1744</v>
      </c>
      <c r="N62" t="str">
        <f>IF(TB[[#This Row],[售价]]&lt;1000,"低价商品",IF(TB[[#This Row],[售价]]&lt;5000,"中价商品",IF(TB[[#This Row],[售价]]&lt;10000,"高价商品","超高价商品")))</f>
        <v>低价商品</v>
      </c>
    </row>
    <row r="63" spans="1:14" x14ac:dyDescent="0.2">
      <c r="A63">
        <v>136</v>
      </c>
      <c r="B63">
        <v>179</v>
      </c>
      <c r="C63" t="s">
        <v>20</v>
      </c>
      <c r="D63" t="s">
        <v>85</v>
      </c>
      <c r="E63" t="s">
        <v>31</v>
      </c>
      <c r="F63">
        <v>4</v>
      </c>
      <c r="G63" t="s">
        <v>13</v>
      </c>
      <c r="H63" s="1">
        <v>45932.054861111108</v>
      </c>
      <c r="I63" s="5">
        <f>INT(TB[[#This Row],[时间戳]])</f>
        <v>45932</v>
      </c>
      <c r="J63" s="2">
        <f>HOUR(TB[[#This Row],[时间戳]])</f>
        <v>1</v>
      </c>
      <c r="K63">
        <v>1060</v>
      </c>
      <c r="L63">
        <v>1</v>
      </c>
      <c r="M63">
        <f>TB[[#This Row],[售价]]*TB[[#This Row],[销量]]</f>
        <v>1060</v>
      </c>
      <c r="N63" t="str">
        <f>IF(TB[[#This Row],[售价]]&lt;1000,"低价商品",IF(TB[[#This Row],[售价]]&lt;5000,"中价商品",IF(TB[[#This Row],[售价]]&lt;10000,"高价商品","超高价商品")))</f>
        <v>中价商品</v>
      </c>
    </row>
    <row r="64" spans="1:14" x14ac:dyDescent="0.2">
      <c r="A64">
        <v>162</v>
      </c>
      <c r="B64">
        <v>225</v>
      </c>
      <c r="C64" t="s">
        <v>34</v>
      </c>
      <c r="D64" t="s">
        <v>86</v>
      </c>
      <c r="E64" t="s">
        <v>12</v>
      </c>
      <c r="F64">
        <v>2</v>
      </c>
      <c r="G64" t="s">
        <v>42</v>
      </c>
      <c r="H64" s="1">
        <v>45932.087500000001</v>
      </c>
      <c r="I64" s="5">
        <f>INT(TB[[#This Row],[时间戳]])</f>
        <v>45932</v>
      </c>
      <c r="J64" s="2">
        <f>HOUR(TB[[#This Row],[时间戳]])</f>
        <v>2</v>
      </c>
      <c r="K64">
        <v>5052</v>
      </c>
      <c r="L64">
        <v>0</v>
      </c>
      <c r="M64">
        <f>TB[[#This Row],[售价]]*TB[[#This Row],[销量]]</f>
        <v>0</v>
      </c>
      <c r="N64" t="str">
        <f>IF(TB[[#This Row],[售价]]&lt;1000,"低价商品",IF(TB[[#This Row],[售价]]&lt;5000,"中价商品",IF(TB[[#This Row],[售价]]&lt;10000,"高价商品","超高价商品")))</f>
        <v>高价商品</v>
      </c>
    </row>
    <row r="65" spans="1:14" x14ac:dyDescent="0.2">
      <c r="A65">
        <v>670</v>
      </c>
      <c r="B65">
        <v>271</v>
      </c>
      <c r="C65" t="s">
        <v>36</v>
      </c>
      <c r="D65" t="s">
        <v>87</v>
      </c>
      <c r="E65" t="s">
        <v>19</v>
      </c>
      <c r="F65">
        <v>3</v>
      </c>
      <c r="G65" t="s">
        <v>13</v>
      </c>
      <c r="H65" s="1">
        <v>45932.095833333333</v>
      </c>
      <c r="I65" s="5">
        <f>INT(TB[[#This Row],[时间戳]])</f>
        <v>45932</v>
      </c>
      <c r="J65" s="2">
        <f>HOUR(TB[[#This Row],[时间戳]])</f>
        <v>2</v>
      </c>
      <c r="K65">
        <v>6000</v>
      </c>
      <c r="L65">
        <v>5</v>
      </c>
      <c r="M65">
        <f>TB[[#This Row],[售价]]*TB[[#This Row],[销量]]</f>
        <v>30000</v>
      </c>
      <c r="N65" t="str">
        <f>IF(TB[[#This Row],[售价]]&lt;1000,"低价商品",IF(TB[[#This Row],[售价]]&lt;5000,"中价商品",IF(TB[[#This Row],[售价]]&lt;10000,"高价商品","超高价商品")))</f>
        <v>高价商品</v>
      </c>
    </row>
    <row r="66" spans="1:14" x14ac:dyDescent="0.2">
      <c r="A66">
        <v>680</v>
      </c>
      <c r="B66">
        <v>54</v>
      </c>
      <c r="C66" t="s">
        <v>20</v>
      </c>
      <c r="D66" t="s">
        <v>88</v>
      </c>
      <c r="E66" t="s">
        <v>19</v>
      </c>
      <c r="F66">
        <v>3</v>
      </c>
      <c r="G66" t="s">
        <v>13</v>
      </c>
      <c r="H66" s="1">
        <v>45932.101388888892</v>
      </c>
      <c r="I66" s="5">
        <f>INT(TB[[#This Row],[时间戳]])</f>
        <v>45932</v>
      </c>
      <c r="J66" s="2">
        <f>HOUR(TB[[#This Row],[时间戳]])</f>
        <v>2</v>
      </c>
      <c r="K66">
        <v>1705</v>
      </c>
      <c r="L66">
        <v>3</v>
      </c>
      <c r="M66">
        <f>TB[[#This Row],[售价]]*TB[[#This Row],[销量]]</f>
        <v>5115</v>
      </c>
      <c r="N66" t="str">
        <f>IF(TB[[#This Row],[售价]]&lt;1000,"低价商品",IF(TB[[#This Row],[售价]]&lt;5000,"中价商品",IF(TB[[#This Row],[售价]]&lt;10000,"高价商品","超高价商品")))</f>
        <v>中价商品</v>
      </c>
    </row>
    <row r="67" spans="1:14" x14ac:dyDescent="0.2">
      <c r="A67">
        <v>761</v>
      </c>
      <c r="B67">
        <v>284</v>
      </c>
      <c r="C67" t="s">
        <v>14</v>
      </c>
      <c r="D67" t="s">
        <v>89</v>
      </c>
      <c r="E67" t="s">
        <v>22</v>
      </c>
      <c r="F67">
        <v>1</v>
      </c>
      <c r="G67" t="s">
        <v>42</v>
      </c>
      <c r="H67" s="1">
        <v>45932.115972222222</v>
      </c>
      <c r="I67" s="5">
        <f>INT(TB[[#This Row],[时间戳]])</f>
        <v>45932</v>
      </c>
      <c r="J67" s="2">
        <f>HOUR(TB[[#This Row],[时间戳]])</f>
        <v>2</v>
      </c>
      <c r="K67">
        <v>2035</v>
      </c>
      <c r="L67">
        <v>0</v>
      </c>
      <c r="M67">
        <f>TB[[#This Row],[售价]]*TB[[#This Row],[销量]]</f>
        <v>0</v>
      </c>
      <c r="N67" t="str">
        <f>IF(TB[[#This Row],[售价]]&lt;1000,"低价商品",IF(TB[[#This Row],[售价]]&lt;5000,"中价商品",IF(TB[[#This Row],[售价]]&lt;10000,"高价商品","超高价商品")))</f>
        <v>中价商品</v>
      </c>
    </row>
    <row r="68" spans="1:14" x14ac:dyDescent="0.2">
      <c r="A68">
        <v>216</v>
      </c>
      <c r="B68">
        <v>176</v>
      </c>
      <c r="C68" t="s">
        <v>36</v>
      </c>
      <c r="D68" t="s">
        <v>87</v>
      </c>
      <c r="E68" t="s">
        <v>19</v>
      </c>
      <c r="F68">
        <v>3</v>
      </c>
      <c r="G68" t="s">
        <v>13</v>
      </c>
      <c r="H68" s="1">
        <v>45932.118750000001</v>
      </c>
      <c r="I68" s="5">
        <f>INT(TB[[#This Row],[时间戳]])</f>
        <v>45932</v>
      </c>
      <c r="J68" s="2">
        <f>HOUR(TB[[#This Row],[时间戳]])</f>
        <v>2</v>
      </c>
      <c r="K68">
        <v>2712</v>
      </c>
      <c r="L68">
        <v>2</v>
      </c>
      <c r="M68">
        <f>TB[[#This Row],[售价]]*TB[[#This Row],[销量]]</f>
        <v>5424</v>
      </c>
      <c r="N68" t="str">
        <f>IF(TB[[#This Row],[售价]]&lt;1000,"低价商品",IF(TB[[#This Row],[售价]]&lt;5000,"中价商品",IF(TB[[#This Row],[售价]]&lt;10000,"高价商品","超高价商品")))</f>
        <v>中价商品</v>
      </c>
    </row>
    <row r="69" spans="1:14" x14ac:dyDescent="0.2">
      <c r="A69">
        <v>501</v>
      </c>
      <c r="B69">
        <v>129</v>
      </c>
      <c r="C69" t="s">
        <v>36</v>
      </c>
      <c r="D69" t="s">
        <v>90</v>
      </c>
      <c r="E69" t="s">
        <v>16</v>
      </c>
      <c r="F69">
        <v>6</v>
      </c>
      <c r="G69" t="s">
        <v>13</v>
      </c>
      <c r="H69" s="1">
        <v>45932.148611111108</v>
      </c>
      <c r="I69" s="5">
        <f>INT(TB[[#This Row],[时间戳]])</f>
        <v>45932</v>
      </c>
      <c r="J69" s="2">
        <f>HOUR(TB[[#This Row],[时间戳]])</f>
        <v>3</v>
      </c>
      <c r="K69">
        <v>5486</v>
      </c>
      <c r="L69">
        <v>3</v>
      </c>
      <c r="M69">
        <f>TB[[#This Row],[售价]]*TB[[#This Row],[销量]]</f>
        <v>16458</v>
      </c>
      <c r="N69" t="str">
        <f>IF(TB[[#This Row],[售价]]&lt;1000,"低价商品",IF(TB[[#This Row],[售价]]&lt;5000,"中价商品",IF(TB[[#This Row],[售价]]&lt;10000,"高价商品","超高价商品")))</f>
        <v>高价商品</v>
      </c>
    </row>
    <row r="70" spans="1:14" x14ac:dyDescent="0.2">
      <c r="A70">
        <v>46</v>
      </c>
      <c r="B70">
        <v>2</v>
      </c>
      <c r="C70" t="s">
        <v>17</v>
      </c>
      <c r="D70" t="s">
        <v>91</v>
      </c>
      <c r="E70" t="s">
        <v>25</v>
      </c>
      <c r="F70">
        <v>7</v>
      </c>
      <c r="G70" t="s">
        <v>13</v>
      </c>
      <c r="H70" s="1">
        <v>45932.15</v>
      </c>
      <c r="I70" s="5">
        <f>INT(TB[[#This Row],[时间戳]])</f>
        <v>45932</v>
      </c>
      <c r="J70" s="2">
        <f>HOUR(TB[[#This Row],[时间戳]])</f>
        <v>3</v>
      </c>
      <c r="K70">
        <v>1763</v>
      </c>
      <c r="L70">
        <v>1</v>
      </c>
      <c r="M70">
        <f>TB[[#This Row],[售价]]*TB[[#This Row],[销量]]</f>
        <v>1763</v>
      </c>
      <c r="N70" t="str">
        <f>IF(TB[[#This Row],[售价]]&lt;1000,"低价商品",IF(TB[[#This Row],[售价]]&lt;5000,"中价商品",IF(TB[[#This Row],[售价]]&lt;10000,"高价商品","超高价商品")))</f>
        <v>中价商品</v>
      </c>
    </row>
    <row r="71" spans="1:14" x14ac:dyDescent="0.2">
      <c r="A71">
        <v>166</v>
      </c>
      <c r="B71">
        <v>227</v>
      </c>
      <c r="C71" t="s">
        <v>26</v>
      </c>
      <c r="D71" t="s">
        <v>92</v>
      </c>
      <c r="E71" t="s">
        <v>19</v>
      </c>
      <c r="F71">
        <v>3</v>
      </c>
      <c r="G71" t="s">
        <v>42</v>
      </c>
      <c r="H71" s="1">
        <v>45932.229861111111</v>
      </c>
      <c r="I71" s="5">
        <f>INT(TB[[#This Row],[时间戳]])</f>
        <v>45932</v>
      </c>
      <c r="J71" s="2">
        <f>HOUR(TB[[#This Row],[时间戳]])</f>
        <v>5</v>
      </c>
      <c r="K71">
        <v>4426</v>
      </c>
      <c r="L71">
        <v>0</v>
      </c>
      <c r="M71">
        <f>TB[[#This Row],[售价]]*TB[[#This Row],[销量]]</f>
        <v>0</v>
      </c>
      <c r="N71" t="str">
        <f>IF(TB[[#This Row],[售价]]&lt;1000,"低价商品",IF(TB[[#This Row],[售价]]&lt;5000,"中价商品",IF(TB[[#This Row],[售价]]&lt;10000,"高价商品","超高价商品")))</f>
        <v>中价商品</v>
      </c>
    </row>
    <row r="72" spans="1:14" x14ac:dyDescent="0.2">
      <c r="A72">
        <v>10</v>
      </c>
      <c r="B72">
        <v>58</v>
      </c>
      <c r="C72" t="s">
        <v>17</v>
      </c>
      <c r="D72" t="s">
        <v>93</v>
      </c>
      <c r="E72" t="s">
        <v>12</v>
      </c>
      <c r="F72">
        <v>2</v>
      </c>
      <c r="G72" t="s">
        <v>13</v>
      </c>
      <c r="H72" s="1">
        <v>45932.256944444445</v>
      </c>
      <c r="I72" s="5">
        <f>INT(TB[[#This Row],[时间戳]])</f>
        <v>45932</v>
      </c>
      <c r="J72" s="2">
        <f>HOUR(TB[[#This Row],[时间戳]])</f>
        <v>6</v>
      </c>
      <c r="K72">
        <v>13199</v>
      </c>
      <c r="L72">
        <v>1</v>
      </c>
      <c r="M72">
        <f>TB[[#This Row],[售价]]*TB[[#This Row],[销量]]</f>
        <v>13199</v>
      </c>
      <c r="N72" t="str">
        <f>IF(TB[[#This Row],[售价]]&lt;1000,"低价商品",IF(TB[[#This Row],[售价]]&lt;5000,"中价商品",IF(TB[[#This Row],[售价]]&lt;10000,"高价商品","超高价商品")))</f>
        <v>超高价商品</v>
      </c>
    </row>
    <row r="73" spans="1:14" x14ac:dyDescent="0.2">
      <c r="A73">
        <v>37</v>
      </c>
      <c r="B73">
        <v>190</v>
      </c>
      <c r="C73" t="s">
        <v>26</v>
      </c>
      <c r="D73" t="s">
        <v>94</v>
      </c>
      <c r="E73" t="s">
        <v>12</v>
      </c>
      <c r="F73">
        <v>2</v>
      </c>
      <c r="G73" t="s">
        <v>13</v>
      </c>
      <c r="H73" s="1">
        <v>45932.261111111111</v>
      </c>
      <c r="I73" s="5">
        <f>INT(TB[[#This Row],[时间戳]])</f>
        <v>45932</v>
      </c>
      <c r="J73" s="2">
        <f>HOUR(TB[[#This Row],[时间戳]])</f>
        <v>6</v>
      </c>
      <c r="K73">
        <v>5385</v>
      </c>
      <c r="L73">
        <v>2</v>
      </c>
      <c r="M73">
        <f>TB[[#This Row],[售价]]*TB[[#This Row],[销量]]</f>
        <v>10770</v>
      </c>
      <c r="N73" t="str">
        <f>IF(TB[[#This Row],[售价]]&lt;1000,"低价商品",IF(TB[[#This Row],[售价]]&lt;5000,"中价商品",IF(TB[[#This Row],[售价]]&lt;10000,"高价商品","超高价商品")))</f>
        <v>高价商品</v>
      </c>
    </row>
    <row r="74" spans="1:14" x14ac:dyDescent="0.2">
      <c r="A74">
        <v>131</v>
      </c>
      <c r="B74">
        <v>22</v>
      </c>
      <c r="C74" t="s">
        <v>26</v>
      </c>
      <c r="D74" t="s">
        <v>95</v>
      </c>
      <c r="E74" t="s">
        <v>22</v>
      </c>
      <c r="F74">
        <v>1</v>
      </c>
      <c r="G74" t="s">
        <v>13</v>
      </c>
      <c r="H74" s="1">
        <v>45932.261111111111</v>
      </c>
      <c r="I74" s="5">
        <f>INT(TB[[#This Row],[时间戳]])</f>
        <v>45932</v>
      </c>
      <c r="J74" s="2">
        <f>HOUR(TB[[#This Row],[时间戳]])</f>
        <v>6</v>
      </c>
      <c r="K74">
        <v>5853</v>
      </c>
      <c r="L74">
        <v>4</v>
      </c>
      <c r="M74">
        <f>TB[[#This Row],[售价]]*TB[[#This Row],[销量]]</f>
        <v>23412</v>
      </c>
      <c r="N74" t="str">
        <f>IF(TB[[#This Row],[售价]]&lt;1000,"低价商品",IF(TB[[#This Row],[售价]]&lt;5000,"中价商品",IF(TB[[#This Row],[售价]]&lt;10000,"高价商品","超高价商品")))</f>
        <v>高价商品</v>
      </c>
    </row>
    <row r="75" spans="1:14" x14ac:dyDescent="0.2">
      <c r="A75">
        <v>216</v>
      </c>
      <c r="B75">
        <v>128</v>
      </c>
      <c r="C75" t="s">
        <v>10</v>
      </c>
      <c r="D75" t="s">
        <v>96</v>
      </c>
      <c r="E75" t="s">
        <v>22</v>
      </c>
      <c r="F75">
        <v>1</v>
      </c>
      <c r="G75" t="s">
        <v>42</v>
      </c>
      <c r="H75" s="1">
        <v>45932.292361111111</v>
      </c>
      <c r="I75" s="5">
        <f>INT(TB[[#This Row],[时间戳]])</f>
        <v>45932</v>
      </c>
      <c r="J75" s="2">
        <f>HOUR(TB[[#This Row],[时间戳]])</f>
        <v>7</v>
      </c>
      <c r="K75">
        <v>3511</v>
      </c>
      <c r="L75">
        <v>0</v>
      </c>
      <c r="M75">
        <f>TB[[#This Row],[售价]]*TB[[#This Row],[销量]]</f>
        <v>0</v>
      </c>
      <c r="N75" t="str">
        <f>IF(TB[[#This Row],[售价]]&lt;1000,"低价商品",IF(TB[[#This Row],[售价]]&lt;5000,"中价商品",IF(TB[[#This Row],[售价]]&lt;10000,"高价商品","超高价商品")))</f>
        <v>中价商品</v>
      </c>
    </row>
    <row r="76" spans="1:14" x14ac:dyDescent="0.2">
      <c r="A76">
        <v>636</v>
      </c>
      <c r="B76">
        <v>80</v>
      </c>
      <c r="C76" t="s">
        <v>20</v>
      </c>
      <c r="D76" t="s">
        <v>97</v>
      </c>
      <c r="E76" t="s">
        <v>19</v>
      </c>
      <c r="F76">
        <v>3</v>
      </c>
      <c r="G76" t="s">
        <v>13</v>
      </c>
      <c r="H76" s="1">
        <v>45932.31527777778</v>
      </c>
      <c r="I76" s="5">
        <f>INT(TB[[#This Row],[时间戳]])</f>
        <v>45932</v>
      </c>
      <c r="J76" s="2">
        <f>HOUR(TB[[#This Row],[时间戳]])</f>
        <v>7</v>
      </c>
      <c r="K76">
        <v>2323</v>
      </c>
      <c r="L76">
        <v>2</v>
      </c>
      <c r="M76">
        <f>TB[[#This Row],[售价]]*TB[[#This Row],[销量]]</f>
        <v>4646</v>
      </c>
      <c r="N76" t="str">
        <f>IF(TB[[#This Row],[售价]]&lt;1000,"低价商品",IF(TB[[#This Row],[售价]]&lt;5000,"中价商品",IF(TB[[#This Row],[售价]]&lt;10000,"高价商品","超高价商品")))</f>
        <v>中价商品</v>
      </c>
    </row>
    <row r="77" spans="1:14" x14ac:dyDescent="0.2">
      <c r="A77">
        <v>26</v>
      </c>
      <c r="B77">
        <v>92</v>
      </c>
      <c r="C77" t="s">
        <v>26</v>
      </c>
      <c r="D77" t="s">
        <v>95</v>
      </c>
      <c r="E77" t="s">
        <v>22</v>
      </c>
      <c r="F77">
        <v>1</v>
      </c>
      <c r="G77" t="s">
        <v>13</v>
      </c>
      <c r="H77" s="1">
        <v>45932.338888888888</v>
      </c>
      <c r="I77" s="5">
        <f>INT(TB[[#This Row],[时间戳]])</f>
        <v>45932</v>
      </c>
      <c r="J77" s="2">
        <f>HOUR(TB[[#This Row],[时间戳]])</f>
        <v>8</v>
      </c>
      <c r="K77">
        <v>2822</v>
      </c>
      <c r="L77">
        <v>1</v>
      </c>
      <c r="M77">
        <f>TB[[#This Row],[售价]]*TB[[#This Row],[销量]]</f>
        <v>2822</v>
      </c>
      <c r="N77" t="str">
        <f>IF(TB[[#This Row],[售价]]&lt;1000,"低价商品",IF(TB[[#This Row],[售价]]&lt;5000,"中价商品",IF(TB[[#This Row],[售价]]&lt;10000,"高价商品","超高价商品")))</f>
        <v>中价商品</v>
      </c>
    </row>
    <row r="78" spans="1:14" x14ac:dyDescent="0.2">
      <c r="A78">
        <v>753</v>
      </c>
      <c r="B78">
        <v>128</v>
      </c>
      <c r="C78" t="s">
        <v>17</v>
      </c>
      <c r="D78" t="s">
        <v>98</v>
      </c>
      <c r="E78" t="s">
        <v>22</v>
      </c>
      <c r="F78">
        <v>1</v>
      </c>
      <c r="G78" t="s">
        <v>13</v>
      </c>
      <c r="H78" s="1">
        <v>45932.365972222222</v>
      </c>
      <c r="I78" s="5">
        <f>INT(TB[[#This Row],[时间戳]])</f>
        <v>45932</v>
      </c>
      <c r="J78" s="2">
        <f>HOUR(TB[[#This Row],[时间戳]])</f>
        <v>8</v>
      </c>
      <c r="K78">
        <v>7003</v>
      </c>
      <c r="L78">
        <v>1</v>
      </c>
      <c r="M78">
        <f>TB[[#This Row],[售价]]*TB[[#This Row],[销量]]</f>
        <v>7003</v>
      </c>
      <c r="N78" t="str">
        <f>IF(TB[[#This Row],[售价]]&lt;1000,"低价商品",IF(TB[[#This Row],[售价]]&lt;5000,"中价商品",IF(TB[[#This Row],[售价]]&lt;10000,"高价商品","超高价商品")))</f>
        <v>高价商品</v>
      </c>
    </row>
    <row r="79" spans="1:14" x14ac:dyDescent="0.2">
      <c r="A79">
        <v>40</v>
      </c>
      <c r="B79">
        <v>241</v>
      </c>
      <c r="C79" t="s">
        <v>14</v>
      </c>
      <c r="D79" t="s">
        <v>99</v>
      </c>
      <c r="E79" t="s">
        <v>39</v>
      </c>
      <c r="F79">
        <v>5</v>
      </c>
      <c r="G79" t="s">
        <v>13</v>
      </c>
      <c r="H79" s="1">
        <v>45932.367361111108</v>
      </c>
      <c r="I79" s="5">
        <f>INT(TB[[#This Row],[时间戳]])</f>
        <v>45932</v>
      </c>
      <c r="J79" s="2">
        <f>HOUR(TB[[#This Row],[时间戳]])</f>
        <v>8</v>
      </c>
      <c r="K79">
        <v>1773</v>
      </c>
      <c r="L79">
        <v>2</v>
      </c>
      <c r="M79">
        <f>TB[[#This Row],[售价]]*TB[[#This Row],[销量]]</f>
        <v>3546</v>
      </c>
      <c r="N79" t="str">
        <f>IF(TB[[#This Row],[售价]]&lt;1000,"低价商品",IF(TB[[#This Row],[售价]]&lt;5000,"中价商品",IF(TB[[#This Row],[售价]]&lt;10000,"高价商品","超高价商品")))</f>
        <v>中价商品</v>
      </c>
    </row>
    <row r="80" spans="1:14" x14ac:dyDescent="0.2">
      <c r="A80">
        <v>313</v>
      </c>
      <c r="B80">
        <v>117</v>
      </c>
      <c r="C80" t="s">
        <v>44</v>
      </c>
      <c r="D80" t="s">
        <v>100</v>
      </c>
      <c r="E80" t="s">
        <v>19</v>
      </c>
      <c r="F80">
        <v>3</v>
      </c>
      <c r="G80" t="s">
        <v>13</v>
      </c>
      <c r="H80" s="1">
        <v>45932.375694444447</v>
      </c>
      <c r="I80" s="5">
        <f>INT(TB[[#This Row],[时间戳]])</f>
        <v>45932</v>
      </c>
      <c r="J80" s="2">
        <f>HOUR(TB[[#This Row],[时间戳]])</f>
        <v>9</v>
      </c>
      <c r="K80">
        <v>3224</v>
      </c>
      <c r="L80">
        <v>2</v>
      </c>
      <c r="M80">
        <f>TB[[#This Row],[售价]]*TB[[#This Row],[销量]]</f>
        <v>6448</v>
      </c>
      <c r="N80" t="str">
        <f>IF(TB[[#This Row],[售价]]&lt;1000,"低价商品",IF(TB[[#This Row],[售价]]&lt;5000,"中价商品",IF(TB[[#This Row],[售价]]&lt;10000,"高价商品","超高价商品")))</f>
        <v>中价商品</v>
      </c>
    </row>
    <row r="81" spans="1:14" x14ac:dyDescent="0.2">
      <c r="A81">
        <v>337</v>
      </c>
      <c r="B81">
        <v>143</v>
      </c>
      <c r="C81" t="s">
        <v>32</v>
      </c>
      <c r="D81" t="s">
        <v>101</v>
      </c>
      <c r="E81" t="s">
        <v>39</v>
      </c>
      <c r="F81">
        <v>5</v>
      </c>
      <c r="G81" t="s">
        <v>42</v>
      </c>
      <c r="H81" s="1">
        <v>45932.37777777778</v>
      </c>
      <c r="I81" s="5">
        <f>INT(TB[[#This Row],[时间戳]])</f>
        <v>45932</v>
      </c>
      <c r="J81" s="2">
        <f>HOUR(TB[[#This Row],[时间戳]])</f>
        <v>9</v>
      </c>
      <c r="K81">
        <v>1525</v>
      </c>
      <c r="L81">
        <v>0</v>
      </c>
      <c r="M81">
        <f>TB[[#This Row],[售价]]*TB[[#This Row],[销量]]</f>
        <v>0</v>
      </c>
      <c r="N81" t="str">
        <f>IF(TB[[#This Row],[售价]]&lt;1000,"低价商品",IF(TB[[#This Row],[售价]]&lt;5000,"中价商品",IF(TB[[#This Row],[售价]]&lt;10000,"高价商品","超高价商品")))</f>
        <v>中价商品</v>
      </c>
    </row>
    <row r="82" spans="1:14" x14ac:dyDescent="0.2">
      <c r="A82">
        <v>657</v>
      </c>
      <c r="B82">
        <v>261</v>
      </c>
      <c r="C82" t="s">
        <v>36</v>
      </c>
      <c r="D82" t="s">
        <v>102</v>
      </c>
      <c r="E82" t="s">
        <v>19</v>
      </c>
      <c r="F82">
        <v>3</v>
      </c>
      <c r="G82" t="s">
        <v>13</v>
      </c>
      <c r="H82" s="1">
        <v>45932.414583333331</v>
      </c>
      <c r="I82" s="5">
        <f>INT(TB[[#This Row],[时间戳]])</f>
        <v>45932</v>
      </c>
      <c r="J82" s="2">
        <f>HOUR(TB[[#This Row],[时间戳]])</f>
        <v>9</v>
      </c>
      <c r="K82">
        <v>2263</v>
      </c>
      <c r="L82">
        <v>2</v>
      </c>
      <c r="M82">
        <f>TB[[#This Row],[售价]]*TB[[#This Row],[销量]]</f>
        <v>4526</v>
      </c>
      <c r="N82" t="str">
        <f>IF(TB[[#This Row],[售价]]&lt;1000,"低价商品",IF(TB[[#This Row],[售价]]&lt;5000,"中价商品",IF(TB[[#This Row],[售价]]&lt;10000,"高价商品","超高价商品")))</f>
        <v>中价商品</v>
      </c>
    </row>
    <row r="83" spans="1:14" x14ac:dyDescent="0.2">
      <c r="A83">
        <v>29</v>
      </c>
      <c r="B83">
        <v>60</v>
      </c>
      <c r="C83" t="s">
        <v>20</v>
      </c>
      <c r="D83" t="s">
        <v>103</v>
      </c>
      <c r="E83" t="s">
        <v>16</v>
      </c>
      <c r="F83">
        <v>6</v>
      </c>
      <c r="G83" t="s">
        <v>42</v>
      </c>
      <c r="H83" s="1">
        <v>45932.432638888888</v>
      </c>
      <c r="I83" s="5">
        <f>INT(TB[[#This Row],[时间戳]])</f>
        <v>45932</v>
      </c>
      <c r="J83" s="2">
        <f>HOUR(TB[[#This Row],[时间戳]])</f>
        <v>10</v>
      </c>
      <c r="K83">
        <v>8695</v>
      </c>
      <c r="L83">
        <v>0</v>
      </c>
      <c r="M83">
        <f>TB[[#This Row],[售价]]*TB[[#This Row],[销量]]</f>
        <v>0</v>
      </c>
      <c r="N83" t="str">
        <f>IF(TB[[#This Row],[售价]]&lt;1000,"低价商品",IF(TB[[#This Row],[售价]]&lt;5000,"中价商品",IF(TB[[#This Row],[售价]]&lt;10000,"高价商品","超高价商品")))</f>
        <v>高价商品</v>
      </c>
    </row>
    <row r="84" spans="1:14" x14ac:dyDescent="0.2">
      <c r="A84">
        <v>40</v>
      </c>
      <c r="B84">
        <v>56</v>
      </c>
      <c r="C84" t="s">
        <v>46</v>
      </c>
      <c r="D84" t="s">
        <v>104</v>
      </c>
      <c r="E84" t="s">
        <v>12</v>
      </c>
      <c r="F84">
        <v>2</v>
      </c>
      <c r="G84" t="s">
        <v>13</v>
      </c>
      <c r="H84" s="1">
        <v>45932.44027777778</v>
      </c>
      <c r="I84" s="5">
        <f>INT(TB[[#This Row],[时间戳]])</f>
        <v>45932</v>
      </c>
      <c r="J84" s="2">
        <f>HOUR(TB[[#This Row],[时间戳]])</f>
        <v>10</v>
      </c>
      <c r="K84">
        <v>8170</v>
      </c>
      <c r="L84">
        <v>4</v>
      </c>
      <c r="M84">
        <f>TB[[#This Row],[售价]]*TB[[#This Row],[销量]]</f>
        <v>32680</v>
      </c>
      <c r="N84" t="str">
        <f>IF(TB[[#This Row],[售价]]&lt;1000,"低价商品",IF(TB[[#This Row],[售价]]&lt;5000,"中价商品",IF(TB[[#This Row],[售价]]&lt;10000,"高价商品","超高价商品")))</f>
        <v>高价商品</v>
      </c>
    </row>
    <row r="85" spans="1:14" x14ac:dyDescent="0.2">
      <c r="A85">
        <v>322</v>
      </c>
      <c r="B85">
        <v>224</v>
      </c>
      <c r="C85" t="s">
        <v>34</v>
      </c>
      <c r="D85" t="s">
        <v>105</v>
      </c>
      <c r="E85" t="s">
        <v>12</v>
      </c>
      <c r="F85">
        <v>2</v>
      </c>
      <c r="G85" t="s">
        <v>42</v>
      </c>
      <c r="H85" s="1">
        <v>45932.440972222219</v>
      </c>
      <c r="I85" s="5">
        <f>INT(TB[[#This Row],[时间戳]])</f>
        <v>45932</v>
      </c>
      <c r="J85" s="2">
        <f>HOUR(TB[[#This Row],[时间戳]])</f>
        <v>10</v>
      </c>
      <c r="K85">
        <v>13796</v>
      </c>
      <c r="L85">
        <v>0</v>
      </c>
      <c r="M85">
        <f>TB[[#This Row],[售价]]*TB[[#This Row],[销量]]</f>
        <v>0</v>
      </c>
      <c r="N85" t="str">
        <f>IF(TB[[#This Row],[售价]]&lt;1000,"低价商品",IF(TB[[#This Row],[售价]]&lt;5000,"中价商品",IF(TB[[#This Row],[售价]]&lt;10000,"高价商品","超高价商品")))</f>
        <v>超高价商品</v>
      </c>
    </row>
    <row r="86" spans="1:14" x14ac:dyDescent="0.2">
      <c r="A86">
        <v>591</v>
      </c>
      <c r="B86">
        <v>98</v>
      </c>
      <c r="C86" t="s">
        <v>14</v>
      </c>
      <c r="D86" t="s">
        <v>106</v>
      </c>
      <c r="E86" t="s">
        <v>22</v>
      </c>
      <c r="F86">
        <v>1</v>
      </c>
      <c r="G86" t="s">
        <v>13</v>
      </c>
      <c r="H86" s="1">
        <v>45932.447916666664</v>
      </c>
      <c r="I86" s="5">
        <f>INT(TB[[#This Row],[时间戳]])</f>
        <v>45932</v>
      </c>
      <c r="J86" s="2">
        <f>HOUR(TB[[#This Row],[时间戳]])</f>
        <v>10</v>
      </c>
      <c r="K86">
        <v>6027</v>
      </c>
      <c r="L86">
        <v>1</v>
      </c>
      <c r="M86">
        <f>TB[[#This Row],[售价]]*TB[[#This Row],[销量]]</f>
        <v>6027</v>
      </c>
      <c r="N86" t="str">
        <f>IF(TB[[#This Row],[售价]]&lt;1000,"低价商品",IF(TB[[#This Row],[售价]]&lt;5000,"中价商品",IF(TB[[#This Row],[售价]]&lt;10000,"高价商品","超高价商品")))</f>
        <v>高价商品</v>
      </c>
    </row>
    <row r="87" spans="1:14" x14ac:dyDescent="0.2">
      <c r="A87">
        <v>533</v>
      </c>
      <c r="B87">
        <v>276</v>
      </c>
      <c r="C87" t="s">
        <v>17</v>
      </c>
      <c r="D87" t="s">
        <v>28</v>
      </c>
      <c r="E87" t="s">
        <v>12</v>
      </c>
      <c r="F87">
        <v>2</v>
      </c>
      <c r="G87" t="s">
        <v>13</v>
      </c>
      <c r="H87" s="1">
        <v>45932.455555555556</v>
      </c>
      <c r="I87" s="5">
        <f>INT(TB[[#This Row],[时间戳]])</f>
        <v>45932</v>
      </c>
      <c r="J87" s="2">
        <f>HOUR(TB[[#This Row],[时间戳]])</f>
        <v>10</v>
      </c>
      <c r="K87">
        <v>7995</v>
      </c>
      <c r="L87">
        <v>2</v>
      </c>
      <c r="M87">
        <f>TB[[#This Row],[售价]]*TB[[#This Row],[销量]]</f>
        <v>15990</v>
      </c>
      <c r="N87" t="str">
        <f>IF(TB[[#This Row],[售价]]&lt;1000,"低价商品",IF(TB[[#This Row],[售价]]&lt;5000,"中价商品",IF(TB[[#This Row],[售价]]&lt;10000,"高价商品","超高价商品")))</f>
        <v>高价商品</v>
      </c>
    </row>
    <row r="88" spans="1:14" x14ac:dyDescent="0.2">
      <c r="A88">
        <v>442</v>
      </c>
      <c r="B88">
        <v>36</v>
      </c>
      <c r="C88" t="s">
        <v>32</v>
      </c>
      <c r="D88" t="s">
        <v>107</v>
      </c>
      <c r="E88" t="s">
        <v>31</v>
      </c>
      <c r="F88">
        <v>4</v>
      </c>
      <c r="G88" t="s">
        <v>13</v>
      </c>
      <c r="H88" s="1">
        <v>45932.479166666664</v>
      </c>
      <c r="I88" s="5">
        <f>INT(TB[[#This Row],[时间戳]])</f>
        <v>45932</v>
      </c>
      <c r="J88" s="2">
        <f>HOUR(TB[[#This Row],[时间戳]])</f>
        <v>11</v>
      </c>
      <c r="K88">
        <v>1500</v>
      </c>
      <c r="L88">
        <v>1</v>
      </c>
      <c r="M88">
        <f>TB[[#This Row],[售价]]*TB[[#This Row],[销量]]</f>
        <v>1500</v>
      </c>
      <c r="N88" t="str">
        <f>IF(TB[[#This Row],[售价]]&lt;1000,"低价商品",IF(TB[[#This Row],[售价]]&lt;5000,"中价商品",IF(TB[[#This Row],[售价]]&lt;10000,"高价商品","超高价商品")))</f>
        <v>中价商品</v>
      </c>
    </row>
    <row r="89" spans="1:14" x14ac:dyDescent="0.2">
      <c r="A89">
        <v>738</v>
      </c>
      <c r="B89">
        <v>154</v>
      </c>
      <c r="C89" t="s">
        <v>34</v>
      </c>
      <c r="D89" t="s">
        <v>108</v>
      </c>
      <c r="E89" t="s">
        <v>19</v>
      </c>
      <c r="F89">
        <v>3</v>
      </c>
      <c r="G89" t="s">
        <v>13</v>
      </c>
      <c r="H89" s="1">
        <v>45932.497916666667</v>
      </c>
      <c r="I89" s="5">
        <f>INT(TB[[#This Row],[时间戳]])</f>
        <v>45932</v>
      </c>
      <c r="J89" s="2">
        <f>HOUR(TB[[#This Row],[时间戳]])</f>
        <v>11</v>
      </c>
      <c r="K89">
        <v>4323</v>
      </c>
      <c r="L89">
        <v>1</v>
      </c>
      <c r="M89">
        <f>TB[[#This Row],[售价]]*TB[[#This Row],[销量]]</f>
        <v>4323</v>
      </c>
      <c r="N89" t="str">
        <f>IF(TB[[#This Row],[售价]]&lt;1000,"低价商品",IF(TB[[#This Row],[售价]]&lt;5000,"中价商品",IF(TB[[#This Row],[售价]]&lt;10000,"高价商品","超高价商品")))</f>
        <v>中价商品</v>
      </c>
    </row>
    <row r="90" spans="1:14" x14ac:dyDescent="0.2">
      <c r="A90">
        <v>413</v>
      </c>
      <c r="B90">
        <v>152</v>
      </c>
      <c r="C90" t="s">
        <v>17</v>
      </c>
      <c r="D90" t="s">
        <v>109</v>
      </c>
      <c r="E90" t="s">
        <v>12</v>
      </c>
      <c r="F90">
        <v>2</v>
      </c>
      <c r="G90" t="s">
        <v>13</v>
      </c>
      <c r="H90" s="1">
        <v>45932.538194444445</v>
      </c>
      <c r="I90" s="5">
        <f>INT(TB[[#This Row],[时间戳]])</f>
        <v>45932</v>
      </c>
      <c r="J90" s="2">
        <f>HOUR(TB[[#This Row],[时间戳]])</f>
        <v>12</v>
      </c>
      <c r="K90">
        <v>12266</v>
      </c>
      <c r="L90">
        <v>2</v>
      </c>
      <c r="M90">
        <f>TB[[#This Row],[售价]]*TB[[#This Row],[销量]]</f>
        <v>24532</v>
      </c>
      <c r="N90" t="str">
        <f>IF(TB[[#This Row],[售价]]&lt;1000,"低价商品",IF(TB[[#This Row],[售价]]&lt;5000,"中价商品",IF(TB[[#This Row],[售价]]&lt;10000,"高价商品","超高价商品")))</f>
        <v>超高价商品</v>
      </c>
    </row>
    <row r="91" spans="1:14" x14ac:dyDescent="0.2">
      <c r="A91">
        <v>681</v>
      </c>
      <c r="B91">
        <v>195</v>
      </c>
      <c r="C91" t="s">
        <v>32</v>
      </c>
      <c r="D91" t="s">
        <v>110</v>
      </c>
      <c r="E91" t="s">
        <v>25</v>
      </c>
      <c r="F91">
        <v>7</v>
      </c>
      <c r="G91" t="s">
        <v>13</v>
      </c>
      <c r="H91" s="1">
        <v>45932.55</v>
      </c>
      <c r="I91" s="5">
        <f>INT(TB[[#This Row],[时间戳]])</f>
        <v>45932</v>
      </c>
      <c r="J91" s="2">
        <f>HOUR(TB[[#This Row],[时间戳]])</f>
        <v>13</v>
      </c>
      <c r="K91">
        <v>5906</v>
      </c>
      <c r="L91">
        <v>3</v>
      </c>
      <c r="M91">
        <f>TB[[#This Row],[售价]]*TB[[#This Row],[销量]]</f>
        <v>17718</v>
      </c>
      <c r="N91" t="str">
        <f>IF(TB[[#This Row],[售价]]&lt;1000,"低价商品",IF(TB[[#This Row],[售价]]&lt;5000,"中价商品",IF(TB[[#This Row],[售价]]&lt;10000,"高价商品","超高价商品")))</f>
        <v>高价商品</v>
      </c>
    </row>
    <row r="92" spans="1:14" x14ac:dyDescent="0.2">
      <c r="A92">
        <v>416</v>
      </c>
      <c r="B92">
        <v>281</v>
      </c>
      <c r="C92" t="s">
        <v>46</v>
      </c>
      <c r="D92" t="s">
        <v>111</v>
      </c>
      <c r="E92" t="s">
        <v>16</v>
      </c>
      <c r="F92">
        <v>6</v>
      </c>
      <c r="G92" t="s">
        <v>42</v>
      </c>
      <c r="H92" s="1">
        <v>45932.552083333336</v>
      </c>
      <c r="I92" s="5">
        <f>INT(TB[[#This Row],[时间戳]])</f>
        <v>45932</v>
      </c>
      <c r="J92" s="2">
        <f>HOUR(TB[[#This Row],[时间戳]])</f>
        <v>13</v>
      </c>
      <c r="K92">
        <v>4966</v>
      </c>
      <c r="L92">
        <v>0</v>
      </c>
      <c r="M92">
        <f>TB[[#This Row],[售价]]*TB[[#This Row],[销量]]</f>
        <v>0</v>
      </c>
      <c r="N92" t="str">
        <f>IF(TB[[#This Row],[售价]]&lt;1000,"低价商品",IF(TB[[#This Row],[售价]]&lt;5000,"中价商品",IF(TB[[#This Row],[售价]]&lt;10000,"高价商品","超高价商品")))</f>
        <v>中价商品</v>
      </c>
    </row>
    <row r="93" spans="1:14" x14ac:dyDescent="0.2">
      <c r="A93">
        <v>216</v>
      </c>
      <c r="B93">
        <v>221</v>
      </c>
      <c r="C93" t="s">
        <v>36</v>
      </c>
      <c r="D93" t="s">
        <v>112</v>
      </c>
      <c r="E93" t="s">
        <v>22</v>
      </c>
      <c r="F93">
        <v>1</v>
      </c>
      <c r="G93" t="s">
        <v>13</v>
      </c>
      <c r="H93" s="1">
        <v>45932.574999999997</v>
      </c>
      <c r="I93" s="5">
        <f>INT(TB[[#This Row],[时间戳]])</f>
        <v>45932</v>
      </c>
      <c r="J93" s="2">
        <f>HOUR(TB[[#This Row],[时间戳]])</f>
        <v>13</v>
      </c>
      <c r="K93">
        <v>7629</v>
      </c>
      <c r="L93">
        <v>3</v>
      </c>
      <c r="M93">
        <f>TB[[#This Row],[售价]]*TB[[#This Row],[销量]]</f>
        <v>22887</v>
      </c>
      <c r="N93" t="str">
        <f>IF(TB[[#This Row],[售价]]&lt;1000,"低价商品",IF(TB[[#This Row],[售价]]&lt;5000,"中价商品",IF(TB[[#This Row],[售价]]&lt;10000,"高价商品","超高价商品")))</f>
        <v>高价商品</v>
      </c>
    </row>
    <row r="94" spans="1:14" x14ac:dyDescent="0.2">
      <c r="A94">
        <v>453</v>
      </c>
      <c r="B94">
        <v>227</v>
      </c>
      <c r="C94" t="s">
        <v>34</v>
      </c>
      <c r="D94" t="s">
        <v>57</v>
      </c>
      <c r="E94" t="s">
        <v>12</v>
      </c>
      <c r="F94">
        <v>2</v>
      </c>
      <c r="G94" t="s">
        <v>13</v>
      </c>
      <c r="H94" s="1">
        <v>45932.601388888892</v>
      </c>
      <c r="I94" s="5">
        <f>INT(TB[[#This Row],[时间戳]])</f>
        <v>45932</v>
      </c>
      <c r="J94" s="2">
        <f>HOUR(TB[[#This Row],[时间戳]])</f>
        <v>14</v>
      </c>
      <c r="K94">
        <v>13612</v>
      </c>
      <c r="L94">
        <v>4</v>
      </c>
      <c r="M94">
        <f>TB[[#This Row],[售价]]*TB[[#This Row],[销量]]</f>
        <v>54448</v>
      </c>
      <c r="N94" t="str">
        <f>IF(TB[[#This Row],[售价]]&lt;1000,"低价商品",IF(TB[[#This Row],[售价]]&lt;5000,"中价商品",IF(TB[[#This Row],[售价]]&lt;10000,"高价商品","超高价商品")))</f>
        <v>超高价商品</v>
      </c>
    </row>
    <row r="95" spans="1:14" x14ac:dyDescent="0.2">
      <c r="A95">
        <v>754</v>
      </c>
      <c r="B95">
        <v>87</v>
      </c>
      <c r="C95" t="s">
        <v>20</v>
      </c>
      <c r="D95" t="s">
        <v>113</v>
      </c>
      <c r="E95" t="s">
        <v>31</v>
      </c>
      <c r="F95">
        <v>4</v>
      </c>
      <c r="G95" t="s">
        <v>13</v>
      </c>
      <c r="H95" s="1">
        <v>45932.616666666669</v>
      </c>
      <c r="I95" s="5">
        <f>INT(TB[[#This Row],[时间戳]])</f>
        <v>45932</v>
      </c>
      <c r="J95" s="2">
        <f>HOUR(TB[[#This Row],[时间戳]])</f>
        <v>14</v>
      </c>
      <c r="K95">
        <v>1342</v>
      </c>
      <c r="L95">
        <v>2</v>
      </c>
      <c r="M95">
        <f>TB[[#This Row],[售价]]*TB[[#This Row],[销量]]</f>
        <v>2684</v>
      </c>
      <c r="N95" t="str">
        <f>IF(TB[[#This Row],[售价]]&lt;1000,"低价商品",IF(TB[[#This Row],[售价]]&lt;5000,"中价商品",IF(TB[[#This Row],[售价]]&lt;10000,"高价商品","超高价商品")))</f>
        <v>中价商品</v>
      </c>
    </row>
    <row r="96" spans="1:14" x14ac:dyDescent="0.2">
      <c r="A96">
        <v>680</v>
      </c>
      <c r="B96">
        <v>172</v>
      </c>
      <c r="C96" t="s">
        <v>36</v>
      </c>
      <c r="D96" t="s">
        <v>114</v>
      </c>
      <c r="E96" t="s">
        <v>25</v>
      </c>
      <c r="F96">
        <v>7</v>
      </c>
      <c r="G96" t="s">
        <v>42</v>
      </c>
      <c r="H96" s="1">
        <v>45932.643750000003</v>
      </c>
      <c r="I96" s="5">
        <f>INT(TB[[#This Row],[时间戳]])</f>
        <v>45932</v>
      </c>
      <c r="J96" s="2">
        <f>HOUR(TB[[#This Row],[时间戳]])</f>
        <v>15</v>
      </c>
      <c r="K96">
        <v>6740</v>
      </c>
      <c r="L96">
        <v>0</v>
      </c>
      <c r="M96">
        <f>TB[[#This Row],[售价]]*TB[[#This Row],[销量]]</f>
        <v>0</v>
      </c>
      <c r="N96" t="str">
        <f>IF(TB[[#This Row],[售价]]&lt;1000,"低价商品",IF(TB[[#This Row],[售价]]&lt;5000,"中价商品",IF(TB[[#This Row],[售价]]&lt;10000,"高价商品","超高价商品")))</f>
        <v>高价商品</v>
      </c>
    </row>
    <row r="97" spans="1:14" x14ac:dyDescent="0.2">
      <c r="A97">
        <v>231</v>
      </c>
      <c r="B97">
        <v>102</v>
      </c>
      <c r="C97" t="s">
        <v>32</v>
      </c>
      <c r="D97" t="s">
        <v>115</v>
      </c>
      <c r="E97" t="s">
        <v>19</v>
      </c>
      <c r="F97">
        <v>3</v>
      </c>
      <c r="G97" t="s">
        <v>13</v>
      </c>
      <c r="H97" s="1">
        <v>45932.65625</v>
      </c>
      <c r="I97" s="5">
        <f>INT(TB[[#This Row],[时间戳]])</f>
        <v>45932</v>
      </c>
      <c r="J97" s="2">
        <f>HOUR(TB[[#This Row],[时间戳]])</f>
        <v>15</v>
      </c>
      <c r="K97">
        <v>2449</v>
      </c>
      <c r="L97">
        <v>1</v>
      </c>
      <c r="M97">
        <f>TB[[#This Row],[售价]]*TB[[#This Row],[销量]]</f>
        <v>2449</v>
      </c>
      <c r="N97" t="str">
        <f>IF(TB[[#This Row],[售价]]&lt;1000,"低价商品",IF(TB[[#This Row],[售价]]&lt;5000,"中价商品",IF(TB[[#This Row],[售价]]&lt;10000,"高价商品","超高价商品")))</f>
        <v>中价商品</v>
      </c>
    </row>
    <row r="98" spans="1:14" x14ac:dyDescent="0.2">
      <c r="A98">
        <v>487</v>
      </c>
      <c r="B98">
        <v>38</v>
      </c>
      <c r="C98" t="s">
        <v>10</v>
      </c>
      <c r="D98" t="s">
        <v>116</v>
      </c>
      <c r="E98" t="s">
        <v>31</v>
      </c>
      <c r="F98">
        <v>4</v>
      </c>
      <c r="G98" t="s">
        <v>13</v>
      </c>
      <c r="H98" s="1">
        <v>45932.670138888891</v>
      </c>
      <c r="I98" s="5">
        <f>INT(TB[[#This Row],[时间戳]])</f>
        <v>45932</v>
      </c>
      <c r="J98" s="2">
        <f>HOUR(TB[[#This Row],[时间戳]])</f>
        <v>16</v>
      </c>
      <c r="K98">
        <v>163</v>
      </c>
      <c r="L98">
        <v>4</v>
      </c>
      <c r="M98">
        <f>TB[[#This Row],[售价]]*TB[[#This Row],[销量]]</f>
        <v>652</v>
      </c>
      <c r="N98" t="str">
        <f>IF(TB[[#This Row],[售价]]&lt;1000,"低价商品",IF(TB[[#This Row],[售价]]&lt;5000,"中价商品",IF(TB[[#This Row],[售价]]&lt;10000,"高价商品","超高价商品")))</f>
        <v>低价商品</v>
      </c>
    </row>
    <row r="99" spans="1:14" x14ac:dyDescent="0.2">
      <c r="A99">
        <v>736</v>
      </c>
      <c r="B99">
        <v>197</v>
      </c>
      <c r="C99" t="s">
        <v>46</v>
      </c>
      <c r="D99" t="s">
        <v>117</v>
      </c>
      <c r="E99" t="s">
        <v>39</v>
      </c>
      <c r="F99">
        <v>5</v>
      </c>
      <c r="G99" t="s">
        <v>13</v>
      </c>
      <c r="H99" s="1">
        <v>45932.680555555555</v>
      </c>
      <c r="I99" s="5">
        <f>INT(TB[[#This Row],[时间戳]])</f>
        <v>45932</v>
      </c>
      <c r="J99" s="2">
        <f>HOUR(TB[[#This Row],[时间戳]])</f>
        <v>16</v>
      </c>
      <c r="K99">
        <v>2677</v>
      </c>
      <c r="L99">
        <v>2</v>
      </c>
      <c r="M99">
        <f>TB[[#This Row],[售价]]*TB[[#This Row],[销量]]</f>
        <v>5354</v>
      </c>
      <c r="N99" t="str">
        <f>IF(TB[[#This Row],[售价]]&lt;1000,"低价商品",IF(TB[[#This Row],[售价]]&lt;5000,"中价商品",IF(TB[[#This Row],[售价]]&lt;10000,"高价商品","超高价商品")))</f>
        <v>中价商品</v>
      </c>
    </row>
    <row r="100" spans="1:14" x14ac:dyDescent="0.2">
      <c r="A100">
        <v>672</v>
      </c>
      <c r="B100">
        <v>3</v>
      </c>
      <c r="C100" t="s">
        <v>32</v>
      </c>
      <c r="D100" t="s">
        <v>118</v>
      </c>
      <c r="E100" t="s">
        <v>19</v>
      </c>
      <c r="F100">
        <v>3</v>
      </c>
      <c r="G100" t="s">
        <v>13</v>
      </c>
      <c r="H100" s="1">
        <v>45932.680555555555</v>
      </c>
      <c r="I100" s="5">
        <f>INT(TB[[#This Row],[时间戳]])</f>
        <v>45932</v>
      </c>
      <c r="J100" s="2">
        <f>HOUR(TB[[#This Row],[时间戳]])</f>
        <v>16</v>
      </c>
      <c r="K100">
        <v>5553</v>
      </c>
      <c r="L100">
        <v>3</v>
      </c>
      <c r="M100">
        <f>TB[[#This Row],[售价]]*TB[[#This Row],[销量]]</f>
        <v>16659</v>
      </c>
      <c r="N100" t="str">
        <f>IF(TB[[#This Row],[售价]]&lt;1000,"低价商品",IF(TB[[#This Row],[售价]]&lt;5000,"中价商品",IF(TB[[#This Row],[售价]]&lt;10000,"高价商品","超高价商品")))</f>
        <v>高价商品</v>
      </c>
    </row>
    <row r="101" spans="1:14" x14ac:dyDescent="0.2">
      <c r="A101">
        <v>181</v>
      </c>
      <c r="B101">
        <v>266</v>
      </c>
      <c r="C101" t="s">
        <v>17</v>
      </c>
      <c r="D101" t="s">
        <v>119</v>
      </c>
      <c r="E101" t="s">
        <v>12</v>
      </c>
      <c r="F101">
        <v>2</v>
      </c>
      <c r="G101" t="s">
        <v>13</v>
      </c>
      <c r="H101" s="1">
        <v>45932.682638888888</v>
      </c>
      <c r="I101" s="5">
        <f>INT(TB[[#This Row],[时间戳]])</f>
        <v>45932</v>
      </c>
      <c r="J101" s="2">
        <f>HOUR(TB[[#This Row],[时间戳]])</f>
        <v>16</v>
      </c>
      <c r="K101">
        <v>5944</v>
      </c>
      <c r="L101">
        <v>1</v>
      </c>
      <c r="M101">
        <f>TB[[#This Row],[售价]]*TB[[#This Row],[销量]]</f>
        <v>5944</v>
      </c>
      <c r="N101" t="str">
        <f>IF(TB[[#This Row],[售价]]&lt;1000,"低价商品",IF(TB[[#This Row],[售价]]&lt;5000,"中价商品",IF(TB[[#This Row],[售价]]&lt;10000,"高价商品","超高价商品")))</f>
        <v>高价商品</v>
      </c>
    </row>
    <row r="102" spans="1:14" x14ac:dyDescent="0.2">
      <c r="A102">
        <v>125</v>
      </c>
      <c r="B102">
        <v>234</v>
      </c>
      <c r="C102" t="s">
        <v>20</v>
      </c>
      <c r="D102" t="s">
        <v>120</v>
      </c>
      <c r="E102" t="s">
        <v>22</v>
      </c>
      <c r="F102">
        <v>1</v>
      </c>
      <c r="G102" t="s">
        <v>13</v>
      </c>
      <c r="H102" s="1">
        <v>45932.683333333334</v>
      </c>
      <c r="I102" s="5">
        <f>INT(TB[[#This Row],[时间戳]])</f>
        <v>45932</v>
      </c>
      <c r="J102" s="2">
        <f>HOUR(TB[[#This Row],[时间戳]])</f>
        <v>16</v>
      </c>
      <c r="K102">
        <v>4630</v>
      </c>
      <c r="L102">
        <v>1</v>
      </c>
      <c r="M102">
        <f>TB[[#This Row],[售价]]*TB[[#This Row],[销量]]</f>
        <v>4630</v>
      </c>
      <c r="N102" t="str">
        <f>IF(TB[[#This Row],[售价]]&lt;1000,"低价商品",IF(TB[[#This Row],[售价]]&lt;5000,"中价商品",IF(TB[[#This Row],[售价]]&lt;10000,"高价商品","超高价商品")))</f>
        <v>中价商品</v>
      </c>
    </row>
    <row r="103" spans="1:14" x14ac:dyDescent="0.2">
      <c r="A103">
        <v>610</v>
      </c>
      <c r="B103">
        <v>163</v>
      </c>
      <c r="C103" t="s">
        <v>20</v>
      </c>
      <c r="D103" t="s">
        <v>21</v>
      </c>
      <c r="E103" t="s">
        <v>22</v>
      </c>
      <c r="F103">
        <v>1</v>
      </c>
      <c r="G103" t="s">
        <v>13</v>
      </c>
      <c r="H103" s="1">
        <v>45932.70208333333</v>
      </c>
      <c r="I103" s="5">
        <f>INT(TB[[#This Row],[时间戳]])</f>
        <v>45932</v>
      </c>
      <c r="J103" s="2">
        <f>HOUR(TB[[#This Row],[时间戳]])</f>
        <v>16</v>
      </c>
      <c r="K103">
        <v>2129</v>
      </c>
      <c r="L103">
        <v>2</v>
      </c>
      <c r="M103">
        <f>TB[[#This Row],[售价]]*TB[[#This Row],[销量]]</f>
        <v>4258</v>
      </c>
      <c r="N103" t="str">
        <f>IF(TB[[#This Row],[售价]]&lt;1000,"低价商品",IF(TB[[#This Row],[售价]]&lt;5000,"中价商品",IF(TB[[#This Row],[售价]]&lt;10000,"高价商品","超高价商品")))</f>
        <v>中价商品</v>
      </c>
    </row>
    <row r="104" spans="1:14" x14ac:dyDescent="0.2">
      <c r="A104">
        <v>517</v>
      </c>
      <c r="B104">
        <v>219</v>
      </c>
      <c r="C104" t="s">
        <v>46</v>
      </c>
      <c r="D104" t="s">
        <v>121</v>
      </c>
      <c r="E104" t="s">
        <v>25</v>
      </c>
      <c r="F104">
        <v>7</v>
      </c>
      <c r="G104" t="s">
        <v>13</v>
      </c>
      <c r="H104" s="1">
        <v>45932.709027777775</v>
      </c>
      <c r="I104" s="5">
        <f>INT(TB[[#This Row],[时间戳]])</f>
        <v>45932</v>
      </c>
      <c r="J104" s="2">
        <f>HOUR(TB[[#This Row],[时间戳]])</f>
        <v>17</v>
      </c>
      <c r="K104">
        <v>7713</v>
      </c>
      <c r="L104">
        <v>2</v>
      </c>
      <c r="M104">
        <f>TB[[#This Row],[售价]]*TB[[#This Row],[销量]]</f>
        <v>15426</v>
      </c>
      <c r="N104" t="str">
        <f>IF(TB[[#This Row],[售价]]&lt;1000,"低价商品",IF(TB[[#This Row],[售价]]&lt;5000,"中价商品",IF(TB[[#This Row],[售价]]&lt;10000,"高价商品","超高价商品")))</f>
        <v>高价商品</v>
      </c>
    </row>
    <row r="105" spans="1:14" x14ac:dyDescent="0.2">
      <c r="A105">
        <v>461</v>
      </c>
      <c r="B105">
        <v>133</v>
      </c>
      <c r="C105" t="s">
        <v>26</v>
      </c>
      <c r="D105" t="s">
        <v>122</v>
      </c>
      <c r="E105" t="s">
        <v>31</v>
      </c>
      <c r="F105">
        <v>4</v>
      </c>
      <c r="G105" t="s">
        <v>42</v>
      </c>
      <c r="H105" s="1">
        <v>45932.722222222219</v>
      </c>
      <c r="I105" s="5">
        <f>INT(TB[[#This Row],[时间戳]])</f>
        <v>45932</v>
      </c>
      <c r="J105" s="2">
        <f>HOUR(TB[[#This Row],[时间戳]])</f>
        <v>17</v>
      </c>
      <c r="K105">
        <v>1200</v>
      </c>
      <c r="L105">
        <v>0</v>
      </c>
      <c r="M105">
        <f>TB[[#This Row],[售价]]*TB[[#This Row],[销量]]</f>
        <v>0</v>
      </c>
      <c r="N105" t="str">
        <f>IF(TB[[#This Row],[售价]]&lt;1000,"低价商品",IF(TB[[#This Row],[售价]]&lt;5000,"中价商品",IF(TB[[#This Row],[售价]]&lt;10000,"高价商品","超高价商品")))</f>
        <v>中价商品</v>
      </c>
    </row>
    <row r="106" spans="1:14" x14ac:dyDescent="0.2">
      <c r="A106">
        <v>497</v>
      </c>
      <c r="B106">
        <v>123</v>
      </c>
      <c r="C106" t="s">
        <v>36</v>
      </c>
      <c r="D106" t="s">
        <v>123</v>
      </c>
      <c r="E106" t="s">
        <v>31</v>
      </c>
      <c r="F106">
        <v>4</v>
      </c>
      <c r="G106" t="s">
        <v>13</v>
      </c>
      <c r="H106" s="1">
        <v>45932.765972222223</v>
      </c>
      <c r="I106" s="5">
        <f>INT(TB[[#This Row],[时间戳]])</f>
        <v>45932</v>
      </c>
      <c r="J106" s="2">
        <f>HOUR(TB[[#This Row],[时间戳]])</f>
        <v>18</v>
      </c>
      <c r="K106">
        <v>682</v>
      </c>
      <c r="L106">
        <v>2</v>
      </c>
      <c r="M106">
        <f>TB[[#This Row],[售价]]*TB[[#This Row],[销量]]</f>
        <v>1364</v>
      </c>
      <c r="N106" t="str">
        <f>IF(TB[[#This Row],[售价]]&lt;1000,"低价商品",IF(TB[[#This Row],[售价]]&lt;5000,"中价商品",IF(TB[[#This Row],[售价]]&lt;10000,"高价商品","超高价商品")))</f>
        <v>低价商品</v>
      </c>
    </row>
    <row r="107" spans="1:14" x14ac:dyDescent="0.2">
      <c r="A107">
        <v>241</v>
      </c>
      <c r="B107">
        <v>140</v>
      </c>
      <c r="C107" t="s">
        <v>14</v>
      </c>
      <c r="D107" t="s">
        <v>124</v>
      </c>
      <c r="E107" t="s">
        <v>19</v>
      </c>
      <c r="F107">
        <v>3</v>
      </c>
      <c r="G107" t="s">
        <v>13</v>
      </c>
      <c r="H107" s="1">
        <v>45932.770833333336</v>
      </c>
      <c r="I107" s="5">
        <f>INT(TB[[#This Row],[时间戳]])</f>
        <v>45932</v>
      </c>
      <c r="J107" s="2">
        <f>HOUR(TB[[#This Row],[时间戳]])</f>
        <v>18</v>
      </c>
      <c r="K107">
        <v>3774</v>
      </c>
      <c r="L107">
        <v>2</v>
      </c>
      <c r="M107">
        <f>TB[[#This Row],[售价]]*TB[[#This Row],[销量]]</f>
        <v>7548</v>
      </c>
      <c r="N107" t="str">
        <f>IF(TB[[#This Row],[售价]]&lt;1000,"低价商品",IF(TB[[#This Row],[售价]]&lt;5000,"中价商品",IF(TB[[#This Row],[售价]]&lt;10000,"高价商品","超高价商品")))</f>
        <v>中价商品</v>
      </c>
    </row>
    <row r="108" spans="1:14" x14ac:dyDescent="0.2">
      <c r="A108">
        <v>142</v>
      </c>
      <c r="B108">
        <v>78</v>
      </c>
      <c r="C108" t="s">
        <v>20</v>
      </c>
      <c r="D108" t="s">
        <v>72</v>
      </c>
      <c r="E108" t="s">
        <v>25</v>
      </c>
      <c r="F108">
        <v>7</v>
      </c>
      <c r="G108" t="s">
        <v>42</v>
      </c>
      <c r="H108" s="1">
        <v>45932.780555555553</v>
      </c>
      <c r="I108" s="5">
        <f>INT(TB[[#This Row],[时间戳]])</f>
        <v>45932</v>
      </c>
      <c r="J108" s="2">
        <f>HOUR(TB[[#This Row],[时间戳]])</f>
        <v>18</v>
      </c>
      <c r="K108">
        <v>4214</v>
      </c>
      <c r="L108">
        <v>0</v>
      </c>
      <c r="M108">
        <f>TB[[#This Row],[售价]]*TB[[#This Row],[销量]]</f>
        <v>0</v>
      </c>
      <c r="N108" t="str">
        <f>IF(TB[[#This Row],[售价]]&lt;1000,"低价商品",IF(TB[[#This Row],[售价]]&lt;5000,"中价商品",IF(TB[[#This Row],[售价]]&lt;10000,"高价商品","超高价商品")))</f>
        <v>中价商品</v>
      </c>
    </row>
    <row r="109" spans="1:14" x14ac:dyDescent="0.2">
      <c r="A109">
        <v>220</v>
      </c>
      <c r="B109">
        <v>33</v>
      </c>
      <c r="C109" t="s">
        <v>26</v>
      </c>
      <c r="D109" t="s">
        <v>65</v>
      </c>
      <c r="E109" t="s">
        <v>22</v>
      </c>
      <c r="F109">
        <v>1</v>
      </c>
      <c r="G109" t="s">
        <v>13</v>
      </c>
      <c r="H109" s="1">
        <v>45932.806944444441</v>
      </c>
      <c r="I109" s="5">
        <f>INT(TB[[#This Row],[时间戳]])</f>
        <v>45932</v>
      </c>
      <c r="J109" s="2">
        <f>HOUR(TB[[#This Row],[时间戳]])</f>
        <v>19</v>
      </c>
      <c r="K109">
        <v>2890</v>
      </c>
      <c r="L109">
        <v>4</v>
      </c>
      <c r="M109">
        <f>TB[[#This Row],[售价]]*TB[[#This Row],[销量]]</f>
        <v>11560</v>
      </c>
      <c r="N109" t="str">
        <f>IF(TB[[#This Row],[售价]]&lt;1000,"低价商品",IF(TB[[#This Row],[售价]]&lt;5000,"中价商品",IF(TB[[#This Row],[售价]]&lt;10000,"高价商品","超高价商品")))</f>
        <v>中价商品</v>
      </c>
    </row>
    <row r="110" spans="1:14" x14ac:dyDescent="0.2">
      <c r="A110">
        <v>478</v>
      </c>
      <c r="B110">
        <v>213</v>
      </c>
      <c r="C110" t="s">
        <v>34</v>
      </c>
      <c r="D110" t="s">
        <v>125</v>
      </c>
      <c r="E110" t="s">
        <v>31</v>
      </c>
      <c r="F110">
        <v>4</v>
      </c>
      <c r="G110" t="s">
        <v>13</v>
      </c>
      <c r="H110" s="1">
        <v>45932.811805555553</v>
      </c>
      <c r="I110" s="5">
        <f>INT(TB[[#This Row],[时间戳]])</f>
        <v>45932</v>
      </c>
      <c r="J110" s="2">
        <f>HOUR(TB[[#This Row],[时间戳]])</f>
        <v>19</v>
      </c>
      <c r="K110">
        <v>907</v>
      </c>
      <c r="L110">
        <v>1</v>
      </c>
      <c r="M110">
        <f>TB[[#This Row],[售价]]*TB[[#This Row],[销量]]</f>
        <v>907</v>
      </c>
      <c r="N110" t="str">
        <f>IF(TB[[#This Row],[售价]]&lt;1000,"低价商品",IF(TB[[#This Row],[售价]]&lt;5000,"中价商品",IF(TB[[#This Row],[售价]]&lt;10000,"高价商品","超高价商品")))</f>
        <v>低价商品</v>
      </c>
    </row>
    <row r="111" spans="1:14" x14ac:dyDescent="0.2">
      <c r="A111">
        <v>789</v>
      </c>
      <c r="B111">
        <v>300</v>
      </c>
      <c r="C111" t="s">
        <v>17</v>
      </c>
      <c r="D111" t="s">
        <v>126</v>
      </c>
      <c r="E111" t="s">
        <v>39</v>
      </c>
      <c r="F111">
        <v>5</v>
      </c>
      <c r="G111" t="s">
        <v>13</v>
      </c>
      <c r="H111" s="1">
        <v>45932.813194444447</v>
      </c>
      <c r="I111" s="5">
        <f>INT(TB[[#This Row],[时间戳]])</f>
        <v>45932</v>
      </c>
      <c r="J111" s="2">
        <f>HOUR(TB[[#This Row],[时间戳]])</f>
        <v>19</v>
      </c>
      <c r="K111">
        <v>960</v>
      </c>
      <c r="L111">
        <v>1</v>
      </c>
      <c r="M111">
        <f>TB[[#This Row],[售价]]*TB[[#This Row],[销量]]</f>
        <v>960</v>
      </c>
      <c r="N111" t="str">
        <f>IF(TB[[#This Row],[售价]]&lt;1000,"低价商品",IF(TB[[#This Row],[售价]]&lt;5000,"中价商品",IF(TB[[#This Row],[售价]]&lt;10000,"高价商品","超高价商品")))</f>
        <v>低价商品</v>
      </c>
    </row>
    <row r="112" spans="1:14" x14ac:dyDescent="0.2">
      <c r="A112">
        <v>489</v>
      </c>
      <c r="B112">
        <v>4</v>
      </c>
      <c r="C112" t="s">
        <v>46</v>
      </c>
      <c r="D112" t="s">
        <v>127</v>
      </c>
      <c r="E112" t="s">
        <v>12</v>
      </c>
      <c r="F112">
        <v>2</v>
      </c>
      <c r="G112" t="s">
        <v>13</v>
      </c>
      <c r="H112" s="1">
        <v>45932.819444444445</v>
      </c>
      <c r="I112" s="5">
        <f>INT(TB[[#This Row],[时间戳]])</f>
        <v>45932</v>
      </c>
      <c r="J112" s="2">
        <f>HOUR(TB[[#This Row],[时间戳]])</f>
        <v>19</v>
      </c>
      <c r="K112">
        <v>4511</v>
      </c>
      <c r="L112">
        <v>2</v>
      </c>
      <c r="M112">
        <f>TB[[#This Row],[售价]]*TB[[#This Row],[销量]]</f>
        <v>9022</v>
      </c>
      <c r="N112" t="str">
        <f>IF(TB[[#This Row],[售价]]&lt;1000,"低价商品",IF(TB[[#This Row],[售价]]&lt;5000,"中价商品",IF(TB[[#This Row],[售价]]&lt;10000,"高价商品","超高价商品")))</f>
        <v>中价商品</v>
      </c>
    </row>
    <row r="113" spans="1:14" x14ac:dyDescent="0.2">
      <c r="A113">
        <v>552</v>
      </c>
      <c r="B113">
        <v>280</v>
      </c>
      <c r="C113" t="s">
        <v>17</v>
      </c>
      <c r="D113" t="s">
        <v>128</v>
      </c>
      <c r="E113" t="s">
        <v>12</v>
      </c>
      <c r="F113">
        <v>2</v>
      </c>
      <c r="G113" t="s">
        <v>13</v>
      </c>
      <c r="H113" s="1">
        <v>45932.822222222225</v>
      </c>
      <c r="I113" s="5">
        <f>INT(TB[[#This Row],[时间戳]])</f>
        <v>45932</v>
      </c>
      <c r="J113" s="2">
        <f>HOUR(TB[[#This Row],[时间戳]])</f>
        <v>19</v>
      </c>
      <c r="K113">
        <v>9715</v>
      </c>
      <c r="L113">
        <v>3</v>
      </c>
      <c r="M113">
        <f>TB[[#This Row],[售价]]*TB[[#This Row],[销量]]</f>
        <v>29145</v>
      </c>
      <c r="N113" t="str">
        <f>IF(TB[[#This Row],[售价]]&lt;1000,"低价商品",IF(TB[[#This Row],[售价]]&lt;5000,"中价商品",IF(TB[[#This Row],[售价]]&lt;10000,"高价商品","超高价商品")))</f>
        <v>高价商品</v>
      </c>
    </row>
    <row r="114" spans="1:14" x14ac:dyDescent="0.2">
      <c r="A114">
        <v>447</v>
      </c>
      <c r="B114">
        <v>249</v>
      </c>
      <c r="C114" t="s">
        <v>32</v>
      </c>
      <c r="D114" t="s">
        <v>115</v>
      </c>
      <c r="E114" t="s">
        <v>19</v>
      </c>
      <c r="F114">
        <v>3</v>
      </c>
      <c r="G114" t="s">
        <v>13</v>
      </c>
      <c r="H114" s="1">
        <v>45932.871527777781</v>
      </c>
      <c r="I114" s="5">
        <f>INT(TB[[#This Row],[时间戳]])</f>
        <v>45932</v>
      </c>
      <c r="J114" s="2">
        <f>HOUR(TB[[#This Row],[时间戳]])</f>
        <v>20</v>
      </c>
      <c r="K114">
        <v>3355</v>
      </c>
      <c r="L114">
        <v>2</v>
      </c>
      <c r="M114">
        <f>TB[[#This Row],[售价]]*TB[[#This Row],[销量]]</f>
        <v>6710</v>
      </c>
      <c r="N114" t="str">
        <f>IF(TB[[#This Row],[售价]]&lt;1000,"低价商品",IF(TB[[#This Row],[售价]]&lt;5000,"中价商品",IF(TB[[#This Row],[售价]]&lt;10000,"高价商品","超高价商品")))</f>
        <v>中价商品</v>
      </c>
    </row>
    <row r="115" spans="1:14" x14ac:dyDescent="0.2">
      <c r="A115">
        <v>742</v>
      </c>
      <c r="B115">
        <v>85</v>
      </c>
      <c r="C115" t="s">
        <v>34</v>
      </c>
      <c r="D115" t="s">
        <v>62</v>
      </c>
      <c r="E115" t="s">
        <v>31</v>
      </c>
      <c r="F115">
        <v>4</v>
      </c>
      <c r="G115" t="s">
        <v>13</v>
      </c>
      <c r="H115" s="1">
        <v>45932.902083333334</v>
      </c>
      <c r="I115" s="5">
        <f>INT(TB[[#This Row],[时间戳]])</f>
        <v>45932</v>
      </c>
      <c r="J115" s="2">
        <f>HOUR(TB[[#This Row],[时间戳]])</f>
        <v>21</v>
      </c>
      <c r="K115">
        <v>108</v>
      </c>
      <c r="L115">
        <v>2</v>
      </c>
      <c r="M115">
        <f>TB[[#This Row],[售价]]*TB[[#This Row],[销量]]</f>
        <v>216</v>
      </c>
      <c r="N115" t="str">
        <f>IF(TB[[#This Row],[售价]]&lt;1000,"低价商品",IF(TB[[#This Row],[售价]]&lt;5000,"中价商品",IF(TB[[#This Row],[售价]]&lt;10000,"高价商品","超高价商品")))</f>
        <v>低价商品</v>
      </c>
    </row>
    <row r="116" spans="1:14" x14ac:dyDescent="0.2">
      <c r="A116">
        <v>28</v>
      </c>
      <c r="B116">
        <v>202</v>
      </c>
      <c r="C116" t="s">
        <v>46</v>
      </c>
      <c r="D116" t="s">
        <v>129</v>
      </c>
      <c r="E116" t="s">
        <v>31</v>
      </c>
      <c r="F116">
        <v>4</v>
      </c>
      <c r="G116" t="s">
        <v>13</v>
      </c>
      <c r="H116" s="1">
        <v>45932.920138888891</v>
      </c>
      <c r="I116" s="5">
        <f>INT(TB[[#This Row],[时间戳]])</f>
        <v>45932</v>
      </c>
      <c r="J116" s="2">
        <f>HOUR(TB[[#This Row],[时间戳]])</f>
        <v>22</v>
      </c>
      <c r="K116">
        <v>872</v>
      </c>
      <c r="L116">
        <v>3</v>
      </c>
      <c r="M116">
        <f>TB[[#This Row],[售价]]*TB[[#This Row],[销量]]</f>
        <v>2616</v>
      </c>
      <c r="N116" t="str">
        <f>IF(TB[[#This Row],[售价]]&lt;1000,"低价商品",IF(TB[[#This Row],[售价]]&lt;5000,"中价商品",IF(TB[[#This Row],[售价]]&lt;10000,"高价商品","超高价商品")))</f>
        <v>低价商品</v>
      </c>
    </row>
    <row r="117" spans="1:14" x14ac:dyDescent="0.2">
      <c r="A117">
        <v>659</v>
      </c>
      <c r="B117">
        <v>220</v>
      </c>
      <c r="C117" t="s">
        <v>10</v>
      </c>
      <c r="D117" t="s">
        <v>130</v>
      </c>
      <c r="E117" t="s">
        <v>16</v>
      </c>
      <c r="F117">
        <v>6</v>
      </c>
      <c r="G117" t="s">
        <v>13</v>
      </c>
      <c r="H117" s="1">
        <v>45932.957638888889</v>
      </c>
      <c r="I117" s="5">
        <f>INT(TB[[#This Row],[时间戳]])</f>
        <v>45932</v>
      </c>
      <c r="J117" s="2">
        <f>HOUR(TB[[#This Row],[时间戳]])</f>
        <v>22</v>
      </c>
      <c r="K117">
        <v>11785</v>
      </c>
      <c r="L117">
        <v>3</v>
      </c>
      <c r="M117">
        <f>TB[[#This Row],[售价]]*TB[[#This Row],[销量]]</f>
        <v>35355</v>
      </c>
      <c r="N117" t="str">
        <f>IF(TB[[#This Row],[售价]]&lt;1000,"低价商品",IF(TB[[#This Row],[售价]]&lt;5000,"中价商品",IF(TB[[#This Row],[售价]]&lt;10000,"高价商品","超高价商品")))</f>
        <v>超高价商品</v>
      </c>
    </row>
    <row r="118" spans="1:14" x14ac:dyDescent="0.2">
      <c r="A118">
        <v>267</v>
      </c>
      <c r="B118">
        <v>195</v>
      </c>
      <c r="C118" t="s">
        <v>26</v>
      </c>
      <c r="D118" t="s">
        <v>131</v>
      </c>
      <c r="E118" t="s">
        <v>22</v>
      </c>
      <c r="F118">
        <v>1</v>
      </c>
      <c r="G118" t="s">
        <v>42</v>
      </c>
      <c r="H118" s="1">
        <v>45932.988194444442</v>
      </c>
      <c r="I118" s="5">
        <f>INT(TB[[#This Row],[时间戳]])</f>
        <v>45932</v>
      </c>
      <c r="J118" s="2">
        <f>HOUR(TB[[#This Row],[时间戳]])</f>
        <v>23</v>
      </c>
      <c r="K118">
        <v>2147</v>
      </c>
      <c r="L118">
        <v>0</v>
      </c>
      <c r="M118">
        <f>TB[[#This Row],[售价]]*TB[[#This Row],[销量]]</f>
        <v>0</v>
      </c>
      <c r="N118" t="str">
        <f>IF(TB[[#This Row],[售价]]&lt;1000,"低价商品",IF(TB[[#This Row],[售价]]&lt;5000,"中价商品",IF(TB[[#This Row],[售价]]&lt;10000,"高价商品","超高价商品")))</f>
        <v>中价商品</v>
      </c>
    </row>
    <row r="119" spans="1:14" x14ac:dyDescent="0.2">
      <c r="A119">
        <v>346</v>
      </c>
      <c r="B119">
        <v>195</v>
      </c>
      <c r="C119" t="s">
        <v>44</v>
      </c>
      <c r="D119" t="s">
        <v>132</v>
      </c>
      <c r="E119" t="s">
        <v>22</v>
      </c>
      <c r="F119">
        <v>1</v>
      </c>
      <c r="G119" t="s">
        <v>13</v>
      </c>
      <c r="H119" s="1">
        <v>45932.991666666669</v>
      </c>
      <c r="I119" s="5">
        <f>INT(TB[[#This Row],[时间戳]])</f>
        <v>45932</v>
      </c>
      <c r="J119" s="2">
        <f>HOUR(TB[[#This Row],[时间戳]])</f>
        <v>23</v>
      </c>
      <c r="K119">
        <v>3589</v>
      </c>
      <c r="L119">
        <v>2</v>
      </c>
      <c r="M119">
        <f>TB[[#This Row],[售价]]*TB[[#This Row],[销量]]</f>
        <v>7178</v>
      </c>
      <c r="N119" t="str">
        <f>IF(TB[[#This Row],[售价]]&lt;1000,"低价商品",IF(TB[[#This Row],[售价]]&lt;5000,"中价商品",IF(TB[[#This Row],[售价]]&lt;10000,"高价商品","超高价商品")))</f>
        <v>中价商品</v>
      </c>
    </row>
    <row r="120" spans="1:14" x14ac:dyDescent="0.2">
      <c r="A120">
        <v>84</v>
      </c>
      <c r="B120">
        <v>241</v>
      </c>
      <c r="C120" t="s">
        <v>17</v>
      </c>
      <c r="D120" t="s">
        <v>133</v>
      </c>
      <c r="E120" t="s">
        <v>31</v>
      </c>
      <c r="F120">
        <v>4</v>
      </c>
      <c r="G120" t="s">
        <v>13</v>
      </c>
      <c r="H120" s="1">
        <v>45933.032638888886</v>
      </c>
      <c r="I120" s="5">
        <f>INT(TB[[#This Row],[时间戳]])</f>
        <v>45933</v>
      </c>
      <c r="J120" s="2">
        <f>HOUR(TB[[#This Row],[时间戳]])</f>
        <v>0</v>
      </c>
      <c r="K120">
        <v>804</v>
      </c>
      <c r="L120">
        <v>1</v>
      </c>
      <c r="M120">
        <f>TB[[#This Row],[售价]]*TB[[#This Row],[销量]]</f>
        <v>804</v>
      </c>
      <c r="N120" t="str">
        <f>IF(TB[[#This Row],[售价]]&lt;1000,"低价商品",IF(TB[[#This Row],[售价]]&lt;5000,"中价商品",IF(TB[[#This Row],[售价]]&lt;10000,"高价商品","超高价商品")))</f>
        <v>低价商品</v>
      </c>
    </row>
    <row r="121" spans="1:14" x14ac:dyDescent="0.2">
      <c r="A121">
        <v>359</v>
      </c>
      <c r="B121">
        <v>115</v>
      </c>
      <c r="C121" t="s">
        <v>20</v>
      </c>
      <c r="D121" t="s">
        <v>78</v>
      </c>
      <c r="E121" t="s">
        <v>22</v>
      </c>
      <c r="F121">
        <v>1</v>
      </c>
      <c r="G121" t="s">
        <v>13</v>
      </c>
      <c r="H121" s="1">
        <v>45933.047222222223</v>
      </c>
      <c r="I121" s="5">
        <f>INT(TB[[#This Row],[时间戳]])</f>
        <v>45933</v>
      </c>
      <c r="J121" s="2">
        <f>HOUR(TB[[#This Row],[时间戳]])</f>
        <v>1</v>
      </c>
      <c r="K121">
        <v>1341</v>
      </c>
      <c r="L121">
        <v>2</v>
      </c>
      <c r="M121">
        <f>TB[[#This Row],[售价]]*TB[[#This Row],[销量]]</f>
        <v>2682</v>
      </c>
      <c r="N121" t="str">
        <f>IF(TB[[#This Row],[售价]]&lt;1000,"低价商品",IF(TB[[#This Row],[售价]]&lt;5000,"中价商品",IF(TB[[#This Row],[售价]]&lt;10000,"高价商品","超高价商品")))</f>
        <v>中价商品</v>
      </c>
    </row>
    <row r="122" spans="1:14" x14ac:dyDescent="0.2">
      <c r="A122">
        <v>254</v>
      </c>
      <c r="B122">
        <v>103</v>
      </c>
      <c r="C122" t="s">
        <v>10</v>
      </c>
      <c r="D122" t="s">
        <v>134</v>
      </c>
      <c r="E122" t="s">
        <v>22</v>
      </c>
      <c r="F122">
        <v>1</v>
      </c>
      <c r="G122" t="s">
        <v>13</v>
      </c>
      <c r="H122" s="1">
        <v>45933.07708333333</v>
      </c>
      <c r="I122" s="5">
        <f>INT(TB[[#This Row],[时间戳]])</f>
        <v>45933</v>
      </c>
      <c r="J122" s="2">
        <f>HOUR(TB[[#This Row],[时间戳]])</f>
        <v>1</v>
      </c>
      <c r="K122">
        <v>6160</v>
      </c>
      <c r="L122">
        <v>4</v>
      </c>
      <c r="M122">
        <f>TB[[#This Row],[售价]]*TB[[#This Row],[销量]]</f>
        <v>24640</v>
      </c>
      <c r="N122" t="str">
        <f>IF(TB[[#This Row],[售价]]&lt;1000,"低价商品",IF(TB[[#This Row],[售价]]&lt;5000,"中价商品",IF(TB[[#This Row],[售价]]&lt;10000,"高价商品","超高价商品")))</f>
        <v>高价商品</v>
      </c>
    </row>
    <row r="123" spans="1:14" x14ac:dyDescent="0.2">
      <c r="A123">
        <v>245</v>
      </c>
      <c r="B123">
        <v>65</v>
      </c>
      <c r="C123" t="s">
        <v>46</v>
      </c>
      <c r="D123" t="s">
        <v>135</v>
      </c>
      <c r="E123" t="s">
        <v>22</v>
      </c>
      <c r="F123">
        <v>1</v>
      </c>
      <c r="G123" t="s">
        <v>13</v>
      </c>
      <c r="H123" s="1">
        <v>45933.118750000001</v>
      </c>
      <c r="I123" s="5">
        <f>INT(TB[[#This Row],[时间戳]])</f>
        <v>45933</v>
      </c>
      <c r="J123" s="2">
        <f>HOUR(TB[[#This Row],[时间戳]])</f>
        <v>2</v>
      </c>
      <c r="K123">
        <v>7684</v>
      </c>
      <c r="L123">
        <v>2</v>
      </c>
      <c r="M123">
        <f>TB[[#This Row],[售价]]*TB[[#This Row],[销量]]</f>
        <v>15368</v>
      </c>
      <c r="N123" t="str">
        <f>IF(TB[[#This Row],[售价]]&lt;1000,"低价商品",IF(TB[[#This Row],[售价]]&lt;5000,"中价商品",IF(TB[[#This Row],[售价]]&lt;10000,"高价商品","超高价商品")))</f>
        <v>高价商品</v>
      </c>
    </row>
    <row r="124" spans="1:14" x14ac:dyDescent="0.2">
      <c r="A124">
        <v>224</v>
      </c>
      <c r="B124">
        <v>239</v>
      </c>
      <c r="C124" t="s">
        <v>14</v>
      </c>
      <c r="D124" t="s">
        <v>52</v>
      </c>
      <c r="E124" t="s">
        <v>31</v>
      </c>
      <c r="F124">
        <v>4</v>
      </c>
      <c r="G124" t="s">
        <v>13</v>
      </c>
      <c r="H124" s="1">
        <v>45933.126388888886</v>
      </c>
      <c r="I124" s="5">
        <f>INT(TB[[#This Row],[时间戳]])</f>
        <v>45933</v>
      </c>
      <c r="J124" s="2">
        <f>HOUR(TB[[#This Row],[时间戳]])</f>
        <v>3</v>
      </c>
      <c r="K124">
        <v>1161</v>
      </c>
      <c r="L124">
        <v>3</v>
      </c>
      <c r="M124">
        <f>TB[[#This Row],[售价]]*TB[[#This Row],[销量]]</f>
        <v>3483</v>
      </c>
      <c r="N124" t="str">
        <f>IF(TB[[#This Row],[售价]]&lt;1000,"低价商品",IF(TB[[#This Row],[售价]]&lt;5000,"中价商品",IF(TB[[#This Row],[售价]]&lt;10000,"高价商品","超高价商品")))</f>
        <v>中价商品</v>
      </c>
    </row>
    <row r="125" spans="1:14" x14ac:dyDescent="0.2">
      <c r="A125">
        <v>621</v>
      </c>
      <c r="B125">
        <v>59</v>
      </c>
      <c r="C125" t="s">
        <v>34</v>
      </c>
      <c r="D125" t="s">
        <v>82</v>
      </c>
      <c r="E125" t="s">
        <v>31</v>
      </c>
      <c r="F125">
        <v>4</v>
      </c>
      <c r="G125" t="s">
        <v>13</v>
      </c>
      <c r="H125" s="1">
        <v>45933.128472222219</v>
      </c>
      <c r="I125" s="5">
        <f>INT(TB[[#This Row],[时间戳]])</f>
        <v>45933</v>
      </c>
      <c r="J125" s="2">
        <f>HOUR(TB[[#This Row],[时间戳]])</f>
        <v>3</v>
      </c>
      <c r="K125">
        <v>1413</v>
      </c>
      <c r="L125">
        <v>1</v>
      </c>
      <c r="M125">
        <f>TB[[#This Row],[售价]]*TB[[#This Row],[销量]]</f>
        <v>1413</v>
      </c>
      <c r="N125" t="str">
        <f>IF(TB[[#This Row],[售价]]&lt;1000,"低价商品",IF(TB[[#This Row],[售价]]&lt;5000,"中价商品",IF(TB[[#This Row],[售价]]&lt;10000,"高价商品","超高价商品")))</f>
        <v>中价商品</v>
      </c>
    </row>
    <row r="126" spans="1:14" x14ac:dyDescent="0.2">
      <c r="A126">
        <v>593</v>
      </c>
      <c r="B126">
        <v>14</v>
      </c>
      <c r="C126" t="s">
        <v>36</v>
      </c>
      <c r="D126" t="s">
        <v>136</v>
      </c>
      <c r="E126" t="s">
        <v>39</v>
      </c>
      <c r="F126">
        <v>5</v>
      </c>
      <c r="G126" t="s">
        <v>13</v>
      </c>
      <c r="H126" s="1">
        <v>45933.132638888892</v>
      </c>
      <c r="I126" s="5">
        <f>INT(TB[[#This Row],[时间戳]])</f>
        <v>45933</v>
      </c>
      <c r="J126" s="2">
        <f>HOUR(TB[[#This Row],[时间戳]])</f>
        <v>3</v>
      </c>
      <c r="K126">
        <v>3868</v>
      </c>
      <c r="L126">
        <v>2</v>
      </c>
      <c r="M126">
        <f>TB[[#This Row],[售价]]*TB[[#This Row],[销量]]</f>
        <v>7736</v>
      </c>
      <c r="N126" t="str">
        <f>IF(TB[[#This Row],[售价]]&lt;1000,"低价商品",IF(TB[[#This Row],[售价]]&lt;5000,"中价商品",IF(TB[[#This Row],[售价]]&lt;10000,"高价商品","超高价商品")))</f>
        <v>中价商品</v>
      </c>
    </row>
    <row r="127" spans="1:14" x14ac:dyDescent="0.2">
      <c r="A127">
        <v>733</v>
      </c>
      <c r="B127">
        <v>102</v>
      </c>
      <c r="C127" t="s">
        <v>17</v>
      </c>
      <c r="D127" t="s">
        <v>137</v>
      </c>
      <c r="E127" t="s">
        <v>31</v>
      </c>
      <c r="F127">
        <v>4</v>
      </c>
      <c r="G127" t="s">
        <v>13</v>
      </c>
      <c r="H127" s="1">
        <v>45933.143055555556</v>
      </c>
      <c r="I127" s="5">
        <f>INT(TB[[#This Row],[时间戳]])</f>
        <v>45933</v>
      </c>
      <c r="J127" s="2">
        <f>HOUR(TB[[#This Row],[时间戳]])</f>
        <v>3</v>
      </c>
      <c r="K127">
        <v>782</v>
      </c>
      <c r="L127">
        <v>2</v>
      </c>
      <c r="M127">
        <f>TB[[#This Row],[售价]]*TB[[#This Row],[销量]]</f>
        <v>1564</v>
      </c>
      <c r="N127" t="str">
        <f>IF(TB[[#This Row],[售价]]&lt;1000,"低价商品",IF(TB[[#This Row],[售价]]&lt;5000,"中价商品",IF(TB[[#This Row],[售价]]&lt;10000,"高价商品","超高价商品")))</f>
        <v>低价商品</v>
      </c>
    </row>
    <row r="128" spans="1:14" x14ac:dyDescent="0.2">
      <c r="A128">
        <v>714</v>
      </c>
      <c r="B128">
        <v>155</v>
      </c>
      <c r="C128" t="s">
        <v>32</v>
      </c>
      <c r="D128" t="s">
        <v>138</v>
      </c>
      <c r="E128" t="s">
        <v>12</v>
      </c>
      <c r="F128">
        <v>2</v>
      </c>
      <c r="G128" t="s">
        <v>13</v>
      </c>
      <c r="H128" s="1">
        <v>45933.174305555556</v>
      </c>
      <c r="I128" s="5">
        <f>INT(TB[[#This Row],[时间戳]])</f>
        <v>45933</v>
      </c>
      <c r="J128" s="2">
        <f>HOUR(TB[[#This Row],[时间戳]])</f>
        <v>4</v>
      </c>
      <c r="K128">
        <v>5348</v>
      </c>
      <c r="L128">
        <v>4</v>
      </c>
      <c r="M128">
        <f>TB[[#This Row],[售价]]*TB[[#This Row],[销量]]</f>
        <v>21392</v>
      </c>
      <c r="N128" t="str">
        <f>IF(TB[[#This Row],[售价]]&lt;1000,"低价商品",IF(TB[[#This Row],[售价]]&lt;5000,"中价商品",IF(TB[[#This Row],[售价]]&lt;10000,"高价商品","超高价商品")))</f>
        <v>高价商品</v>
      </c>
    </row>
    <row r="129" spans="1:14" x14ac:dyDescent="0.2">
      <c r="A129">
        <v>43</v>
      </c>
      <c r="B129">
        <v>178</v>
      </c>
      <c r="C129" t="s">
        <v>14</v>
      </c>
      <c r="D129" t="s">
        <v>52</v>
      </c>
      <c r="E129" t="s">
        <v>31</v>
      </c>
      <c r="F129">
        <v>4</v>
      </c>
      <c r="G129" t="s">
        <v>13</v>
      </c>
      <c r="H129" s="1">
        <v>45933.211111111108</v>
      </c>
      <c r="I129" s="5">
        <f>INT(TB[[#This Row],[时间戳]])</f>
        <v>45933</v>
      </c>
      <c r="J129" s="2">
        <f>HOUR(TB[[#This Row],[时间戳]])</f>
        <v>5</v>
      </c>
      <c r="K129">
        <v>1500</v>
      </c>
      <c r="L129">
        <v>2</v>
      </c>
      <c r="M129">
        <f>TB[[#This Row],[售价]]*TB[[#This Row],[销量]]</f>
        <v>3000</v>
      </c>
      <c r="N129" t="str">
        <f>IF(TB[[#This Row],[售价]]&lt;1000,"低价商品",IF(TB[[#This Row],[售价]]&lt;5000,"中价商品",IF(TB[[#This Row],[售价]]&lt;10000,"高价商品","超高价商品")))</f>
        <v>中价商品</v>
      </c>
    </row>
    <row r="130" spans="1:14" x14ac:dyDescent="0.2">
      <c r="A130">
        <v>519</v>
      </c>
      <c r="B130">
        <v>175</v>
      </c>
      <c r="C130" t="s">
        <v>34</v>
      </c>
      <c r="D130" t="s">
        <v>139</v>
      </c>
      <c r="E130" t="s">
        <v>39</v>
      </c>
      <c r="F130">
        <v>5</v>
      </c>
      <c r="G130" t="s">
        <v>13</v>
      </c>
      <c r="H130" s="1">
        <v>45933.211111111108</v>
      </c>
      <c r="I130" s="5">
        <f>INT(TB[[#This Row],[时间戳]])</f>
        <v>45933</v>
      </c>
      <c r="J130" s="2">
        <f>HOUR(TB[[#This Row],[时间戳]])</f>
        <v>5</v>
      </c>
      <c r="K130">
        <v>3001</v>
      </c>
      <c r="L130">
        <v>1</v>
      </c>
      <c r="M130">
        <f>TB[[#This Row],[售价]]*TB[[#This Row],[销量]]</f>
        <v>3001</v>
      </c>
      <c r="N130" t="str">
        <f>IF(TB[[#This Row],[售价]]&lt;1000,"低价商品",IF(TB[[#This Row],[售价]]&lt;5000,"中价商品",IF(TB[[#This Row],[售价]]&lt;10000,"高价商品","超高价商品")))</f>
        <v>中价商品</v>
      </c>
    </row>
    <row r="131" spans="1:14" x14ac:dyDescent="0.2">
      <c r="A131">
        <v>444</v>
      </c>
      <c r="B131">
        <v>186</v>
      </c>
      <c r="C131" t="s">
        <v>44</v>
      </c>
      <c r="D131" t="s">
        <v>140</v>
      </c>
      <c r="E131" t="s">
        <v>19</v>
      </c>
      <c r="F131">
        <v>3</v>
      </c>
      <c r="G131" t="s">
        <v>13</v>
      </c>
      <c r="H131" s="1">
        <v>45933.224305555559</v>
      </c>
      <c r="I131" s="5">
        <f>INT(TB[[#This Row],[时间戳]])</f>
        <v>45933</v>
      </c>
      <c r="J131" s="2">
        <f>HOUR(TB[[#This Row],[时间戳]])</f>
        <v>5</v>
      </c>
      <c r="K131">
        <v>1618</v>
      </c>
      <c r="L131">
        <v>3</v>
      </c>
      <c r="M131">
        <f>TB[[#This Row],[售价]]*TB[[#This Row],[销量]]</f>
        <v>4854</v>
      </c>
      <c r="N131" t="str">
        <f>IF(TB[[#This Row],[售价]]&lt;1000,"低价商品",IF(TB[[#This Row],[售价]]&lt;5000,"中价商品",IF(TB[[#This Row],[售价]]&lt;10000,"高价商品","超高价商品")))</f>
        <v>中价商品</v>
      </c>
    </row>
    <row r="132" spans="1:14" x14ac:dyDescent="0.2">
      <c r="A132">
        <v>181</v>
      </c>
      <c r="B132">
        <v>268</v>
      </c>
      <c r="C132" t="s">
        <v>26</v>
      </c>
      <c r="D132" t="s">
        <v>122</v>
      </c>
      <c r="E132" t="s">
        <v>31</v>
      </c>
      <c r="F132">
        <v>4</v>
      </c>
      <c r="G132" t="s">
        <v>13</v>
      </c>
      <c r="H132" s="1">
        <v>45933.234027777777</v>
      </c>
      <c r="I132" s="5">
        <f>INT(TB[[#This Row],[时间戳]])</f>
        <v>45933</v>
      </c>
      <c r="J132" s="2">
        <f>HOUR(TB[[#This Row],[时间戳]])</f>
        <v>5</v>
      </c>
      <c r="K132">
        <v>1386</v>
      </c>
      <c r="L132">
        <v>1</v>
      </c>
      <c r="M132">
        <f>TB[[#This Row],[售价]]*TB[[#This Row],[销量]]</f>
        <v>1386</v>
      </c>
      <c r="N132" t="str">
        <f>IF(TB[[#This Row],[售价]]&lt;1000,"低价商品",IF(TB[[#This Row],[售价]]&lt;5000,"中价商品",IF(TB[[#This Row],[售价]]&lt;10000,"高价商品","超高价商品")))</f>
        <v>中价商品</v>
      </c>
    </row>
    <row r="133" spans="1:14" x14ac:dyDescent="0.2">
      <c r="A133">
        <v>794</v>
      </c>
      <c r="B133">
        <v>248</v>
      </c>
      <c r="C133" t="s">
        <v>46</v>
      </c>
      <c r="D133" t="s">
        <v>141</v>
      </c>
      <c r="E133" t="s">
        <v>22</v>
      </c>
      <c r="F133">
        <v>1</v>
      </c>
      <c r="G133" t="s">
        <v>13</v>
      </c>
      <c r="H133" s="1">
        <v>45933.238888888889</v>
      </c>
      <c r="I133" s="5">
        <f>INT(TB[[#This Row],[时间戳]])</f>
        <v>45933</v>
      </c>
      <c r="J133" s="2">
        <f>HOUR(TB[[#This Row],[时间戳]])</f>
        <v>5</v>
      </c>
      <c r="K133">
        <v>6266</v>
      </c>
      <c r="L133">
        <v>2</v>
      </c>
      <c r="M133">
        <f>TB[[#This Row],[售价]]*TB[[#This Row],[销量]]</f>
        <v>12532</v>
      </c>
      <c r="N133" t="str">
        <f>IF(TB[[#This Row],[售价]]&lt;1000,"低价商品",IF(TB[[#This Row],[售价]]&lt;5000,"中价商品",IF(TB[[#This Row],[售价]]&lt;10000,"高价商品","超高价商品")))</f>
        <v>高价商品</v>
      </c>
    </row>
    <row r="134" spans="1:14" x14ac:dyDescent="0.2">
      <c r="A134">
        <v>331</v>
      </c>
      <c r="B134">
        <v>126</v>
      </c>
      <c r="C134" t="s">
        <v>46</v>
      </c>
      <c r="D134" t="s">
        <v>142</v>
      </c>
      <c r="E134" t="s">
        <v>31</v>
      </c>
      <c r="F134">
        <v>4</v>
      </c>
      <c r="G134" t="s">
        <v>13</v>
      </c>
      <c r="H134" s="1">
        <v>45933.240972222222</v>
      </c>
      <c r="I134" s="5">
        <f>INT(TB[[#This Row],[时间戳]])</f>
        <v>45933</v>
      </c>
      <c r="J134" s="2">
        <f>HOUR(TB[[#This Row],[时间戳]])</f>
        <v>5</v>
      </c>
      <c r="K134">
        <v>1025</v>
      </c>
      <c r="L134">
        <v>1</v>
      </c>
      <c r="M134">
        <f>TB[[#This Row],[售价]]*TB[[#This Row],[销量]]</f>
        <v>1025</v>
      </c>
      <c r="N134" t="str">
        <f>IF(TB[[#This Row],[售价]]&lt;1000,"低价商品",IF(TB[[#This Row],[售价]]&lt;5000,"中价商品",IF(TB[[#This Row],[售价]]&lt;10000,"高价商品","超高价商品")))</f>
        <v>中价商品</v>
      </c>
    </row>
    <row r="135" spans="1:14" x14ac:dyDescent="0.2">
      <c r="A135">
        <v>769</v>
      </c>
      <c r="B135">
        <v>238</v>
      </c>
      <c r="C135" t="s">
        <v>44</v>
      </c>
      <c r="D135" t="s">
        <v>143</v>
      </c>
      <c r="E135" t="s">
        <v>19</v>
      </c>
      <c r="F135">
        <v>3</v>
      </c>
      <c r="G135" t="s">
        <v>13</v>
      </c>
      <c r="H135" s="1">
        <v>45933.248611111114</v>
      </c>
      <c r="I135" s="5">
        <f>INT(TB[[#This Row],[时间戳]])</f>
        <v>45933</v>
      </c>
      <c r="J135" s="2">
        <f>HOUR(TB[[#This Row],[时间戳]])</f>
        <v>5</v>
      </c>
      <c r="K135">
        <v>2151</v>
      </c>
      <c r="L135">
        <v>4</v>
      </c>
      <c r="M135">
        <f>TB[[#This Row],[售价]]*TB[[#This Row],[销量]]</f>
        <v>8604</v>
      </c>
      <c r="N135" t="str">
        <f>IF(TB[[#This Row],[售价]]&lt;1000,"低价商品",IF(TB[[#This Row],[售价]]&lt;5000,"中价商品",IF(TB[[#This Row],[售价]]&lt;10000,"高价商品","超高价商品")))</f>
        <v>中价商品</v>
      </c>
    </row>
    <row r="136" spans="1:14" x14ac:dyDescent="0.2">
      <c r="A136">
        <v>30</v>
      </c>
      <c r="B136">
        <v>254</v>
      </c>
      <c r="C136" t="s">
        <v>17</v>
      </c>
      <c r="D136" t="s">
        <v>67</v>
      </c>
      <c r="E136" t="s">
        <v>39</v>
      </c>
      <c r="F136">
        <v>5</v>
      </c>
      <c r="G136" t="s">
        <v>13</v>
      </c>
      <c r="H136" s="1">
        <v>45933.301388888889</v>
      </c>
      <c r="I136" s="5">
        <f>INT(TB[[#This Row],[时间戳]])</f>
        <v>45933</v>
      </c>
      <c r="J136" s="2">
        <f>HOUR(TB[[#This Row],[时间戳]])</f>
        <v>7</v>
      </c>
      <c r="K136">
        <v>3246</v>
      </c>
      <c r="L136">
        <v>2</v>
      </c>
      <c r="M136">
        <f>TB[[#This Row],[售价]]*TB[[#This Row],[销量]]</f>
        <v>6492</v>
      </c>
      <c r="N136" t="str">
        <f>IF(TB[[#This Row],[售价]]&lt;1000,"低价商品",IF(TB[[#This Row],[售价]]&lt;5000,"中价商品",IF(TB[[#This Row],[售价]]&lt;10000,"高价商品","超高价商品")))</f>
        <v>中价商品</v>
      </c>
    </row>
    <row r="137" spans="1:14" x14ac:dyDescent="0.2">
      <c r="A137">
        <v>364</v>
      </c>
      <c r="B137">
        <v>133</v>
      </c>
      <c r="C137" t="s">
        <v>44</v>
      </c>
      <c r="D137" t="s">
        <v>76</v>
      </c>
      <c r="E137" t="s">
        <v>31</v>
      </c>
      <c r="F137">
        <v>4</v>
      </c>
      <c r="G137" t="s">
        <v>13</v>
      </c>
      <c r="H137" s="1">
        <v>45933.308333333334</v>
      </c>
      <c r="I137" s="5">
        <f>INT(TB[[#This Row],[时间戳]])</f>
        <v>45933</v>
      </c>
      <c r="J137" s="2">
        <f>HOUR(TB[[#This Row],[时间戳]])</f>
        <v>7</v>
      </c>
      <c r="K137">
        <v>608</v>
      </c>
      <c r="L137">
        <v>3</v>
      </c>
      <c r="M137">
        <f>TB[[#This Row],[售价]]*TB[[#This Row],[销量]]</f>
        <v>1824</v>
      </c>
      <c r="N137" t="str">
        <f>IF(TB[[#This Row],[售价]]&lt;1000,"低价商品",IF(TB[[#This Row],[售价]]&lt;5000,"中价商品",IF(TB[[#This Row],[售价]]&lt;10000,"高价商品","超高价商品")))</f>
        <v>低价商品</v>
      </c>
    </row>
    <row r="138" spans="1:14" x14ac:dyDescent="0.2">
      <c r="A138">
        <v>570</v>
      </c>
      <c r="B138">
        <v>6</v>
      </c>
      <c r="C138" t="s">
        <v>46</v>
      </c>
      <c r="D138" t="s">
        <v>142</v>
      </c>
      <c r="E138" t="s">
        <v>31</v>
      </c>
      <c r="F138">
        <v>4</v>
      </c>
      <c r="G138" t="s">
        <v>13</v>
      </c>
      <c r="H138" s="1">
        <v>45933.322222222225</v>
      </c>
      <c r="I138" s="5">
        <f>INT(TB[[#This Row],[时间戳]])</f>
        <v>45933</v>
      </c>
      <c r="J138" s="2">
        <f>HOUR(TB[[#This Row],[时间戳]])</f>
        <v>7</v>
      </c>
      <c r="K138">
        <v>690</v>
      </c>
      <c r="L138">
        <v>2</v>
      </c>
      <c r="M138">
        <f>TB[[#This Row],[售价]]*TB[[#This Row],[销量]]</f>
        <v>1380</v>
      </c>
      <c r="N138" t="str">
        <f>IF(TB[[#This Row],[售价]]&lt;1000,"低价商品",IF(TB[[#This Row],[售价]]&lt;5000,"中价商品",IF(TB[[#This Row],[售价]]&lt;10000,"高价商品","超高价商品")))</f>
        <v>低价商品</v>
      </c>
    </row>
    <row r="139" spans="1:14" x14ac:dyDescent="0.2">
      <c r="A139">
        <v>738</v>
      </c>
      <c r="B139">
        <v>209</v>
      </c>
      <c r="C139" t="s">
        <v>14</v>
      </c>
      <c r="D139" t="s">
        <v>144</v>
      </c>
      <c r="E139" t="s">
        <v>19</v>
      </c>
      <c r="F139">
        <v>3</v>
      </c>
      <c r="G139" t="s">
        <v>13</v>
      </c>
      <c r="H139" s="1">
        <v>45933.344444444447</v>
      </c>
      <c r="I139" s="5">
        <f>INT(TB[[#This Row],[时间戳]])</f>
        <v>45933</v>
      </c>
      <c r="J139" s="2">
        <f>HOUR(TB[[#This Row],[时间戳]])</f>
        <v>8</v>
      </c>
      <c r="K139">
        <v>5629</v>
      </c>
      <c r="L139">
        <v>2</v>
      </c>
      <c r="M139">
        <f>TB[[#This Row],[售价]]*TB[[#This Row],[销量]]</f>
        <v>11258</v>
      </c>
      <c r="N139" t="str">
        <f>IF(TB[[#This Row],[售价]]&lt;1000,"低价商品",IF(TB[[#This Row],[售价]]&lt;5000,"中价商品",IF(TB[[#This Row],[售价]]&lt;10000,"高价商品","超高价商品")))</f>
        <v>高价商品</v>
      </c>
    </row>
    <row r="140" spans="1:14" x14ac:dyDescent="0.2">
      <c r="A140">
        <v>662</v>
      </c>
      <c r="B140">
        <v>252</v>
      </c>
      <c r="C140" t="s">
        <v>32</v>
      </c>
      <c r="D140" t="s">
        <v>79</v>
      </c>
      <c r="E140" t="s">
        <v>31</v>
      </c>
      <c r="F140">
        <v>4</v>
      </c>
      <c r="G140" t="s">
        <v>13</v>
      </c>
      <c r="H140" s="1">
        <v>45933.352777777778</v>
      </c>
      <c r="I140" s="5">
        <f>INT(TB[[#This Row],[时间戳]])</f>
        <v>45933</v>
      </c>
      <c r="J140" s="2">
        <f>HOUR(TB[[#This Row],[时间戳]])</f>
        <v>8</v>
      </c>
      <c r="K140">
        <v>1134</v>
      </c>
      <c r="L140">
        <v>1</v>
      </c>
      <c r="M140">
        <f>TB[[#This Row],[售价]]*TB[[#This Row],[销量]]</f>
        <v>1134</v>
      </c>
      <c r="N140" t="str">
        <f>IF(TB[[#This Row],[售价]]&lt;1000,"低价商品",IF(TB[[#This Row],[售价]]&lt;5000,"中价商品",IF(TB[[#This Row],[售价]]&lt;10000,"高价商品","超高价商品")))</f>
        <v>中价商品</v>
      </c>
    </row>
    <row r="141" spans="1:14" x14ac:dyDescent="0.2">
      <c r="A141">
        <v>227</v>
      </c>
      <c r="B141">
        <v>208</v>
      </c>
      <c r="C141" t="s">
        <v>14</v>
      </c>
      <c r="D141" t="s">
        <v>145</v>
      </c>
      <c r="E141" t="s">
        <v>22</v>
      </c>
      <c r="F141">
        <v>1</v>
      </c>
      <c r="G141" t="s">
        <v>13</v>
      </c>
      <c r="H141" s="1">
        <v>45933.418055555558</v>
      </c>
      <c r="I141" s="5">
        <f>INT(TB[[#This Row],[时间戳]])</f>
        <v>45933</v>
      </c>
      <c r="J141" s="2">
        <f>HOUR(TB[[#This Row],[时间戳]])</f>
        <v>10</v>
      </c>
      <c r="K141">
        <v>4479</v>
      </c>
      <c r="L141">
        <v>3</v>
      </c>
      <c r="M141">
        <f>TB[[#This Row],[售价]]*TB[[#This Row],[销量]]</f>
        <v>13437</v>
      </c>
      <c r="N141" t="str">
        <f>IF(TB[[#This Row],[售价]]&lt;1000,"低价商品",IF(TB[[#This Row],[售价]]&lt;5000,"中价商品",IF(TB[[#This Row],[售价]]&lt;10000,"高价商品","超高价商品")))</f>
        <v>中价商品</v>
      </c>
    </row>
    <row r="142" spans="1:14" x14ac:dyDescent="0.2">
      <c r="A142">
        <v>596</v>
      </c>
      <c r="B142">
        <v>189</v>
      </c>
      <c r="C142" t="s">
        <v>36</v>
      </c>
      <c r="D142" t="s">
        <v>146</v>
      </c>
      <c r="E142" t="s">
        <v>22</v>
      </c>
      <c r="F142">
        <v>1</v>
      </c>
      <c r="G142" t="s">
        <v>13</v>
      </c>
      <c r="H142" s="1">
        <v>45933.478472222225</v>
      </c>
      <c r="I142" s="5">
        <f>INT(TB[[#This Row],[时间戳]])</f>
        <v>45933</v>
      </c>
      <c r="J142" s="2">
        <f>HOUR(TB[[#This Row],[时间戳]])</f>
        <v>11</v>
      </c>
      <c r="K142">
        <v>6591</v>
      </c>
      <c r="L142">
        <v>4</v>
      </c>
      <c r="M142">
        <f>TB[[#This Row],[售价]]*TB[[#This Row],[销量]]</f>
        <v>26364</v>
      </c>
      <c r="N142" t="str">
        <f>IF(TB[[#This Row],[售价]]&lt;1000,"低价商品",IF(TB[[#This Row],[售价]]&lt;5000,"中价商品",IF(TB[[#This Row],[售价]]&lt;10000,"高价商品","超高价商品")))</f>
        <v>高价商品</v>
      </c>
    </row>
    <row r="143" spans="1:14" x14ac:dyDescent="0.2">
      <c r="A143">
        <v>436</v>
      </c>
      <c r="B143">
        <v>282</v>
      </c>
      <c r="C143" t="s">
        <v>20</v>
      </c>
      <c r="D143" t="s">
        <v>147</v>
      </c>
      <c r="E143" t="s">
        <v>22</v>
      </c>
      <c r="F143">
        <v>1</v>
      </c>
      <c r="G143" t="s">
        <v>13</v>
      </c>
      <c r="H143" s="1">
        <v>45933.484027777777</v>
      </c>
      <c r="I143" s="5">
        <f>INT(TB[[#This Row],[时间戳]])</f>
        <v>45933</v>
      </c>
      <c r="J143" s="2">
        <f>HOUR(TB[[#This Row],[时间戳]])</f>
        <v>11</v>
      </c>
      <c r="K143">
        <v>4959</v>
      </c>
      <c r="L143">
        <v>1</v>
      </c>
      <c r="M143">
        <f>TB[[#This Row],[售价]]*TB[[#This Row],[销量]]</f>
        <v>4959</v>
      </c>
      <c r="N143" t="str">
        <f>IF(TB[[#This Row],[售价]]&lt;1000,"低价商品",IF(TB[[#This Row],[售价]]&lt;5000,"中价商品",IF(TB[[#This Row],[售价]]&lt;10000,"高价商品","超高价商品")))</f>
        <v>中价商品</v>
      </c>
    </row>
    <row r="144" spans="1:14" x14ac:dyDescent="0.2">
      <c r="A144">
        <v>314</v>
      </c>
      <c r="B144">
        <v>129</v>
      </c>
      <c r="C144" t="s">
        <v>44</v>
      </c>
      <c r="D144" t="s">
        <v>132</v>
      </c>
      <c r="E144" t="s">
        <v>22</v>
      </c>
      <c r="F144">
        <v>1</v>
      </c>
      <c r="G144" t="s">
        <v>13</v>
      </c>
      <c r="H144" s="1">
        <v>45933.496527777781</v>
      </c>
      <c r="I144" s="5">
        <f>INT(TB[[#This Row],[时间戳]])</f>
        <v>45933</v>
      </c>
      <c r="J144" s="2">
        <f>HOUR(TB[[#This Row],[时间戳]])</f>
        <v>11</v>
      </c>
      <c r="K144">
        <v>3689</v>
      </c>
      <c r="L144">
        <v>3</v>
      </c>
      <c r="M144">
        <f>TB[[#This Row],[售价]]*TB[[#This Row],[销量]]</f>
        <v>11067</v>
      </c>
      <c r="N144" t="str">
        <f>IF(TB[[#This Row],[售价]]&lt;1000,"低价商品",IF(TB[[#This Row],[售价]]&lt;5000,"中价商品",IF(TB[[#This Row],[售价]]&lt;10000,"高价商品","超高价商品")))</f>
        <v>中价商品</v>
      </c>
    </row>
    <row r="145" spans="1:14" x14ac:dyDescent="0.2">
      <c r="A145">
        <v>123</v>
      </c>
      <c r="B145">
        <v>275</v>
      </c>
      <c r="C145" t="s">
        <v>32</v>
      </c>
      <c r="D145" t="s">
        <v>148</v>
      </c>
      <c r="E145" t="s">
        <v>16</v>
      </c>
      <c r="F145">
        <v>6</v>
      </c>
      <c r="G145" t="s">
        <v>13</v>
      </c>
      <c r="H145" s="1">
        <v>45933.503472222219</v>
      </c>
      <c r="I145" s="5">
        <f>INT(TB[[#This Row],[时间戳]])</f>
        <v>45933</v>
      </c>
      <c r="J145" s="2">
        <f>HOUR(TB[[#This Row],[时间戳]])</f>
        <v>12</v>
      </c>
      <c r="K145">
        <v>5638</v>
      </c>
      <c r="L145">
        <v>1</v>
      </c>
      <c r="M145">
        <f>TB[[#This Row],[售价]]*TB[[#This Row],[销量]]</f>
        <v>5638</v>
      </c>
      <c r="N145" t="str">
        <f>IF(TB[[#This Row],[售价]]&lt;1000,"低价商品",IF(TB[[#This Row],[售价]]&lt;5000,"中价商品",IF(TB[[#This Row],[售价]]&lt;10000,"高价商品","超高价商品")))</f>
        <v>高价商品</v>
      </c>
    </row>
    <row r="146" spans="1:14" x14ac:dyDescent="0.2">
      <c r="A146">
        <v>222</v>
      </c>
      <c r="B146">
        <v>248</v>
      </c>
      <c r="C146" t="s">
        <v>26</v>
      </c>
      <c r="D146" t="s">
        <v>149</v>
      </c>
      <c r="E146" t="s">
        <v>39</v>
      </c>
      <c r="F146">
        <v>5</v>
      </c>
      <c r="G146" t="s">
        <v>13</v>
      </c>
      <c r="H146" s="1">
        <v>45933.509027777778</v>
      </c>
      <c r="I146" s="5">
        <f>INT(TB[[#This Row],[时间戳]])</f>
        <v>45933</v>
      </c>
      <c r="J146" s="2">
        <f>HOUR(TB[[#This Row],[时间戳]])</f>
        <v>12</v>
      </c>
      <c r="K146">
        <v>4000</v>
      </c>
      <c r="L146">
        <v>2</v>
      </c>
      <c r="M146">
        <f>TB[[#This Row],[售价]]*TB[[#This Row],[销量]]</f>
        <v>8000</v>
      </c>
      <c r="N146" t="str">
        <f>IF(TB[[#This Row],[售价]]&lt;1000,"低价商品",IF(TB[[#This Row],[售价]]&lt;5000,"中价商品",IF(TB[[#This Row],[售价]]&lt;10000,"高价商品","超高价商品")))</f>
        <v>中价商品</v>
      </c>
    </row>
    <row r="147" spans="1:14" x14ac:dyDescent="0.2">
      <c r="A147">
        <v>612</v>
      </c>
      <c r="B147">
        <v>145</v>
      </c>
      <c r="C147" t="s">
        <v>46</v>
      </c>
      <c r="D147" t="s">
        <v>150</v>
      </c>
      <c r="E147" t="s">
        <v>25</v>
      </c>
      <c r="F147">
        <v>7</v>
      </c>
      <c r="G147" t="s">
        <v>13</v>
      </c>
      <c r="H147" s="1">
        <v>45933.509722222225</v>
      </c>
      <c r="I147" s="5">
        <f>INT(TB[[#This Row],[时间戳]])</f>
        <v>45933</v>
      </c>
      <c r="J147" s="2">
        <f>HOUR(TB[[#This Row],[时间戳]])</f>
        <v>12</v>
      </c>
      <c r="K147">
        <v>3935</v>
      </c>
      <c r="L147">
        <v>1</v>
      </c>
      <c r="M147">
        <f>TB[[#This Row],[售价]]*TB[[#This Row],[销量]]</f>
        <v>3935</v>
      </c>
      <c r="N147" t="str">
        <f>IF(TB[[#This Row],[售价]]&lt;1000,"低价商品",IF(TB[[#This Row],[售价]]&lt;5000,"中价商品",IF(TB[[#This Row],[售价]]&lt;10000,"高价商品","超高价商品")))</f>
        <v>中价商品</v>
      </c>
    </row>
    <row r="148" spans="1:14" x14ac:dyDescent="0.2">
      <c r="A148">
        <v>370</v>
      </c>
      <c r="B148">
        <v>92</v>
      </c>
      <c r="C148" t="s">
        <v>36</v>
      </c>
      <c r="D148" t="s">
        <v>151</v>
      </c>
      <c r="E148" t="s">
        <v>25</v>
      </c>
      <c r="F148">
        <v>7</v>
      </c>
      <c r="G148" t="s">
        <v>13</v>
      </c>
      <c r="H148" s="1">
        <v>45933.527083333334</v>
      </c>
      <c r="I148" s="5">
        <f>INT(TB[[#This Row],[时间戳]])</f>
        <v>45933</v>
      </c>
      <c r="J148" s="2">
        <f>HOUR(TB[[#This Row],[时间戳]])</f>
        <v>12</v>
      </c>
      <c r="K148">
        <v>2222</v>
      </c>
      <c r="L148">
        <v>5</v>
      </c>
      <c r="M148">
        <f>TB[[#This Row],[售价]]*TB[[#This Row],[销量]]</f>
        <v>11110</v>
      </c>
      <c r="N148" t="str">
        <f>IF(TB[[#This Row],[售价]]&lt;1000,"低价商品",IF(TB[[#This Row],[售价]]&lt;5000,"中价商品",IF(TB[[#This Row],[售价]]&lt;10000,"高价商品","超高价商品")))</f>
        <v>中价商品</v>
      </c>
    </row>
    <row r="149" spans="1:14" x14ac:dyDescent="0.2">
      <c r="A149">
        <v>281</v>
      </c>
      <c r="B149">
        <v>24</v>
      </c>
      <c r="C149" t="s">
        <v>20</v>
      </c>
      <c r="D149" t="s">
        <v>152</v>
      </c>
      <c r="E149" t="s">
        <v>16</v>
      </c>
      <c r="F149">
        <v>6</v>
      </c>
      <c r="G149" t="s">
        <v>13</v>
      </c>
      <c r="H149" s="1">
        <v>45933.540277777778</v>
      </c>
      <c r="I149" s="5">
        <f>INT(TB[[#This Row],[时间戳]])</f>
        <v>45933</v>
      </c>
      <c r="J149" s="2">
        <f>HOUR(TB[[#This Row],[时间戳]])</f>
        <v>12</v>
      </c>
      <c r="K149">
        <v>6759</v>
      </c>
      <c r="L149">
        <v>2</v>
      </c>
      <c r="M149">
        <f>TB[[#This Row],[售价]]*TB[[#This Row],[销量]]</f>
        <v>13518</v>
      </c>
      <c r="N149" t="str">
        <f>IF(TB[[#This Row],[售价]]&lt;1000,"低价商品",IF(TB[[#This Row],[售价]]&lt;5000,"中价商品",IF(TB[[#This Row],[售价]]&lt;10000,"高价商品","超高价商品")))</f>
        <v>高价商品</v>
      </c>
    </row>
    <row r="150" spans="1:14" x14ac:dyDescent="0.2">
      <c r="A150">
        <v>654</v>
      </c>
      <c r="B150">
        <v>252</v>
      </c>
      <c r="C150" t="s">
        <v>36</v>
      </c>
      <c r="D150" t="s">
        <v>153</v>
      </c>
      <c r="E150" t="s">
        <v>31</v>
      </c>
      <c r="F150">
        <v>4</v>
      </c>
      <c r="G150" t="s">
        <v>42</v>
      </c>
      <c r="H150" s="1">
        <v>45933.540972222225</v>
      </c>
      <c r="I150" s="5">
        <f>INT(TB[[#This Row],[时间戳]])</f>
        <v>45933</v>
      </c>
      <c r="J150" s="2">
        <f>HOUR(TB[[#This Row],[时间戳]])</f>
        <v>12</v>
      </c>
      <c r="K150">
        <v>244</v>
      </c>
      <c r="L150">
        <v>0</v>
      </c>
      <c r="M150">
        <f>TB[[#This Row],[售价]]*TB[[#This Row],[销量]]</f>
        <v>0</v>
      </c>
      <c r="N150" t="str">
        <f>IF(TB[[#This Row],[售价]]&lt;1000,"低价商品",IF(TB[[#This Row],[售价]]&lt;5000,"中价商品",IF(TB[[#This Row],[售价]]&lt;10000,"高价商品","超高价商品")))</f>
        <v>低价商品</v>
      </c>
    </row>
    <row r="151" spans="1:14" x14ac:dyDescent="0.2">
      <c r="A151">
        <v>481</v>
      </c>
      <c r="B151">
        <v>246</v>
      </c>
      <c r="C151" t="s">
        <v>46</v>
      </c>
      <c r="D151" t="s">
        <v>154</v>
      </c>
      <c r="E151" t="s">
        <v>25</v>
      </c>
      <c r="F151">
        <v>7</v>
      </c>
      <c r="G151" t="s">
        <v>13</v>
      </c>
      <c r="H151" s="1">
        <v>45933.547222222223</v>
      </c>
      <c r="I151" s="5">
        <f>INT(TB[[#This Row],[时间戳]])</f>
        <v>45933</v>
      </c>
      <c r="J151" s="2">
        <f>HOUR(TB[[#This Row],[时间戳]])</f>
        <v>13</v>
      </c>
      <c r="K151">
        <v>2146</v>
      </c>
      <c r="L151">
        <v>1</v>
      </c>
      <c r="M151">
        <f>TB[[#This Row],[售价]]*TB[[#This Row],[销量]]</f>
        <v>2146</v>
      </c>
      <c r="N151" t="str">
        <f>IF(TB[[#This Row],[售价]]&lt;1000,"低价商品",IF(TB[[#This Row],[售价]]&lt;5000,"中价商品",IF(TB[[#This Row],[售价]]&lt;10000,"高价商品","超高价商品")))</f>
        <v>中价商品</v>
      </c>
    </row>
    <row r="152" spans="1:14" x14ac:dyDescent="0.2">
      <c r="A152">
        <v>259</v>
      </c>
      <c r="B152">
        <v>245</v>
      </c>
      <c r="C152" t="s">
        <v>26</v>
      </c>
      <c r="D152" t="s">
        <v>155</v>
      </c>
      <c r="E152" t="s">
        <v>12</v>
      </c>
      <c r="F152">
        <v>2</v>
      </c>
      <c r="G152" t="s">
        <v>13</v>
      </c>
      <c r="H152" s="1">
        <v>45933.59097222222</v>
      </c>
      <c r="I152" s="5">
        <f>INT(TB[[#This Row],[时间戳]])</f>
        <v>45933</v>
      </c>
      <c r="J152" s="2">
        <f>HOUR(TB[[#This Row],[时间戳]])</f>
        <v>14</v>
      </c>
      <c r="K152">
        <v>11190</v>
      </c>
      <c r="L152">
        <v>3</v>
      </c>
      <c r="M152">
        <f>TB[[#This Row],[售价]]*TB[[#This Row],[销量]]</f>
        <v>33570</v>
      </c>
      <c r="N152" t="str">
        <f>IF(TB[[#This Row],[售价]]&lt;1000,"低价商品",IF(TB[[#This Row],[售价]]&lt;5000,"中价商品",IF(TB[[#This Row],[售价]]&lt;10000,"高价商品","超高价商品")))</f>
        <v>超高价商品</v>
      </c>
    </row>
    <row r="153" spans="1:14" x14ac:dyDescent="0.2">
      <c r="A153">
        <v>76</v>
      </c>
      <c r="B153">
        <v>296</v>
      </c>
      <c r="C153" t="s">
        <v>17</v>
      </c>
      <c r="D153" t="s">
        <v>156</v>
      </c>
      <c r="E153" t="s">
        <v>19</v>
      </c>
      <c r="F153">
        <v>3</v>
      </c>
      <c r="G153" t="s">
        <v>13</v>
      </c>
      <c r="H153" s="1">
        <v>45933.59652777778</v>
      </c>
      <c r="I153" s="5">
        <f>INT(TB[[#This Row],[时间戳]])</f>
        <v>45933</v>
      </c>
      <c r="J153" s="2">
        <f>HOUR(TB[[#This Row],[时间戳]])</f>
        <v>14</v>
      </c>
      <c r="K153">
        <v>2267</v>
      </c>
      <c r="L153">
        <v>3</v>
      </c>
      <c r="M153">
        <f>TB[[#This Row],[售价]]*TB[[#This Row],[销量]]</f>
        <v>6801</v>
      </c>
      <c r="N153" t="str">
        <f>IF(TB[[#This Row],[售价]]&lt;1000,"低价商品",IF(TB[[#This Row],[售价]]&lt;5000,"中价商品",IF(TB[[#This Row],[售价]]&lt;10000,"高价商品","超高价商品")))</f>
        <v>中价商品</v>
      </c>
    </row>
    <row r="154" spans="1:14" x14ac:dyDescent="0.2">
      <c r="A154">
        <v>153</v>
      </c>
      <c r="B154">
        <v>289</v>
      </c>
      <c r="C154" t="s">
        <v>10</v>
      </c>
      <c r="D154" t="s">
        <v>116</v>
      </c>
      <c r="E154" t="s">
        <v>31</v>
      </c>
      <c r="F154">
        <v>4</v>
      </c>
      <c r="G154" t="s">
        <v>13</v>
      </c>
      <c r="H154" s="1">
        <v>45933.599305555559</v>
      </c>
      <c r="I154" s="5">
        <f>INT(TB[[#This Row],[时间戳]])</f>
        <v>45933</v>
      </c>
      <c r="J154" s="2">
        <f>HOUR(TB[[#This Row],[时间戳]])</f>
        <v>14</v>
      </c>
      <c r="K154">
        <v>1490</v>
      </c>
      <c r="L154">
        <v>3</v>
      </c>
      <c r="M154">
        <f>TB[[#This Row],[售价]]*TB[[#This Row],[销量]]</f>
        <v>4470</v>
      </c>
      <c r="N154" t="str">
        <f>IF(TB[[#This Row],[售价]]&lt;1000,"低价商品",IF(TB[[#This Row],[售价]]&lt;5000,"中价商品",IF(TB[[#This Row],[售价]]&lt;10000,"高价商品","超高价商品")))</f>
        <v>中价商品</v>
      </c>
    </row>
    <row r="155" spans="1:14" x14ac:dyDescent="0.2">
      <c r="A155">
        <v>572</v>
      </c>
      <c r="B155">
        <v>214</v>
      </c>
      <c r="C155" t="s">
        <v>32</v>
      </c>
      <c r="D155" t="s">
        <v>138</v>
      </c>
      <c r="E155" t="s">
        <v>12</v>
      </c>
      <c r="F155">
        <v>2</v>
      </c>
      <c r="G155" t="s">
        <v>13</v>
      </c>
      <c r="H155" s="1">
        <v>45933.611111111109</v>
      </c>
      <c r="I155" s="5">
        <f>INT(TB[[#This Row],[时间戳]])</f>
        <v>45933</v>
      </c>
      <c r="J155" s="2">
        <f>HOUR(TB[[#This Row],[时间戳]])</f>
        <v>14</v>
      </c>
      <c r="K155">
        <v>8821</v>
      </c>
      <c r="L155">
        <v>3</v>
      </c>
      <c r="M155">
        <f>TB[[#This Row],[售价]]*TB[[#This Row],[销量]]</f>
        <v>26463</v>
      </c>
      <c r="N155" t="str">
        <f>IF(TB[[#This Row],[售价]]&lt;1000,"低价商品",IF(TB[[#This Row],[售价]]&lt;5000,"中价商品",IF(TB[[#This Row],[售价]]&lt;10000,"高价商品","超高价商品")))</f>
        <v>高价商品</v>
      </c>
    </row>
    <row r="156" spans="1:14" x14ac:dyDescent="0.2">
      <c r="A156">
        <v>795</v>
      </c>
      <c r="B156">
        <v>268</v>
      </c>
      <c r="C156" t="s">
        <v>46</v>
      </c>
      <c r="D156" t="s">
        <v>157</v>
      </c>
      <c r="E156" t="s">
        <v>12</v>
      </c>
      <c r="F156">
        <v>2</v>
      </c>
      <c r="G156" t="s">
        <v>13</v>
      </c>
      <c r="H156" s="1">
        <v>45933.689583333333</v>
      </c>
      <c r="I156" s="5">
        <f>INT(TB[[#This Row],[时间戳]])</f>
        <v>45933</v>
      </c>
      <c r="J156" s="2">
        <f>HOUR(TB[[#This Row],[时间戳]])</f>
        <v>16</v>
      </c>
      <c r="K156">
        <v>14038</v>
      </c>
      <c r="L156">
        <v>2</v>
      </c>
      <c r="M156">
        <f>TB[[#This Row],[售价]]*TB[[#This Row],[销量]]</f>
        <v>28076</v>
      </c>
      <c r="N156" t="str">
        <f>IF(TB[[#This Row],[售价]]&lt;1000,"低价商品",IF(TB[[#This Row],[售价]]&lt;5000,"中价商品",IF(TB[[#This Row],[售价]]&lt;10000,"高价商品","超高价商品")))</f>
        <v>超高价商品</v>
      </c>
    </row>
    <row r="157" spans="1:14" x14ac:dyDescent="0.2">
      <c r="A157">
        <v>603</v>
      </c>
      <c r="B157">
        <v>220</v>
      </c>
      <c r="C157" t="s">
        <v>44</v>
      </c>
      <c r="D157" t="s">
        <v>158</v>
      </c>
      <c r="E157" t="s">
        <v>31</v>
      </c>
      <c r="F157">
        <v>4</v>
      </c>
      <c r="G157" t="s">
        <v>42</v>
      </c>
      <c r="H157" s="1">
        <v>45933.694444444445</v>
      </c>
      <c r="I157" s="5">
        <f>INT(TB[[#This Row],[时间戳]])</f>
        <v>45933</v>
      </c>
      <c r="J157" s="2">
        <f>HOUR(TB[[#This Row],[时间戳]])</f>
        <v>16</v>
      </c>
      <c r="K157">
        <v>859</v>
      </c>
      <c r="L157">
        <v>0</v>
      </c>
      <c r="M157">
        <f>TB[[#This Row],[售价]]*TB[[#This Row],[销量]]</f>
        <v>0</v>
      </c>
      <c r="N157" t="str">
        <f>IF(TB[[#This Row],[售价]]&lt;1000,"低价商品",IF(TB[[#This Row],[售价]]&lt;5000,"中价商品",IF(TB[[#This Row],[售价]]&lt;10000,"高价商品","超高价商品")))</f>
        <v>低价商品</v>
      </c>
    </row>
    <row r="158" spans="1:14" x14ac:dyDescent="0.2">
      <c r="A158">
        <v>625</v>
      </c>
      <c r="B158">
        <v>51</v>
      </c>
      <c r="C158" t="s">
        <v>46</v>
      </c>
      <c r="D158" t="s">
        <v>159</v>
      </c>
      <c r="E158" t="s">
        <v>16</v>
      </c>
      <c r="F158">
        <v>6</v>
      </c>
      <c r="G158" t="s">
        <v>13</v>
      </c>
      <c r="H158" s="1">
        <v>45933.715277777781</v>
      </c>
      <c r="I158" s="5">
        <f>INT(TB[[#This Row],[时间戳]])</f>
        <v>45933</v>
      </c>
      <c r="J158" s="2">
        <f>HOUR(TB[[#This Row],[时间戳]])</f>
        <v>17</v>
      </c>
      <c r="K158">
        <v>7094</v>
      </c>
      <c r="L158">
        <v>2</v>
      </c>
      <c r="M158">
        <f>TB[[#This Row],[售价]]*TB[[#This Row],[销量]]</f>
        <v>14188</v>
      </c>
      <c r="N158" t="str">
        <f>IF(TB[[#This Row],[售价]]&lt;1000,"低价商品",IF(TB[[#This Row],[售价]]&lt;5000,"中价商品",IF(TB[[#This Row],[售价]]&lt;10000,"高价商品","超高价商品")))</f>
        <v>高价商品</v>
      </c>
    </row>
    <row r="159" spans="1:14" x14ac:dyDescent="0.2">
      <c r="A159">
        <v>677</v>
      </c>
      <c r="B159">
        <v>42</v>
      </c>
      <c r="C159" t="s">
        <v>32</v>
      </c>
      <c r="D159" t="s">
        <v>107</v>
      </c>
      <c r="E159" t="s">
        <v>31</v>
      </c>
      <c r="F159">
        <v>4</v>
      </c>
      <c r="G159" t="s">
        <v>13</v>
      </c>
      <c r="H159" s="1">
        <v>45933.741666666669</v>
      </c>
      <c r="I159" s="5">
        <f>INT(TB[[#This Row],[时间戳]])</f>
        <v>45933</v>
      </c>
      <c r="J159" s="2">
        <f>HOUR(TB[[#This Row],[时间戳]])</f>
        <v>17</v>
      </c>
      <c r="K159">
        <v>595</v>
      </c>
      <c r="L159">
        <v>1</v>
      </c>
      <c r="M159">
        <f>TB[[#This Row],[售价]]*TB[[#This Row],[销量]]</f>
        <v>595</v>
      </c>
      <c r="N159" t="str">
        <f>IF(TB[[#This Row],[售价]]&lt;1000,"低价商品",IF(TB[[#This Row],[售价]]&lt;5000,"中价商品",IF(TB[[#This Row],[售价]]&lt;10000,"高价商品","超高价商品")))</f>
        <v>低价商品</v>
      </c>
    </row>
    <row r="160" spans="1:14" x14ac:dyDescent="0.2">
      <c r="A160">
        <v>77</v>
      </c>
      <c r="B160">
        <v>81</v>
      </c>
      <c r="C160" t="s">
        <v>26</v>
      </c>
      <c r="D160" t="s">
        <v>160</v>
      </c>
      <c r="E160" t="s">
        <v>19</v>
      </c>
      <c r="F160">
        <v>3</v>
      </c>
      <c r="G160" t="s">
        <v>13</v>
      </c>
      <c r="H160" s="1">
        <v>45933.746527777781</v>
      </c>
      <c r="I160" s="5">
        <f>INT(TB[[#This Row],[时间戳]])</f>
        <v>45933</v>
      </c>
      <c r="J160" s="2">
        <f>HOUR(TB[[#This Row],[时间戳]])</f>
        <v>17</v>
      </c>
      <c r="K160">
        <v>2708</v>
      </c>
      <c r="L160">
        <v>2</v>
      </c>
      <c r="M160">
        <f>TB[[#This Row],[售价]]*TB[[#This Row],[销量]]</f>
        <v>5416</v>
      </c>
      <c r="N160" t="str">
        <f>IF(TB[[#This Row],[售价]]&lt;1000,"低价商品",IF(TB[[#This Row],[售价]]&lt;5000,"中价商品",IF(TB[[#This Row],[售价]]&lt;10000,"高价商品","超高价商品")))</f>
        <v>中价商品</v>
      </c>
    </row>
    <row r="161" spans="1:14" x14ac:dyDescent="0.2">
      <c r="A161">
        <v>482</v>
      </c>
      <c r="B161">
        <v>150</v>
      </c>
      <c r="C161" t="s">
        <v>44</v>
      </c>
      <c r="D161" t="s">
        <v>161</v>
      </c>
      <c r="E161" t="s">
        <v>31</v>
      </c>
      <c r="F161">
        <v>4</v>
      </c>
      <c r="G161" t="s">
        <v>13</v>
      </c>
      <c r="H161" s="1">
        <v>45933.770138888889</v>
      </c>
      <c r="I161" s="5">
        <f>INT(TB[[#This Row],[时间戳]])</f>
        <v>45933</v>
      </c>
      <c r="J161" s="2">
        <f>HOUR(TB[[#This Row],[时间戳]])</f>
        <v>18</v>
      </c>
      <c r="K161">
        <v>64</v>
      </c>
      <c r="L161">
        <v>1</v>
      </c>
      <c r="M161">
        <f>TB[[#This Row],[售价]]*TB[[#This Row],[销量]]</f>
        <v>64</v>
      </c>
      <c r="N161" t="str">
        <f>IF(TB[[#This Row],[售价]]&lt;1000,"低价商品",IF(TB[[#This Row],[售价]]&lt;5000,"中价商品",IF(TB[[#This Row],[售价]]&lt;10000,"高价商品","超高价商品")))</f>
        <v>低价商品</v>
      </c>
    </row>
    <row r="162" spans="1:14" x14ac:dyDescent="0.2">
      <c r="A162">
        <v>290</v>
      </c>
      <c r="B162">
        <v>233</v>
      </c>
      <c r="C162" t="s">
        <v>36</v>
      </c>
      <c r="D162" t="s">
        <v>162</v>
      </c>
      <c r="E162" t="s">
        <v>25</v>
      </c>
      <c r="F162">
        <v>7</v>
      </c>
      <c r="G162" t="s">
        <v>13</v>
      </c>
      <c r="H162" s="1">
        <v>45933.779166666667</v>
      </c>
      <c r="I162" s="5">
        <f>INT(TB[[#This Row],[时间戳]])</f>
        <v>45933</v>
      </c>
      <c r="J162" s="2">
        <f>HOUR(TB[[#This Row],[时间戳]])</f>
        <v>18</v>
      </c>
      <c r="K162">
        <v>1685</v>
      </c>
      <c r="L162">
        <v>2</v>
      </c>
      <c r="M162">
        <f>TB[[#This Row],[售价]]*TB[[#This Row],[销量]]</f>
        <v>3370</v>
      </c>
      <c r="N162" t="str">
        <f>IF(TB[[#This Row],[售价]]&lt;1000,"低价商品",IF(TB[[#This Row],[售价]]&lt;5000,"中价商品",IF(TB[[#This Row],[售价]]&lt;10000,"高价商品","超高价商品")))</f>
        <v>中价商品</v>
      </c>
    </row>
    <row r="163" spans="1:14" x14ac:dyDescent="0.2">
      <c r="A163">
        <v>641</v>
      </c>
      <c r="B163">
        <v>102</v>
      </c>
      <c r="C163" t="s">
        <v>32</v>
      </c>
      <c r="D163" t="s">
        <v>148</v>
      </c>
      <c r="E163" t="s">
        <v>16</v>
      </c>
      <c r="F163">
        <v>6</v>
      </c>
      <c r="G163" t="s">
        <v>13</v>
      </c>
      <c r="H163" s="1">
        <v>45933.797222222223</v>
      </c>
      <c r="I163" s="5">
        <f>INT(TB[[#This Row],[时间戳]])</f>
        <v>45933</v>
      </c>
      <c r="J163" s="2">
        <f>HOUR(TB[[#This Row],[时间戳]])</f>
        <v>19</v>
      </c>
      <c r="K163">
        <v>3317</v>
      </c>
      <c r="L163">
        <v>2</v>
      </c>
      <c r="M163">
        <f>TB[[#This Row],[售价]]*TB[[#This Row],[销量]]</f>
        <v>6634</v>
      </c>
      <c r="N163" t="str">
        <f>IF(TB[[#This Row],[售价]]&lt;1000,"低价商品",IF(TB[[#This Row],[售价]]&lt;5000,"中价商品",IF(TB[[#This Row],[售价]]&lt;10000,"高价商品","超高价商品")))</f>
        <v>中价商品</v>
      </c>
    </row>
    <row r="164" spans="1:14" x14ac:dyDescent="0.2">
      <c r="A164">
        <v>664</v>
      </c>
      <c r="B164">
        <v>77</v>
      </c>
      <c r="C164" t="s">
        <v>20</v>
      </c>
      <c r="D164" t="s">
        <v>120</v>
      </c>
      <c r="E164" t="s">
        <v>22</v>
      </c>
      <c r="F164">
        <v>1</v>
      </c>
      <c r="G164" t="s">
        <v>13</v>
      </c>
      <c r="H164" s="1">
        <v>45933.815972222219</v>
      </c>
      <c r="I164" s="5">
        <f>INT(TB[[#This Row],[时间戳]])</f>
        <v>45933</v>
      </c>
      <c r="J164" s="2">
        <f>HOUR(TB[[#This Row],[时间戳]])</f>
        <v>19</v>
      </c>
      <c r="K164">
        <v>4340</v>
      </c>
      <c r="L164">
        <v>2</v>
      </c>
      <c r="M164">
        <f>TB[[#This Row],[售价]]*TB[[#This Row],[销量]]</f>
        <v>8680</v>
      </c>
      <c r="N164" t="str">
        <f>IF(TB[[#This Row],[售价]]&lt;1000,"低价商品",IF(TB[[#This Row],[售价]]&lt;5000,"中价商品",IF(TB[[#This Row],[售价]]&lt;10000,"高价商品","超高价商品")))</f>
        <v>中价商品</v>
      </c>
    </row>
    <row r="165" spans="1:14" x14ac:dyDescent="0.2">
      <c r="A165">
        <v>170</v>
      </c>
      <c r="B165">
        <v>158</v>
      </c>
      <c r="C165" t="s">
        <v>14</v>
      </c>
      <c r="D165" t="s">
        <v>89</v>
      </c>
      <c r="E165" t="s">
        <v>22</v>
      </c>
      <c r="F165">
        <v>1</v>
      </c>
      <c r="G165" t="s">
        <v>13</v>
      </c>
      <c r="H165" s="1">
        <v>45933.829861111109</v>
      </c>
      <c r="I165" s="5">
        <f>INT(TB[[#This Row],[时间戳]])</f>
        <v>45933</v>
      </c>
      <c r="J165" s="2">
        <f>HOUR(TB[[#This Row],[时间戳]])</f>
        <v>19</v>
      </c>
      <c r="K165">
        <v>3048</v>
      </c>
      <c r="L165">
        <v>1</v>
      </c>
      <c r="M165">
        <f>TB[[#This Row],[售价]]*TB[[#This Row],[销量]]</f>
        <v>3048</v>
      </c>
      <c r="N165" t="str">
        <f>IF(TB[[#This Row],[售价]]&lt;1000,"低价商品",IF(TB[[#This Row],[售价]]&lt;5000,"中价商品",IF(TB[[#This Row],[售价]]&lt;10000,"高价商品","超高价商品")))</f>
        <v>中价商品</v>
      </c>
    </row>
    <row r="166" spans="1:14" x14ac:dyDescent="0.2">
      <c r="A166">
        <v>450</v>
      </c>
      <c r="B166">
        <v>64</v>
      </c>
      <c r="C166" t="s">
        <v>46</v>
      </c>
      <c r="D166" t="s">
        <v>142</v>
      </c>
      <c r="E166" t="s">
        <v>31</v>
      </c>
      <c r="F166">
        <v>4</v>
      </c>
      <c r="G166" t="s">
        <v>13</v>
      </c>
      <c r="H166" s="1">
        <v>45933.831944444442</v>
      </c>
      <c r="I166" s="5">
        <f>INT(TB[[#This Row],[时间戳]])</f>
        <v>45933</v>
      </c>
      <c r="J166" s="2">
        <f>HOUR(TB[[#This Row],[时间戳]])</f>
        <v>19</v>
      </c>
      <c r="K166">
        <v>1451</v>
      </c>
      <c r="L166">
        <v>1</v>
      </c>
      <c r="M166">
        <f>TB[[#This Row],[售价]]*TB[[#This Row],[销量]]</f>
        <v>1451</v>
      </c>
      <c r="N166" t="str">
        <f>IF(TB[[#This Row],[售价]]&lt;1000,"低价商品",IF(TB[[#This Row],[售价]]&lt;5000,"中价商品",IF(TB[[#This Row],[售价]]&lt;10000,"高价商品","超高价商品")))</f>
        <v>中价商品</v>
      </c>
    </row>
    <row r="167" spans="1:14" x14ac:dyDescent="0.2">
      <c r="A167">
        <v>413</v>
      </c>
      <c r="B167">
        <v>140</v>
      </c>
      <c r="C167" t="s">
        <v>36</v>
      </c>
      <c r="D167" t="s">
        <v>146</v>
      </c>
      <c r="E167" t="s">
        <v>22</v>
      </c>
      <c r="F167">
        <v>1</v>
      </c>
      <c r="G167" t="s">
        <v>13</v>
      </c>
      <c r="H167" s="1">
        <v>45933.864583333336</v>
      </c>
      <c r="I167" s="5">
        <f>INT(TB[[#This Row],[时间戳]])</f>
        <v>45933</v>
      </c>
      <c r="J167" s="2">
        <f>HOUR(TB[[#This Row],[时间戳]])</f>
        <v>20</v>
      </c>
      <c r="K167">
        <v>4991</v>
      </c>
      <c r="L167">
        <v>2</v>
      </c>
      <c r="M167">
        <f>TB[[#This Row],[售价]]*TB[[#This Row],[销量]]</f>
        <v>9982</v>
      </c>
      <c r="N167" t="str">
        <f>IF(TB[[#This Row],[售价]]&lt;1000,"低价商品",IF(TB[[#This Row],[售价]]&lt;5000,"中价商品",IF(TB[[#This Row],[售价]]&lt;10000,"高价商品","超高价商品")))</f>
        <v>中价商品</v>
      </c>
    </row>
    <row r="168" spans="1:14" x14ac:dyDescent="0.2">
      <c r="A168">
        <v>83</v>
      </c>
      <c r="B168">
        <v>21</v>
      </c>
      <c r="C168" t="s">
        <v>44</v>
      </c>
      <c r="D168" t="s">
        <v>163</v>
      </c>
      <c r="E168" t="s">
        <v>12</v>
      </c>
      <c r="F168">
        <v>2</v>
      </c>
      <c r="G168" t="s">
        <v>13</v>
      </c>
      <c r="H168" s="1">
        <v>45933.87222222222</v>
      </c>
      <c r="I168" s="5">
        <f>INT(TB[[#This Row],[时间戳]])</f>
        <v>45933</v>
      </c>
      <c r="J168" s="2">
        <f>HOUR(TB[[#This Row],[时间戳]])</f>
        <v>20</v>
      </c>
      <c r="K168">
        <v>12275</v>
      </c>
      <c r="L168">
        <v>1</v>
      </c>
      <c r="M168">
        <f>TB[[#This Row],[售价]]*TB[[#This Row],[销量]]</f>
        <v>12275</v>
      </c>
      <c r="N168" t="str">
        <f>IF(TB[[#This Row],[售价]]&lt;1000,"低价商品",IF(TB[[#This Row],[售价]]&lt;5000,"中价商品",IF(TB[[#This Row],[售价]]&lt;10000,"高价商品","超高价商品")))</f>
        <v>超高价商品</v>
      </c>
    </row>
    <row r="169" spans="1:14" x14ac:dyDescent="0.2">
      <c r="A169">
        <v>257</v>
      </c>
      <c r="B169">
        <v>14</v>
      </c>
      <c r="C169" t="s">
        <v>34</v>
      </c>
      <c r="D169" t="s">
        <v>164</v>
      </c>
      <c r="E169" t="s">
        <v>22</v>
      </c>
      <c r="F169">
        <v>1</v>
      </c>
      <c r="G169" t="s">
        <v>13</v>
      </c>
      <c r="H169" s="1">
        <v>45933.875694444447</v>
      </c>
      <c r="I169" s="5">
        <f>INT(TB[[#This Row],[时间戳]])</f>
        <v>45933</v>
      </c>
      <c r="J169" s="2">
        <f>HOUR(TB[[#This Row],[时间戳]])</f>
        <v>21</v>
      </c>
      <c r="K169">
        <v>4715</v>
      </c>
      <c r="L169">
        <v>3</v>
      </c>
      <c r="M169">
        <f>TB[[#This Row],[售价]]*TB[[#This Row],[销量]]</f>
        <v>14145</v>
      </c>
      <c r="N169" t="str">
        <f>IF(TB[[#This Row],[售价]]&lt;1000,"低价商品",IF(TB[[#This Row],[售价]]&lt;5000,"中价商品",IF(TB[[#This Row],[售价]]&lt;10000,"高价商品","超高价商品")))</f>
        <v>中价商品</v>
      </c>
    </row>
    <row r="170" spans="1:14" x14ac:dyDescent="0.2">
      <c r="A170">
        <v>22</v>
      </c>
      <c r="B170">
        <v>138</v>
      </c>
      <c r="C170" t="s">
        <v>46</v>
      </c>
      <c r="D170" t="s">
        <v>129</v>
      </c>
      <c r="E170" t="s">
        <v>31</v>
      </c>
      <c r="F170">
        <v>4</v>
      </c>
      <c r="G170" t="s">
        <v>13</v>
      </c>
      <c r="H170" s="1">
        <v>45933.876388888886</v>
      </c>
      <c r="I170" s="5">
        <f>INT(TB[[#This Row],[时间戳]])</f>
        <v>45933</v>
      </c>
      <c r="J170" s="2">
        <f>HOUR(TB[[#This Row],[时间戳]])</f>
        <v>21</v>
      </c>
      <c r="K170">
        <v>154</v>
      </c>
      <c r="L170">
        <v>2</v>
      </c>
      <c r="M170">
        <f>TB[[#This Row],[售价]]*TB[[#This Row],[销量]]</f>
        <v>308</v>
      </c>
      <c r="N170" t="str">
        <f>IF(TB[[#This Row],[售价]]&lt;1000,"低价商品",IF(TB[[#This Row],[售价]]&lt;5000,"中价商品",IF(TB[[#This Row],[售价]]&lt;10000,"高价商品","超高价商品")))</f>
        <v>低价商品</v>
      </c>
    </row>
    <row r="171" spans="1:14" x14ac:dyDescent="0.2">
      <c r="A171">
        <v>532</v>
      </c>
      <c r="B171">
        <v>227</v>
      </c>
      <c r="C171" t="s">
        <v>26</v>
      </c>
      <c r="D171" t="s">
        <v>95</v>
      </c>
      <c r="E171" t="s">
        <v>22</v>
      </c>
      <c r="F171">
        <v>1</v>
      </c>
      <c r="G171" t="s">
        <v>13</v>
      </c>
      <c r="H171" s="1">
        <v>45933.893055555556</v>
      </c>
      <c r="I171" s="5">
        <f>INT(TB[[#This Row],[时间戳]])</f>
        <v>45933</v>
      </c>
      <c r="J171" s="2">
        <f>HOUR(TB[[#This Row],[时间戳]])</f>
        <v>21</v>
      </c>
      <c r="K171">
        <v>5540</v>
      </c>
      <c r="L171">
        <v>4</v>
      </c>
      <c r="M171">
        <f>TB[[#This Row],[售价]]*TB[[#This Row],[销量]]</f>
        <v>22160</v>
      </c>
      <c r="N171" t="str">
        <f>IF(TB[[#This Row],[售价]]&lt;1000,"低价商品",IF(TB[[#This Row],[售价]]&lt;5000,"中价商品",IF(TB[[#This Row],[售价]]&lt;10000,"高价商品","超高价商品")))</f>
        <v>高价商品</v>
      </c>
    </row>
    <row r="172" spans="1:14" x14ac:dyDescent="0.2">
      <c r="A172">
        <v>651</v>
      </c>
      <c r="B172">
        <v>252</v>
      </c>
      <c r="C172" t="s">
        <v>46</v>
      </c>
      <c r="D172" t="s">
        <v>47</v>
      </c>
      <c r="E172" t="s">
        <v>22</v>
      </c>
      <c r="F172">
        <v>1</v>
      </c>
      <c r="G172" t="s">
        <v>13</v>
      </c>
      <c r="H172" s="1">
        <v>45933.913888888892</v>
      </c>
      <c r="I172" s="5">
        <f>INT(TB[[#This Row],[时间戳]])</f>
        <v>45933</v>
      </c>
      <c r="J172" s="2">
        <f>HOUR(TB[[#This Row],[时间戳]])</f>
        <v>21</v>
      </c>
      <c r="K172">
        <v>3170</v>
      </c>
      <c r="L172">
        <v>3</v>
      </c>
      <c r="M172">
        <f>TB[[#This Row],[售价]]*TB[[#This Row],[销量]]</f>
        <v>9510</v>
      </c>
      <c r="N172" t="str">
        <f>IF(TB[[#This Row],[售价]]&lt;1000,"低价商品",IF(TB[[#This Row],[售价]]&lt;5000,"中价商品",IF(TB[[#This Row],[售价]]&lt;10000,"高价商品","超高价商品")))</f>
        <v>中价商品</v>
      </c>
    </row>
    <row r="173" spans="1:14" x14ac:dyDescent="0.2">
      <c r="A173">
        <v>342</v>
      </c>
      <c r="B173">
        <v>165</v>
      </c>
      <c r="C173" t="s">
        <v>34</v>
      </c>
      <c r="D173" t="s">
        <v>165</v>
      </c>
      <c r="E173" t="s">
        <v>39</v>
      </c>
      <c r="F173">
        <v>5</v>
      </c>
      <c r="G173" t="s">
        <v>13</v>
      </c>
      <c r="H173" s="1">
        <v>45933.913888888892</v>
      </c>
      <c r="I173" s="5">
        <f>INT(TB[[#This Row],[时间戳]])</f>
        <v>45933</v>
      </c>
      <c r="J173" s="2">
        <f>HOUR(TB[[#This Row],[时间戳]])</f>
        <v>21</v>
      </c>
      <c r="K173">
        <v>1213</v>
      </c>
      <c r="L173">
        <v>1</v>
      </c>
      <c r="M173">
        <f>TB[[#This Row],[售价]]*TB[[#This Row],[销量]]</f>
        <v>1213</v>
      </c>
      <c r="N173" t="str">
        <f>IF(TB[[#This Row],[售价]]&lt;1000,"低价商品",IF(TB[[#This Row],[售价]]&lt;5000,"中价商品",IF(TB[[#This Row],[售价]]&lt;10000,"高价商品","超高价商品")))</f>
        <v>中价商品</v>
      </c>
    </row>
    <row r="174" spans="1:14" x14ac:dyDescent="0.2">
      <c r="A174">
        <v>422</v>
      </c>
      <c r="B174">
        <v>254</v>
      </c>
      <c r="C174" t="s">
        <v>26</v>
      </c>
      <c r="D174" t="s">
        <v>166</v>
      </c>
      <c r="E174" t="s">
        <v>39</v>
      </c>
      <c r="F174">
        <v>5</v>
      </c>
      <c r="G174" t="s">
        <v>42</v>
      </c>
      <c r="H174" s="1">
        <v>45933.927083333336</v>
      </c>
      <c r="I174" s="5">
        <f>INT(TB[[#This Row],[时间戳]])</f>
        <v>45933</v>
      </c>
      <c r="J174" s="2">
        <f>HOUR(TB[[#This Row],[时间戳]])</f>
        <v>22</v>
      </c>
      <c r="K174">
        <v>3397</v>
      </c>
      <c r="L174">
        <v>0</v>
      </c>
      <c r="M174">
        <f>TB[[#This Row],[售价]]*TB[[#This Row],[销量]]</f>
        <v>0</v>
      </c>
      <c r="N174" t="str">
        <f>IF(TB[[#This Row],[售价]]&lt;1000,"低价商品",IF(TB[[#This Row],[售价]]&lt;5000,"中价商品",IF(TB[[#This Row],[售价]]&lt;10000,"高价商品","超高价商品")))</f>
        <v>中价商品</v>
      </c>
    </row>
    <row r="175" spans="1:14" x14ac:dyDescent="0.2">
      <c r="A175">
        <v>38</v>
      </c>
      <c r="B175">
        <v>233</v>
      </c>
      <c r="C175" t="s">
        <v>17</v>
      </c>
      <c r="D175" t="s">
        <v>93</v>
      </c>
      <c r="E175" t="s">
        <v>12</v>
      </c>
      <c r="F175">
        <v>2</v>
      </c>
      <c r="G175" t="s">
        <v>13</v>
      </c>
      <c r="H175" s="1">
        <v>45933.931944444441</v>
      </c>
      <c r="I175" s="5">
        <f>INT(TB[[#This Row],[时间戳]])</f>
        <v>45933</v>
      </c>
      <c r="J175" s="2">
        <f>HOUR(TB[[#This Row],[时间戳]])</f>
        <v>22</v>
      </c>
      <c r="K175">
        <v>8861</v>
      </c>
      <c r="L175">
        <v>2</v>
      </c>
      <c r="M175">
        <f>TB[[#This Row],[售价]]*TB[[#This Row],[销量]]</f>
        <v>17722</v>
      </c>
      <c r="N175" t="str">
        <f>IF(TB[[#This Row],[售价]]&lt;1000,"低价商品",IF(TB[[#This Row],[售价]]&lt;5000,"中价商品",IF(TB[[#This Row],[售价]]&lt;10000,"高价商品","超高价商品")))</f>
        <v>高价商品</v>
      </c>
    </row>
    <row r="176" spans="1:14" x14ac:dyDescent="0.2">
      <c r="A176">
        <v>119</v>
      </c>
      <c r="B176">
        <v>207</v>
      </c>
      <c r="C176" t="s">
        <v>36</v>
      </c>
      <c r="D176" t="s">
        <v>112</v>
      </c>
      <c r="E176" t="s">
        <v>22</v>
      </c>
      <c r="F176">
        <v>1</v>
      </c>
      <c r="G176" t="s">
        <v>13</v>
      </c>
      <c r="H176" s="1">
        <v>45933.951388888891</v>
      </c>
      <c r="I176" s="5">
        <f>INT(TB[[#This Row],[时间戳]])</f>
        <v>45933</v>
      </c>
      <c r="J176" s="2">
        <f>HOUR(TB[[#This Row],[时间戳]])</f>
        <v>22</v>
      </c>
      <c r="K176">
        <v>1682</v>
      </c>
      <c r="L176">
        <v>1</v>
      </c>
      <c r="M176">
        <f>TB[[#This Row],[售价]]*TB[[#This Row],[销量]]</f>
        <v>1682</v>
      </c>
      <c r="N176" t="str">
        <f>IF(TB[[#This Row],[售价]]&lt;1000,"低价商品",IF(TB[[#This Row],[售价]]&lt;5000,"中价商品",IF(TB[[#This Row],[售价]]&lt;10000,"高价商品","超高价商品")))</f>
        <v>中价商品</v>
      </c>
    </row>
    <row r="177" spans="1:14" x14ac:dyDescent="0.2">
      <c r="A177">
        <v>424</v>
      </c>
      <c r="B177">
        <v>28</v>
      </c>
      <c r="C177" t="s">
        <v>20</v>
      </c>
      <c r="D177" t="s">
        <v>167</v>
      </c>
      <c r="E177" t="s">
        <v>39</v>
      </c>
      <c r="F177">
        <v>5</v>
      </c>
      <c r="G177" t="s">
        <v>13</v>
      </c>
      <c r="H177" s="1">
        <v>45933.954861111109</v>
      </c>
      <c r="I177" s="5">
        <f>INT(TB[[#This Row],[时间戳]])</f>
        <v>45933</v>
      </c>
      <c r="J177" s="2">
        <f>HOUR(TB[[#This Row],[时间戳]])</f>
        <v>22</v>
      </c>
      <c r="K177">
        <v>2707</v>
      </c>
      <c r="L177">
        <v>1</v>
      </c>
      <c r="M177">
        <f>TB[[#This Row],[售价]]*TB[[#This Row],[销量]]</f>
        <v>2707</v>
      </c>
      <c r="N177" t="str">
        <f>IF(TB[[#This Row],[售价]]&lt;1000,"低价商品",IF(TB[[#This Row],[售价]]&lt;5000,"中价商品",IF(TB[[#This Row],[售价]]&lt;10000,"高价商品","超高价商品")))</f>
        <v>中价商品</v>
      </c>
    </row>
    <row r="178" spans="1:14" x14ac:dyDescent="0.2">
      <c r="A178">
        <v>775</v>
      </c>
      <c r="B178">
        <v>256</v>
      </c>
      <c r="C178" t="s">
        <v>34</v>
      </c>
      <c r="D178" t="s">
        <v>168</v>
      </c>
      <c r="E178" t="s">
        <v>19</v>
      </c>
      <c r="F178">
        <v>3</v>
      </c>
      <c r="G178" t="s">
        <v>42</v>
      </c>
      <c r="H178" s="1">
        <v>45933.976388888892</v>
      </c>
      <c r="I178" s="5">
        <f>INT(TB[[#This Row],[时间戳]])</f>
        <v>45933</v>
      </c>
      <c r="J178" s="2">
        <f>HOUR(TB[[#This Row],[时间戳]])</f>
        <v>23</v>
      </c>
      <c r="K178">
        <v>3101</v>
      </c>
      <c r="L178">
        <v>0</v>
      </c>
      <c r="M178">
        <f>TB[[#This Row],[售价]]*TB[[#This Row],[销量]]</f>
        <v>0</v>
      </c>
      <c r="N178" t="str">
        <f>IF(TB[[#This Row],[售价]]&lt;1000,"低价商品",IF(TB[[#This Row],[售价]]&lt;5000,"中价商品",IF(TB[[#This Row],[售价]]&lt;10000,"高价商品","超高价商品")))</f>
        <v>中价商品</v>
      </c>
    </row>
    <row r="179" spans="1:14" x14ac:dyDescent="0.2">
      <c r="A179">
        <v>274</v>
      </c>
      <c r="B179">
        <v>282</v>
      </c>
      <c r="C179" t="s">
        <v>10</v>
      </c>
      <c r="D179" t="s">
        <v>41</v>
      </c>
      <c r="E179" t="s">
        <v>22</v>
      </c>
      <c r="F179">
        <v>1</v>
      </c>
      <c r="G179" t="s">
        <v>13</v>
      </c>
      <c r="H179" s="1">
        <v>45933.98541666667</v>
      </c>
      <c r="I179" s="5">
        <f>INT(TB[[#This Row],[时间戳]])</f>
        <v>45933</v>
      </c>
      <c r="J179" s="2">
        <f>HOUR(TB[[#This Row],[时间戳]])</f>
        <v>23</v>
      </c>
      <c r="K179">
        <v>6149</v>
      </c>
      <c r="L179">
        <v>4</v>
      </c>
      <c r="M179">
        <f>TB[[#This Row],[售价]]*TB[[#This Row],[销量]]</f>
        <v>24596</v>
      </c>
      <c r="N179" t="str">
        <f>IF(TB[[#This Row],[售价]]&lt;1000,"低价商品",IF(TB[[#This Row],[售价]]&lt;5000,"中价商品",IF(TB[[#This Row],[售价]]&lt;10000,"高价商品","超高价商品")))</f>
        <v>高价商品</v>
      </c>
    </row>
    <row r="180" spans="1:14" x14ac:dyDescent="0.2">
      <c r="A180">
        <v>125</v>
      </c>
      <c r="B180">
        <v>15</v>
      </c>
      <c r="C180" t="s">
        <v>44</v>
      </c>
      <c r="D180" t="s">
        <v>169</v>
      </c>
      <c r="E180" t="s">
        <v>31</v>
      </c>
      <c r="F180">
        <v>4</v>
      </c>
      <c r="G180" t="s">
        <v>13</v>
      </c>
      <c r="H180" s="1">
        <v>45934.036111111112</v>
      </c>
      <c r="I180" s="5">
        <f>INT(TB[[#This Row],[时间戳]])</f>
        <v>45934</v>
      </c>
      <c r="J180" s="2">
        <f>HOUR(TB[[#This Row],[时间戳]])</f>
        <v>0</v>
      </c>
      <c r="K180">
        <v>265</v>
      </c>
      <c r="L180">
        <v>1</v>
      </c>
      <c r="M180">
        <f>TB[[#This Row],[售价]]*TB[[#This Row],[销量]]</f>
        <v>265</v>
      </c>
      <c r="N180" t="str">
        <f>IF(TB[[#This Row],[售价]]&lt;1000,"低价商品",IF(TB[[#This Row],[售价]]&lt;5000,"中价商品",IF(TB[[#This Row],[售价]]&lt;10000,"高价商品","超高价商品")))</f>
        <v>低价商品</v>
      </c>
    </row>
    <row r="181" spans="1:14" x14ac:dyDescent="0.2">
      <c r="A181">
        <v>319</v>
      </c>
      <c r="B181">
        <v>283</v>
      </c>
      <c r="C181" t="s">
        <v>32</v>
      </c>
      <c r="D181" t="s">
        <v>170</v>
      </c>
      <c r="E181" t="s">
        <v>31</v>
      </c>
      <c r="F181">
        <v>4</v>
      </c>
      <c r="G181" t="s">
        <v>13</v>
      </c>
      <c r="H181" s="1">
        <v>45934.038888888892</v>
      </c>
      <c r="I181" s="5">
        <f>INT(TB[[#This Row],[时间戳]])</f>
        <v>45934</v>
      </c>
      <c r="J181" s="2">
        <f>HOUR(TB[[#This Row],[时间戳]])</f>
        <v>0</v>
      </c>
      <c r="K181">
        <v>1451</v>
      </c>
      <c r="L181">
        <v>2</v>
      </c>
      <c r="M181">
        <f>TB[[#This Row],[售价]]*TB[[#This Row],[销量]]</f>
        <v>2902</v>
      </c>
      <c r="N181" t="str">
        <f>IF(TB[[#This Row],[售价]]&lt;1000,"低价商品",IF(TB[[#This Row],[售价]]&lt;5000,"中价商品",IF(TB[[#This Row],[售价]]&lt;10000,"高价商品","超高价商品")))</f>
        <v>中价商品</v>
      </c>
    </row>
    <row r="182" spans="1:14" x14ac:dyDescent="0.2">
      <c r="A182">
        <v>231</v>
      </c>
      <c r="B182">
        <v>59</v>
      </c>
      <c r="C182" t="s">
        <v>17</v>
      </c>
      <c r="D182" t="s">
        <v>18</v>
      </c>
      <c r="E182" t="s">
        <v>19</v>
      </c>
      <c r="F182">
        <v>3</v>
      </c>
      <c r="G182" t="s">
        <v>13</v>
      </c>
      <c r="H182" s="1">
        <v>45934.046527777777</v>
      </c>
      <c r="I182" s="5">
        <f>INT(TB[[#This Row],[时间戳]])</f>
        <v>45934</v>
      </c>
      <c r="J182" s="2">
        <f>HOUR(TB[[#This Row],[时间戳]])</f>
        <v>1</v>
      </c>
      <c r="K182">
        <v>1694</v>
      </c>
      <c r="L182">
        <v>2</v>
      </c>
      <c r="M182">
        <f>TB[[#This Row],[售价]]*TB[[#This Row],[销量]]</f>
        <v>3388</v>
      </c>
      <c r="N182" t="str">
        <f>IF(TB[[#This Row],[售价]]&lt;1000,"低价商品",IF(TB[[#This Row],[售价]]&lt;5000,"中价商品",IF(TB[[#This Row],[售价]]&lt;10000,"高价商品","超高价商品")))</f>
        <v>中价商品</v>
      </c>
    </row>
    <row r="183" spans="1:14" x14ac:dyDescent="0.2">
      <c r="A183">
        <v>734</v>
      </c>
      <c r="B183">
        <v>150</v>
      </c>
      <c r="C183" t="s">
        <v>26</v>
      </c>
      <c r="D183" t="s">
        <v>171</v>
      </c>
      <c r="E183" t="s">
        <v>12</v>
      </c>
      <c r="F183">
        <v>2</v>
      </c>
      <c r="G183" t="s">
        <v>13</v>
      </c>
      <c r="H183" s="1">
        <v>45934.048611111109</v>
      </c>
      <c r="I183" s="5">
        <f>INT(TB[[#This Row],[时间戳]])</f>
        <v>45934</v>
      </c>
      <c r="J183" s="2">
        <f>HOUR(TB[[#This Row],[时间戳]])</f>
        <v>1</v>
      </c>
      <c r="K183">
        <v>11420</v>
      </c>
      <c r="L183">
        <v>2</v>
      </c>
      <c r="M183">
        <f>TB[[#This Row],[售价]]*TB[[#This Row],[销量]]</f>
        <v>22840</v>
      </c>
      <c r="N183" t="str">
        <f>IF(TB[[#This Row],[售价]]&lt;1000,"低价商品",IF(TB[[#This Row],[售价]]&lt;5000,"中价商品",IF(TB[[#This Row],[售价]]&lt;10000,"高价商品","超高价商品")))</f>
        <v>超高价商品</v>
      </c>
    </row>
    <row r="184" spans="1:14" x14ac:dyDescent="0.2">
      <c r="A184">
        <v>495</v>
      </c>
      <c r="B184">
        <v>242</v>
      </c>
      <c r="C184" t="s">
        <v>36</v>
      </c>
      <c r="D184" t="s">
        <v>172</v>
      </c>
      <c r="E184" t="s">
        <v>25</v>
      </c>
      <c r="F184">
        <v>7</v>
      </c>
      <c r="G184" t="s">
        <v>13</v>
      </c>
      <c r="H184" s="1">
        <v>45934.09652777778</v>
      </c>
      <c r="I184" s="5">
        <f>INT(TB[[#This Row],[时间戳]])</f>
        <v>45934</v>
      </c>
      <c r="J184" s="2">
        <f>HOUR(TB[[#This Row],[时间戳]])</f>
        <v>2</v>
      </c>
      <c r="K184">
        <v>5829</v>
      </c>
      <c r="L184">
        <v>2</v>
      </c>
      <c r="M184">
        <f>TB[[#This Row],[售价]]*TB[[#This Row],[销量]]</f>
        <v>11658</v>
      </c>
      <c r="N184" t="str">
        <f>IF(TB[[#This Row],[售价]]&lt;1000,"低价商品",IF(TB[[#This Row],[售价]]&lt;5000,"中价商品",IF(TB[[#This Row],[售价]]&lt;10000,"高价商品","超高价商品")))</f>
        <v>高价商品</v>
      </c>
    </row>
    <row r="185" spans="1:14" x14ac:dyDescent="0.2">
      <c r="A185">
        <v>393</v>
      </c>
      <c r="B185">
        <v>98</v>
      </c>
      <c r="C185" t="s">
        <v>20</v>
      </c>
      <c r="D185" t="s">
        <v>64</v>
      </c>
      <c r="E185" t="s">
        <v>31</v>
      </c>
      <c r="F185">
        <v>4</v>
      </c>
      <c r="G185" t="s">
        <v>42</v>
      </c>
      <c r="H185" s="1">
        <v>45934.134722222225</v>
      </c>
      <c r="I185" s="5">
        <f>INT(TB[[#This Row],[时间戳]])</f>
        <v>45934</v>
      </c>
      <c r="J185" s="2">
        <f>HOUR(TB[[#This Row],[时间戳]])</f>
        <v>3</v>
      </c>
      <c r="K185">
        <v>582</v>
      </c>
      <c r="L185">
        <v>0</v>
      </c>
      <c r="M185">
        <f>TB[[#This Row],[售价]]*TB[[#This Row],[销量]]</f>
        <v>0</v>
      </c>
      <c r="N185" t="str">
        <f>IF(TB[[#This Row],[售价]]&lt;1000,"低价商品",IF(TB[[#This Row],[售价]]&lt;5000,"中价商品",IF(TB[[#This Row],[售价]]&lt;10000,"高价商品","超高价商品")))</f>
        <v>低价商品</v>
      </c>
    </row>
    <row r="186" spans="1:14" x14ac:dyDescent="0.2">
      <c r="A186">
        <v>283</v>
      </c>
      <c r="B186">
        <v>213</v>
      </c>
      <c r="C186" t="s">
        <v>26</v>
      </c>
      <c r="D186" t="s">
        <v>131</v>
      </c>
      <c r="E186" t="s">
        <v>22</v>
      </c>
      <c r="F186">
        <v>1</v>
      </c>
      <c r="G186" t="s">
        <v>42</v>
      </c>
      <c r="H186" s="1">
        <v>45934.140277777777</v>
      </c>
      <c r="I186" s="5">
        <f>INT(TB[[#This Row],[时间戳]])</f>
        <v>45934</v>
      </c>
      <c r="J186" s="2">
        <f>HOUR(TB[[#This Row],[时间戳]])</f>
        <v>3</v>
      </c>
      <c r="K186">
        <v>5970</v>
      </c>
      <c r="L186">
        <v>0</v>
      </c>
      <c r="M186">
        <f>TB[[#This Row],[售价]]*TB[[#This Row],[销量]]</f>
        <v>0</v>
      </c>
      <c r="N186" t="str">
        <f>IF(TB[[#This Row],[售价]]&lt;1000,"低价商品",IF(TB[[#This Row],[售价]]&lt;5000,"中价商品",IF(TB[[#This Row],[售价]]&lt;10000,"高价商品","超高价商品")))</f>
        <v>高价商品</v>
      </c>
    </row>
    <row r="187" spans="1:14" x14ac:dyDescent="0.2">
      <c r="A187">
        <v>290</v>
      </c>
      <c r="B187">
        <v>153</v>
      </c>
      <c r="C187" t="s">
        <v>36</v>
      </c>
      <c r="D187" t="s">
        <v>173</v>
      </c>
      <c r="E187" t="s">
        <v>19</v>
      </c>
      <c r="F187">
        <v>3</v>
      </c>
      <c r="G187" t="s">
        <v>42</v>
      </c>
      <c r="H187" s="1">
        <v>45934.160416666666</v>
      </c>
      <c r="I187" s="5">
        <f>INT(TB[[#This Row],[时间戳]])</f>
        <v>45934</v>
      </c>
      <c r="J187" s="2">
        <f>HOUR(TB[[#This Row],[时间戳]])</f>
        <v>3</v>
      </c>
      <c r="K187">
        <v>4343</v>
      </c>
      <c r="L187">
        <v>0</v>
      </c>
      <c r="M187">
        <f>TB[[#This Row],[售价]]*TB[[#This Row],[销量]]</f>
        <v>0</v>
      </c>
      <c r="N187" t="str">
        <f>IF(TB[[#This Row],[售价]]&lt;1000,"低价商品",IF(TB[[#This Row],[售价]]&lt;5000,"中价商品",IF(TB[[#This Row],[售价]]&lt;10000,"高价商品","超高价商品")))</f>
        <v>中价商品</v>
      </c>
    </row>
    <row r="188" spans="1:14" x14ac:dyDescent="0.2">
      <c r="A188">
        <v>458</v>
      </c>
      <c r="B188">
        <v>276</v>
      </c>
      <c r="C188" t="s">
        <v>44</v>
      </c>
      <c r="D188" t="s">
        <v>76</v>
      </c>
      <c r="E188" t="s">
        <v>31</v>
      </c>
      <c r="F188">
        <v>4</v>
      </c>
      <c r="G188" t="s">
        <v>13</v>
      </c>
      <c r="H188" s="1">
        <v>45934.191666666666</v>
      </c>
      <c r="I188" s="5">
        <f>INT(TB[[#This Row],[时间戳]])</f>
        <v>45934</v>
      </c>
      <c r="J188" s="2">
        <f>HOUR(TB[[#This Row],[时间戳]])</f>
        <v>4</v>
      </c>
      <c r="K188">
        <v>1348</v>
      </c>
      <c r="L188">
        <v>1</v>
      </c>
      <c r="M188">
        <f>TB[[#This Row],[售价]]*TB[[#This Row],[销量]]</f>
        <v>1348</v>
      </c>
      <c r="N188" t="str">
        <f>IF(TB[[#This Row],[售价]]&lt;1000,"低价商品",IF(TB[[#This Row],[售价]]&lt;5000,"中价商品",IF(TB[[#This Row],[售价]]&lt;10000,"高价商品","超高价商品")))</f>
        <v>中价商品</v>
      </c>
    </row>
    <row r="189" spans="1:14" x14ac:dyDescent="0.2">
      <c r="A189">
        <v>782</v>
      </c>
      <c r="B189">
        <v>279</v>
      </c>
      <c r="C189" t="s">
        <v>34</v>
      </c>
      <c r="D189" t="s">
        <v>174</v>
      </c>
      <c r="E189" t="s">
        <v>12</v>
      </c>
      <c r="F189">
        <v>2</v>
      </c>
      <c r="G189" t="s">
        <v>13</v>
      </c>
      <c r="H189" s="1">
        <v>45934.206250000003</v>
      </c>
      <c r="I189" s="5">
        <f>INT(TB[[#This Row],[时间戳]])</f>
        <v>45934</v>
      </c>
      <c r="J189" s="2">
        <f>HOUR(TB[[#This Row],[时间戳]])</f>
        <v>4</v>
      </c>
      <c r="K189">
        <v>11911</v>
      </c>
      <c r="L189">
        <v>1</v>
      </c>
      <c r="M189">
        <f>TB[[#This Row],[售价]]*TB[[#This Row],[销量]]</f>
        <v>11911</v>
      </c>
      <c r="N189" t="str">
        <f>IF(TB[[#This Row],[售价]]&lt;1000,"低价商品",IF(TB[[#This Row],[售价]]&lt;5000,"中价商品",IF(TB[[#This Row],[售价]]&lt;10000,"高价商品","超高价商品")))</f>
        <v>超高价商品</v>
      </c>
    </row>
    <row r="190" spans="1:14" x14ac:dyDescent="0.2">
      <c r="A190">
        <v>715</v>
      </c>
      <c r="B190">
        <v>123</v>
      </c>
      <c r="C190" t="s">
        <v>34</v>
      </c>
      <c r="D190" t="s">
        <v>175</v>
      </c>
      <c r="E190" t="s">
        <v>22</v>
      </c>
      <c r="F190">
        <v>1</v>
      </c>
      <c r="G190" t="s">
        <v>13</v>
      </c>
      <c r="H190" s="1">
        <v>45934.220138888886</v>
      </c>
      <c r="I190" s="5">
        <f>INT(TB[[#This Row],[时间戳]])</f>
        <v>45934</v>
      </c>
      <c r="J190" s="2">
        <f>HOUR(TB[[#This Row],[时间戳]])</f>
        <v>5</v>
      </c>
      <c r="K190">
        <v>4123</v>
      </c>
      <c r="L190">
        <v>2</v>
      </c>
      <c r="M190">
        <f>TB[[#This Row],[售价]]*TB[[#This Row],[销量]]</f>
        <v>8246</v>
      </c>
      <c r="N190" t="str">
        <f>IF(TB[[#This Row],[售价]]&lt;1000,"低价商品",IF(TB[[#This Row],[售价]]&lt;5000,"中价商品",IF(TB[[#This Row],[售价]]&lt;10000,"高价商品","超高价商品")))</f>
        <v>中价商品</v>
      </c>
    </row>
    <row r="191" spans="1:14" x14ac:dyDescent="0.2">
      <c r="A191">
        <v>45</v>
      </c>
      <c r="B191">
        <v>163</v>
      </c>
      <c r="C191" t="s">
        <v>32</v>
      </c>
      <c r="D191" t="s">
        <v>176</v>
      </c>
      <c r="E191" t="s">
        <v>22</v>
      </c>
      <c r="F191">
        <v>1</v>
      </c>
      <c r="G191" t="s">
        <v>13</v>
      </c>
      <c r="H191" s="1">
        <v>45934.224999999999</v>
      </c>
      <c r="I191" s="5">
        <f>INT(TB[[#This Row],[时间戳]])</f>
        <v>45934</v>
      </c>
      <c r="J191" s="2">
        <f>HOUR(TB[[#This Row],[时间戳]])</f>
        <v>5</v>
      </c>
      <c r="K191">
        <v>5680</v>
      </c>
      <c r="L191">
        <v>1</v>
      </c>
      <c r="M191">
        <f>TB[[#This Row],[售价]]*TB[[#This Row],[销量]]</f>
        <v>5680</v>
      </c>
      <c r="N191" t="str">
        <f>IF(TB[[#This Row],[售价]]&lt;1000,"低价商品",IF(TB[[#This Row],[售价]]&lt;5000,"中价商品",IF(TB[[#This Row],[售价]]&lt;10000,"高价商品","超高价商品")))</f>
        <v>高价商品</v>
      </c>
    </row>
    <row r="192" spans="1:14" x14ac:dyDescent="0.2">
      <c r="A192">
        <v>680</v>
      </c>
      <c r="B192">
        <v>78</v>
      </c>
      <c r="C192" t="s">
        <v>17</v>
      </c>
      <c r="D192" t="s">
        <v>177</v>
      </c>
      <c r="E192" t="s">
        <v>22</v>
      </c>
      <c r="F192">
        <v>1</v>
      </c>
      <c r="G192" t="s">
        <v>13</v>
      </c>
      <c r="H192" s="1">
        <v>45934.227083333331</v>
      </c>
      <c r="I192" s="5">
        <f>INT(TB[[#This Row],[时间戳]])</f>
        <v>45934</v>
      </c>
      <c r="J192" s="2">
        <f>HOUR(TB[[#This Row],[时间戳]])</f>
        <v>5</v>
      </c>
      <c r="K192">
        <v>7142</v>
      </c>
      <c r="L192">
        <v>3</v>
      </c>
      <c r="M192">
        <f>TB[[#This Row],[售价]]*TB[[#This Row],[销量]]</f>
        <v>21426</v>
      </c>
      <c r="N192" t="str">
        <f>IF(TB[[#This Row],[售价]]&lt;1000,"低价商品",IF(TB[[#This Row],[售价]]&lt;5000,"中价商品",IF(TB[[#This Row],[售价]]&lt;10000,"高价商品","超高价商品")))</f>
        <v>高价商品</v>
      </c>
    </row>
    <row r="193" spans="1:14" x14ac:dyDescent="0.2">
      <c r="A193">
        <v>605</v>
      </c>
      <c r="B193">
        <v>170</v>
      </c>
      <c r="C193" t="s">
        <v>26</v>
      </c>
      <c r="D193" t="s">
        <v>48</v>
      </c>
      <c r="E193" t="s">
        <v>31</v>
      </c>
      <c r="F193">
        <v>4</v>
      </c>
      <c r="G193" t="s">
        <v>13</v>
      </c>
      <c r="H193" s="1">
        <v>45934.268750000003</v>
      </c>
      <c r="I193" s="5">
        <f>INT(TB[[#This Row],[时间戳]])</f>
        <v>45934</v>
      </c>
      <c r="J193" s="2">
        <f>HOUR(TB[[#This Row],[时间戳]])</f>
        <v>6</v>
      </c>
      <c r="K193">
        <v>882</v>
      </c>
      <c r="L193">
        <v>3</v>
      </c>
      <c r="M193">
        <f>TB[[#This Row],[售价]]*TB[[#This Row],[销量]]</f>
        <v>2646</v>
      </c>
      <c r="N193" t="str">
        <f>IF(TB[[#This Row],[售价]]&lt;1000,"低价商品",IF(TB[[#This Row],[售价]]&lt;5000,"中价商品",IF(TB[[#This Row],[售价]]&lt;10000,"高价商品","超高价商品")))</f>
        <v>低价商品</v>
      </c>
    </row>
    <row r="194" spans="1:14" x14ac:dyDescent="0.2">
      <c r="A194">
        <v>468</v>
      </c>
      <c r="B194">
        <v>8</v>
      </c>
      <c r="C194" t="s">
        <v>14</v>
      </c>
      <c r="D194" t="s">
        <v>178</v>
      </c>
      <c r="E194" t="s">
        <v>12</v>
      </c>
      <c r="F194">
        <v>2</v>
      </c>
      <c r="G194" t="s">
        <v>13</v>
      </c>
      <c r="H194" s="1">
        <v>45934.311111111114</v>
      </c>
      <c r="I194" s="5">
        <f>INT(TB[[#This Row],[时间戳]])</f>
        <v>45934</v>
      </c>
      <c r="J194" s="2">
        <f>HOUR(TB[[#This Row],[时间戳]])</f>
        <v>7</v>
      </c>
      <c r="K194">
        <v>5669</v>
      </c>
      <c r="L194">
        <v>3</v>
      </c>
      <c r="M194">
        <f>TB[[#This Row],[售价]]*TB[[#This Row],[销量]]</f>
        <v>17007</v>
      </c>
      <c r="N194" t="str">
        <f>IF(TB[[#This Row],[售价]]&lt;1000,"低价商品",IF(TB[[#This Row],[售价]]&lt;5000,"中价商品",IF(TB[[#This Row],[售价]]&lt;10000,"高价商品","超高价商品")))</f>
        <v>高价商品</v>
      </c>
    </row>
    <row r="195" spans="1:14" x14ac:dyDescent="0.2">
      <c r="A195">
        <v>481</v>
      </c>
      <c r="B195">
        <v>136</v>
      </c>
      <c r="C195" t="s">
        <v>26</v>
      </c>
      <c r="D195" t="s">
        <v>179</v>
      </c>
      <c r="E195" t="s">
        <v>16</v>
      </c>
      <c r="F195">
        <v>6</v>
      </c>
      <c r="G195" t="s">
        <v>42</v>
      </c>
      <c r="H195" s="1">
        <v>45934.329861111109</v>
      </c>
      <c r="I195" s="5">
        <f>INT(TB[[#This Row],[时间戳]])</f>
        <v>45934</v>
      </c>
      <c r="J195" s="2">
        <f>HOUR(TB[[#This Row],[时间戳]])</f>
        <v>7</v>
      </c>
      <c r="K195">
        <v>4370</v>
      </c>
      <c r="L195">
        <v>0</v>
      </c>
      <c r="M195">
        <f>TB[[#This Row],[售价]]*TB[[#This Row],[销量]]</f>
        <v>0</v>
      </c>
      <c r="N195" t="str">
        <f>IF(TB[[#This Row],[售价]]&lt;1000,"低价商品",IF(TB[[#This Row],[售价]]&lt;5000,"中价商品",IF(TB[[#This Row],[售价]]&lt;10000,"高价商品","超高价商品")))</f>
        <v>中价商品</v>
      </c>
    </row>
    <row r="196" spans="1:14" x14ac:dyDescent="0.2">
      <c r="A196">
        <v>83</v>
      </c>
      <c r="B196">
        <v>169</v>
      </c>
      <c r="C196" t="s">
        <v>17</v>
      </c>
      <c r="D196" t="s">
        <v>98</v>
      </c>
      <c r="E196" t="s">
        <v>22</v>
      </c>
      <c r="F196">
        <v>1</v>
      </c>
      <c r="G196" t="s">
        <v>13</v>
      </c>
      <c r="H196" s="1">
        <v>45934.337500000001</v>
      </c>
      <c r="I196" s="5">
        <f>INT(TB[[#This Row],[时间戳]])</f>
        <v>45934</v>
      </c>
      <c r="J196" s="2">
        <f>HOUR(TB[[#This Row],[时间戳]])</f>
        <v>8</v>
      </c>
      <c r="K196">
        <v>3892</v>
      </c>
      <c r="L196">
        <v>5</v>
      </c>
      <c r="M196">
        <f>TB[[#This Row],[售价]]*TB[[#This Row],[销量]]</f>
        <v>19460</v>
      </c>
      <c r="N196" t="str">
        <f>IF(TB[[#This Row],[售价]]&lt;1000,"低价商品",IF(TB[[#This Row],[售价]]&lt;5000,"中价商品",IF(TB[[#This Row],[售价]]&lt;10000,"高价商品","超高价商品")))</f>
        <v>中价商品</v>
      </c>
    </row>
    <row r="197" spans="1:14" x14ac:dyDescent="0.2">
      <c r="A197">
        <v>642</v>
      </c>
      <c r="B197">
        <v>250</v>
      </c>
      <c r="C197" t="s">
        <v>17</v>
      </c>
      <c r="D197" t="s">
        <v>67</v>
      </c>
      <c r="E197" t="s">
        <v>39</v>
      </c>
      <c r="F197">
        <v>5</v>
      </c>
      <c r="G197" t="s">
        <v>13</v>
      </c>
      <c r="H197" s="1">
        <v>45934.345138888886</v>
      </c>
      <c r="I197" s="5">
        <f>INT(TB[[#This Row],[时间戳]])</f>
        <v>45934</v>
      </c>
      <c r="J197" s="2">
        <f>HOUR(TB[[#This Row],[时间戳]])</f>
        <v>8</v>
      </c>
      <c r="K197">
        <v>3635</v>
      </c>
      <c r="L197">
        <v>3</v>
      </c>
      <c r="M197">
        <f>TB[[#This Row],[售价]]*TB[[#This Row],[销量]]</f>
        <v>10905</v>
      </c>
      <c r="N197" t="str">
        <f>IF(TB[[#This Row],[售价]]&lt;1000,"低价商品",IF(TB[[#This Row],[售价]]&lt;5000,"中价商品",IF(TB[[#This Row],[售价]]&lt;10000,"高价商品","超高价商品")))</f>
        <v>中价商品</v>
      </c>
    </row>
    <row r="198" spans="1:14" x14ac:dyDescent="0.2">
      <c r="A198">
        <v>241</v>
      </c>
      <c r="B198">
        <v>148</v>
      </c>
      <c r="C198" t="s">
        <v>46</v>
      </c>
      <c r="D198" t="s">
        <v>180</v>
      </c>
      <c r="E198" t="s">
        <v>31</v>
      </c>
      <c r="F198">
        <v>4</v>
      </c>
      <c r="G198" t="s">
        <v>13</v>
      </c>
      <c r="H198" s="1">
        <v>45934.369444444441</v>
      </c>
      <c r="I198" s="5">
        <f>INT(TB[[#This Row],[时间戳]])</f>
        <v>45934</v>
      </c>
      <c r="J198" s="2">
        <f>HOUR(TB[[#This Row],[时间戳]])</f>
        <v>8</v>
      </c>
      <c r="K198">
        <v>976</v>
      </c>
      <c r="L198">
        <v>2</v>
      </c>
      <c r="M198">
        <f>TB[[#This Row],[售价]]*TB[[#This Row],[销量]]</f>
        <v>1952</v>
      </c>
      <c r="N198" t="str">
        <f>IF(TB[[#This Row],[售价]]&lt;1000,"低价商品",IF(TB[[#This Row],[售价]]&lt;5000,"中价商品",IF(TB[[#This Row],[售价]]&lt;10000,"高价商品","超高价商品")))</f>
        <v>低价商品</v>
      </c>
    </row>
    <row r="199" spans="1:14" x14ac:dyDescent="0.2">
      <c r="A199">
        <v>101</v>
      </c>
      <c r="B199">
        <v>52</v>
      </c>
      <c r="C199" t="s">
        <v>14</v>
      </c>
      <c r="D199" t="s">
        <v>99</v>
      </c>
      <c r="E199" t="s">
        <v>39</v>
      </c>
      <c r="F199">
        <v>5</v>
      </c>
      <c r="G199" t="s">
        <v>42</v>
      </c>
      <c r="H199" s="1">
        <v>45934.411111111112</v>
      </c>
      <c r="I199" s="5">
        <f>INT(TB[[#This Row],[时间戳]])</f>
        <v>45934</v>
      </c>
      <c r="J199" s="2">
        <f>HOUR(TB[[#This Row],[时间戳]])</f>
        <v>9</v>
      </c>
      <c r="K199">
        <v>1913</v>
      </c>
      <c r="L199">
        <v>0</v>
      </c>
      <c r="M199">
        <f>TB[[#This Row],[售价]]*TB[[#This Row],[销量]]</f>
        <v>0</v>
      </c>
      <c r="N199" t="str">
        <f>IF(TB[[#This Row],[售价]]&lt;1000,"低价商品",IF(TB[[#This Row],[售价]]&lt;5000,"中价商品",IF(TB[[#This Row],[售价]]&lt;10000,"高价商品","超高价商品")))</f>
        <v>中价商品</v>
      </c>
    </row>
    <row r="200" spans="1:14" x14ac:dyDescent="0.2">
      <c r="A200">
        <v>48</v>
      </c>
      <c r="B200">
        <v>167</v>
      </c>
      <c r="C200" t="s">
        <v>36</v>
      </c>
      <c r="D200" t="s">
        <v>181</v>
      </c>
      <c r="E200" t="s">
        <v>25</v>
      </c>
      <c r="F200">
        <v>7</v>
      </c>
      <c r="G200" t="s">
        <v>13</v>
      </c>
      <c r="H200" s="1">
        <v>45934.451388888891</v>
      </c>
      <c r="I200" s="5">
        <f>INT(TB[[#This Row],[时间戳]])</f>
        <v>45934</v>
      </c>
      <c r="J200" s="2">
        <f>HOUR(TB[[#This Row],[时间戳]])</f>
        <v>10</v>
      </c>
      <c r="K200">
        <v>5019</v>
      </c>
      <c r="L200">
        <v>3</v>
      </c>
      <c r="M200">
        <f>TB[[#This Row],[售价]]*TB[[#This Row],[销量]]</f>
        <v>15057</v>
      </c>
      <c r="N200" t="str">
        <f>IF(TB[[#This Row],[售价]]&lt;1000,"低价商品",IF(TB[[#This Row],[售价]]&lt;5000,"中价商品",IF(TB[[#This Row],[售价]]&lt;10000,"高价商品","超高价商品")))</f>
        <v>高价商品</v>
      </c>
    </row>
    <row r="201" spans="1:14" x14ac:dyDescent="0.2">
      <c r="A201">
        <v>384</v>
      </c>
      <c r="B201">
        <v>221</v>
      </c>
      <c r="C201" t="s">
        <v>36</v>
      </c>
      <c r="D201" t="s">
        <v>112</v>
      </c>
      <c r="E201" t="s">
        <v>22</v>
      </c>
      <c r="F201">
        <v>1</v>
      </c>
      <c r="G201" t="s">
        <v>13</v>
      </c>
      <c r="H201" s="1">
        <v>45934.479166666664</v>
      </c>
      <c r="I201" s="5">
        <f>INT(TB[[#This Row],[时间戳]])</f>
        <v>45934</v>
      </c>
      <c r="J201" s="2">
        <f>HOUR(TB[[#This Row],[时间戳]])</f>
        <v>11</v>
      </c>
      <c r="K201">
        <v>7350</v>
      </c>
      <c r="L201">
        <v>4</v>
      </c>
      <c r="M201">
        <f>TB[[#This Row],[售价]]*TB[[#This Row],[销量]]</f>
        <v>29400</v>
      </c>
      <c r="N201" t="str">
        <f>IF(TB[[#This Row],[售价]]&lt;1000,"低价商品",IF(TB[[#This Row],[售价]]&lt;5000,"中价商品",IF(TB[[#This Row],[售价]]&lt;10000,"高价商品","超高价商品")))</f>
        <v>高价商品</v>
      </c>
    </row>
    <row r="202" spans="1:14" x14ac:dyDescent="0.2">
      <c r="A202">
        <v>580</v>
      </c>
      <c r="B202">
        <v>93</v>
      </c>
      <c r="C202" t="s">
        <v>20</v>
      </c>
      <c r="D202" t="s">
        <v>167</v>
      </c>
      <c r="E202" t="s">
        <v>39</v>
      </c>
      <c r="F202">
        <v>5</v>
      </c>
      <c r="G202" t="s">
        <v>13</v>
      </c>
      <c r="H202" s="1">
        <v>45934.497916666667</v>
      </c>
      <c r="I202" s="5">
        <f>INT(TB[[#This Row],[时间戳]])</f>
        <v>45934</v>
      </c>
      <c r="J202" s="2">
        <f>HOUR(TB[[#This Row],[时间戳]])</f>
        <v>11</v>
      </c>
      <c r="K202">
        <v>1321</v>
      </c>
      <c r="L202">
        <v>2</v>
      </c>
      <c r="M202">
        <f>TB[[#This Row],[售价]]*TB[[#This Row],[销量]]</f>
        <v>2642</v>
      </c>
      <c r="N202" t="str">
        <f>IF(TB[[#This Row],[售价]]&lt;1000,"低价商品",IF(TB[[#This Row],[售价]]&lt;5000,"中价商品",IF(TB[[#This Row],[售价]]&lt;10000,"高价商品","超高价商品")))</f>
        <v>中价商品</v>
      </c>
    </row>
    <row r="203" spans="1:14" x14ac:dyDescent="0.2">
      <c r="A203">
        <v>392</v>
      </c>
      <c r="B203">
        <v>124</v>
      </c>
      <c r="C203" t="s">
        <v>14</v>
      </c>
      <c r="D203" t="s">
        <v>29</v>
      </c>
      <c r="E203" t="s">
        <v>22</v>
      </c>
      <c r="F203">
        <v>1</v>
      </c>
      <c r="G203" t="s">
        <v>13</v>
      </c>
      <c r="H203" s="1">
        <v>45934.499305555553</v>
      </c>
      <c r="I203" s="5">
        <f>INT(TB[[#This Row],[时间戳]])</f>
        <v>45934</v>
      </c>
      <c r="J203" s="2">
        <f>HOUR(TB[[#This Row],[时间戳]])</f>
        <v>11</v>
      </c>
      <c r="K203">
        <v>2281</v>
      </c>
      <c r="L203">
        <v>1</v>
      </c>
      <c r="M203">
        <f>TB[[#This Row],[售价]]*TB[[#This Row],[销量]]</f>
        <v>2281</v>
      </c>
      <c r="N203" t="str">
        <f>IF(TB[[#This Row],[售价]]&lt;1000,"低价商品",IF(TB[[#This Row],[售价]]&lt;5000,"中价商品",IF(TB[[#This Row],[售价]]&lt;10000,"高价商品","超高价商品")))</f>
        <v>中价商品</v>
      </c>
    </row>
    <row r="204" spans="1:14" x14ac:dyDescent="0.2">
      <c r="A204">
        <v>473</v>
      </c>
      <c r="B204">
        <v>131</v>
      </c>
      <c r="C204" t="s">
        <v>26</v>
      </c>
      <c r="D204" t="s">
        <v>182</v>
      </c>
      <c r="E204" t="s">
        <v>31</v>
      </c>
      <c r="F204">
        <v>4</v>
      </c>
      <c r="G204" t="s">
        <v>13</v>
      </c>
      <c r="H204" s="1">
        <v>45934.50277777778</v>
      </c>
      <c r="I204" s="5">
        <f>INT(TB[[#This Row],[时间戳]])</f>
        <v>45934</v>
      </c>
      <c r="J204" s="2">
        <f>HOUR(TB[[#This Row],[时间戳]])</f>
        <v>12</v>
      </c>
      <c r="K204">
        <v>1167</v>
      </c>
      <c r="L204">
        <v>2</v>
      </c>
      <c r="M204">
        <f>TB[[#This Row],[售价]]*TB[[#This Row],[销量]]</f>
        <v>2334</v>
      </c>
      <c r="N204" t="str">
        <f>IF(TB[[#This Row],[售价]]&lt;1000,"低价商品",IF(TB[[#This Row],[售价]]&lt;5000,"中价商品",IF(TB[[#This Row],[售价]]&lt;10000,"高价商品","超高价商品")))</f>
        <v>中价商品</v>
      </c>
    </row>
    <row r="205" spans="1:14" x14ac:dyDescent="0.2">
      <c r="A205">
        <v>295</v>
      </c>
      <c r="B205">
        <v>280</v>
      </c>
      <c r="C205" t="s">
        <v>10</v>
      </c>
      <c r="D205" t="s">
        <v>183</v>
      </c>
      <c r="E205" t="s">
        <v>22</v>
      </c>
      <c r="F205">
        <v>1</v>
      </c>
      <c r="G205" t="s">
        <v>42</v>
      </c>
      <c r="H205" s="1">
        <v>45934.545138888891</v>
      </c>
      <c r="I205" s="5">
        <f>INT(TB[[#This Row],[时间戳]])</f>
        <v>45934</v>
      </c>
      <c r="J205" s="2">
        <f>HOUR(TB[[#This Row],[时间戳]])</f>
        <v>13</v>
      </c>
      <c r="K205">
        <v>4694</v>
      </c>
      <c r="L205">
        <v>0</v>
      </c>
      <c r="M205">
        <f>TB[[#This Row],[售价]]*TB[[#This Row],[销量]]</f>
        <v>0</v>
      </c>
      <c r="N205" t="str">
        <f>IF(TB[[#This Row],[售价]]&lt;1000,"低价商品",IF(TB[[#This Row],[售价]]&lt;5000,"中价商品",IF(TB[[#This Row],[售价]]&lt;10000,"高价商品","超高价商品")))</f>
        <v>中价商品</v>
      </c>
    </row>
    <row r="206" spans="1:14" x14ac:dyDescent="0.2">
      <c r="A206">
        <v>602</v>
      </c>
      <c r="B206">
        <v>154</v>
      </c>
      <c r="C206" t="s">
        <v>44</v>
      </c>
      <c r="D206" t="s">
        <v>184</v>
      </c>
      <c r="E206" t="s">
        <v>12</v>
      </c>
      <c r="F206">
        <v>2</v>
      </c>
      <c r="G206" t="s">
        <v>13</v>
      </c>
      <c r="H206" s="1">
        <v>45934.561805555553</v>
      </c>
      <c r="I206" s="5">
        <f>INT(TB[[#This Row],[时间戳]])</f>
        <v>45934</v>
      </c>
      <c r="J206" s="2">
        <f>HOUR(TB[[#This Row],[时间戳]])</f>
        <v>13</v>
      </c>
      <c r="K206">
        <v>6425</v>
      </c>
      <c r="L206">
        <v>2</v>
      </c>
      <c r="M206">
        <f>TB[[#This Row],[售价]]*TB[[#This Row],[销量]]</f>
        <v>12850</v>
      </c>
      <c r="N206" t="str">
        <f>IF(TB[[#This Row],[售价]]&lt;1000,"低价商品",IF(TB[[#This Row],[售价]]&lt;5000,"中价商品",IF(TB[[#This Row],[售价]]&lt;10000,"高价商品","超高价商品")))</f>
        <v>高价商品</v>
      </c>
    </row>
    <row r="207" spans="1:14" x14ac:dyDescent="0.2">
      <c r="A207">
        <v>310</v>
      </c>
      <c r="B207">
        <v>102</v>
      </c>
      <c r="C207" t="s">
        <v>36</v>
      </c>
      <c r="D207" t="s">
        <v>185</v>
      </c>
      <c r="E207" t="s">
        <v>12</v>
      </c>
      <c r="F207">
        <v>2</v>
      </c>
      <c r="G207" t="s">
        <v>13</v>
      </c>
      <c r="H207" s="1">
        <v>45934.5625</v>
      </c>
      <c r="I207" s="5">
        <f>INT(TB[[#This Row],[时间戳]])</f>
        <v>45934</v>
      </c>
      <c r="J207" s="2">
        <f>HOUR(TB[[#This Row],[时间戳]])</f>
        <v>13</v>
      </c>
      <c r="K207">
        <v>14485</v>
      </c>
      <c r="L207">
        <v>5</v>
      </c>
      <c r="M207">
        <f>TB[[#This Row],[售价]]*TB[[#This Row],[销量]]</f>
        <v>72425</v>
      </c>
      <c r="N207" t="str">
        <f>IF(TB[[#This Row],[售价]]&lt;1000,"低价商品",IF(TB[[#This Row],[售价]]&lt;5000,"中价商品",IF(TB[[#This Row],[售价]]&lt;10000,"高价商品","超高价商品")))</f>
        <v>超高价商品</v>
      </c>
    </row>
    <row r="208" spans="1:14" x14ac:dyDescent="0.2">
      <c r="A208">
        <v>391</v>
      </c>
      <c r="B208">
        <v>293</v>
      </c>
      <c r="C208" t="s">
        <v>14</v>
      </c>
      <c r="D208" t="s">
        <v>186</v>
      </c>
      <c r="E208" t="s">
        <v>25</v>
      </c>
      <c r="F208">
        <v>7</v>
      </c>
      <c r="G208" t="s">
        <v>42</v>
      </c>
      <c r="H208" s="1">
        <v>45934.563888888886</v>
      </c>
      <c r="I208" s="5">
        <f>INT(TB[[#This Row],[时间戳]])</f>
        <v>45934</v>
      </c>
      <c r="J208" s="2">
        <f>HOUR(TB[[#This Row],[时间戳]])</f>
        <v>13</v>
      </c>
      <c r="K208">
        <v>4698</v>
      </c>
      <c r="L208">
        <v>0</v>
      </c>
      <c r="M208">
        <f>TB[[#This Row],[售价]]*TB[[#This Row],[销量]]</f>
        <v>0</v>
      </c>
      <c r="N208" t="str">
        <f>IF(TB[[#This Row],[售价]]&lt;1000,"低价商品",IF(TB[[#This Row],[售价]]&lt;5000,"中价商品",IF(TB[[#This Row],[售价]]&lt;10000,"高价商品","超高价商品")))</f>
        <v>中价商品</v>
      </c>
    </row>
    <row r="209" spans="1:14" x14ac:dyDescent="0.2">
      <c r="A209">
        <v>303</v>
      </c>
      <c r="B209">
        <v>12</v>
      </c>
      <c r="C209" t="s">
        <v>36</v>
      </c>
      <c r="D209" t="s">
        <v>146</v>
      </c>
      <c r="E209" t="s">
        <v>22</v>
      </c>
      <c r="F209">
        <v>1</v>
      </c>
      <c r="G209" t="s">
        <v>13</v>
      </c>
      <c r="H209" s="1">
        <v>45934.584027777775</v>
      </c>
      <c r="I209" s="5">
        <f>INT(TB[[#This Row],[时间戳]])</f>
        <v>45934</v>
      </c>
      <c r="J209" s="2">
        <f>HOUR(TB[[#This Row],[时间戳]])</f>
        <v>14</v>
      </c>
      <c r="K209">
        <v>4034</v>
      </c>
      <c r="L209">
        <v>1</v>
      </c>
      <c r="M209">
        <f>TB[[#This Row],[售价]]*TB[[#This Row],[销量]]</f>
        <v>4034</v>
      </c>
      <c r="N209" t="str">
        <f>IF(TB[[#This Row],[售价]]&lt;1000,"低价商品",IF(TB[[#This Row],[售价]]&lt;5000,"中价商品",IF(TB[[#This Row],[售价]]&lt;10000,"高价商品","超高价商品")))</f>
        <v>中价商品</v>
      </c>
    </row>
    <row r="210" spans="1:14" x14ac:dyDescent="0.2">
      <c r="A210">
        <v>580</v>
      </c>
      <c r="B210">
        <v>26</v>
      </c>
      <c r="C210" t="s">
        <v>36</v>
      </c>
      <c r="D210" t="s">
        <v>187</v>
      </c>
      <c r="E210" t="s">
        <v>12</v>
      </c>
      <c r="F210">
        <v>2</v>
      </c>
      <c r="G210" t="s">
        <v>13</v>
      </c>
      <c r="H210" s="1">
        <v>45934.584027777775</v>
      </c>
      <c r="I210" s="5">
        <f>INT(TB[[#This Row],[时间戳]])</f>
        <v>45934</v>
      </c>
      <c r="J210" s="2">
        <f>HOUR(TB[[#This Row],[时间戳]])</f>
        <v>14</v>
      </c>
      <c r="K210">
        <v>14786</v>
      </c>
      <c r="L210">
        <v>2</v>
      </c>
      <c r="M210">
        <f>TB[[#This Row],[售价]]*TB[[#This Row],[销量]]</f>
        <v>29572</v>
      </c>
      <c r="N210" t="str">
        <f>IF(TB[[#This Row],[售价]]&lt;1000,"低价商品",IF(TB[[#This Row],[售价]]&lt;5000,"中价商品",IF(TB[[#This Row],[售价]]&lt;10000,"高价商品","超高价商品")))</f>
        <v>超高价商品</v>
      </c>
    </row>
    <row r="211" spans="1:14" x14ac:dyDescent="0.2">
      <c r="A211">
        <v>795</v>
      </c>
      <c r="B211">
        <v>118</v>
      </c>
      <c r="C211" t="s">
        <v>44</v>
      </c>
      <c r="D211" t="s">
        <v>184</v>
      </c>
      <c r="E211" t="s">
        <v>12</v>
      </c>
      <c r="F211">
        <v>2</v>
      </c>
      <c r="G211" t="s">
        <v>42</v>
      </c>
      <c r="H211" s="1">
        <v>45934.587500000001</v>
      </c>
      <c r="I211" s="5">
        <f>INT(TB[[#This Row],[时间戳]])</f>
        <v>45934</v>
      </c>
      <c r="J211" s="2">
        <f>HOUR(TB[[#This Row],[时间戳]])</f>
        <v>14</v>
      </c>
      <c r="K211">
        <v>14116</v>
      </c>
      <c r="L211">
        <v>0</v>
      </c>
      <c r="M211">
        <f>TB[[#This Row],[售价]]*TB[[#This Row],[销量]]</f>
        <v>0</v>
      </c>
      <c r="N211" t="str">
        <f>IF(TB[[#This Row],[售价]]&lt;1000,"低价商品",IF(TB[[#This Row],[售价]]&lt;5000,"中价商品",IF(TB[[#This Row],[售价]]&lt;10000,"高价商品","超高价商品")))</f>
        <v>超高价商品</v>
      </c>
    </row>
    <row r="212" spans="1:14" x14ac:dyDescent="0.2">
      <c r="A212">
        <v>636</v>
      </c>
      <c r="B212">
        <v>129</v>
      </c>
      <c r="C212" t="s">
        <v>32</v>
      </c>
      <c r="D212" t="s">
        <v>170</v>
      </c>
      <c r="E212" t="s">
        <v>31</v>
      </c>
      <c r="F212">
        <v>4</v>
      </c>
      <c r="G212" t="s">
        <v>13</v>
      </c>
      <c r="H212" s="1">
        <v>45934.602083333331</v>
      </c>
      <c r="I212" s="5">
        <f>INT(TB[[#This Row],[时间戳]])</f>
        <v>45934</v>
      </c>
      <c r="J212" s="2">
        <f>HOUR(TB[[#This Row],[时间戳]])</f>
        <v>14</v>
      </c>
      <c r="K212">
        <v>1273</v>
      </c>
      <c r="L212">
        <v>1</v>
      </c>
      <c r="M212">
        <f>TB[[#This Row],[售价]]*TB[[#This Row],[销量]]</f>
        <v>1273</v>
      </c>
      <c r="N212" t="str">
        <f>IF(TB[[#This Row],[售价]]&lt;1000,"低价商品",IF(TB[[#This Row],[售价]]&lt;5000,"中价商品",IF(TB[[#This Row],[售价]]&lt;10000,"高价商品","超高价商品")))</f>
        <v>中价商品</v>
      </c>
    </row>
    <row r="213" spans="1:14" x14ac:dyDescent="0.2">
      <c r="A213">
        <v>100</v>
      </c>
      <c r="B213">
        <v>21</v>
      </c>
      <c r="C213" t="s">
        <v>26</v>
      </c>
      <c r="D213" t="s">
        <v>188</v>
      </c>
      <c r="E213" t="s">
        <v>25</v>
      </c>
      <c r="F213">
        <v>7</v>
      </c>
      <c r="G213" t="s">
        <v>13</v>
      </c>
      <c r="H213" s="1">
        <v>45934.623611111114</v>
      </c>
      <c r="I213" s="5">
        <f>INT(TB[[#This Row],[时间戳]])</f>
        <v>45934</v>
      </c>
      <c r="J213" s="2">
        <f>HOUR(TB[[#This Row],[时间戳]])</f>
        <v>14</v>
      </c>
      <c r="K213">
        <v>7238</v>
      </c>
      <c r="L213">
        <v>1</v>
      </c>
      <c r="M213">
        <f>TB[[#This Row],[售价]]*TB[[#This Row],[销量]]</f>
        <v>7238</v>
      </c>
      <c r="N213" t="str">
        <f>IF(TB[[#This Row],[售价]]&lt;1000,"低价商品",IF(TB[[#This Row],[售价]]&lt;5000,"中价商品",IF(TB[[#This Row],[售价]]&lt;10000,"高价商品","超高价商品")))</f>
        <v>高价商品</v>
      </c>
    </row>
    <row r="214" spans="1:14" x14ac:dyDescent="0.2">
      <c r="A214">
        <v>374</v>
      </c>
      <c r="B214">
        <v>68</v>
      </c>
      <c r="C214" t="s">
        <v>10</v>
      </c>
      <c r="D214" t="s">
        <v>189</v>
      </c>
      <c r="E214" t="s">
        <v>22</v>
      </c>
      <c r="F214">
        <v>1</v>
      </c>
      <c r="G214" t="s">
        <v>13</v>
      </c>
      <c r="H214" s="1">
        <v>45934.643055555556</v>
      </c>
      <c r="I214" s="5">
        <f>INT(TB[[#This Row],[时间戳]])</f>
        <v>45934</v>
      </c>
      <c r="J214" s="2">
        <f>HOUR(TB[[#This Row],[时间戳]])</f>
        <v>15</v>
      </c>
      <c r="K214">
        <v>3555</v>
      </c>
      <c r="L214">
        <v>1</v>
      </c>
      <c r="M214">
        <f>TB[[#This Row],[售价]]*TB[[#This Row],[销量]]</f>
        <v>3555</v>
      </c>
      <c r="N214" t="str">
        <f>IF(TB[[#This Row],[售价]]&lt;1000,"低价商品",IF(TB[[#This Row],[售价]]&lt;5000,"中价商品",IF(TB[[#This Row],[售价]]&lt;10000,"高价商品","超高价商品")))</f>
        <v>中价商品</v>
      </c>
    </row>
    <row r="215" spans="1:14" x14ac:dyDescent="0.2">
      <c r="A215">
        <v>180</v>
      </c>
      <c r="B215">
        <v>103</v>
      </c>
      <c r="C215" t="s">
        <v>34</v>
      </c>
      <c r="D215" t="s">
        <v>62</v>
      </c>
      <c r="E215" t="s">
        <v>31</v>
      </c>
      <c r="F215">
        <v>4</v>
      </c>
      <c r="G215" t="s">
        <v>42</v>
      </c>
      <c r="H215" s="1">
        <v>45934.647916666669</v>
      </c>
      <c r="I215" s="5">
        <f>INT(TB[[#This Row],[时间戳]])</f>
        <v>45934</v>
      </c>
      <c r="J215" s="2">
        <f>HOUR(TB[[#This Row],[时间戳]])</f>
        <v>15</v>
      </c>
      <c r="K215">
        <v>185</v>
      </c>
      <c r="L215">
        <v>0</v>
      </c>
      <c r="M215">
        <f>TB[[#This Row],[售价]]*TB[[#This Row],[销量]]</f>
        <v>0</v>
      </c>
      <c r="N215" t="str">
        <f>IF(TB[[#This Row],[售价]]&lt;1000,"低价商品",IF(TB[[#This Row],[售价]]&lt;5000,"中价商品",IF(TB[[#This Row],[售价]]&lt;10000,"高价商品","超高价商品")))</f>
        <v>低价商品</v>
      </c>
    </row>
    <row r="216" spans="1:14" x14ac:dyDescent="0.2">
      <c r="A216">
        <v>514</v>
      </c>
      <c r="B216">
        <v>140</v>
      </c>
      <c r="C216" t="s">
        <v>34</v>
      </c>
      <c r="D216" t="s">
        <v>168</v>
      </c>
      <c r="E216" t="s">
        <v>19</v>
      </c>
      <c r="F216">
        <v>3</v>
      </c>
      <c r="G216" t="s">
        <v>13</v>
      </c>
      <c r="H216" s="1">
        <v>45934.67083333333</v>
      </c>
      <c r="I216" s="5">
        <f>INT(TB[[#This Row],[时间戳]])</f>
        <v>45934</v>
      </c>
      <c r="J216" s="2">
        <f>HOUR(TB[[#This Row],[时间戳]])</f>
        <v>16</v>
      </c>
      <c r="K216">
        <v>2658</v>
      </c>
      <c r="L216">
        <v>3</v>
      </c>
      <c r="M216">
        <f>TB[[#This Row],[售价]]*TB[[#This Row],[销量]]</f>
        <v>7974</v>
      </c>
      <c r="N216" t="str">
        <f>IF(TB[[#This Row],[售价]]&lt;1000,"低价商品",IF(TB[[#This Row],[售价]]&lt;5000,"中价商品",IF(TB[[#This Row],[售价]]&lt;10000,"高价商品","超高价商品")))</f>
        <v>中价商品</v>
      </c>
    </row>
    <row r="217" spans="1:14" x14ac:dyDescent="0.2">
      <c r="A217">
        <v>303</v>
      </c>
      <c r="B217">
        <v>174</v>
      </c>
      <c r="C217" t="s">
        <v>36</v>
      </c>
      <c r="D217" t="s">
        <v>83</v>
      </c>
      <c r="E217" t="s">
        <v>22</v>
      </c>
      <c r="F217">
        <v>1</v>
      </c>
      <c r="G217" t="s">
        <v>13</v>
      </c>
      <c r="H217" s="1">
        <v>45934.675694444442</v>
      </c>
      <c r="I217" s="5">
        <f>INT(TB[[#This Row],[时间戳]])</f>
        <v>45934</v>
      </c>
      <c r="J217" s="2">
        <f>HOUR(TB[[#This Row],[时间戳]])</f>
        <v>16</v>
      </c>
      <c r="K217">
        <v>7687</v>
      </c>
      <c r="L217">
        <v>2</v>
      </c>
      <c r="M217">
        <f>TB[[#This Row],[售价]]*TB[[#This Row],[销量]]</f>
        <v>15374</v>
      </c>
      <c r="N217" t="str">
        <f>IF(TB[[#This Row],[售价]]&lt;1000,"低价商品",IF(TB[[#This Row],[售价]]&lt;5000,"中价商品",IF(TB[[#This Row],[售价]]&lt;10000,"高价商品","超高价商品")))</f>
        <v>高价商品</v>
      </c>
    </row>
    <row r="218" spans="1:14" x14ac:dyDescent="0.2">
      <c r="A218">
        <v>773</v>
      </c>
      <c r="B218">
        <v>116</v>
      </c>
      <c r="C218" t="s">
        <v>14</v>
      </c>
      <c r="D218" t="s">
        <v>190</v>
      </c>
      <c r="E218" t="s">
        <v>12</v>
      </c>
      <c r="F218">
        <v>2</v>
      </c>
      <c r="G218" t="s">
        <v>13</v>
      </c>
      <c r="H218" s="1">
        <v>45934.683333333334</v>
      </c>
      <c r="I218" s="5">
        <f>INT(TB[[#This Row],[时间戳]])</f>
        <v>45934</v>
      </c>
      <c r="J218" s="2">
        <f>HOUR(TB[[#This Row],[时间戳]])</f>
        <v>16</v>
      </c>
      <c r="K218">
        <v>5925</v>
      </c>
      <c r="L218">
        <v>4</v>
      </c>
      <c r="M218">
        <f>TB[[#This Row],[售价]]*TB[[#This Row],[销量]]</f>
        <v>23700</v>
      </c>
      <c r="N218" t="str">
        <f>IF(TB[[#This Row],[售价]]&lt;1000,"低价商品",IF(TB[[#This Row],[售价]]&lt;5000,"中价商品",IF(TB[[#This Row],[售价]]&lt;10000,"高价商品","超高价商品")))</f>
        <v>高价商品</v>
      </c>
    </row>
    <row r="219" spans="1:14" x14ac:dyDescent="0.2">
      <c r="A219">
        <v>375</v>
      </c>
      <c r="B219">
        <v>47</v>
      </c>
      <c r="C219" t="s">
        <v>17</v>
      </c>
      <c r="D219" t="s">
        <v>191</v>
      </c>
      <c r="E219" t="s">
        <v>39</v>
      </c>
      <c r="F219">
        <v>5</v>
      </c>
      <c r="G219" t="s">
        <v>13</v>
      </c>
      <c r="H219" s="1">
        <v>45934.708333333336</v>
      </c>
      <c r="I219" s="5">
        <f>INT(TB[[#This Row],[时间戳]])</f>
        <v>45934</v>
      </c>
      <c r="J219" s="2">
        <f>HOUR(TB[[#This Row],[时间戳]])</f>
        <v>17</v>
      </c>
      <c r="K219">
        <v>3740</v>
      </c>
      <c r="L219">
        <v>3</v>
      </c>
      <c r="M219">
        <f>TB[[#This Row],[售价]]*TB[[#This Row],[销量]]</f>
        <v>11220</v>
      </c>
      <c r="N219" t="str">
        <f>IF(TB[[#This Row],[售价]]&lt;1000,"低价商品",IF(TB[[#This Row],[售价]]&lt;5000,"中价商品",IF(TB[[#This Row],[售价]]&lt;10000,"高价商品","超高价商品")))</f>
        <v>中价商品</v>
      </c>
    </row>
    <row r="220" spans="1:14" x14ac:dyDescent="0.2">
      <c r="A220">
        <v>127</v>
      </c>
      <c r="B220">
        <v>233</v>
      </c>
      <c r="C220" t="s">
        <v>36</v>
      </c>
      <c r="D220" t="s">
        <v>123</v>
      </c>
      <c r="E220" t="s">
        <v>31</v>
      </c>
      <c r="F220">
        <v>4</v>
      </c>
      <c r="G220" t="s">
        <v>13</v>
      </c>
      <c r="H220" s="1">
        <v>45934.727777777778</v>
      </c>
      <c r="I220" s="5">
        <f>INT(TB[[#This Row],[时间戳]])</f>
        <v>45934</v>
      </c>
      <c r="J220" s="2">
        <f>HOUR(TB[[#This Row],[时间戳]])</f>
        <v>17</v>
      </c>
      <c r="K220">
        <v>665</v>
      </c>
      <c r="L220">
        <v>1</v>
      </c>
      <c r="M220">
        <f>TB[[#This Row],[售价]]*TB[[#This Row],[销量]]</f>
        <v>665</v>
      </c>
      <c r="N220" t="str">
        <f>IF(TB[[#This Row],[售价]]&lt;1000,"低价商品",IF(TB[[#This Row],[售价]]&lt;5000,"中价商品",IF(TB[[#This Row],[售价]]&lt;10000,"高价商品","超高价商品")))</f>
        <v>低价商品</v>
      </c>
    </row>
    <row r="221" spans="1:14" x14ac:dyDescent="0.2">
      <c r="A221">
        <v>391</v>
      </c>
      <c r="B221">
        <v>191</v>
      </c>
      <c r="C221" t="s">
        <v>36</v>
      </c>
      <c r="D221" t="s">
        <v>192</v>
      </c>
      <c r="E221" t="s">
        <v>22</v>
      </c>
      <c r="F221">
        <v>1</v>
      </c>
      <c r="G221" t="s">
        <v>13</v>
      </c>
      <c r="H221" s="1">
        <v>45934.762499999997</v>
      </c>
      <c r="I221" s="5">
        <f>INT(TB[[#This Row],[时间戳]])</f>
        <v>45934</v>
      </c>
      <c r="J221" s="2">
        <f>HOUR(TB[[#This Row],[时间戳]])</f>
        <v>18</v>
      </c>
      <c r="K221">
        <v>4163</v>
      </c>
      <c r="L221">
        <v>2</v>
      </c>
      <c r="M221">
        <f>TB[[#This Row],[售价]]*TB[[#This Row],[销量]]</f>
        <v>8326</v>
      </c>
      <c r="N221" t="str">
        <f>IF(TB[[#This Row],[售价]]&lt;1000,"低价商品",IF(TB[[#This Row],[售价]]&lt;5000,"中价商品",IF(TB[[#This Row],[售价]]&lt;10000,"高价商品","超高价商品")))</f>
        <v>中价商品</v>
      </c>
    </row>
    <row r="222" spans="1:14" x14ac:dyDescent="0.2">
      <c r="A222">
        <v>26</v>
      </c>
      <c r="B222">
        <v>288</v>
      </c>
      <c r="C222" t="s">
        <v>32</v>
      </c>
      <c r="D222" t="s">
        <v>176</v>
      </c>
      <c r="E222" t="s">
        <v>22</v>
      </c>
      <c r="F222">
        <v>1</v>
      </c>
      <c r="G222" t="s">
        <v>13</v>
      </c>
      <c r="H222" s="1">
        <v>45934.781944444447</v>
      </c>
      <c r="I222" s="5">
        <f>INT(TB[[#This Row],[时间戳]])</f>
        <v>45934</v>
      </c>
      <c r="J222" s="2">
        <f>HOUR(TB[[#This Row],[时间戳]])</f>
        <v>18</v>
      </c>
      <c r="K222">
        <v>2032</v>
      </c>
      <c r="L222">
        <v>2</v>
      </c>
      <c r="M222">
        <f>TB[[#This Row],[售价]]*TB[[#This Row],[销量]]</f>
        <v>4064</v>
      </c>
      <c r="N222" t="str">
        <f>IF(TB[[#This Row],[售价]]&lt;1000,"低价商品",IF(TB[[#This Row],[售价]]&lt;5000,"中价商品",IF(TB[[#This Row],[售价]]&lt;10000,"高价商品","超高价商品")))</f>
        <v>中价商品</v>
      </c>
    </row>
    <row r="223" spans="1:14" x14ac:dyDescent="0.2">
      <c r="A223">
        <v>65</v>
      </c>
      <c r="B223">
        <v>238</v>
      </c>
      <c r="C223" t="s">
        <v>32</v>
      </c>
      <c r="D223" t="s">
        <v>193</v>
      </c>
      <c r="E223" t="s">
        <v>22</v>
      </c>
      <c r="F223">
        <v>1</v>
      </c>
      <c r="G223" t="s">
        <v>42</v>
      </c>
      <c r="H223" s="1">
        <v>45934.79791666667</v>
      </c>
      <c r="I223" s="5">
        <f>INT(TB[[#This Row],[时间戳]])</f>
        <v>45934</v>
      </c>
      <c r="J223" s="2">
        <f>HOUR(TB[[#This Row],[时间戳]])</f>
        <v>19</v>
      </c>
      <c r="K223">
        <v>3799</v>
      </c>
      <c r="L223">
        <v>0</v>
      </c>
      <c r="M223">
        <f>TB[[#This Row],[售价]]*TB[[#This Row],[销量]]</f>
        <v>0</v>
      </c>
      <c r="N223" t="str">
        <f>IF(TB[[#This Row],[售价]]&lt;1000,"低价商品",IF(TB[[#This Row],[售价]]&lt;5000,"中价商品",IF(TB[[#This Row],[售价]]&lt;10000,"高价商品","超高价商品")))</f>
        <v>中价商品</v>
      </c>
    </row>
    <row r="224" spans="1:14" x14ac:dyDescent="0.2">
      <c r="A224">
        <v>144</v>
      </c>
      <c r="B224">
        <v>24</v>
      </c>
      <c r="C224" t="s">
        <v>17</v>
      </c>
      <c r="D224" t="s">
        <v>194</v>
      </c>
      <c r="E224" t="s">
        <v>16</v>
      </c>
      <c r="F224">
        <v>6</v>
      </c>
      <c r="G224" t="s">
        <v>42</v>
      </c>
      <c r="H224" s="1">
        <v>45934.799305555556</v>
      </c>
      <c r="I224" s="5">
        <f>INT(TB[[#This Row],[时间戳]])</f>
        <v>45934</v>
      </c>
      <c r="J224" s="2">
        <f>HOUR(TB[[#This Row],[时间戳]])</f>
        <v>19</v>
      </c>
      <c r="K224">
        <v>7083</v>
      </c>
      <c r="L224">
        <v>0</v>
      </c>
      <c r="M224">
        <f>TB[[#This Row],[售价]]*TB[[#This Row],[销量]]</f>
        <v>0</v>
      </c>
      <c r="N224" t="str">
        <f>IF(TB[[#This Row],[售价]]&lt;1000,"低价商品",IF(TB[[#This Row],[售价]]&lt;5000,"中价商品",IF(TB[[#This Row],[售价]]&lt;10000,"高价商品","超高价商品")))</f>
        <v>高价商品</v>
      </c>
    </row>
    <row r="225" spans="1:14" x14ac:dyDescent="0.2">
      <c r="A225">
        <v>100</v>
      </c>
      <c r="B225">
        <v>121</v>
      </c>
      <c r="C225" t="s">
        <v>44</v>
      </c>
      <c r="D225" t="s">
        <v>140</v>
      </c>
      <c r="E225" t="s">
        <v>19</v>
      </c>
      <c r="F225">
        <v>3</v>
      </c>
      <c r="G225" t="s">
        <v>13</v>
      </c>
      <c r="H225" s="1">
        <v>45934.807638888888</v>
      </c>
      <c r="I225" s="5">
        <f>INT(TB[[#This Row],[时间戳]])</f>
        <v>45934</v>
      </c>
      <c r="J225" s="2">
        <f>HOUR(TB[[#This Row],[时间戳]])</f>
        <v>19</v>
      </c>
      <c r="K225">
        <v>1759</v>
      </c>
      <c r="L225">
        <v>1</v>
      </c>
      <c r="M225">
        <f>TB[[#This Row],[售价]]*TB[[#This Row],[销量]]</f>
        <v>1759</v>
      </c>
      <c r="N225" t="str">
        <f>IF(TB[[#This Row],[售价]]&lt;1000,"低价商品",IF(TB[[#This Row],[售价]]&lt;5000,"中价商品",IF(TB[[#This Row],[售价]]&lt;10000,"高价商品","超高价商品")))</f>
        <v>中价商品</v>
      </c>
    </row>
    <row r="226" spans="1:14" x14ac:dyDescent="0.2">
      <c r="A226">
        <v>380</v>
      </c>
      <c r="B226">
        <v>277</v>
      </c>
      <c r="C226" t="s">
        <v>17</v>
      </c>
      <c r="D226" t="s">
        <v>177</v>
      </c>
      <c r="E226" t="s">
        <v>22</v>
      </c>
      <c r="F226">
        <v>1</v>
      </c>
      <c r="G226" t="s">
        <v>13</v>
      </c>
      <c r="H226" s="1">
        <v>45934.813888888886</v>
      </c>
      <c r="I226" s="5">
        <f>INT(TB[[#This Row],[时间戳]])</f>
        <v>45934</v>
      </c>
      <c r="J226" s="2">
        <f>HOUR(TB[[#This Row],[时间戳]])</f>
        <v>19</v>
      </c>
      <c r="K226">
        <v>5272</v>
      </c>
      <c r="L226">
        <v>2</v>
      </c>
      <c r="M226">
        <f>TB[[#This Row],[售价]]*TB[[#This Row],[销量]]</f>
        <v>10544</v>
      </c>
      <c r="N226" t="str">
        <f>IF(TB[[#This Row],[售价]]&lt;1000,"低价商品",IF(TB[[#This Row],[售价]]&lt;5000,"中价商品",IF(TB[[#This Row],[售价]]&lt;10000,"高价商品","超高价商品")))</f>
        <v>高价商品</v>
      </c>
    </row>
    <row r="227" spans="1:14" x14ac:dyDescent="0.2">
      <c r="A227">
        <v>671</v>
      </c>
      <c r="B227">
        <v>51</v>
      </c>
      <c r="C227" t="s">
        <v>26</v>
      </c>
      <c r="D227" t="s">
        <v>122</v>
      </c>
      <c r="E227" t="s">
        <v>31</v>
      </c>
      <c r="F227">
        <v>4</v>
      </c>
      <c r="G227" t="s">
        <v>13</v>
      </c>
      <c r="H227" s="1">
        <v>45934.818749999999</v>
      </c>
      <c r="I227" s="5">
        <f>INT(TB[[#This Row],[时间戳]])</f>
        <v>45934</v>
      </c>
      <c r="J227" s="2">
        <f>HOUR(TB[[#This Row],[时间戳]])</f>
        <v>19</v>
      </c>
      <c r="K227">
        <v>1008</v>
      </c>
      <c r="L227">
        <v>3</v>
      </c>
      <c r="M227">
        <f>TB[[#This Row],[售价]]*TB[[#This Row],[销量]]</f>
        <v>3024</v>
      </c>
      <c r="N227" t="str">
        <f>IF(TB[[#This Row],[售价]]&lt;1000,"低价商品",IF(TB[[#This Row],[售价]]&lt;5000,"中价商品",IF(TB[[#This Row],[售价]]&lt;10000,"高价商品","超高价商品")))</f>
        <v>中价商品</v>
      </c>
    </row>
    <row r="228" spans="1:14" x14ac:dyDescent="0.2">
      <c r="A228">
        <v>34</v>
      </c>
      <c r="B228">
        <v>190</v>
      </c>
      <c r="C228" t="s">
        <v>17</v>
      </c>
      <c r="D228" t="s">
        <v>67</v>
      </c>
      <c r="E228" t="s">
        <v>39</v>
      </c>
      <c r="F228">
        <v>5</v>
      </c>
      <c r="G228" t="s">
        <v>13</v>
      </c>
      <c r="H228" s="1">
        <v>45934.885416666664</v>
      </c>
      <c r="I228" s="5">
        <f>INT(TB[[#This Row],[时间戳]])</f>
        <v>45934</v>
      </c>
      <c r="J228" s="2">
        <f>HOUR(TB[[#This Row],[时间戳]])</f>
        <v>21</v>
      </c>
      <c r="K228">
        <v>2919</v>
      </c>
      <c r="L228">
        <v>3</v>
      </c>
      <c r="M228">
        <f>TB[[#This Row],[售价]]*TB[[#This Row],[销量]]</f>
        <v>8757</v>
      </c>
      <c r="N228" t="str">
        <f>IF(TB[[#This Row],[售价]]&lt;1000,"低价商品",IF(TB[[#This Row],[售价]]&lt;5000,"中价商品",IF(TB[[#This Row],[售价]]&lt;10000,"高价商品","超高价商品")))</f>
        <v>中价商品</v>
      </c>
    </row>
    <row r="229" spans="1:14" x14ac:dyDescent="0.2">
      <c r="A229">
        <v>372</v>
      </c>
      <c r="B229">
        <v>51</v>
      </c>
      <c r="C229" t="s">
        <v>44</v>
      </c>
      <c r="D229" t="s">
        <v>195</v>
      </c>
      <c r="E229" t="s">
        <v>22</v>
      </c>
      <c r="F229">
        <v>1</v>
      </c>
      <c r="G229" t="s">
        <v>13</v>
      </c>
      <c r="H229" s="1">
        <v>45934.894444444442</v>
      </c>
      <c r="I229" s="5">
        <f>INT(TB[[#This Row],[时间戳]])</f>
        <v>45934</v>
      </c>
      <c r="J229" s="2">
        <f>HOUR(TB[[#This Row],[时间戳]])</f>
        <v>21</v>
      </c>
      <c r="K229">
        <v>2806</v>
      </c>
      <c r="L229">
        <v>3</v>
      </c>
      <c r="M229">
        <f>TB[[#This Row],[售价]]*TB[[#This Row],[销量]]</f>
        <v>8418</v>
      </c>
      <c r="N229" t="str">
        <f>IF(TB[[#This Row],[售价]]&lt;1000,"低价商品",IF(TB[[#This Row],[售价]]&lt;5000,"中价商品",IF(TB[[#This Row],[售价]]&lt;10000,"高价商品","超高价商品")))</f>
        <v>中价商品</v>
      </c>
    </row>
    <row r="230" spans="1:14" x14ac:dyDescent="0.2">
      <c r="A230">
        <v>408</v>
      </c>
      <c r="B230">
        <v>142</v>
      </c>
      <c r="C230" t="s">
        <v>34</v>
      </c>
      <c r="D230" t="s">
        <v>196</v>
      </c>
      <c r="E230" t="s">
        <v>16</v>
      </c>
      <c r="F230">
        <v>6</v>
      </c>
      <c r="G230" t="s">
        <v>13</v>
      </c>
      <c r="H230" s="1">
        <v>45934.935416666667</v>
      </c>
      <c r="I230" s="5">
        <f>INT(TB[[#This Row],[时间戳]])</f>
        <v>45934</v>
      </c>
      <c r="J230" s="2">
        <f>HOUR(TB[[#This Row],[时间戳]])</f>
        <v>22</v>
      </c>
      <c r="K230">
        <v>8096</v>
      </c>
      <c r="L230">
        <v>2</v>
      </c>
      <c r="M230">
        <f>TB[[#This Row],[售价]]*TB[[#This Row],[销量]]</f>
        <v>16192</v>
      </c>
      <c r="N230" t="str">
        <f>IF(TB[[#This Row],[售价]]&lt;1000,"低价商品",IF(TB[[#This Row],[售价]]&lt;5000,"中价商品",IF(TB[[#This Row],[售价]]&lt;10000,"高价商品","超高价商品")))</f>
        <v>高价商品</v>
      </c>
    </row>
    <row r="231" spans="1:14" x14ac:dyDescent="0.2">
      <c r="A231">
        <v>679</v>
      </c>
      <c r="B231">
        <v>109</v>
      </c>
      <c r="C231" t="s">
        <v>44</v>
      </c>
      <c r="D231" t="s">
        <v>59</v>
      </c>
      <c r="E231" t="s">
        <v>22</v>
      </c>
      <c r="F231">
        <v>1</v>
      </c>
      <c r="G231" t="s">
        <v>13</v>
      </c>
      <c r="H231" s="1">
        <v>45934.953472222223</v>
      </c>
      <c r="I231" s="5">
        <f>INT(TB[[#This Row],[时间戳]])</f>
        <v>45934</v>
      </c>
      <c r="J231" s="2">
        <f>HOUR(TB[[#This Row],[时间戳]])</f>
        <v>22</v>
      </c>
      <c r="K231">
        <v>2416</v>
      </c>
      <c r="L231">
        <v>3</v>
      </c>
      <c r="M231">
        <f>TB[[#This Row],[售价]]*TB[[#This Row],[销量]]</f>
        <v>7248</v>
      </c>
      <c r="N231" t="str">
        <f>IF(TB[[#This Row],[售价]]&lt;1000,"低价商品",IF(TB[[#This Row],[售价]]&lt;5000,"中价商品",IF(TB[[#This Row],[售价]]&lt;10000,"高价商品","超高价商品")))</f>
        <v>中价商品</v>
      </c>
    </row>
    <row r="232" spans="1:14" x14ac:dyDescent="0.2">
      <c r="A232">
        <v>129</v>
      </c>
      <c r="B232">
        <v>290</v>
      </c>
      <c r="C232" t="s">
        <v>34</v>
      </c>
      <c r="D232" t="s">
        <v>35</v>
      </c>
      <c r="E232" t="s">
        <v>19</v>
      </c>
      <c r="F232">
        <v>3</v>
      </c>
      <c r="G232" t="s">
        <v>13</v>
      </c>
      <c r="H232" s="1">
        <v>45934.982638888891</v>
      </c>
      <c r="I232" s="5">
        <f>INT(TB[[#This Row],[时间戳]])</f>
        <v>45934</v>
      </c>
      <c r="J232" s="2">
        <f>HOUR(TB[[#This Row],[时间戳]])</f>
        <v>23</v>
      </c>
      <c r="K232">
        <v>1500</v>
      </c>
      <c r="L232">
        <v>4</v>
      </c>
      <c r="M232">
        <f>TB[[#This Row],[售价]]*TB[[#This Row],[销量]]</f>
        <v>6000</v>
      </c>
      <c r="N232" t="str">
        <f>IF(TB[[#This Row],[售价]]&lt;1000,"低价商品",IF(TB[[#This Row],[售价]]&lt;5000,"中价商品",IF(TB[[#This Row],[售价]]&lt;10000,"高价商品","超高价商品")))</f>
        <v>中价商品</v>
      </c>
    </row>
    <row r="233" spans="1:14" x14ac:dyDescent="0.2">
      <c r="A233">
        <v>601</v>
      </c>
      <c r="B233">
        <v>111</v>
      </c>
      <c r="C233" t="s">
        <v>20</v>
      </c>
      <c r="D233" t="s">
        <v>64</v>
      </c>
      <c r="E233" t="s">
        <v>31</v>
      </c>
      <c r="F233">
        <v>4</v>
      </c>
      <c r="G233" t="s">
        <v>13</v>
      </c>
      <c r="H233" s="1">
        <v>45934.995833333334</v>
      </c>
      <c r="I233" s="5">
        <f>INT(TB[[#This Row],[时间戳]])</f>
        <v>45934</v>
      </c>
      <c r="J233" s="2">
        <f>HOUR(TB[[#This Row],[时间戳]])</f>
        <v>23</v>
      </c>
      <c r="K233">
        <v>305</v>
      </c>
      <c r="L233">
        <v>1</v>
      </c>
      <c r="M233">
        <f>TB[[#This Row],[售价]]*TB[[#This Row],[销量]]</f>
        <v>305</v>
      </c>
      <c r="N233" t="str">
        <f>IF(TB[[#This Row],[售价]]&lt;1000,"低价商品",IF(TB[[#This Row],[售价]]&lt;5000,"中价商品",IF(TB[[#This Row],[售价]]&lt;10000,"高价商品","超高价商品")))</f>
        <v>低价商品</v>
      </c>
    </row>
    <row r="234" spans="1:14" x14ac:dyDescent="0.2">
      <c r="A234">
        <v>3</v>
      </c>
      <c r="B234">
        <v>142</v>
      </c>
      <c r="C234" t="s">
        <v>26</v>
      </c>
      <c r="D234" t="s">
        <v>160</v>
      </c>
      <c r="E234" t="s">
        <v>19</v>
      </c>
      <c r="F234">
        <v>3</v>
      </c>
      <c r="G234" t="s">
        <v>13</v>
      </c>
      <c r="H234" s="1">
        <v>45935.011805555558</v>
      </c>
      <c r="I234" s="5">
        <f>INT(TB[[#This Row],[时间戳]])</f>
        <v>45935</v>
      </c>
      <c r="J234" s="2">
        <f>HOUR(TB[[#This Row],[时间戳]])</f>
        <v>0</v>
      </c>
      <c r="K234">
        <v>3376</v>
      </c>
      <c r="L234">
        <v>3</v>
      </c>
      <c r="M234">
        <f>TB[[#This Row],[售价]]*TB[[#This Row],[销量]]</f>
        <v>10128</v>
      </c>
      <c r="N234" t="str">
        <f>IF(TB[[#This Row],[售价]]&lt;1000,"低价商品",IF(TB[[#This Row],[售价]]&lt;5000,"中价商品",IF(TB[[#This Row],[售价]]&lt;10000,"高价商品","超高价商品")))</f>
        <v>中价商品</v>
      </c>
    </row>
    <row r="235" spans="1:14" x14ac:dyDescent="0.2">
      <c r="A235">
        <v>179</v>
      </c>
      <c r="B235">
        <v>57</v>
      </c>
      <c r="C235" t="s">
        <v>20</v>
      </c>
      <c r="D235" t="s">
        <v>85</v>
      </c>
      <c r="E235" t="s">
        <v>31</v>
      </c>
      <c r="F235">
        <v>4</v>
      </c>
      <c r="G235" t="s">
        <v>13</v>
      </c>
      <c r="H235" s="1">
        <v>45935.024305555555</v>
      </c>
      <c r="I235" s="5">
        <f>INT(TB[[#This Row],[时间戳]])</f>
        <v>45935</v>
      </c>
      <c r="J235" s="2">
        <f>HOUR(TB[[#This Row],[时间戳]])</f>
        <v>0</v>
      </c>
      <c r="K235">
        <v>212</v>
      </c>
      <c r="L235">
        <v>2</v>
      </c>
      <c r="M235">
        <f>TB[[#This Row],[售价]]*TB[[#This Row],[销量]]</f>
        <v>424</v>
      </c>
      <c r="N235" t="str">
        <f>IF(TB[[#This Row],[售价]]&lt;1000,"低价商品",IF(TB[[#This Row],[售价]]&lt;5000,"中价商品",IF(TB[[#This Row],[售价]]&lt;10000,"高价商品","超高价商品")))</f>
        <v>低价商品</v>
      </c>
    </row>
    <row r="236" spans="1:14" x14ac:dyDescent="0.2">
      <c r="A236">
        <v>367</v>
      </c>
      <c r="B236">
        <v>122</v>
      </c>
      <c r="C236" t="s">
        <v>26</v>
      </c>
      <c r="D236" t="s">
        <v>155</v>
      </c>
      <c r="E236" t="s">
        <v>12</v>
      </c>
      <c r="F236">
        <v>2</v>
      </c>
      <c r="G236" t="s">
        <v>13</v>
      </c>
      <c r="H236" s="1">
        <v>45935.027777777781</v>
      </c>
      <c r="I236" s="5">
        <f>INT(TB[[#This Row],[时间戳]])</f>
        <v>45935</v>
      </c>
      <c r="J236" s="2">
        <f>HOUR(TB[[#This Row],[时间戳]])</f>
        <v>0</v>
      </c>
      <c r="K236">
        <v>14643</v>
      </c>
      <c r="L236">
        <v>2</v>
      </c>
      <c r="M236">
        <f>TB[[#This Row],[售价]]*TB[[#This Row],[销量]]</f>
        <v>29286</v>
      </c>
      <c r="N236" t="str">
        <f>IF(TB[[#This Row],[售价]]&lt;1000,"低价商品",IF(TB[[#This Row],[售价]]&lt;5000,"中价商品",IF(TB[[#This Row],[售价]]&lt;10000,"高价商品","超高价商品")))</f>
        <v>超高价商品</v>
      </c>
    </row>
    <row r="237" spans="1:14" x14ac:dyDescent="0.2">
      <c r="A237">
        <v>272</v>
      </c>
      <c r="B237">
        <v>27</v>
      </c>
      <c r="C237" t="s">
        <v>10</v>
      </c>
      <c r="D237" t="s">
        <v>197</v>
      </c>
      <c r="E237" t="s">
        <v>39</v>
      </c>
      <c r="F237">
        <v>5</v>
      </c>
      <c r="G237" t="s">
        <v>13</v>
      </c>
      <c r="H237" s="1">
        <v>45935.051388888889</v>
      </c>
      <c r="I237" s="5">
        <f>INT(TB[[#This Row],[时间戳]])</f>
        <v>45935</v>
      </c>
      <c r="J237" s="2">
        <f>HOUR(TB[[#This Row],[时间戳]])</f>
        <v>1</v>
      </c>
      <c r="K237">
        <v>3176</v>
      </c>
      <c r="L237">
        <v>1</v>
      </c>
      <c r="M237">
        <f>TB[[#This Row],[售价]]*TB[[#This Row],[销量]]</f>
        <v>3176</v>
      </c>
      <c r="N237" t="str">
        <f>IF(TB[[#This Row],[售价]]&lt;1000,"低价商品",IF(TB[[#This Row],[售价]]&lt;5000,"中价商品",IF(TB[[#This Row],[售价]]&lt;10000,"高价商品","超高价商品")))</f>
        <v>中价商品</v>
      </c>
    </row>
    <row r="238" spans="1:14" x14ac:dyDescent="0.2">
      <c r="A238">
        <v>117</v>
      </c>
      <c r="B238">
        <v>33</v>
      </c>
      <c r="C238" t="s">
        <v>17</v>
      </c>
      <c r="D238" t="s">
        <v>198</v>
      </c>
      <c r="E238" t="s">
        <v>19</v>
      </c>
      <c r="F238">
        <v>3</v>
      </c>
      <c r="G238" t="s">
        <v>42</v>
      </c>
      <c r="H238" s="1">
        <v>45935.057638888888</v>
      </c>
      <c r="I238" s="5">
        <f>INT(TB[[#This Row],[时间戳]])</f>
        <v>45935</v>
      </c>
      <c r="J238" s="2">
        <f>HOUR(TB[[#This Row],[时间戳]])</f>
        <v>1</v>
      </c>
      <c r="K238">
        <v>2717</v>
      </c>
      <c r="L238">
        <v>0</v>
      </c>
      <c r="M238">
        <f>TB[[#This Row],[售价]]*TB[[#This Row],[销量]]</f>
        <v>0</v>
      </c>
      <c r="N238" t="str">
        <f>IF(TB[[#This Row],[售价]]&lt;1000,"低价商品",IF(TB[[#This Row],[售价]]&lt;5000,"中价商品",IF(TB[[#This Row],[售价]]&lt;10000,"高价商品","超高价商品")))</f>
        <v>中价商品</v>
      </c>
    </row>
    <row r="239" spans="1:14" x14ac:dyDescent="0.2">
      <c r="A239">
        <v>608</v>
      </c>
      <c r="B239">
        <v>56</v>
      </c>
      <c r="C239" t="s">
        <v>34</v>
      </c>
      <c r="D239" t="s">
        <v>199</v>
      </c>
      <c r="E239" t="s">
        <v>39</v>
      </c>
      <c r="F239">
        <v>5</v>
      </c>
      <c r="G239" t="s">
        <v>13</v>
      </c>
      <c r="H239" s="1">
        <v>45935.058333333334</v>
      </c>
      <c r="I239" s="5">
        <f>INT(TB[[#This Row],[时间戳]])</f>
        <v>45935</v>
      </c>
      <c r="J239" s="2">
        <f>HOUR(TB[[#This Row],[时间戳]])</f>
        <v>1</v>
      </c>
      <c r="K239">
        <v>2779</v>
      </c>
      <c r="L239">
        <v>2</v>
      </c>
      <c r="M239">
        <f>TB[[#This Row],[售价]]*TB[[#This Row],[销量]]</f>
        <v>5558</v>
      </c>
      <c r="N239" t="str">
        <f>IF(TB[[#This Row],[售价]]&lt;1000,"低价商品",IF(TB[[#This Row],[售价]]&lt;5000,"中价商品",IF(TB[[#This Row],[售价]]&lt;10000,"高价商品","超高价商品")))</f>
        <v>中价商品</v>
      </c>
    </row>
    <row r="240" spans="1:14" x14ac:dyDescent="0.2">
      <c r="A240">
        <v>45</v>
      </c>
      <c r="B240">
        <v>267</v>
      </c>
      <c r="C240" t="s">
        <v>32</v>
      </c>
      <c r="D240" t="s">
        <v>200</v>
      </c>
      <c r="E240" t="s">
        <v>25</v>
      </c>
      <c r="F240">
        <v>7</v>
      </c>
      <c r="G240" t="s">
        <v>13</v>
      </c>
      <c r="H240" s="1">
        <v>45935.07708333333</v>
      </c>
      <c r="I240" s="5">
        <f>INT(TB[[#This Row],[时间戳]])</f>
        <v>45935</v>
      </c>
      <c r="J240" s="2">
        <f>HOUR(TB[[#This Row],[时间戳]])</f>
        <v>1</v>
      </c>
      <c r="K240">
        <v>5259</v>
      </c>
      <c r="L240">
        <v>1</v>
      </c>
      <c r="M240">
        <f>TB[[#This Row],[售价]]*TB[[#This Row],[销量]]</f>
        <v>5259</v>
      </c>
      <c r="N240" t="str">
        <f>IF(TB[[#This Row],[售价]]&lt;1000,"低价商品",IF(TB[[#This Row],[售价]]&lt;5000,"中价商品",IF(TB[[#This Row],[售价]]&lt;10000,"高价商品","超高价商品")))</f>
        <v>高价商品</v>
      </c>
    </row>
    <row r="241" spans="1:14" x14ac:dyDescent="0.2">
      <c r="A241">
        <v>491</v>
      </c>
      <c r="B241">
        <v>206</v>
      </c>
      <c r="C241" t="s">
        <v>10</v>
      </c>
      <c r="D241" t="s">
        <v>201</v>
      </c>
      <c r="E241" t="s">
        <v>31</v>
      </c>
      <c r="F241">
        <v>4</v>
      </c>
      <c r="G241" t="s">
        <v>13</v>
      </c>
      <c r="H241" s="1">
        <v>45935.080555555556</v>
      </c>
      <c r="I241" s="5">
        <f>INT(TB[[#This Row],[时间戳]])</f>
        <v>45935</v>
      </c>
      <c r="J241" s="2">
        <f>HOUR(TB[[#This Row],[时间戳]])</f>
        <v>1</v>
      </c>
      <c r="K241">
        <v>701</v>
      </c>
      <c r="L241">
        <v>2</v>
      </c>
      <c r="M241">
        <f>TB[[#This Row],[售价]]*TB[[#This Row],[销量]]</f>
        <v>1402</v>
      </c>
      <c r="N241" t="str">
        <f>IF(TB[[#This Row],[售价]]&lt;1000,"低价商品",IF(TB[[#This Row],[售价]]&lt;5000,"中价商品",IF(TB[[#This Row],[售价]]&lt;10000,"高价商品","超高价商品")))</f>
        <v>低价商品</v>
      </c>
    </row>
    <row r="242" spans="1:14" x14ac:dyDescent="0.2">
      <c r="A242">
        <v>730</v>
      </c>
      <c r="B242">
        <v>228</v>
      </c>
      <c r="C242" t="s">
        <v>14</v>
      </c>
      <c r="D242" t="s">
        <v>202</v>
      </c>
      <c r="E242" t="s">
        <v>31</v>
      </c>
      <c r="F242">
        <v>4</v>
      </c>
      <c r="G242" t="s">
        <v>13</v>
      </c>
      <c r="H242" s="1">
        <v>45935.132638888892</v>
      </c>
      <c r="I242" s="5">
        <f>INT(TB[[#This Row],[时间戳]])</f>
        <v>45935</v>
      </c>
      <c r="J242" s="2">
        <f>HOUR(TB[[#This Row],[时间戳]])</f>
        <v>3</v>
      </c>
      <c r="K242">
        <v>1074</v>
      </c>
      <c r="L242">
        <v>4</v>
      </c>
      <c r="M242">
        <f>TB[[#This Row],[售价]]*TB[[#This Row],[销量]]</f>
        <v>4296</v>
      </c>
      <c r="N242" t="str">
        <f>IF(TB[[#This Row],[售价]]&lt;1000,"低价商品",IF(TB[[#This Row],[售价]]&lt;5000,"中价商品",IF(TB[[#This Row],[售价]]&lt;10000,"高价商品","超高价商品")))</f>
        <v>中价商品</v>
      </c>
    </row>
    <row r="243" spans="1:14" x14ac:dyDescent="0.2">
      <c r="A243">
        <v>152</v>
      </c>
      <c r="B243">
        <v>34</v>
      </c>
      <c r="C243" t="s">
        <v>34</v>
      </c>
      <c r="D243" t="s">
        <v>203</v>
      </c>
      <c r="E243" t="s">
        <v>16</v>
      </c>
      <c r="F243">
        <v>6</v>
      </c>
      <c r="G243" t="s">
        <v>13</v>
      </c>
      <c r="H243" s="1">
        <v>45935.189583333333</v>
      </c>
      <c r="I243" s="5">
        <f>INT(TB[[#This Row],[时间戳]])</f>
        <v>45935</v>
      </c>
      <c r="J243" s="2">
        <f>HOUR(TB[[#This Row],[时间戳]])</f>
        <v>4</v>
      </c>
      <c r="K243">
        <v>3045</v>
      </c>
      <c r="L243">
        <v>2</v>
      </c>
      <c r="M243">
        <f>TB[[#This Row],[售价]]*TB[[#This Row],[销量]]</f>
        <v>6090</v>
      </c>
      <c r="N243" t="str">
        <f>IF(TB[[#This Row],[售价]]&lt;1000,"低价商品",IF(TB[[#This Row],[售价]]&lt;5000,"中价商品",IF(TB[[#This Row],[售价]]&lt;10000,"高价商品","超高价商品")))</f>
        <v>中价商品</v>
      </c>
    </row>
    <row r="244" spans="1:14" x14ac:dyDescent="0.2">
      <c r="A244">
        <v>600</v>
      </c>
      <c r="B244">
        <v>281</v>
      </c>
      <c r="C244" t="s">
        <v>46</v>
      </c>
      <c r="D244" t="s">
        <v>121</v>
      </c>
      <c r="E244" t="s">
        <v>25</v>
      </c>
      <c r="F244">
        <v>7</v>
      </c>
      <c r="G244" t="s">
        <v>13</v>
      </c>
      <c r="H244" s="1">
        <v>45935.234722222223</v>
      </c>
      <c r="I244" s="5">
        <f>INT(TB[[#This Row],[时间戳]])</f>
        <v>45935</v>
      </c>
      <c r="J244" s="2">
        <f>HOUR(TB[[#This Row],[时间戳]])</f>
        <v>5</v>
      </c>
      <c r="K244">
        <v>2473</v>
      </c>
      <c r="L244">
        <v>3</v>
      </c>
      <c r="M244">
        <f>TB[[#This Row],[售价]]*TB[[#This Row],[销量]]</f>
        <v>7419</v>
      </c>
      <c r="N244" t="str">
        <f>IF(TB[[#This Row],[售价]]&lt;1000,"低价商品",IF(TB[[#This Row],[售价]]&lt;5000,"中价商品",IF(TB[[#This Row],[售价]]&lt;10000,"高价商品","超高价商品")))</f>
        <v>中价商品</v>
      </c>
    </row>
    <row r="245" spans="1:14" x14ac:dyDescent="0.2">
      <c r="A245">
        <v>544</v>
      </c>
      <c r="B245">
        <v>151</v>
      </c>
      <c r="C245" t="s">
        <v>17</v>
      </c>
      <c r="D245" t="s">
        <v>50</v>
      </c>
      <c r="E245" t="s">
        <v>22</v>
      </c>
      <c r="F245">
        <v>1</v>
      </c>
      <c r="G245" t="s">
        <v>13</v>
      </c>
      <c r="H245" s="1">
        <v>45935.243055555555</v>
      </c>
      <c r="I245" s="5">
        <f>INT(TB[[#This Row],[时间戳]])</f>
        <v>45935</v>
      </c>
      <c r="J245" s="2">
        <f>HOUR(TB[[#This Row],[时间戳]])</f>
        <v>5</v>
      </c>
      <c r="K245">
        <v>6799</v>
      </c>
      <c r="L245">
        <v>2</v>
      </c>
      <c r="M245">
        <f>TB[[#This Row],[售价]]*TB[[#This Row],[销量]]</f>
        <v>13598</v>
      </c>
      <c r="N245" t="str">
        <f>IF(TB[[#This Row],[售价]]&lt;1000,"低价商品",IF(TB[[#This Row],[售价]]&lt;5000,"中价商品",IF(TB[[#This Row],[售价]]&lt;10000,"高价商品","超高价商品")))</f>
        <v>高价商品</v>
      </c>
    </row>
    <row r="246" spans="1:14" x14ac:dyDescent="0.2">
      <c r="A246">
        <v>102</v>
      </c>
      <c r="B246">
        <v>59</v>
      </c>
      <c r="C246" t="s">
        <v>46</v>
      </c>
      <c r="D246" t="s">
        <v>47</v>
      </c>
      <c r="E246" t="s">
        <v>22</v>
      </c>
      <c r="F246">
        <v>1</v>
      </c>
      <c r="G246" t="s">
        <v>42</v>
      </c>
      <c r="H246" s="1">
        <v>45935.243055555555</v>
      </c>
      <c r="I246" s="5">
        <f>INT(TB[[#This Row],[时间戳]])</f>
        <v>45935</v>
      </c>
      <c r="J246" s="2">
        <f>HOUR(TB[[#This Row],[时间戳]])</f>
        <v>5</v>
      </c>
      <c r="K246">
        <v>4774</v>
      </c>
      <c r="L246">
        <v>0</v>
      </c>
      <c r="M246">
        <f>TB[[#This Row],[售价]]*TB[[#This Row],[销量]]</f>
        <v>0</v>
      </c>
      <c r="N246" t="str">
        <f>IF(TB[[#This Row],[售价]]&lt;1000,"低价商品",IF(TB[[#This Row],[售价]]&lt;5000,"中价商品",IF(TB[[#This Row],[售价]]&lt;10000,"高价商品","超高价商品")))</f>
        <v>中价商品</v>
      </c>
    </row>
    <row r="247" spans="1:14" x14ac:dyDescent="0.2">
      <c r="A247">
        <v>221</v>
      </c>
      <c r="B247">
        <v>221</v>
      </c>
      <c r="C247" t="s">
        <v>20</v>
      </c>
      <c r="D247" t="s">
        <v>204</v>
      </c>
      <c r="E247" t="s">
        <v>25</v>
      </c>
      <c r="F247">
        <v>7</v>
      </c>
      <c r="G247" t="s">
        <v>13</v>
      </c>
      <c r="H247" s="1">
        <v>45935.291666666664</v>
      </c>
      <c r="I247" s="5">
        <f>INT(TB[[#This Row],[时间戳]])</f>
        <v>45935</v>
      </c>
      <c r="J247" s="2">
        <f>HOUR(TB[[#This Row],[时间戳]])</f>
        <v>7</v>
      </c>
      <c r="K247">
        <v>6996</v>
      </c>
      <c r="L247">
        <v>2</v>
      </c>
      <c r="M247">
        <f>TB[[#This Row],[售价]]*TB[[#This Row],[销量]]</f>
        <v>13992</v>
      </c>
      <c r="N247" t="str">
        <f>IF(TB[[#This Row],[售价]]&lt;1000,"低价商品",IF(TB[[#This Row],[售价]]&lt;5000,"中价商品",IF(TB[[#This Row],[售价]]&lt;10000,"高价商品","超高价商品")))</f>
        <v>高价商品</v>
      </c>
    </row>
    <row r="248" spans="1:14" x14ac:dyDescent="0.2">
      <c r="A248">
        <v>465</v>
      </c>
      <c r="B248">
        <v>205</v>
      </c>
      <c r="C248" t="s">
        <v>17</v>
      </c>
      <c r="D248" t="s">
        <v>133</v>
      </c>
      <c r="E248" t="s">
        <v>31</v>
      </c>
      <c r="F248">
        <v>4</v>
      </c>
      <c r="G248" t="s">
        <v>13</v>
      </c>
      <c r="H248" s="1">
        <v>45935.302083333336</v>
      </c>
      <c r="I248" s="5">
        <f>INT(TB[[#This Row],[时间戳]])</f>
        <v>45935</v>
      </c>
      <c r="J248" s="2">
        <f>HOUR(TB[[#This Row],[时间戳]])</f>
        <v>7</v>
      </c>
      <c r="K248">
        <v>890</v>
      </c>
      <c r="L248">
        <v>1</v>
      </c>
      <c r="M248">
        <f>TB[[#This Row],[售价]]*TB[[#This Row],[销量]]</f>
        <v>890</v>
      </c>
      <c r="N248" t="str">
        <f>IF(TB[[#This Row],[售价]]&lt;1000,"低价商品",IF(TB[[#This Row],[售价]]&lt;5000,"中价商品",IF(TB[[#This Row],[售价]]&lt;10000,"高价商品","超高价商品")))</f>
        <v>低价商品</v>
      </c>
    </row>
    <row r="249" spans="1:14" x14ac:dyDescent="0.2">
      <c r="A249">
        <v>438</v>
      </c>
      <c r="B249">
        <v>161</v>
      </c>
      <c r="C249" t="s">
        <v>14</v>
      </c>
      <c r="D249" t="s">
        <v>145</v>
      </c>
      <c r="E249" t="s">
        <v>22</v>
      </c>
      <c r="F249">
        <v>1</v>
      </c>
      <c r="G249" t="s">
        <v>13</v>
      </c>
      <c r="H249" s="1">
        <v>45935.364583333336</v>
      </c>
      <c r="I249" s="5">
        <f>INT(TB[[#This Row],[时间戳]])</f>
        <v>45935</v>
      </c>
      <c r="J249" s="2">
        <f>HOUR(TB[[#This Row],[时间戳]])</f>
        <v>8</v>
      </c>
      <c r="K249">
        <v>4580</v>
      </c>
      <c r="L249">
        <v>2</v>
      </c>
      <c r="M249">
        <f>TB[[#This Row],[售价]]*TB[[#This Row],[销量]]</f>
        <v>9160</v>
      </c>
      <c r="N249" t="str">
        <f>IF(TB[[#This Row],[售价]]&lt;1000,"低价商品",IF(TB[[#This Row],[售价]]&lt;5000,"中价商品",IF(TB[[#This Row],[售价]]&lt;10000,"高价商品","超高价商品")))</f>
        <v>中价商品</v>
      </c>
    </row>
    <row r="250" spans="1:14" x14ac:dyDescent="0.2">
      <c r="A250">
        <v>704</v>
      </c>
      <c r="B250">
        <v>243</v>
      </c>
      <c r="C250" t="s">
        <v>34</v>
      </c>
      <c r="D250" t="s">
        <v>82</v>
      </c>
      <c r="E250" t="s">
        <v>31</v>
      </c>
      <c r="F250">
        <v>4</v>
      </c>
      <c r="G250" t="s">
        <v>13</v>
      </c>
      <c r="H250" s="1">
        <v>45935.425694444442</v>
      </c>
      <c r="I250" s="5">
        <f>INT(TB[[#This Row],[时间戳]])</f>
        <v>45935</v>
      </c>
      <c r="J250" s="2">
        <f>HOUR(TB[[#This Row],[时间戳]])</f>
        <v>10</v>
      </c>
      <c r="K250">
        <v>1342</v>
      </c>
      <c r="L250">
        <v>2</v>
      </c>
      <c r="M250">
        <f>TB[[#This Row],[售价]]*TB[[#This Row],[销量]]</f>
        <v>2684</v>
      </c>
      <c r="N250" t="str">
        <f>IF(TB[[#This Row],[售价]]&lt;1000,"低价商品",IF(TB[[#This Row],[售价]]&lt;5000,"中价商品",IF(TB[[#This Row],[售价]]&lt;10000,"高价商品","超高价商品")))</f>
        <v>中价商品</v>
      </c>
    </row>
    <row r="251" spans="1:14" x14ac:dyDescent="0.2">
      <c r="A251">
        <v>443</v>
      </c>
      <c r="B251">
        <v>50</v>
      </c>
      <c r="C251" t="s">
        <v>14</v>
      </c>
      <c r="D251" t="s">
        <v>205</v>
      </c>
      <c r="E251" t="s">
        <v>16</v>
      </c>
      <c r="F251">
        <v>6</v>
      </c>
      <c r="G251" t="s">
        <v>13</v>
      </c>
      <c r="H251" s="1">
        <v>45935.461111111108</v>
      </c>
      <c r="I251" s="5">
        <f>INT(TB[[#This Row],[时间戳]])</f>
        <v>45935</v>
      </c>
      <c r="J251" s="2">
        <f>HOUR(TB[[#This Row],[时间戳]])</f>
        <v>11</v>
      </c>
      <c r="K251">
        <v>2945</v>
      </c>
      <c r="L251">
        <v>3</v>
      </c>
      <c r="M251">
        <f>TB[[#This Row],[售价]]*TB[[#This Row],[销量]]</f>
        <v>8835</v>
      </c>
      <c r="N251" t="str">
        <f>IF(TB[[#This Row],[售价]]&lt;1000,"低价商品",IF(TB[[#This Row],[售价]]&lt;5000,"中价商品",IF(TB[[#This Row],[售价]]&lt;10000,"高价商品","超高价商品")))</f>
        <v>中价商品</v>
      </c>
    </row>
    <row r="252" spans="1:14" x14ac:dyDescent="0.2">
      <c r="A252">
        <v>601</v>
      </c>
      <c r="B252">
        <v>288</v>
      </c>
      <c r="C252" t="s">
        <v>20</v>
      </c>
      <c r="D252" t="s">
        <v>206</v>
      </c>
      <c r="E252" t="s">
        <v>19</v>
      </c>
      <c r="F252">
        <v>3</v>
      </c>
      <c r="G252" t="s">
        <v>42</v>
      </c>
      <c r="H252" s="1">
        <v>45935.467361111114</v>
      </c>
      <c r="I252" s="5">
        <f>INT(TB[[#This Row],[时间戳]])</f>
        <v>45935</v>
      </c>
      <c r="J252" s="2">
        <f>HOUR(TB[[#This Row],[时间戳]])</f>
        <v>11</v>
      </c>
      <c r="K252">
        <v>4418</v>
      </c>
      <c r="L252">
        <v>0</v>
      </c>
      <c r="M252">
        <f>TB[[#This Row],[售价]]*TB[[#This Row],[销量]]</f>
        <v>0</v>
      </c>
      <c r="N252" t="str">
        <f>IF(TB[[#This Row],[售价]]&lt;1000,"低价商品",IF(TB[[#This Row],[售价]]&lt;5000,"中价商品",IF(TB[[#This Row],[售价]]&lt;10000,"高价商品","超高价商品")))</f>
        <v>中价商品</v>
      </c>
    </row>
    <row r="253" spans="1:14" x14ac:dyDescent="0.2">
      <c r="A253">
        <v>363</v>
      </c>
      <c r="B253">
        <v>217</v>
      </c>
      <c r="C253" t="s">
        <v>14</v>
      </c>
      <c r="D253" t="s">
        <v>207</v>
      </c>
      <c r="E253" t="s">
        <v>25</v>
      </c>
      <c r="F253">
        <v>7</v>
      </c>
      <c r="G253" t="s">
        <v>13</v>
      </c>
      <c r="H253" s="1">
        <v>45935.476388888892</v>
      </c>
      <c r="I253" s="5">
        <f>INT(TB[[#This Row],[时间戳]])</f>
        <v>45935</v>
      </c>
      <c r="J253" s="2">
        <f>HOUR(TB[[#This Row],[时间戳]])</f>
        <v>11</v>
      </c>
      <c r="K253">
        <v>6069</v>
      </c>
      <c r="L253">
        <v>4</v>
      </c>
      <c r="M253">
        <f>TB[[#This Row],[售价]]*TB[[#This Row],[销量]]</f>
        <v>24276</v>
      </c>
      <c r="N253" t="str">
        <f>IF(TB[[#This Row],[售价]]&lt;1000,"低价商品",IF(TB[[#This Row],[售价]]&lt;5000,"中价商品",IF(TB[[#This Row],[售价]]&lt;10000,"高价商品","超高价商品")))</f>
        <v>高价商品</v>
      </c>
    </row>
    <row r="254" spans="1:14" x14ac:dyDescent="0.2">
      <c r="A254">
        <v>361</v>
      </c>
      <c r="B254">
        <v>54</v>
      </c>
      <c r="C254" t="s">
        <v>46</v>
      </c>
      <c r="D254" t="s">
        <v>111</v>
      </c>
      <c r="E254" t="s">
        <v>16</v>
      </c>
      <c r="F254">
        <v>6</v>
      </c>
      <c r="G254" t="s">
        <v>42</v>
      </c>
      <c r="H254" s="1">
        <v>45935.511111111111</v>
      </c>
      <c r="I254" s="5">
        <f>INT(TB[[#This Row],[时间戳]])</f>
        <v>45935</v>
      </c>
      <c r="J254" s="2">
        <f>HOUR(TB[[#This Row],[时间戳]])</f>
        <v>12</v>
      </c>
      <c r="K254">
        <v>2789</v>
      </c>
      <c r="L254">
        <v>0</v>
      </c>
      <c r="M254">
        <f>TB[[#This Row],[售价]]*TB[[#This Row],[销量]]</f>
        <v>0</v>
      </c>
      <c r="N254" t="str">
        <f>IF(TB[[#This Row],[售价]]&lt;1000,"低价商品",IF(TB[[#This Row],[售价]]&lt;5000,"中价商品",IF(TB[[#This Row],[售价]]&lt;10000,"高价商品","超高价商品")))</f>
        <v>中价商品</v>
      </c>
    </row>
    <row r="255" spans="1:14" x14ac:dyDescent="0.2">
      <c r="A255">
        <v>673</v>
      </c>
      <c r="B255">
        <v>247</v>
      </c>
      <c r="C255" t="s">
        <v>32</v>
      </c>
      <c r="D255" t="s">
        <v>208</v>
      </c>
      <c r="E255" t="s">
        <v>12</v>
      </c>
      <c r="F255">
        <v>2</v>
      </c>
      <c r="G255" t="s">
        <v>42</v>
      </c>
      <c r="H255" s="1">
        <v>45935.518750000003</v>
      </c>
      <c r="I255" s="5">
        <f>INT(TB[[#This Row],[时间戳]])</f>
        <v>45935</v>
      </c>
      <c r="J255" s="2">
        <f>HOUR(TB[[#This Row],[时间戳]])</f>
        <v>12</v>
      </c>
      <c r="K255">
        <v>13527</v>
      </c>
      <c r="L255">
        <v>0</v>
      </c>
      <c r="M255">
        <f>TB[[#This Row],[售价]]*TB[[#This Row],[销量]]</f>
        <v>0</v>
      </c>
      <c r="N255" t="str">
        <f>IF(TB[[#This Row],[售价]]&lt;1000,"低价商品",IF(TB[[#This Row],[售价]]&lt;5000,"中价商品",IF(TB[[#This Row],[售价]]&lt;10000,"高价商品","超高价商品")))</f>
        <v>超高价商品</v>
      </c>
    </row>
    <row r="256" spans="1:14" x14ac:dyDescent="0.2">
      <c r="A256">
        <v>377</v>
      </c>
      <c r="B256">
        <v>59</v>
      </c>
      <c r="C256" t="s">
        <v>34</v>
      </c>
      <c r="D256" t="s">
        <v>164</v>
      </c>
      <c r="E256" t="s">
        <v>22</v>
      </c>
      <c r="F256">
        <v>1</v>
      </c>
      <c r="G256" t="s">
        <v>13</v>
      </c>
      <c r="H256" s="1">
        <v>45935.521527777775</v>
      </c>
      <c r="I256" s="5">
        <f>INT(TB[[#This Row],[时间戳]])</f>
        <v>45935</v>
      </c>
      <c r="J256" s="2">
        <f>HOUR(TB[[#This Row],[时间戳]])</f>
        <v>12</v>
      </c>
      <c r="K256">
        <v>2692</v>
      </c>
      <c r="L256">
        <v>3</v>
      </c>
      <c r="M256">
        <f>TB[[#This Row],[售价]]*TB[[#This Row],[销量]]</f>
        <v>8076</v>
      </c>
      <c r="N256" t="str">
        <f>IF(TB[[#This Row],[售价]]&lt;1000,"低价商品",IF(TB[[#This Row],[售价]]&lt;5000,"中价商品",IF(TB[[#This Row],[售价]]&lt;10000,"高价商品","超高价商品")))</f>
        <v>中价商品</v>
      </c>
    </row>
    <row r="257" spans="1:14" x14ac:dyDescent="0.2">
      <c r="A257">
        <v>440</v>
      </c>
      <c r="B257">
        <v>288</v>
      </c>
      <c r="C257" t="s">
        <v>46</v>
      </c>
      <c r="D257" t="s">
        <v>135</v>
      </c>
      <c r="E257" t="s">
        <v>22</v>
      </c>
      <c r="F257">
        <v>1</v>
      </c>
      <c r="G257" t="s">
        <v>42</v>
      </c>
      <c r="H257" s="1">
        <v>45935.536805555559</v>
      </c>
      <c r="I257" s="5">
        <f>INT(TB[[#This Row],[时间戳]])</f>
        <v>45935</v>
      </c>
      <c r="J257" s="2">
        <f>HOUR(TB[[#This Row],[时间戳]])</f>
        <v>12</v>
      </c>
      <c r="K257">
        <v>7189</v>
      </c>
      <c r="L257">
        <v>0</v>
      </c>
      <c r="M257">
        <f>TB[[#This Row],[售价]]*TB[[#This Row],[销量]]</f>
        <v>0</v>
      </c>
      <c r="N257" t="str">
        <f>IF(TB[[#This Row],[售价]]&lt;1000,"低价商品",IF(TB[[#This Row],[售价]]&lt;5000,"中价商品",IF(TB[[#This Row],[售价]]&lt;10000,"高价商品","超高价商品")))</f>
        <v>高价商品</v>
      </c>
    </row>
    <row r="258" spans="1:14" x14ac:dyDescent="0.2">
      <c r="A258">
        <v>659</v>
      </c>
      <c r="B258">
        <v>286</v>
      </c>
      <c r="C258" t="s">
        <v>46</v>
      </c>
      <c r="D258" t="s">
        <v>209</v>
      </c>
      <c r="E258" t="s">
        <v>22</v>
      </c>
      <c r="F258">
        <v>1</v>
      </c>
      <c r="G258" t="s">
        <v>13</v>
      </c>
      <c r="H258" s="1">
        <v>45935.587500000001</v>
      </c>
      <c r="I258" s="5">
        <f>INT(TB[[#This Row],[时间戳]])</f>
        <v>45935</v>
      </c>
      <c r="J258" s="2">
        <f>HOUR(TB[[#This Row],[时间戳]])</f>
        <v>14</v>
      </c>
      <c r="K258">
        <v>7404</v>
      </c>
      <c r="L258">
        <v>1</v>
      </c>
      <c r="M258">
        <f>TB[[#This Row],[售价]]*TB[[#This Row],[销量]]</f>
        <v>7404</v>
      </c>
      <c r="N258" t="str">
        <f>IF(TB[[#This Row],[售价]]&lt;1000,"低价商品",IF(TB[[#This Row],[售价]]&lt;5000,"中价商品",IF(TB[[#This Row],[售价]]&lt;10000,"高价商品","超高价商品")))</f>
        <v>高价商品</v>
      </c>
    </row>
    <row r="259" spans="1:14" x14ac:dyDescent="0.2">
      <c r="A259">
        <v>185</v>
      </c>
      <c r="B259">
        <v>140</v>
      </c>
      <c r="C259" t="s">
        <v>36</v>
      </c>
      <c r="D259" t="s">
        <v>37</v>
      </c>
      <c r="E259" t="s">
        <v>31</v>
      </c>
      <c r="F259">
        <v>4</v>
      </c>
      <c r="G259" t="s">
        <v>42</v>
      </c>
      <c r="H259" s="1">
        <v>45935.609027777777</v>
      </c>
      <c r="I259" s="5">
        <f>INT(TB[[#This Row],[时间戳]])</f>
        <v>45935</v>
      </c>
      <c r="J259" s="2">
        <f>HOUR(TB[[#This Row],[时间戳]])</f>
        <v>14</v>
      </c>
      <c r="K259">
        <v>214</v>
      </c>
      <c r="L259">
        <v>0</v>
      </c>
      <c r="M259">
        <f>TB[[#This Row],[售价]]*TB[[#This Row],[销量]]</f>
        <v>0</v>
      </c>
      <c r="N259" t="str">
        <f>IF(TB[[#This Row],[售价]]&lt;1000,"低价商品",IF(TB[[#This Row],[售价]]&lt;5000,"中价商品",IF(TB[[#This Row],[售价]]&lt;10000,"高价商品","超高价商品")))</f>
        <v>低价商品</v>
      </c>
    </row>
    <row r="260" spans="1:14" x14ac:dyDescent="0.2">
      <c r="A260">
        <v>360</v>
      </c>
      <c r="B260">
        <v>4</v>
      </c>
      <c r="C260" t="s">
        <v>36</v>
      </c>
      <c r="D260" t="s">
        <v>210</v>
      </c>
      <c r="E260" t="s">
        <v>31</v>
      </c>
      <c r="F260">
        <v>4</v>
      </c>
      <c r="G260" t="s">
        <v>13</v>
      </c>
      <c r="H260" s="1">
        <v>45935.625</v>
      </c>
      <c r="I260" s="5">
        <f>INT(TB[[#This Row],[时间戳]])</f>
        <v>45935</v>
      </c>
      <c r="J260" s="2">
        <f>HOUR(TB[[#This Row],[时间戳]])</f>
        <v>15</v>
      </c>
      <c r="K260">
        <v>1500</v>
      </c>
      <c r="L260">
        <v>1</v>
      </c>
      <c r="M260">
        <f>TB[[#This Row],[售价]]*TB[[#This Row],[销量]]</f>
        <v>1500</v>
      </c>
      <c r="N260" t="str">
        <f>IF(TB[[#This Row],[售价]]&lt;1000,"低价商品",IF(TB[[#This Row],[售价]]&lt;5000,"中价商品",IF(TB[[#This Row],[售价]]&lt;10000,"高价商品","超高价商品")))</f>
        <v>中价商品</v>
      </c>
    </row>
    <row r="261" spans="1:14" x14ac:dyDescent="0.2">
      <c r="A261">
        <v>72</v>
      </c>
      <c r="B261">
        <v>73</v>
      </c>
      <c r="C261" t="s">
        <v>46</v>
      </c>
      <c r="D261" t="s">
        <v>211</v>
      </c>
      <c r="E261" t="s">
        <v>31</v>
      </c>
      <c r="F261">
        <v>4</v>
      </c>
      <c r="G261" t="s">
        <v>13</v>
      </c>
      <c r="H261" s="1">
        <v>45935.627083333333</v>
      </c>
      <c r="I261" s="5">
        <f>INT(TB[[#This Row],[时间戳]])</f>
        <v>45935</v>
      </c>
      <c r="J261" s="2">
        <f>HOUR(TB[[#This Row],[时间戳]])</f>
        <v>15</v>
      </c>
      <c r="K261">
        <v>294</v>
      </c>
      <c r="L261">
        <v>2</v>
      </c>
      <c r="M261">
        <f>TB[[#This Row],[售价]]*TB[[#This Row],[销量]]</f>
        <v>588</v>
      </c>
      <c r="N261" t="str">
        <f>IF(TB[[#This Row],[售价]]&lt;1000,"低价商品",IF(TB[[#This Row],[售价]]&lt;5000,"中价商品",IF(TB[[#This Row],[售价]]&lt;10000,"高价商品","超高价商品")))</f>
        <v>低价商品</v>
      </c>
    </row>
    <row r="262" spans="1:14" x14ac:dyDescent="0.2">
      <c r="A262">
        <v>221</v>
      </c>
      <c r="B262">
        <v>193</v>
      </c>
      <c r="C262" t="s">
        <v>14</v>
      </c>
      <c r="D262" t="s">
        <v>52</v>
      </c>
      <c r="E262" t="s">
        <v>31</v>
      </c>
      <c r="F262">
        <v>4</v>
      </c>
      <c r="G262" t="s">
        <v>13</v>
      </c>
      <c r="H262" s="1">
        <v>45935.644444444442</v>
      </c>
      <c r="I262" s="5">
        <f>INT(TB[[#This Row],[时间戳]])</f>
        <v>45935</v>
      </c>
      <c r="J262" s="2">
        <f>HOUR(TB[[#This Row],[时间戳]])</f>
        <v>15</v>
      </c>
      <c r="K262">
        <v>1161</v>
      </c>
      <c r="L262">
        <v>3</v>
      </c>
      <c r="M262">
        <f>TB[[#This Row],[售价]]*TB[[#This Row],[销量]]</f>
        <v>3483</v>
      </c>
      <c r="N262" t="str">
        <f>IF(TB[[#This Row],[售价]]&lt;1000,"低价商品",IF(TB[[#This Row],[售价]]&lt;5000,"中价商品",IF(TB[[#This Row],[售价]]&lt;10000,"高价商品","超高价商品")))</f>
        <v>中价商品</v>
      </c>
    </row>
    <row r="263" spans="1:14" x14ac:dyDescent="0.2">
      <c r="A263">
        <v>379</v>
      </c>
      <c r="B263">
        <v>160</v>
      </c>
      <c r="C263" t="s">
        <v>34</v>
      </c>
      <c r="D263" t="s">
        <v>82</v>
      </c>
      <c r="E263" t="s">
        <v>31</v>
      </c>
      <c r="F263">
        <v>4</v>
      </c>
      <c r="G263" t="s">
        <v>13</v>
      </c>
      <c r="H263" s="1">
        <v>45935.729166666664</v>
      </c>
      <c r="I263" s="5">
        <f>INT(TB[[#This Row],[时间戳]])</f>
        <v>45935</v>
      </c>
      <c r="J263" s="2">
        <f>HOUR(TB[[#This Row],[时间戳]])</f>
        <v>17</v>
      </c>
      <c r="K263">
        <v>941</v>
      </c>
      <c r="L263">
        <v>3</v>
      </c>
      <c r="M263">
        <f>TB[[#This Row],[售价]]*TB[[#This Row],[销量]]</f>
        <v>2823</v>
      </c>
      <c r="N263" t="str">
        <f>IF(TB[[#This Row],[售价]]&lt;1000,"低价商品",IF(TB[[#This Row],[售价]]&lt;5000,"中价商品",IF(TB[[#This Row],[售价]]&lt;10000,"高价商品","超高价商品")))</f>
        <v>低价商品</v>
      </c>
    </row>
    <row r="264" spans="1:14" x14ac:dyDescent="0.2">
      <c r="A264">
        <v>87</v>
      </c>
      <c r="B264">
        <v>27</v>
      </c>
      <c r="C264" t="s">
        <v>46</v>
      </c>
      <c r="D264" t="s">
        <v>150</v>
      </c>
      <c r="E264" t="s">
        <v>25</v>
      </c>
      <c r="F264">
        <v>7</v>
      </c>
      <c r="G264" t="s">
        <v>13</v>
      </c>
      <c r="H264" s="1">
        <v>45935.731944444444</v>
      </c>
      <c r="I264" s="5">
        <f>INT(TB[[#This Row],[时间戳]])</f>
        <v>45935</v>
      </c>
      <c r="J264" s="2">
        <f>HOUR(TB[[#This Row],[时间戳]])</f>
        <v>17</v>
      </c>
      <c r="K264">
        <v>7377</v>
      </c>
      <c r="L264">
        <v>1</v>
      </c>
      <c r="M264">
        <f>TB[[#This Row],[售价]]*TB[[#This Row],[销量]]</f>
        <v>7377</v>
      </c>
      <c r="N264" t="str">
        <f>IF(TB[[#This Row],[售价]]&lt;1000,"低价商品",IF(TB[[#This Row],[售价]]&lt;5000,"中价商品",IF(TB[[#This Row],[售价]]&lt;10000,"高价商品","超高价商品")))</f>
        <v>高价商品</v>
      </c>
    </row>
    <row r="265" spans="1:14" x14ac:dyDescent="0.2">
      <c r="A265">
        <v>691</v>
      </c>
      <c r="B265">
        <v>42</v>
      </c>
      <c r="C265" t="s">
        <v>46</v>
      </c>
      <c r="D265" t="s">
        <v>180</v>
      </c>
      <c r="E265" t="s">
        <v>31</v>
      </c>
      <c r="F265">
        <v>4</v>
      </c>
      <c r="G265" t="s">
        <v>13</v>
      </c>
      <c r="H265" s="1">
        <v>45935.745138888888</v>
      </c>
      <c r="I265" s="5">
        <f>INT(TB[[#This Row],[时间戳]])</f>
        <v>45935</v>
      </c>
      <c r="J265" s="2">
        <f>HOUR(TB[[#This Row],[时间戳]])</f>
        <v>17</v>
      </c>
      <c r="K265">
        <v>248</v>
      </c>
      <c r="L265">
        <v>5</v>
      </c>
      <c r="M265">
        <f>TB[[#This Row],[售价]]*TB[[#This Row],[销量]]</f>
        <v>1240</v>
      </c>
      <c r="N265" t="str">
        <f>IF(TB[[#This Row],[售价]]&lt;1000,"低价商品",IF(TB[[#This Row],[售价]]&lt;5000,"中价商品",IF(TB[[#This Row],[售价]]&lt;10000,"高价商品","超高价商品")))</f>
        <v>低价商品</v>
      </c>
    </row>
    <row r="266" spans="1:14" x14ac:dyDescent="0.2">
      <c r="A266">
        <v>622</v>
      </c>
      <c r="B266">
        <v>227</v>
      </c>
      <c r="C266" t="s">
        <v>17</v>
      </c>
      <c r="D266" t="s">
        <v>126</v>
      </c>
      <c r="E266" t="s">
        <v>39</v>
      </c>
      <c r="F266">
        <v>5</v>
      </c>
      <c r="G266" t="s">
        <v>13</v>
      </c>
      <c r="H266" s="1">
        <v>45935.78402777778</v>
      </c>
      <c r="I266" s="5">
        <f>INT(TB[[#This Row],[时间戳]])</f>
        <v>45935</v>
      </c>
      <c r="J266" s="2">
        <f>HOUR(TB[[#This Row],[时间戳]])</f>
        <v>18</v>
      </c>
      <c r="K266">
        <v>1940</v>
      </c>
      <c r="L266">
        <v>2</v>
      </c>
      <c r="M266">
        <f>TB[[#This Row],[售价]]*TB[[#This Row],[销量]]</f>
        <v>3880</v>
      </c>
      <c r="N266" t="str">
        <f>IF(TB[[#This Row],[售价]]&lt;1000,"低价商品",IF(TB[[#This Row],[售价]]&lt;5000,"中价商品",IF(TB[[#This Row],[售价]]&lt;10000,"高价商品","超高价商品")))</f>
        <v>中价商品</v>
      </c>
    </row>
    <row r="267" spans="1:14" x14ac:dyDescent="0.2">
      <c r="A267">
        <v>117</v>
      </c>
      <c r="B267">
        <v>177</v>
      </c>
      <c r="C267" t="s">
        <v>32</v>
      </c>
      <c r="D267" t="s">
        <v>212</v>
      </c>
      <c r="E267" t="s">
        <v>22</v>
      </c>
      <c r="F267">
        <v>1</v>
      </c>
      <c r="G267" t="s">
        <v>13</v>
      </c>
      <c r="H267" s="1">
        <v>45935.809027777781</v>
      </c>
      <c r="I267" s="5">
        <f>INT(TB[[#This Row],[时间戳]])</f>
        <v>45935</v>
      </c>
      <c r="J267" s="2">
        <f>HOUR(TB[[#This Row],[时间戳]])</f>
        <v>19</v>
      </c>
      <c r="K267">
        <v>4331</v>
      </c>
      <c r="L267">
        <v>3</v>
      </c>
      <c r="M267">
        <f>TB[[#This Row],[售价]]*TB[[#This Row],[销量]]</f>
        <v>12993</v>
      </c>
      <c r="N267" t="str">
        <f>IF(TB[[#This Row],[售价]]&lt;1000,"低价商品",IF(TB[[#This Row],[售价]]&lt;5000,"中价商品",IF(TB[[#This Row],[售价]]&lt;10000,"高价商品","超高价商品")))</f>
        <v>中价商品</v>
      </c>
    </row>
    <row r="268" spans="1:14" x14ac:dyDescent="0.2">
      <c r="A268">
        <v>695</v>
      </c>
      <c r="B268">
        <v>250</v>
      </c>
      <c r="C268" t="s">
        <v>36</v>
      </c>
      <c r="D268" t="s">
        <v>146</v>
      </c>
      <c r="E268" t="s">
        <v>22</v>
      </c>
      <c r="F268">
        <v>1</v>
      </c>
      <c r="G268" t="s">
        <v>13</v>
      </c>
      <c r="H268" s="1">
        <v>45935.830555555556</v>
      </c>
      <c r="I268" s="5">
        <f>INT(TB[[#This Row],[时间戳]])</f>
        <v>45935</v>
      </c>
      <c r="J268" s="2">
        <f>HOUR(TB[[#This Row],[时间戳]])</f>
        <v>19</v>
      </c>
      <c r="K268">
        <v>4377</v>
      </c>
      <c r="L268">
        <v>2</v>
      </c>
      <c r="M268">
        <f>TB[[#This Row],[售价]]*TB[[#This Row],[销量]]</f>
        <v>8754</v>
      </c>
      <c r="N268" t="str">
        <f>IF(TB[[#This Row],[售价]]&lt;1000,"低价商品",IF(TB[[#This Row],[售价]]&lt;5000,"中价商品",IF(TB[[#This Row],[售价]]&lt;10000,"高价商品","超高价商品")))</f>
        <v>中价商品</v>
      </c>
    </row>
    <row r="269" spans="1:14" x14ac:dyDescent="0.2">
      <c r="A269">
        <v>226</v>
      </c>
      <c r="B269">
        <v>203</v>
      </c>
      <c r="C269" t="s">
        <v>36</v>
      </c>
      <c r="D269" t="s">
        <v>136</v>
      </c>
      <c r="E269" t="s">
        <v>39</v>
      </c>
      <c r="F269">
        <v>5</v>
      </c>
      <c r="G269" t="s">
        <v>13</v>
      </c>
      <c r="H269" s="1">
        <v>45935.852777777778</v>
      </c>
      <c r="I269" s="5">
        <f>INT(TB[[#This Row],[时间戳]])</f>
        <v>45935</v>
      </c>
      <c r="J269" s="2">
        <f>HOUR(TB[[#This Row],[时间戳]])</f>
        <v>20</v>
      </c>
      <c r="K269">
        <v>3099</v>
      </c>
      <c r="L269">
        <v>2</v>
      </c>
      <c r="M269">
        <f>TB[[#This Row],[售价]]*TB[[#This Row],[销量]]</f>
        <v>6198</v>
      </c>
      <c r="N269" t="str">
        <f>IF(TB[[#This Row],[售价]]&lt;1000,"低价商品",IF(TB[[#This Row],[售价]]&lt;5000,"中价商品",IF(TB[[#This Row],[售价]]&lt;10000,"高价商品","超高价商品")))</f>
        <v>中价商品</v>
      </c>
    </row>
    <row r="270" spans="1:14" x14ac:dyDescent="0.2">
      <c r="A270">
        <v>309</v>
      </c>
      <c r="B270">
        <v>109</v>
      </c>
      <c r="C270" t="s">
        <v>10</v>
      </c>
      <c r="D270" t="s">
        <v>197</v>
      </c>
      <c r="E270" t="s">
        <v>39</v>
      </c>
      <c r="F270">
        <v>5</v>
      </c>
      <c r="G270" t="s">
        <v>13</v>
      </c>
      <c r="H270" s="1">
        <v>45935.861111111109</v>
      </c>
      <c r="I270" s="5">
        <f>INT(TB[[#This Row],[时间戳]])</f>
        <v>45935</v>
      </c>
      <c r="J270" s="2">
        <f>HOUR(TB[[#This Row],[时间戳]])</f>
        <v>20</v>
      </c>
      <c r="K270">
        <v>3082</v>
      </c>
      <c r="L270">
        <v>2</v>
      </c>
      <c r="M270">
        <f>TB[[#This Row],[售价]]*TB[[#This Row],[销量]]</f>
        <v>6164</v>
      </c>
      <c r="N270" t="str">
        <f>IF(TB[[#This Row],[售价]]&lt;1000,"低价商品",IF(TB[[#This Row],[售价]]&lt;5000,"中价商品",IF(TB[[#This Row],[售价]]&lt;10000,"高价商品","超高价商品")))</f>
        <v>中价商品</v>
      </c>
    </row>
    <row r="271" spans="1:14" x14ac:dyDescent="0.2">
      <c r="A271">
        <v>336</v>
      </c>
      <c r="B271">
        <v>62</v>
      </c>
      <c r="C271" t="s">
        <v>36</v>
      </c>
      <c r="D271" t="s">
        <v>213</v>
      </c>
      <c r="E271" t="s">
        <v>39</v>
      </c>
      <c r="F271">
        <v>5</v>
      </c>
      <c r="G271" t="s">
        <v>42</v>
      </c>
      <c r="H271" s="1">
        <v>45935.867361111108</v>
      </c>
      <c r="I271" s="5">
        <f>INT(TB[[#This Row],[时间戳]])</f>
        <v>45935</v>
      </c>
      <c r="J271" s="2">
        <f>HOUR(TB[[#This Row],[时间戳]])</f>
        <v>20</v>
      </c>
      <c r="K271">
        <v>3813</v>
      </c>
      <c r="L271">
        <v>0</v>
      </c>
      <c r="M271">
        <f>TB[[#This Row],[售价]]*TB[[#This Row],[销量]]</f>
        <v>0</v>
      </c>
      <c r="N271" t="str">
        <f>IF(TB[[#This Row],[售价]]&lt;1000,"低价商品",IF(TB[[#This Row],[售价]]&lt;5000,"中价商品",IF(TB[[#This Row],[售价]]&lt;10000,"高价商品","超高价商品")))</f>
        <v>中价商品</v>
      </c>
    </row>
    <row r="272" spans="1:14" x14ac:dyDescent="0.2">
      <c r="A272">
        <v>133</v>
      </c>
      <c r="B272">
        <v>195</v>
      </c>
      <c r="C272" t="s">
        <v>17</v>
      </c>
      <c r="D272" t="s">
        <v>214</v>
      </c>
      <c r="E272" t="s">
        <v>22</v>
      </c>
      <c r="F272">
        <v>1</v>
      </c>
      <c r="G272" t="s">
        <v>42</v>
      </c>
      <c r="H272" s="1">
        <v>45935.897916666669</v>
      </c>
      <c r="I272" s="5">
        <f>INT(TB[[#This Row],[时间戳]])</f>
        <v>45935</v>
      </c>
      <c r="J272" s="2">
        <f>HOUR(TB[[#This Row],[时间戳]])</f>
        <v>21</v>
      </c>
      <c r="K272">
        <v>1117</v>
      </c>
      <c r="L272">
        <v>0</v>
      </c>
      <c r="M272">
        <f>TB[[#This Row],[售价]]*TB[[#This Row],[销量]]</f>
        <v>0</v>
      </c>
      <c r="N272" t="str">
        <f>IF(TB[[#This Row],[售价]]&lt;1000,"低价商品",IF(TB[[#This Row],[售价]]&lt;5000,"中价商品",IF(TB[[#This Row],[售价]]&lt;10000,"高价商品","超高价商品")))</f>
        <v>中价商品</v>
      </c>
    </row>
    <row r="273" spans="1:14" x14ac:dyDescent="0.2">
      <c r="A273">
        <v>573</v>
      </c>
      <c r="B273">
        <v>182</v>
      </c>
      <c r="C273" t="s">
        <v>32</v>
      </c>
      <c r="D273" t="s">
        <v>215</v>
      </c>
      <c r="E273" t="s">
        <v>31</v>
      </c>
      <c r="F273">
        <v>4</v>
      </c>
      <c r="G273" t="s">
        <v>13</v>
      </c>
      <c r="H273" s="1">
        <v>45935.928472222222</v>
      </c>
      <c r="I273" s="5">
        <f>INT(TB[[#This Row],[时间戳]])</f>
        <v>45935</v>
      </c>
      <c r="J273" s="2">
        <f>HOUR(TB[[#This Row],[时间戳]])</f>
        <v>22</v>
      </c>
      <c r="K273">
        <v>1300</v>
      </c>
      <c r="L273">
        <v>2</v>
      </c>
      <c r="M273">
        <f>TB[[#This Row],[售价]]*TB[[#This Row],[销量]]</f>
        <v>2600</v>
      </c>
      <c r="N273" t="str">
        <f>IF(TB[[#This Row],[售价]]&lt;1000,"低价商品",IF(TB[[#This Row],[售价]]&lt;5000,"中价商品",IF(TB[[#This Row],[售价]]&lt;10000,"高价商品","超高价商品")))</f>
        <v>中价商品</v>
      </c>
    </row>
    <row r="274" spans="1:14" x14ac:dyDescent="0.2">
      <c r="A274">
        <v>20</v>
      </c>
      <c r="B274">
        <v>236</v>
      </c>
      <c r="C274" t="s">
        <v>10</v>
      </c>
      <c r="D274" t="s">
        <v>216</v>
      </c>
      <c r="E274" t="s">
        <v>39</v>
      </c>
      <c r="F274">
        <v>5</v>
      </c>
      <c r="G274" t="s">
        <v>13</v>
      </c>
      <c r="H274" s="1">
        <v>45935.96597222222</v>
      </c>
      <c r="I274" s="5">
        <f>INT(TB[[#This Row],[时间戳]])</f>
        <v>45935</v>
      </c>
      <c r="J274" s="2">
        <f>HOUR(TB[[#This Row],[时间戳]])</f>
        <v>23</v>
      </c>
      <c r="K274">
        <v>1098</v>
      </c>
      <c r="L274">
        <v>1</v>
      </c>
      <c r="M274">
        <f>TB[[#This Row],[售价]]*TB[[#This Row],[销量]]</f>
        <v>1098</v>
      </c>
      <c r="N274" t="str">
        <f>IF(TB[[#This Row],[售价]]&lt;1000,"低价商品",IF(TB[[#This Row],[售价]]&lt;5000,"中价商品",IF(TB[[#This Row],[售价]]&lt;10000,"高价商品","超高价商品")))</f>
        <v>中价商品</v>
      </c>
    </row>
    <row r="275" spans="1:14" x14ac:dyDescent="0.2">
      <c r="A275">
        <v>588</v>
      </c>
      <c r="B275">
        <v>208</v>
      </c>
      <c r="C275" t="s">
        <v>46</v>
      </c>
      <c r="D275" t="s">
        <v>211</v>
      </c>
      <c r="E275" t="s">
        <v>31</v>
      </c>
      <c r="F275">
        <v>4</v>
      </c>
      <c r="G275" t="s">
        <v>13</v>
      </c>
      <c r="H275" s="1">
        <v>45936.011111111111</v>
      </c>
      <c r="I275" s="5">
        <f>INT(TB[[#This Row],[时间戳]])</f>
        <v>45936</v>
      </c>
      <c r="J275" s="2">
        <f>HOUR(TB[[#This Row],[时间戳]])</f>
        <v>0</v>
      </c>
      <c r="K275">
        <v>169</v>
      </c>
      <c r="L275">
        <v>4</v>
      </c>
      <c r="M275">
        <f>TB[[#This Row],[售价]]*TB[[#This Row],[销量]]</f>
        <v>676</v>
      </c>
      <c r="N275" t="str">
        <f>IF(TB[[#This Row],[售价]]&lt;1000,"低价商品",IF(TB[[#This Row],[售价]]&lt;5000,"中价商品",IF(TB[[#This Row],[售价]]&lt;10000,"高价商品","超高价商品")))</f>
        <v>低价商品</v>
      </c>
    </row>
    <row r="276" spans="1:14" x14ac:dyDescent="0.2">
      <c r="A276">
        <v>415</v>
      </c>
      <c r="B276">
        <v>11</v>
      </c>
      <c r="C276" t="s">
        <v>36</v>
      </c>
      <c r="D276" t="s">
        <v>187</v>
      </c>
      <c r="E276" t="s">
        <v>12</v>
      </c>
      <c r="F276">
        <v>2</v>
      </c>
      <c r="G276" t="s">
        <v>13</v>
      </c>
      <c r="H276" s="1">
        <v>45936.024305555555</v>
      </c>
      <c r="I276" s="5">
        <f>INT(TB[[#This Row],[时间戳]])</f>
        <v>45936</v>
      </c>
      <c r="J276" s="2">
        <f>HOUR(TB[[#This Row],[时间戳]])</f>
        <v>0</v>
      </c>
      <c r="K276">
        <v>14501</v>
      </c>
      <c r="L276">
        <v>2</v>
      </c>
      <c r="M276">
        <f>TB[[#This Row],[售价]]*TB[[#This Row],[销量]]</f>
        <v>29002</v>
      </c>
      <c r="N276" t="str">
        <f>IF(TB[[#This Row],[售价]]&lt;1000,"低价商品",IF(TB[[#This Row],[售价]]&lt;5000,"中价商品",IF(TB[[#This Row],[售价]]&lt;10000,"高价商品","超高价商品")))</f>
        <v>超高价商品</v>
      </c>
    </row>
    <row r="277" spans="1:14" x14ac:dyDescent="0.2">
      <c r="A277">
        <v>707</v>
      </c>
      <c r="B277">
        <v>186</v>
      </c>
      <c r="C277" t="s">
        <v>46</v>
      </c>
      <c r="D277" t="s">
        <v>217</v>
      </c>
      <c r="E277" t="s">
        <v>19</v>
      </c>
      <c r="F277">
        <v>3</v>
      </c>
      <c r="G277" t="s">
        <v>13</v>
      </c>
      <c r="H277" s="1">
        <v>45936.036805555559</v>
      </c>
      <c r="I277" s="5">
        <f>INT(TB[[#This Row],[时间戳]])</f>
        <v>45936</v>
      </c>
      <c r="J277" s="2">
        <f>HOUR(TB[[#This Row],[时间戳]])</f>
        <v>0</v>
      </c>
      <c r="K277">
        <v>4047</v>
      </c>
      <c r="L277">
        <v>3</v>
      </c>
      <c r="M277">
        <f>TB[[#This Row],[售价]]*TB[[#This Row],[销量]]</f>
        <v>12141</v>
      </c>
      <c r="N277" t="str">
        <f>IF(TB[[#This Row],[售价]]&lt;1000,"低价商品",IF(TB[[#This Row],[售价]]&lt;5000,"中价商品",IF(TB[[#This Row],[售价]]&lt;10000,"高价商品","超高价商品")))</f>
        <v>中价商品</v>
      </c>
    </row>
    <row r="278" spans="1:14" x14ac:dyDescent="0.2">
      <c r="A278">
        <v>447</v>
      </c>
      <c r="B278">
        <v>206</v>
      </c>
      <c r="C278" t="s">
        <v>14</v>
      </c>
      <c r="D278" t="s">
        <v>144</v>
      </c>
      <c r="E278" t="s">
        <v>19</v>
      </c>
      <c r="F278">
        <v>3</v>
      </c>
      <c r="G278" t="s">
        <v>13</v>
      </c>
      <c r="H278" s="1">
        <v>45936.066666666666</v>
      </c>
      <c r="I278" s="5">
        <f>INT(TB[[#This Row],[时间戳]])</f>
        <v>45936</v>
      </c>
      <c r="J278" s="2">
        <f>HOUR(TB[[#This Row],[时间戳]])</f>
        <v>1</v>
      </c>
      <c r="K278">
        <v>2244</v>
      </c>
      <c r="L278">
        <v>1</v>
      </c>
      <c r="M278">
        <f>TB[[#This Row],[售价]]*TB[[#This Row],[销量]]</f>
        <v>2244</v>
      </c>
      <c r="N278" t="str">
        <f>IF(TB[[#This Row],[售价]]&lt;1000,"低价商品",IF(TB[[#This Row],[售价]]&lt;5000,"中价商品",IF(TB[[#This Row],[售价]]&lt;10000,"高价商品","超高价商品")))</f>
        <v>中价商品</v>
      </c>
    </row>
    <row r="279" spans="1:14" x14ac:dyDescent="0.2">
      <c r="A279">
        <v>764</v>
      </c>
      <c r="B279">
        <v>174</v>
      </c>
      <c r="C279" t="s">
        <v>17</v>
      </c>
      <c r="D279" t="s">
        <v>67</v>
      </c>
      <c r="E279" t="s">
        <v>39</v>
      </c>
      <c r="F279">
        <v>5</v>
      </c>
      <c r="G279" t="s">
        <v>13</v>
      </c>
      <c r="H279" s="1">
        <v>45936.085416666669</v>
      </c>
      <c r="I279" s="5">
        <f>INT(TB[[#This Row],[时间戳]])</f>
        <v>45936</v>
      </c>
      <c r="J279" s="2">
        <f>HOUR(TB[[#This Row],[时间戳]])</f>
        <v>2</v>
      </c>
      <c r="K279">
        <v>2786</v>
      </c>
      <c r="L279">
        <v>2</v>
      </c>
      <c r="M279">
        <f>TB[[#This Row],[售价]]*TB[[#This Row],[销量]]</f>
        <v>5572</v>
      </c>
      <c r="N279" t="str">
        <f>IF(TB[[#This Row],[售价]]&lt;1000,"低价商品",IF(TB[[#This Row],[售价]]&lt;5000,"中价商品",IF(TB[[#This Row],[售价]]&lt;10000,"高价商品","超高价商品")))</f>
        <v>中价商品</v>
      </c>
    </row>
    <row r="280" spans="1:14" x14ac:dyDescent="0.2">
      <c r="A280">
        <v>523</v>
      </c>
      <c r="B280">
        <v>59</v>
      </c>
      <c r="C280" t="s">
        <v>26</v>
      </c>
      <c r="D280" t="s">
        <v>131</v>
      </c>
      <c r="E280" t="s">
        <v>22</v>
      </c>
      <c r="F280">
        <v>1</v>
      </c>
      <c r="G280" t="s">
        <v>42</v>
      </c>
      <c r="H280" s="1">
        <v>45936.107638888891</v>
      </c>
      <c r="I280" s="5">
        <f>INT(TB[[#This Row],[时间戳]])</f>
        <v>45936</v>
      </c>
      <c r="J280" s="2">
        <f>HOUR(TB[[#This Row],[时间戳]])</f>
        <v>2</v>
      </c>
      <c r="K280">
        <v>2785</v>
      </c>
      <c r="L280">
        <v>0</v>
      </c>
      <c r="M280">
        <f>TB[[#This Row],[售价]]*TB[[#This Row],[销量]]</f>
        <v>0</v>
      </c>
      <c r="N280" t="str">
        <f>IF(TB[[#This Row],[售价]]&lt;1000,"低价商品",IF(TB[[#This Row],[售价]]&lt;5000,"中价商品",IF(TB[[#This Row],[售价]]&lt;10000,"高价商品","超高价商品")))</f>
        <v>中价商品</v>
      </c>
    </row>
    <row r="281" spans="1:14" x14ac:dyDescent="0.2">
      <c r="A281">
        <v>360</v>
      </c>
      <c r="B281">
        <v>76</v>
      </c>
      <c r="C281" t="s">
        <v>32</v>
      </c>
      <c r="D281" t="s">
        <v>218</v>
      </c>
      <c r="E281" t="s">
        <v>12</v>
      </c>
      <c r="F281">
        <v>2</v>
      </c>
      <c r="G281" t="s">
        <v>13</v>
      </c>
      <c r="H281" s="1">
        <v>45936.136805555558</v>
      </c>
      <c r="I281" s="5">
        <f>INT(TB[[#This Row],[时间戳]])</f>
        <v>45936</v>
      </c>
      <c r="J281" s="2">
        <f>HOUR(TB[[#This Row],[时间戳]])</f>
        <v>3</v>
      </c>
      <c r="K281">
        <v>12754</v>
      </c>
      <c r="L281">
        <v>2</v>
      </c>
      <c r="M281">
        <f>TB[[#This Row],[售价]]*TB[[#This Row],[销量]]</f>
        <v>25508</v>
      </c>
      <c r="N281" t="str">
        <f>IF(TB[[#This Row],[售价]]&lt;1000,"低价商品",IF(TB[[#This Row],[售价]]&lt;5000,"中价商品",IF(TB[[#This Row],[售价]]&lt;10000,"高价商品","超高价商品")))</f>
        <v>超高价商品</v>
      </c>
    </row>
    <row r="282" spans="1:14" x14ac:dyDescent="0.2">
      <c r="A282">
        <v>203</v>
      </c>
      <c r="B282">
        <v>89</v>
      </c>
      <c r="C282" t="s">
        <v>26</v>
      </c>
      <c r="D282" t="s">
        <v>219</v>
      </c>
      <c r="E282" t="s">
        <v>22</v>
      </c>
      <c r="F282">
        <v>1</v>
      </c>
      <c r="G282" t="s">
        <v>13</v>
      </c>
      <c r="H282" s="1">
        <v>45936.177777777775</v>
      </c>
      <c r="I282" s="5">
        <f>INT(TB[[#This Row],[时间戳]])</f>
        <v>45936</v>
      </c>
      <c r="J282" s="2">
        <f>HOUR(TB[[#This Row],[时间戳]])</f>
        <v>4</v>
      </c>
      <c r="K282">
        <v>2787</v>
      </c>
      <c r="L282">
        <v>2</v>
      </c>
      <c r="M282">
        <f>TB[[#This Row],[售价]]*TB[[#This Row],[销量]]</f>
        <v>5574</v>
      </c>
      <c r="N282" t="str">
        <f>IF(TB[[#This Row],[售价]]&lt;1000,"低价商品",IF(TB[[#This Row],[售价]]&lt;5000,"中价商品",IF(TB[[#This Row],[售价]]&lt;10000,"高价商品","超高价商品")))</f>
        <v>中价商品</v>
      </c>
    </row>
    <row r="283" spans="1:14" x14ac:dyDescent="0.2">
      <c r="A283">
        <v>792</v>
      </c>
      <c r="B283">
        <v>253</v>
      </c>
      <c r="C283" t="s">
        <v>14</v>
      </c>
      <c r="D283" t="s">
        <v>190</v>
      </c>
      <c r="E283" t="s">
        <v>12</v>
      </c>
      <c r="F283">
        <v>2</v>
      </c>
      <c r="G283" t="s">
        <v>13</v>
      </c>
      <c r="H283" s="1">
        <v>45936.185416666667</v>
      </c>
      <c r="I283" s="5">
        <f>INT(TB[[#This Row],[时间戳]])</f>
        <v>45936</v>
      </c>
      <c r="J283" s="2">
        <f>HOUR(TB[[#This Row],[时间戳]])</f>
        <v>4</v>
      </c>
      <c r="K283">
        <v>13747</v>
      </c>
      <c r="L283">
        <v>3</v>
      </c>
      <c r="M283">
        <f>TB[[#This Row],[售价]]*TB[[#This Row],[销量]]</f>
        <v>41241</v>
      </c>
      <c r="N283" t="str">
        <f>IF(TB[[#This Row],[售价]]&lt;1000,"低价商品",IF(TB[[#This Row],[售价]]&lt;5000,"中价商品",IF(TB[[#This Row],[售价]]&lt;10000,"高价商品","超高价商品")))</f>
        <v>超高价商品</v>
      </c>
    </row>
    <row r="284" spans="1:14" x14ac:dyDescent="0.2">
      <c r="A284">
        <v>460</v>
      </c>
      <c r="B284">
        <v>290</v>
      </c>
      <c r="C284" t="s">
        <v>46</v>
      </c>
      <c r="D284" t="s">
        <v>141</v>
      </c>
      <c r="E284" t="s">
        <v>22</v>
      </c>
      <c r="F284">
        <v>1</v>
      </c>
      <c r="G284" t="s">
        <v>13</v>
      </c>
      <c r="H284" s="1">
        <v>45936.193749999999</v>
      </c>
      <c r="I284" s="5">
        <f>INT(TB[[#This Row],[时间戳]])</f>
        <v>45936</v>
      </c>
      <c r="J284" s="2">
        <f>HOUR(TB[[#This Row],[时间戳]])</f>
        <v>4</v>
      </c>
      <c r="K284">
        <v>4986</v>
      </c>
      <c r="L284">
        <v>2</v>
      </c>
      <c r="M284">
        <f>TB[[#This Row],[售价]]*TB[[#This Row],[销量]]</f>
        <v>9972</v>
      </c>
      <c r="N284" t="str">
        <f>IF(TB[[#This Row],[售价]]&lt;1000,"低价商品",IF(TB[[#This Row],[售价]]&lt;5000,"中价商品",IF(TB[[#This Row],[售价]]&lt;10000,"高价商品","超高价商品")))</f>
        <v>中价商品</v>
      </c>
    </row>
    <row r="285" spans="1:14" x14ac:dyDescent="0.2">
      <c r="A285">
        <v>643</v>
      </c>
      <c r="B285">
        <v>162</v>
      </c>
      <c r="C285" t="s">
        <v>46</v>
      </c>
      <c r="D285" t="s">
        <v>220</v>
      </c>
      <c r="E285" t="s">
        <v>39</v>
      </c>
      <c r="F285">
        <v>5</v>
      </c>
      <c r="G285" t="s">
        <v>13</v>
      </c>
      <c r="H285" s="1">
        <v>45936.195833333331</v>
      </c>
      <c r="I285" s="5">
        <f>INT(TB[[#This Row],[时间戳]])</f>
        <v>45936</v>
      </c>
      <c r="J285" s="2">
        <f>HOUR(TB[[#This Row],[时间戳]])</f>
        <v>4</v>
      </c>
      <c r="K285">
        <v>3558</v>
      </c>
      <c r="L285">
        <v>3</v>
      </c>
      <c r="M285">
        <f>TB[[#This Row],[售价]]*TB[[#This Row],[销量]]</f>
        <v>10674</v>
      </c>
      <c r="N285" t="str">
        <f>IF(TB[[#This Row],[售价]]&lt;1000,"低价商品",IF(TB[[#This Row],[售价]]&lt;5000,"中价商品",IF(TB[[#This Row],[售价]]&lt;10000,"高价商品","超高价商品")))</f>
        <v>中价商品</v>
      </c>
    </row>
    <row r="286" spans="1:14" x14ac:dyDescent="0.2">
      <c r="A286">
        <v>453</v>
      </c>
      <c r="B286">
        <v>156</v>
      </c>
      <c r="C286" t="s">
        <v>14</v>
      </c>
      <c r="D286" t="s">
        <v>202</v>
      </c>
      <c r="E286" t="s">
        <v>31</v>
      </c>
      <c r="F286">
        <v>4</v>
      </c>
      <c r="G286" t="s">
        <v>13</v>
      </c>
      <c r="H286" s="1">
        <v>45936.211805555555</v>
      </c>
      <c r="I286" s="5">
        <f>INT(TB[[#This Row],[时间戳]])</f>
        <v>45936</v>
      </c>
      <c r="J286" s="2">
        <f>HOUR(TB[[#This Row],[时间戳]])</f>
        <v>5</v>
      </c>
      <c r="K286">
        <v>384</v>
      </c>
      <c r="L286">
        <v>2</v>
      </c>
      <c r="M286">
        <f>TB[[#This Row],[售价]]*TB[[#This Row],[销量]]</f>
        <v>768</v>
      </c>
      <c r="N286" t="str">
        <f>IF(TB[[#This Row],[售价]]&lt;1000,"低价商品",IF(TB[[#This Row],[售价]]&lt;5000,"中价商品",IF(TB[[#This Row],[售价]]&lt;10000,"高价商品","超高价商品")))</f>
        <v>低价商品</v>
      </c>
    </row>
    <row r="287" spans="1:14" x14ac:dyDescent="0.2">
      <c r="A287">
        <v>520</v>
      </c>
      <c r="B287">
        <v>38</v>
      </c>
      <c r="C287" t="s">
        <v>10</v>
      </c>
      <c r="D287" t="s">
        <v>221</v>
      </c>
      <c r="E287" t="s">
        <v>16</v>
      </c>
      <c r="F287">
        <v>6</v>
      </c>
      <c r="G287" t="s">
        <v>13</v>
      </c>
      <c r="H287" s="1">
        <v>45936.212500000001</v>
      </c>
      <c r="I287" s="5">
        <f>INT(TB[[#This Row],[时间戳]])</f>
        <v>45936</v>
      </c>
      <c r="J287" s="2">
        <f>HOUR(TB[[#This Row],[时间戳]])</f>
        <v>5</v>
      </c>
      <c r="K287">
        <v>6602</v>
      </c>
      <c r="L287">
        <v>3</v>
      </c>
      <c r="M287">
        <f>TB[[#This Row],[售价]]*TB[[#This Row],[销量]]</f>
        <v>19806</v>
      </c>
      <c r="N287" t="str">
        <f>IF(TB[[#This Row],[售价]]&lt;1000,"低价商品",IF(TB[[#This Row],[售价]]&lt;5000,"中价商品",IF(TB[[#This Row],[售价]]&lt;10000,"高价商品","超高价商品")))</f>
        <v>高价商品</v>
      </c>
    </row>
    <row r="288" spans="1:14" x14ac:dyDescent="0.2">
      <c r="A288">
        <v>59</v>
      </c>
      <c r="B288">
        <v>189</v>
      </c>
      <c r="C288" t="s">
        <v>44</v>
      </c>
      <c r="D288" t="s">
        <v>222</v>
      </c>
      <c r="E288" t="s">
        <v>12</v>
      </c>
      <c r="F288">
        <v>2</v>
      </c>
      <c r="G288" t="s">
        <v>42</v>
      </c>
      <c r="H288" s="1">
        <v>45936.223611111112</v>
      </c>
      <c r="I288" s="5">
        <f>INT(TB[[#This Row],[时间戳]])</f>
        <v>45936</v>
      </c>
      <c r="J288" s="2">
        <f>HOUR(TB[[#This Row],[时间戳]])</f>
        <v>5</v>
      </c>
      <c r="K288">
        <v>9121</v>
      </c>
      <c r="L288">
        <v>0</v>
      </c>
      <c r="M288">
        <f>TB[[#This Row],[售价]]*TB[[#This Row],[销量]]</f>
        <v>0</v>
      </c>
      <c r="N288" t="str">
        <f>IF(TB[[#This Row],[售价]]&lt;1000,"低价商品",IF(TB[[#This Row],[售价]]&lt;5000,"中价商品",IF(TB[[#This Row],[售价]]&lt;10000,"高价商品","超高价商品")))</f>
        <v>高价商品</v>
      </c>
    </row>
    <row r="289" spans="1:14" x14ac:dyDescent="0.2">
      <c r="A289">
        <v>93</v>
      </c>
      <c r="B289">
        <v>260</v>
      </c>
      <c r="C289" t="s">
        <v>14</v>
      </c>
      <c r="D289" t="s">
        <v>223</v>
      </c>
      <c r="E289" t="s">
        <v>22</v>
      </c>
      <c r="F289">
        <v>1</v>
      </c>
      <c r="G289" t="s">
        <v>13</v>
      </c>
      <c r="H289" s="1">
        <v>45936.238194444442</v>
      </c>
      <c r="I289" s="5">
        <f>INT(TB[[#This Row],[时间戳]])</f>
        <v>45936</v>
      </c>
      <c r="J289" s="2">
        <f>HOUR(TB[[#This Row],[时间戳]])</f>
        <v>5</v>
      </c>
      <c r="K289">
        <v>7759</v>
      </c>
      <c r="L289">
        <v>2</v>
      </c>
      <c r="M289">
        <f>TB[[#This Row],[售价]]*TB[[#This Row],[销量]]</f>
        <v>15518</v>
      </c>
      <c r="N289" t="str">
        <f>IF(TB[[#This Row],[售价]]&lt;1000,"低价商品",IF(TB[[#This Row],[售价]]&lt;5000,"中价商品",IF(TB[[#This Row],[售价]]&lt;10000,"高价商品","超高价商品")))</f>
        <v>高价商品</v>
      </c>
    </row>
    <row r="290" spans="1:14" x14ac:dyDescent="0.2">
      <c r="A290">
        <v>757</v>
      </c>
      <c r="B290">
        <v>22</v>
      </c>
      <c r="C290" t="s">
        <v>46</v>
      </c>
      <c r="D290" t="s">
        <v>141</v>
      </c>
      <c r="E290" t="s">
        <v>22</v>
      </c>
      <c r="F290">
        <v>1</v>
      </c>
      <c r="G290" t="s">
        <v>42</v>
      </c>
      <c r="H290" s="1">
        <v>45936.244444444441</v>
      </c>
      <c r="I290" s="5">
        <f>INT(TB[[#This Row],[时间戳]])</f>
        <v>45936</v>
      </c>
      <c r="J290" s="2">
        <f>HOUR(TB[[#This Row],[时间戳]])</f>
        <v>5</v>
      </c>
      <c r="K290">
        <v>4185</v>
      </c>
      <c r="L290">
        <v>0</v>
      </c>
      <c r="M290">
        <f>TB[[#This Row],[售价]]*TB[[#This Row],[销量]]</f>
        <v>0</v>
      </c>
      <c r="N290" t="str">
        <f>IF(TB[[#This Row],[售价]]&lt;1000,"低价商品",IF(TB[[#This Row],[售价]]&lt;5000,"中价商品",IF(TB[[#This Row],[售价]]&lt;10000,"高价商品","超高价商品")))</f>
        <v>中价商品</v>
      </c>
    </row>
    <row r="291" spans="1:14" x14ac:dyDescent="0.2">
      <c r="A291">
        <v>620</v>
      </c>
      <c r="B291">
        <v>244</v>
      </c>
      <c r="C291" t="s">
        <v>32</v>
      </c>
      <c r="D291" t="s">
        <v>224</v>
      </c>
      <c r="E291" t="s">
        <v>25</v>
      </c>
      <c r="F291">
        <v>7</v>
      </c>
      <c r="G291" t="s">
        <v>13</v>
      </c>
      <c r="H291" s="1">
        <v>45936.261111111111</v>
      </c>
      <c r="I291" s="5">
        <f>INT(TB[[#This Row],[时间戳]])</f>
        <v>45936</v>
      </c>
      <c r="J291" s="2">
        <f>HOUR(TB[[#This Row],[时间戳]])</f>
        <v>6</v>
      </c>
      <c r="K291">
        <v>5276</v>
      </c>
      <c r="L291">
        <v>3</v>
      </c>
      <c r="M291">
        <f>TB[[#This Row],[售价]]*TB[[#This Row],[销量]]</f>
        <v>15828</v>
      </c>
      <c r="N291" t="str">
        <f>IF(TB[[#This Row],[售价]]&lt;1000,"低价商品",IF(TB[[#This Row],[售价]]&lt;5000,"中价商品",IF(TB[[#This Row],[售价]]&lt;10000,"高价商品","超高价商品")))</f>
        <v>高价商品</v>
      </c>
    </row>
    <row r="292" spans="1:14" x14ac:dyDescent="0.2">
      <c r="A292">
        <v>106</v>
      </c>
      <c r="B292">
        <v>176</v>
      </c>
      <c r="C292" t="s">
        <v>10</v>
      </c>
      <c r="D292" t="s">
        <v>216</v>
      </c>
      <c r="E292" t="s">
        <v>39</v>
      </c>
      <c r="F292">
        <v>5</v>
      </c>
      <c r="G292" t="s">
        <v>13</v>
      </c>
      <c r="H292" s="1">
        <v>45936.261805555558</v>
      </c>
      <c r="I292" s="5">
        <f>INT(TB[[#This Row],[时间戳]])</f>
        <v>45936</v>
      </c>
      <c r="J292" s="2">
        <f>HOUR(TB[[#This Row],[时间戳]])</f>
        <v>6</v>
      </c>
      <c r="K292">
        <v>2730</v>
      </c>
      <c r="L292">
        <v>2</v>
      </c>
      <c r="M292">
        <f>TB[[#This Row],[售价]]*TB[[#This Row],[销量]]</f>
        <v>5460</v>
      </c>
      <c r="N292" t="str">
        <f>IF(TB[[#This Row],[售价]]&lt;1000,"低价商品",IF(TB[[#This Row],[售价]]&lt;5000,"中价商品",IF(TB[[#This Row],[售价]]&lt;10000,"高价商品","超高价商品")))</f>
        <v>中价商品</v>
      </c>
    </row>
    <row r="293" spans="1:14" x14ac:dyDescent="0.2">
      <c r="A293">
        <v>254</v>
      </c>
      <c r="B293">
        <v>225</v>
      </c>
      <c r="C293" t="s">
        <v>26</v>
      </c>
      <c r="D293" t="s">
        <v>225</v>
      </c>
      <c r="E293" t="s">
        <v>31</v>
      </c>
      <c r="F293">
        <v>4</v>
      </c>
      <c r="G293" t="s">
        <v>13</v>
      </c>
      <c r="H293" s="1">
        <v>45936.262499999997</v>
      </c>
      <c r="I293" s="5">
        <f>INT(TB[[#This Row],[时间戳]])</f>
        <v>45936</v>
      </c>
      <c r="J293" s="2">
        <f>HOUR(TB[[#This Row],[时间戳]])</f>
        <v>6</v>
      </c>
      <c r="K293">
        <v>280</v>
      </c>
      <c r="L293">
        <v>1</v>
      </c>
      <c r="M293">
        <f>TB[[#This Row],[售价]]*TB[[#This Row],[销量]]</f>
        <v>280</v>
      </c>
      <c r="N293" t="str">
        <f>IF(TB[[#This Row],[售价]]&lt;1000,"低价商品",IF(TB[[#This Row],[售价]]&lt;5000,"中价商品",IF(TB[[#This Row],[售价]]&lt;10000,"高价商品","超高价商品")))</f>
        <v>低价商品</v>
      </c>
    </row>
    <row r="294" spans="1:14" x14ac:dyDescent="0.2">
      <c r="A294">
        <v>163</v>
      </c>
      <c r="B294">
        <v>187</v>
      </c>
      <c r="C294" t="s">
        <v>20</v>
      </c>
      <c r="D294" t="s">
        <v>21</v>
      </c>
      <c r="E294" t="s">
        <v>22</v>
      </c>
      <c r="F294">
        <v>1</v>
      </c>
      <c r="G294" t="s">
        <v>42</v>
      </c>
      <c r="H294" s="1">
        <v>45936.293749999997</v>
      </c>
      <c r="I294" s="5">
        <f>INT(TB[[#This Row],[时间戳]])</f>
        <v>45936</v>
      </c>
      <c r="J294" s="2">
        <f>HOUR(TB[[#This Row],[时间戳]])</f>
        <v>7</v>
      </c>
      <c r="K294">
        <v>4667</v>
      </c>
      <c r="L294">
        <v>0</v>
      </c>
      <c r="M294">
        <f>TB[[#This Row],[售价]]*TB[[#This Row],[销量]]</f>
        <v>0</v>
      </c>
      <c r="N294" t="str">
        <f>IF(TB[[#This Row],[售价]]&lt;1000,"低价商品",IF(TB[[#This Row],[售价]]&lt;5000,"中价商品",IF(TB[[#This Row],[售价]]&lt;10000,"高价商品","超高价商品")))</f>
        <v>中价商品</v>
      </c>
    </row>
    <row r="295" spans="1:14" x14ac:dyDescent="0.2">
      <c r="A295">
        <v>794</v>
      </c>
      <c r="B295">
        <v>174</v>
      </c>
      <c r="C295" t="s">
        <v>17</v>
      </c>
      <c r="D295" t="s">
        <v>226</v>
      </c>
      <c r="E295" t="s">
        <v>16</v>
      </c>
      <c r="F295">
        <v>6</v>
      </c>
      <c r="G295" t="s">
        <v>13</v>
      </c>
      <c r="H295" s="1">
        <v>45936.302083333336</v>
      </c>
      <c r="I295" s="5">
        <f>INT(TB[[#This Row],[时间戳]])</f>
        <v>45936</v>
      </c>
      <c r="J295" s="2">
        <f>HOUR(TB[[#This Row],[时间戳]])</f>
        <v>7</v>
      </c>
      <c r="K295">
        <v>8052</v>
      </c>
      <c r="L295">
        <v>2</v>
      </c>
      <c r="M295">
        <f>TB[[#This Row],[售价]]*TB[[#This Row],[销量]]</f>
        <v>16104</v>
      </c>
      <c r="N295" t="str">
        <f>IF(TB[[#This Row],[售价]]&lt;1000,"低价商品",IF(TB[[#This Row],[售价]]&lt;5000,"中价商品",IF(TB[[#This Row],[售价]]&lt;10000,"高价商品","超高价商品")))</f>
        <v>高价商品</v>
      </c>
    </row>
    <row r="296" spans="1:14" x14ac:dyDescent="0.2">
      <c r="A296">
        <v>663</v>
      </c>
      <c r="B296">
        <v>172</v>
      </c>
      <c r="C296" t="s">
        <v>10</v>
      </c>
      <c r="D296" t="s">
        <v>68</v>
      </c>
      <c r="E296" t="s">
        <v>22</v>
      </c>
      <c r="F296">
        <v>1</v>
      </c>
      <c r="G296" t="s">
        <v>13</v>
      </c>
      <c r="H296" s="1">
        <v>45936.304861111108</v>
      </c>
      <c r="I296" s="5">
        <f>INT(TB[[#This Row],[时间戳]])</f>
        <v>45936</v>
      </c>
      <c r="J296" s="2">
        <f>HOUR(TB[[#This Row],[时间戳]])</f>
        <v>7</v>
      </c>
      <c r="K296">
        <v>6667</v>
      </c>
      <c r="L296">
        <v>2</v>
      </c>
      <c r="M296">
        <f>TB[[#This Row],[售价]]*TB[[#This Row],[销量]]</f>
        <v>13334</v>
      </c>
      <c r="N296" t="str">
        <f>IF(TB[[#This Row],[售价]]&lt;1000,"低价商品",IF(TB[[#This Row],[售价]]&lt;5000,"中价商品",IF(TB[[#This Row],[售价]]&lt;10000,"高价商品","超高价商品")))</f>
        <v>高价商品</v>
      </c>
    </row>
    <row r="297" spans="1:14" x14ac:dyDescent="0.2">
      <c r="A297">
        <v>695</v>
      </c>
      <c r="B297">
        <v>198</v>
      </c>
      <c r="C297" t="s">
        <v>14</v>
      </c>
      <c r="D297" t="s">
        <v>52</v>
      </c>
      <c r="E297" t="s">
        <v>31</v>
      </c>
      <c r="F297">
        <v>4</v>
      </c>
      <c r="G297" t="s">
        <v>13</v>
      </c>
      <c r="H297" s="1">
        <v>45936.318055555559</v>
      </c>
      <c r="I297" s="5">
        <f>INT(TB[[#This Row],[时间戳]])</f>
        <v>45936</v>
      </c>
      <c r="J297" s="2">
        <f>HOUR(TB[[#This Row],[时间戳]])</f>
        <v>7</v>
      </c>
      <c r="K297">
        <v>152</v>
      </c>
      <c r="L297">
        <v>1</v>
      </c>
      <c r="M297">
        <f>TB[[#This Row],[售价]]*TB[[#This Row],[销量]]</f>
        <v>152</v>
      </c>
      <c r="N297" t="str">
        <f>IF(TB[[#This Row],[售价]]&lt;1000,"低价商品",IF(TB[[#This Row],[售价]]&lt;5000,"中价商品",IF(TB[[#This Row],[售价]]&lt;10000,"高价商品","超高价商品")))</f>
        <v>低价商品</v>
      </c>
    </row>
    <row r="298" spans="1:14" x14ac:dyDescent="0.2">
      <c r="A298">
        <v>342</v>
      </c>
      <c r="B298">
        <v>42</v>
      </c>
      <c r="C298" t="s">
        <v>46</v>
      </c>
      <c r="D298" t="s">
        <v>135</v>
      </c>
      <c r="E298" t="s">
        <v>22</v>
      </c>
      <c r="F298">
        <v>1</v>
      </c>
      <c r="G298" t="s">
        <v>13</v>
      </c>
      <c r="H298" s="1">
        <v>45936.345138888886</v>
      </c>
      <c r="I298" s="5">
        <f>INT(TB[[#This Row],[时间戳]])</f>
        <v>45936</v>
      </c>
      <c r="J298" s="2">
        <f>HOUR(TB[[#This Row],[时间戳]])</f>
        <v>8</v>
      </c>
      <c r="K298">
        <v>3256</v>
      </c>
      <c r="L298">
        <v>4</v>
      </c>
      <c r="M298">
        <f>TB[[#This Row],[售价]]*TB[[#This Row],[销量]]</f>
        <v>13024</v>
      </c>
      <c r="N298" t="str">
        <f>IF(TB[[#This Row],[售价]]&lt;1000,"低价商品",IF(TB[[#This Row],[售价]]&lt;5000,"中价商品",IF(TB[[#This Row],[售价]]&lt;10000,"高价商品","超高价商品")))</f>
        <v>中价商品</v>
      </c>
    </row>
    <row r="299" spans="1:14" x14ac:dyDescent="0.2">
      <c r="A299">
        <v>318</v>
      </c>
      <c r="B299">
        <v>201</v>
      </c>
      <c r="C299" t="s">
        <v>26</v>
      </c>
      <c r="D299" t="s">
        <v>227</v>
      </c>
      <c r="E299" t="s">
        <v>12</v>
      </c>
      <c r="F299">
        <v>2</v>
      </c>
      <c r="G299" t="s">
        <v>13</v>
      </c>
      <c r="H299" s="1">
        <v>45936.35</v>
      </c>
      <c r="I299" s="5">
        <f>INT(TB[[#This Row],[时间戳]])</f>
        <v>45936</v>
      </c>
      <c r="J299" s="2">
        <f>HOUR(TB[[#This Row],[时间戳]])</f>
        <v>8</v>
      </c>
      <c r="K299">
        <v>13686</v>
      </c>
      <c r="L299">
        <v>3</v>
      </c>
      <c r="M299">
        <f>TB[[#This Row],[售价]]*TB[[#This Row],[销量]]</f>
        <v>41058</v>
      </c>
      <c r="N299" t="str">
        <f>IF(TB[[#This Row],[售价]]&lt;1000,"低价商品",IF(TB[[#This Row],[售价]]&lt;5000,"中价商品",IF(TB[[#This Row],[售价]]&lt;10000,"高价商品","超高价商品")))</f>
        <v>超高价商品</v>
      </c>
    </row>
    <row r="300" spans="1:14" x14ac:dyDescent="0.2">
      <c r="A300">
        <v>573</v>
      </c>
      <c r="B300">
        <v>193</v>
      </c>
      <c r="C300" t="s">
        <v>14</v>
      </c>
      <c r="D300" t="s">
        <v>228</v>
      </c>
      <c r="E300" t="s">
        <v>31</v>
      </c>
      <c r="F300">
        <v>4</v>
      </c>
      <c r="G300" t="s">
        <v>13</v>
      </c>
      <c r="H300" s="1">
        <v>45936.368055555555</v>
      </c>
      <c r="I300" s="5">
        <f>INT(TB[[#This Row],[时间戳]])</f>
        <v>45936</v>
      </c>
      <c r="J300" s="2">
        <f>HOUR(TB[[#This Row],[时间戳]])</f>
        <v>8</v>
      </c>
      <c r="K300">
        <v>418</v>
      </c>
      <c r="L300">
        <v>4</v>
      </c>
      <c r="M300">
        <f>TB[[#This Row],[售价]]*TB[[#This Row],[销量]]</f>
        <v>1672</v>
      </c>
      <c r="N300" t="str">
        <f>IF(TB[[#This Row],[售价]]&lt;1000,"低价商品",IF(TB[[#This Row],[售价]]&lt;5000,"中价商品",IF(TB[[#This Row],[售价]]&lt;10000,"高价商品","超高价商品")))</f>
        <v>低价商品</v>
      </c>
    </row>
    <row r="301" spans="1:14" x14ac:dyDescent="0.2">
      <c r="A301">
        <v>720</v>
      </c>
      <c r="B301">
        <v>270</v>
      </c>
      <c r="C301" t="s">
        <v>26</v>
      </c>
      <c r="D301" t="s">
        <v>65</v>
      </c>
      <c r="E301" t="s">
        <v>22</v>
      </c>
      <c r="F301">
        <v>1</v>
      </c>
      <c r="G301" t="s">
        <v>13</v>
      </c>
      <c r="H301" s="1">
        <v>45936.369444444441</v>
      </c>
      <c r="I301" s="5">
        <f>INT(TB[[#This Row],[时间戳]])</f>
        <v>45936</v>
      </c>
      <c r="J301" s="2">
        <f>HOUR(TB[[#This Row],[时间戳]])</f>
        <v>8</v>
      </c>
      <c r="K301">
        <v>6239</v>
      </c>
      <c r="L301">
        <v>1</v>
      </c>
      <c r="M301">
        <f>TB[[#This Row],[售价]]*TB[[#This Row],[销量]]</f>
        <v>6239</v>
      </c>
      <c r="N301" t="str">
        <f>IF(TB[[#This Row],[售价]]&lt;1000,"低价商品",IF(TB[[#This Row],[售价]]&lt;5000,"中价商品",IF(TB[[#This Row],[售价]]&lt;10000,"高价商品","超高价商品")))</f>
        <v>高价商品</v>
      </c>
    </row>
    <row r="302" spans="1:14" x14ac:dyDescent="0.2">
      <c r="A302">
        <v>371</v>
      </c>
      <c r="B302">
        <v>10</v>
      </c>
      <c r="C302" t="s">
        <v>17</v>
      </c>
      <c r="D302" t="s">
        <v>50</v>
      </c>
      <c r="E302" t="s">
        <v>22</v>
      </c>
      <c r="F302">
        <v>1</v>
      </c>
      <c r="G302" t="s">
        <v>13</v>
      </c>
      <c r="H302" s="1">
        <v>45936.370138888888</v>
      </c>
      <c r="I302" s="5">
        <f>INT(TB[[#This Row],[时间戳]])</f>
        <v>45936</v>
      </c>
      <c r="J302" s="2">
        <f>HOUR(TB[[#This Row],[时间戳]])</f>
        <v>8</v>
      </c>
      <c r="K302">
        <v>1895</v>
      </c>
      <c r="L302">
        <v>2</v>
      </c>
      <c r="M302">
        <f>TB[[#This Row],[售价]]*TB[[#This Row],[销量]]</f>
        <v>3790</v>
      </c>
      <c r="N302" t="str">
        <f>IF(TB[[#This Row],[售价]]&lt;1000,"低价商品",IF(TB[[#This Row],[售价]]&lt;5000,"中价商品",IF(TB[[#This Row],[售价]]&lt;10000,"高价商品","超高价商品")))</f>
        <v>中价商品</v>
      </c>
    </row>
    <row r="303" spans="1:14" x14ac:dyDescent="0.2">
      <c r="A303">
        <v>350</v>
      </c>
      <c r="B303">
        <v>249</v>
      </c>
      <c r="C303" t="s">
        <v>26</v>
      </c>
      <c r="D303" t="s">
        <v>229</v>
      </c>
      <c r="E303" t="s">
        <v>16</v>
      </c>
      <c r="F303">
        <v>6</v>
      </c>
      <c r="G303" t="s">
        <v>13</v>
      </c>
      <c r="H303" s="1">
        <v>45936.384722222225</v>
      </c>
      <c r="I303" s="5">
        <f>INT(TB[[#This Row],[时间戳]])</f>
        <v>45936</v>
      </c>
      <c r="J303" s="2">
        <f>HOUR(TB[[#This Row],[时间戳]])</f>
        <v>9</v>
      </c>
      <c r="K303">
        <v>7898</v>
      </c>
      <c r="L303">
        <v>1</v>
      </c>
      <c r="M303">
        <f>TB[[#This Row],[售价]]*TB[[#This Row],[销量]]</f>
        <v>7898</v>
      </c>
      <c r="N303" t="str">
        <f>IF(TB[[#This Row],[售价]]&lt;1000,"低价商品",IF(TB[[#This Row],[售价]]&lt;5000,"中价商品",IF(TB[[#This Row],[售价]]&lt;10000,"高价商品","超高价商品")))</f>
        <v>高价商品</v>
      </c>
    </row>
    <row r="304" spans="1:14" x14ac:dyDescent="0.2">
      <c r="A304">
        <v>80</v>
      </c>
      <c r="B304">
        <v>152</v>
      </c>
      <c r="C304" t="s">
        <v>26</v>
      </c>
      <c r="D304" t="s">
        <v>27</v>
      </c>
      <c r="E304" t="s">
        <v>22</v>
      </c>
      <c r="F304">
        <v>1</v>
      </c>
      <c r="G304" t="s">
        <v>13</v>
      </c>
      <c r="H304" s="1">
        <v>45936.398611111108</v>
      </c>
      <c r="I304" s="5">
        <f>INT(TB[[#This Row],[时间戳]])</f>
        <v>45936</v>
      </c>
      <c r="J304" s="2">
        <f>HOUR(TB[[#This Row],[时间戳]])</f>
        <v>9</v>
      </c>
      <c r="K304">
        <v>2487</v>
      </c>
      <c r="L304">
        <v>1</v>
      </c>
      <c r="M304">
        <f>TB[[#This Row],[售价]]*TB[[#This Row],[销量]]</f>
        <v>2487</v>
      </c>
      <c r="N304" t="str">
        <f>IF(TB[[#This Row],[售价]]&lt;1000,"低价商品",IF(TB[[#This Row],[售价]]&lt;5000,"中价商品",IF(TB[[#This Row],[售价]]&lt;10000,"高价商品","超高价商品")))</f>
        <v>中价商品</v>
      </c>
    </row>
    <row r="305" spans="1:14" x14ac:dyDescent="0.2">
      <c r="A305">
        <v>39</v>
      </c>
      <c r="B305">
        <v>173</v>
      </c>
      <c r="C305" t="s">
        <v>20</v>
      </c>
      <c r="D305" t="s">
        <v>230</v>
      </c>
      <c r="E305" t="s">
        <v>19</v>
      </c>
      <c r="F305">
        <v>3</v>
      </c>
      <c r="G305" t="s">
        <v>13</v>
      </c>
      <c r="H305" s="1">
        <v>45936.417361111111</v>
      </c>
      <c r="I305" s="5">
        <f>INT(TB[[#This Row],[时间戳]])</f>
        <v>45936</v>
      </c>
      <c r="J305" s="2">
        <f>HOUR(TB[[#This Row],[时间戳]])</f>
        <v>10</v>
      </c>
      <c r="K305">
        <v>2387</v>
      </c>
      <c r="L305">
        <v>2</v>
      </c>
      <c r="M305">
        <f>TB[[#This Row],[售价]]*TB[[#This Row],[销量]]</f>
        <v>4774</v>
      </c>
      <c r="N305" t="str">
        <f>IF(TB[[#This Row],[售价]]&lt;1000,"低价商品",IF(TB[[#This Row],[售价]]&lt;5000,"中价商品",IF(TB[[#This Row],[售价]]&lt;10000,"高价商品","超高价商品")))</f>
        <v>中价商品</v>
      </c>
    </row>
    <row r="306" spans="1:14" x14ac:dyDescent="0.2">
      <c r="A306">
        <v>386</v>
      </c>
      <c r="B306">
        <v>79</v>
      </c>
      <c r="C306" t="s">
        <v>26</v>
      </c>
      <c r="D306" t="s">
        <v>56</v>
      </c>
      <c r="E306" t="s">
        <v>22</v>
      </c>
      <c r="F306">
        <v>1</v>
      </c>
      <c r="G306" t="s">
        <v>13</v>
      </c>
      <c r="H306" s="1">
        <v>45936.440972222219</v>
      </c>
      <c r="I306" s="5">
        <f>INT(TB[[#This Row],[时间戳]])</f>
        <v>45936</v>
      </c>
      <c r="J306" s="2">
        <f>HOUR(TB[[#This Row],[时间戳]])</f>
        <v>10</v>
      </c>
      <c r="K306">
        <v>7393</v>
      </c>
      <c r="L306">
        <v>2</v>
      </c>
      <c r="M306">
        <f>TB[[#This Row],[售价]]*TB[[#This Row],[销量]]</f>
        <v>14786</v>
      </c>
      <c r="N306" t="str">
        <f>IF(TB[[#This Row],[售价]]&lt;1000,"低价商品",IF(TB[[#This Row],[售价]]&lt;5000,"中价商品",IF(TB[[#This Row],[售价]]&lt;10000,"高价商品","超高价商品")))</f>
        <v>高价商品</v>
      </c>
    </row>
    <row r="307" spans="1:14" x14ac:dyDescent="0.2">
      <c r="A307">
        <v>739</v>
      </c>
      <c r="B307">
        <v>225</v>
      </c>
      <c r="C307" t="s">
        <v>46</v>
      </c>
      <c r="D307" t="s">
        <v>231</v>
      </c>
      <c r="E307" t="s">
        <v>16</v>
      </c>
      <c r="F307">
        <v>6</v>
      </c>
      <c r="G307" t="s">
        <v>13</v>
      </c>
      <c r="H307" s="1">
        <v>45936.509722222225</v>
      </c>
      <c r="I307" s="5">
        <f>INT(TB[[#This Row],[时间戳]])</f>
        <v>45936</v>
      </c>
      <c r="J307" s="2">
        <f>HOUR(TB[[#This Row],[时间戳]])</f>
        <v>12</v>
      </c>
      <c r="K307">
        <v>4550</v>
      </c>
      <c r="L307">
        <v>2</v>
      </c>
      <c r="M307">
        <f>TB[[#This Row],[售价]]*TB[[#This Row],[销量]]</f>
        <v>9100</v>
      </c>
      <c r="N307" t="str">
        <f>IF(TB[[#This Row],[售价]]&lt;1000,"低价商品",IF(TB[[#This Row],[售价]]&lt;5000,"中价商品",IF(TB[[#This Row],[售价]]&lt;10000,"高价商品","超高价商品")))</f>
        <v>中价商品</v>
      </c>
    </row>
    <row r="308" spans="1:14" x14ac:dyDescent="0.2">
      <c r="A308">
        <v>737</v>
      </c>
      <c r="B308">
        <v>122</v>
      </c>
      <c r="C308" t="s">
        <v>34</v>
      </c>
      <c r="D308" t="s">
        <v>232</v>
      </c>
      <c r="E308" t="s">
        <v>22</v>
      </c>
      <c r="F308">
        <v>1</v>
      </c>
      <c r="G308" t="s">
        <v>13</v>
      </c>
      <c r="H308" s="1">
        <v>45936.522916666669</v>
      </c>
      <c r="I308" s="5">
        <f>INT(TB[[#This Row],[时间戳]])</f>
        <v>45936</v>
      </c>
      <c r="J308" s="2">
        <f>HOUR(TB[[#This Row],[时间戳]])</f>
        <v>12</v>
      </c>
      <c r="K308">
        <v>1367</v>
      </c>
      <c r="L308">
        <v>2</v>
      </c>
      <c r="M308">
        <f>TB[[#This Row],[售价]]*TB[[#This Row],[销量]]</f>
        <v>2734</v>
      </c>
      <c r="N308" t="str">
        <f>IF(TB[[#This Row],[售价]]&lt;1000,"低价商品",IF(TB[[#This Row],[售价]]&lt;5000,"中价商品",IF(TB[[#This Row],[售价]]&lt;10000,"高价商品","超高价商品")))</f>
        <v>中价商品</v>
      </c>
    </row>
    <row r="309" spans="1:14" x14ac:dyDescent="0.2">
      <c r="A309">
        <v>460</v>
      </c>
      <c r="B309">
        <v>120</v>
      </c>
      <c r="C309" t="s">
        <v>36</v>
      </c>
      <c r="D309" t="s">
        <v>146</v>
      </c>
      <c r="E309" t="s">
        <v>22</v>
      </c>
      <c r="F309">
        <v>1</v>
      </c>
      <c r="G309" t="s">
        <v>13</v>
      </c>
      <c r="H309" s="1">
        <v>45936.530555555553</v>
      </c>
      <c r="I309" s="5">
        <f>INT(TB[[#This Row],[时间戳]])</f>
        <v>45936</v>
      </c>
      <c r="J309" s="2">
        <f>HOUR(TB[[#This Row],[时间戳]])</f>
        <v>12</v>
      </c>
      <c r="K309">
        <v>4750</v>
      </c>
      <c r="L309">
        <v>2</v>
      </c>
      <c r="M309">
        <f>TB[[#This Row],[售价]]*TB[[#This Row],[销量]]</f>
        <v>9500</v>
      </c>
      <c r="N309" t="str">
        <f>IF(TB[[#This Row],[售价]]&lt;1000,"低价商品",IF(TB[[#This Row],[售价]]&lt;5000,"中价商品",IF(TB[[#This Row],[售价]]&lt;10000,"高价商品","超高价商品")))</f>
        <v>中价商品</v>
      </c>
    </row>
    <row r="310" spans="1:14" x14ac:dyDescent="0.2">
      <c r="A310">
        <v>199</v>
      </c>
      <c r="B310">
        <v>189</v>
      </c>
      <c r="C310" t="s">
        <v>36</v>
      </c>
      <c r="D310" t="s">
        <v>233</v>
      </c>
      <c r="E310" t="s">
        <v>16</v>
      </c>
      <c r="F310">
        <v>6</v>
      </c>
      <c r="G310" t="s">
        <v>13</v>
      </c>
      <c r="H310" s="1">
        <v>45936.55972222222</v>
      </c>
      <c r="I310" s="5">
        <f>INT(TB[[#This Row],[时间戳]])</f>
        <v>45936</v>
      </c>
      <c r="J310" s="2">
        <f>HOUR(TB[[#This Row],[时间戳]])</f>
        <v>13</v>
      </c>
      <c r="K310">
        <v>10671</v>
      </c>
      <c r="L310">
        <v>1</v>
      </c>
      <c r="M310">
        <f>TB[[#This Row],[售价]]*TB[[#This Row],[销量]]</f>
        <v>10671</v>
      </c>
      <c r="N310" t="str">
        <f>IF(TB[[#This Row],[售价]]&lt;1000,"低价商品",IF(TB[[#This Row],[售价]]&lt;5000,"中价商品",IF(TB[[#This Row],[售价]]&lt;10000,"高价商品","超高价商品")))</f>
        <v>超高价商品</v>
      </c>
    </row>
    <row r="311" spans="1:14" x14ac:dyDescent="0.2">
      <c r="A311">
        <v>788</v>
      </c>
      <c r="B311">
        <v>145</v>
      </c>
      <c r="C311" t="s">
        <v>44</v>
      </c>
      <c r="D311" t="s">
        <v>66</v>
      </c>
      <c r="E311" t="s">
        <v>22</v>
      </c>
      <c r="F311">
        <v>1</v>
      </c>
      <c r="G311" t="s">
        <v>13</v>
      </c>
      <c r="H311" s="1">
        <v>45936.56527777778</v>
      </c>
      <c r="I311" s="5">
        <f>INT(TB[[#This Row],[时间戳]])</f>
        <v>45936</v>
      </c>
      <c r="J311" s="2">
        <f>HOUR(TB[[#This Row],[时间戳]])</f>
        <v>13</v>
      </c>
      <c r="K311">
        <v>6648</v>
      </c>
      <c r="L311">
        <v>5</v>
      </c>
      <c r="M311">
        <f>TB[[#This Row],[售价]]*TB[[#This Row],[销量]]</f>
        <v>33240</v>
      </c>
      <c r="N311" t="str">
        <f>IF(TB[[#This Row],[售价]]&lt;1000,"低价商品",IF(TB[[#This Row],[售价]]&lt;5000,"中价商品",IF(TB[[#This Row],[售价]]&lt;10000,"高价商品","超高价商品")))</f>
        <v>高价商品</v>
      </c>
    </row>
    <row r="312" spans="1:14" x14ac:dyDescent="0.2">
      <c r="A312">
        <v>429</v>
      </c>
      <c r="B312">
        <v>83</v>
      </c>
      <c r="C312" t="s">
        <v>20</v>
      </c>
      <c r="D312" t="s">
        <v>21</v>
      </c>
      <c r="E312" t="s">
        <v>22</v>
      </c>
      <c r="F312">
        <v>1</v>
      </c>
      <c r="G312" t="s">
        <v>13</v>
      </c>
      <c r="H312" s="1">
        <v>45936.575694444444</v>
      </c>
      <c r="I312" s="5">
        <f>INT(TB[[#This Row],[时间戳]])</f>
        <v>45936</v>
      </c>
      <c r="J312" s="2">
        <f>HOUR(TB[[#This Row],[时间戳]])</f>
        <v>13</v>
      </c>
      <c r="K312">
        <v>7369</v>
      </c>
      <c r="L312">
        <v>2</v>
      </c>
      <c r="M312">
        <f>TB[[#This Row],[售价]]*TB[[#This Row],[销量]]</f>
        <v>14738</v>
      </c>
      <c r="N312" t="str">
        <f>IF(TB[[#This Row],[售价]]&lt;1000,"低价商品",IF(TB[[#This Row],[售价]]&lt;5000,"中价商品",IF(TB[[#This Row],[售价]]&lt;10000,"高价商品","超高价商品")))</f>
        <v>高价商品</v>
      </c>
    </row>
    <row r="313" spans="1:14" x14ac:dyDescent="0.2">
      <c r="A313">
        <v>257</v>
      </c>
      <c r="B313">
        <v>27</v>
      </c>
      <c r="C313" t="s">
        <v>46</v>
      </c>
      <c r="D313" t="s">
        <v>135</v>
      </c>
      <c r="E313" t="s">
        <v>22</v>
      </c>
      <c r="F313">
        <v>1</v>
      </c>
      <c r="G313" t="s">
        <v>13</v>
      </c>
      <c r="H313" s="1">
        <v>45936.57708333333</v>
      </c>
      <c r="I313" s="5">
        <f>INT(TB[[#This Row],[时间戳]])</f>
        <v>45936</v>
      </c>
      <c r="J313" s="2">
        <f>HOUR(TB[[#This Row],[时间戳]])</f>
        <v>13</v>
      </c>
      <c r="K313">
        <v>7593</v>
      </c>
      <c r="L313">
        <v>3</v>
      </c>
      <c r="M313">
        <f>TB[[#This Row],[售价]]*TB[[#This Row],[销量]]</f>
        <v>22779</v>
      </c>
      <c r="N313" t="str">
        <f>IF(TB[[#This Row],[售价]]&lt;1000,"低价商品",IF(TB[[#This Row],[售价]]&lt;5000,"中价商品",IF(TB[[#This Row],[售价]]&lt;10000,"高价商品","超高价商品")))</f>
        <v>高价商品</v>
      </c>
    </row>
    <row r="314" spans="1:14" x14ac:dyDescent="0.2">
      <c r="A314">
        <v>106</v>
      </c>
      <c r="B314">
        <v>265</v>
      </c>
      <c r="C314" t="s">
        <v>34</v>
      </c>
      <c r="D314" t="s">
        <v>164</v>
      </c>
      <c r="E314" t="s">
        <v>22</v>
      </c>
      <c r="F314">
        <v>1</v>
      </c>
      <c r="G314" t="s">
        <v>42</v>
      </c>
      <c r="H314" s="1">
        <v>45936.577777777777</v>
      </c>
      <c r="I314" s="5">
        <f>INT(TB[[#This Row],[时间戳]])</f>
        <v>45936</v>
      </c>
      <c r="J314" s="2">
        <f>HOUR(TB[[#This Row],[时间戳]])</f>
        <v>13</v>
      </c>
      <c r="K314">
        <v>6298</v>
      </c>
      <c r="L314">
        <v>0</v>
      </c>
      <c r="M314">
        <f>TB[[#This Row],[售价]]*TB[[#This Row],[销量]]</f>
        <v>0</v>
      </c>
      <c r="N314" t="str">
        <f>IF(TB[[#This Row],[售价]]&lt;1000,"低价商品",IF(TB[[#This Row],[售价]]&lt;5000,"中价商品",IF(TB[[#This Row],[售价]]&lt;10000,"高价商品","超高价商品")))</f>
        <v>高价商品</v>
      </c>
    </row>
    <row r="315" spans="1:14" x14ac:dyDescent="0.2">
      <c r="A315">
        <v>280</v>
      </c>
      <c r="B315">
        <v>231</v>
      </c>
      <c r="C315" t="s">
        <v>14</v>
      </c>
      <c r="D315" t="s">
        <v>190</v>
      </c>
      <c r="E315" t="s">
        <v>12</v>
      </c>
      <c r="F315">
        <v>2</v>
      </c>
      <c r="G315" t="s">
        <v>13</v>
      </c>
      <c r="H315" s="1">
        <v>45936.638194444444</v>
      </c>
      <c r="I315" s="5">
        <f>INT(TB[[#This Row],[时间戳]])</f>
        <v>45936</v>
      </c>
      <c r="J315" s="2">
        <f>HOUR(TB[[#This Row],[时间戳]])</f>
        <v>15</v>
      </c>
      <c r="K315">
        <v>5987</v>
      </c>
      <c r="L315">
        <v>2</v>
      </c>
      <c r="M315">
        <f>TB[[#This Row],[售价]]*TB[[#This Row],[销量]]</f>
        <v>11974</v>
      </c>
      <c r="N315" t="str">
        <f>IF(TB[[#This Row],[售价]]&lt;1000,"低价商品",IF(TB[[#This Row],[售价]]&lt;5000,"中价商品",IF(TB[[#This Row],[售价]]&lt;10000,"高价商品","超高价商品")))</f>
        <v>高价商品</v>
      </c>
    </row>
    <row r="316" spans="1:14" x14ac:dyDescent="0.2">
      <c r="A316">
        <v>228</v>
      </c>
      <c r="B316">
        <v>231</v>
      </c>
      <c r="C316" t="s">
        <v>17</v>
      </c>
      <c r="D316" t="s">
        <v>18</v>
      </c>
      <c r="E316" t="s">
        <v>19</v>
      </c>
      <c r="F316">
        <v>3</v>
      </c>
      <c r="G316" t="s">
        <v>13</v>
      </c>
      <c r="H316" s="1">
        <v>45936.671527777777</v>
      </c>
      <c r="I316" s="5">
        <f>INT(TB[[#This Row],[时间戳]])</f>
        <v>45936</v>
      </c>
      <c r="J316" s="2">
        <f>HOUR(TB[[#This Row],[时间戳]])</f>
        <v>16</v>
      </c>
      <c r="K316">
        <v>5580</v>
      </c>
      <c r="L316">
        <v>2</v>
      </c>
      <c r="M316">
        <f>TB[[#This Row],[售价]]*TB[[#This Row],[销量]]</f>
        <v>11160</v>
      </c>
      <c r="N316" t="str">
        <f>IF(TB[[#This Row],[售价]]&lt;1000,"低价商品",IF(TB[[#This Row],[售价]]&lt;5000,"中价商品",IF(TB[[#This Row],[售价]]&lt;10000,"高价商品","超高价商品")))</f>
        <v>高价商品</v>
      </c>
    </row>
    <row r="317" spans="1:14" x14ac:dyDescent="0.2">
      <c r="A317">
        <v>406</v>
      </c>
      <c r="B317">
        <v>258</v>
      </c>
      <c r="C317" t="s">
        <v>17</v>
      </c>
      <c r="D317" t="s">
        <v>234</v>
      </c>
      <c r="E317" t="s">
        <v>39</v>
      </c>
      <c r="F317">
        <v>5</v>
      </c>
      <c r="G317" t="s">
        <v>13</v>
      </c>
      <c r="H317" s="1">
        <v>45936.693749999999</v>
      </c>
      <c r="I317" s="5">
        <f>INT(TB[[#This Row],[时间戳]])</f>
        <v>45936</v>
      </c>
      <c r="J317" s="2">
        <f>HOUR(TB[[#This Row],[时间戳]])</f>
        <v>16</v>
      </c>
      <c r="K317">
        <v>2044</v>
      </c>
      <c r="L317">
        <v>1</v>
      </c>
      <c r="M317">
        <f>TB[[#This Row],[售价]]*TB[[#This Row],[销量]]</f>
        <v>2044</v>
      </c>
      <c r="N317" t="str">
        <f>IF(TB[[#This Row],[售价]]&lt;1000,"低价商品",IF(TB[[#This Row],[售价]]&lt;5000,"中价商品",IF(TB[[#This Row],[售价]]&lt;10000,"高价商品","超高价商品")))</f>
        <v>中价商品</v>
      </c>
    </row>
    <row r="318" spans="1:14" x14ac:dyDescent="0.2">
      <c r="A318">
        <v>384</v>
      </c>
      <c r="B318">
        <v>115</v>
      </c>
      <c r="C318" t="s">
        <v>17</v>
      </c>
      <c r="D318" t="s">
        <v>28</v>
      </c>
      <c r="E318" t="s">
        <v>12</v>
      </c>
      <c r="F318">
        <v>2</v>
      </c>
      <c r="G318" t="s">
        <v>13</v>
      </c>
      <c r="H318" s="1">
        <v>45936.703472222223</v>
      </c>
      <c r="I318" s="5">
        <f>INT(TB[[#This Row],[时间戳]])</f>
        <v>45936</v>
      </c>
      <c r="J318" s="2">
        <f>HOUR(TB[[#This Row],[时间戳]])</f>
        <v>16</v>
      </c>
      <c r="K318">
        <v>10046</v>
      </c>
      <c r="L318">
        <v>1</v>
      </c>
      <c r="M318">
        <f>TB[[#This Row],[售价]]*TB[[#This Row],[销量]]</f>
        <v>10046</v>
      </c>
      <c r="N318" t="str">
        <f>IF(TB[[#This Row],[售价]]&lt;1000,"低价商品",IF(TB[[#This Row],[售价]]&lt;5000,"中价商品",IF(TB[[#This Row],[售价]]&lt;10000,"高价商品","超高价商品")))</f>
        <v>超高价商品</v>
      </c>
    </row>
    <row r="319" spans="1:14" x14ac:dyDescent="0.2">
      <c r="A319">
        <v>150</v>
      </c>
      <c r="B319">
        <v>71</v>
      </c>
      <c r="C319" t="s">
        <v>14</v>
      </c>
      <c r="D319" t="s">
        <v>235</v>
      </c>
      <c r="E319" t="s">
        <v>39</v>
      </c>
      <c r="F319">
        <v>5</v>
      </c>
      <c r="G319" t="s">
        <v>13</v>
      </c>
      <c r="H319" s="1">
        <v>45936.706944444442</v>
      </c>
      <c r="I319" s="5">
        <f>INT(TB[[#This Row],[时间戳]])</f>
        <v>45936</v>
      </c>
      <c r="J319" s="2">
        <f>HOUR(TB[[#This Row],[时间戳]])</f>
        <v>16</v>
      </c>
      <c r="K319">
        <v>878</v>
      </c>
      <c r="L319">
        <v>1</v>
      </c>
      <c r="M319">
        <f>TB[[#This Row],[售价]]*TB[[#This Row],[销量]]</f>
        <v>878</v>
      </c>
      <c r="N319" t="str">
        <f>IF(TB[[#This Row],[售价]]&lt;1000,"低价商品",IF(TB[[#This Row],[售价]]&lt;5000,"中价商品",IF(TB[[#This Row],[售价]]&lt;10000,"高价商品","超高价商品")))</f>
        <v>低价商品</v>
      </c>
    </row>
    <row r="320" spans="1:14" x14ac:dyDescent="0.2">
      <c r="A320">
        <v>143</v>
      </c>
      <c r="B320">
        <v>241</v>
      </c>
      <c r="C320" t="s">
        <v>44</v>
      </c>
      <c r="D320" t="s">
        <v>236</v>
      </c>
      <c r="E320" t="s">
        <v>12</v>
      </c>
      <c r="F320">
        <v>2</v>
      </c>
      <c r="G320" t="s">
        <v>13</v>
      </c>
      <c r="H320" s="1">
        <v>45936.709722222222</v>
      </c>
      <c r="I320" s="5">
        <f>INT(TB[[#This Row],[时间戳]])</f>
        <v>45936</v>
      </c>
      <c r="J320" s="2">
        <f>HOUR(TB[[#This Row],[时间戳]])</f>
        <v>17</v>
      </c>
      <c r="K320">
        <v>4573</v>
      </c>
      <c r="L320">
        <v>2</v>
      </c>
      <c r="M320">
        <f>TB[[#This Row],[售价]]*TB[[#This Row],[销量]]</f>
        <v>9146</v>
      </c>
      <c r="N320" t="str">
        <f>IF(TB[[#This Row],[售价]]&lt;1000,"低价商品",IF(TB[[#This Row],[售价]]&lt;5000,"中价商品",IF(TB[[#This Row],[售价]]&lt;10000,"高价商品","超高价商品")))</f>
        <v>中价商品</v>
      </c>
    </row>
    <row r="321" spans="1:14" x14ac:dyDescent="0.2">
      <c r="A321">
        <v>20</v>
      </c>
      <c r="B321">
        <v>132</v>
      </c>
      <c r="C321" t="s">
        <v>10</v>
      </c>
      <c r="D321" t="s">
        <v>237</v>
      </c>
      <c r="E321" t="s">
        <v>25</v>
      </c>
      <c r="F321">
        <v>7</v>
      </c>
      <c r="G321" t="s">
        <v>13</v>
      </c>
      <c r="H321" s="1">
        <v>45936.715277777781</v>
      </c>
      <c r="I321" s="5">
        <f>INT(TB[[#This Row],[时间戳]])</f>
        <v>45936</v>
      </c>
      <c r="J321" s="2">
        <f>HOUR(TB[[#This Row],[时间戳]])</f>
        <v>17</v>
      </c>
      <c r="K321">
        <v>5289</v>
      </c>
      <c r="L321">
        <v>2</v>
      </c>
      <c r="M321">
        <f>TB[[#This Row],[售价]]*TB[[#This Row],[销量]]</f>
        <v>10578</v>
      </c>
      <c r="N321" t="str">
        <f>IF(TB[[#This Row],[售价]]&lt;1000,"低价商品",IF(TB[[#This Row],[售价]]&lt;5000,"中价商品",IF(TB[[#This Row],[售价]]&lt;10000,"高价商品","超高价商品")))</f>
        <v>高价商品</v>
      </c>
    </row>
    <row r="322" spans="1:14" x14ac:dyDescent="0.2">
      <c r="A322">
        <v>624</v>
      </c>
      <c r="B322">
        <v>271</v>
      </c>
      <c r="C322" t="s">
        <v>20</v>
      </c>
      <c r="D322" t="s">
        <v>204</v>
      </c>
      <c r="E322" t="s">
        <v>25</v>
      </c>
      <c r="F322">
        <v>7</v>
      </c>
      <c r="G322" t="s">
        <v>13</v>
      </c>
      <c r="H322" s="1">
        <v>45936.729861111111</v>
      </c>
      <c r="I322" s="5">
        <f>INT(TB[[#This Row],[时间戳]])</f>
        <v>45936</v>
      </c>
      <c r="J322" s="2">
        <f>HOUR(TB[[#This Row],[时间戳]])</f>
        <v>17</v>
      </c>
      <c r="K322">
        <v>3142</v>
      </c>
      <c r="L322">
        <v>1</v>
      </c>
      <c r="M322">
        <f>TB[[#This Row],[售价]]*TB[[#This Row],[销量]]</f>
        <v>3142</v>
      </c>
      <c r="N322" t="str">
        <f>IF(TB[[#This Row],[售价]]&lt;1000,"低价商品",IF(TB[[#This Row],[售价]]&lt;5000,"中价商品",IF(TB[[#This Row],[售价]]&lt;10000,"高价商品","超高价商品")))</f>
        <v>中价商品</v>
      </c>
    </row>
    <row r="323" spans="1:14" x14ac:dyDescent="0.2">
      <c r="A323">
        <v>309</v>
      </c>
      <c r="B323">
        <v>63</v>
      </c>
      <c r="C323" t="s">
        <v>36</v>
      </c>
      <c r="D323" t="s">
        <v>238</v>
      </c>
      <c r="E323" t="s">
        <v>12</v>
      </c>
      <c r="F323">
        <v>2</v>
      </c>
      <c r="G323" t="s">
        <v>13</v>
      </c>
      <c r="H323" s="1">
        <v>45936.75277777778</v>
      </c>
      <c r="I323" s="5">
        <f>INT(TB[[#This Row],[时间戳]])</f>
        <v>45936</v>
      </c>
      <c r="J323" s="2">
        <f>HOUR(TB[[#This Row],[时间戳]])</f>
        <v>18</v>
      </c>
      <c r="K323">
        <v>10790</v>
      </c>
      <c r="L323">
        <v>5</v>
      </c>
      <c r="M323">
        <f>TB[[#This Row],[售价]]*TB[[#This Row],[销量]]</f>
        <v>53950</v>
      </c>
      <c r="N323" t="str">
        <f>IF(TB[[#This Row],[售价]]&lt;1000,"低价商品",IF(TB[[#This Row],[售价]]&lt;5000,"中价商品",IF(TB[[#This Row],[售价]]&lt;10000,"高价商品","超高价商品")))</f>
        <v>超高价商品</v>
      </c>
    </row>
    <row r="324" spans="1:14" x14ac:dyDescent="0.2">
      <c r="A324">
        <v>638</v>
      </c>
      <c r="B324">
        <v>235</v>
      </c>
      <c r="C324" t="s">
        <v>17</v>
      </c>
      <c r="D324" t="s">
        <v>98</v>
      </c>
      <c r="E324" t="s">
        <v>22</v>
      </c>
      <c r="F324">
        <v>1</v>
      </c>
      <c r="G324" t="s">
        <v>13</v>
      </c>
      <c r="H324" s="1">
        <v>45936.772916666669</v>
      </c>
      <c r="I324" s="5">
        <f>INT(TB[[#This Row],[时间戳]])</f>
        <v>45936</v>
      </c>
      <c r="J324" s="2">
        <f>HOUR(TB[[#This Row],[时间戳]])</f>
        <v>18</v>
      </c>
      <c r="K324">
        <v>1313</v>
      </c>
      <c r="L324">
        <v>4</v>
      </c>
      <c r="M324">
        <f>TB[[#This Row],[售价]]*TB[[#This Row],[销量]]</f>
        <v>5252</v>
      </c>
      <c r="N324" t="str">
        <f>IF(TB[[#This Row],[售价]]&lt;1000,"低价商品",IF(TB[[#This Row],[售价]]&lt;5000,"中价商品",IF(TB[[#This Row],[售价]]&lt;10000,"高价商品","超高价商品")))</f>
        <v>中价商品</v>
      </c>
    </row>
    <row r="325" spans="1:14" x14ac:dyDescent="0.2">
      <c r="A325">
        <v>549</v>
      </c>
      <c r="B325">
        <v>9</v>
      </c>
      <c r="C325" t="s">
        <v>44</v>
      </c>
      <c r="D325" t="s">
        <v>239</v>
      </c>
      <c r="E325" t="s">
        <v>39</v>
      </c>
      <c r="F325">
        <v>5</v>
      </c>
      <c r="G325" t="s">
        <v>13</v>
      </c>
      <c r="H325" s="1">
        <v>45936.77847222222</v>
      </c>
      <c r="I325" s="5">
        <f>INT(TB[[#This Row],[时间戳]])</f>
        <v>45936</v>
      </c>
      <c r="J325" s="2">
        <f>HOUR(TB[[#This Row],[时间戳]])</f>
        <v>18</v>
      </c>
      <c r="K325">
        <v>913</v>
      </c>
      <c r="L325">
        <v>1</v>
      </c>
      <c r="M325">
        <f>TB[[#This Row],[售价]]*TB[[#This Row],[销量]]</f>
        <v>913</v>
      </c>
      <c r="N325" t="str">
        <f>IF(TB[[#This Row],[售价]]&lt;1000,"低价商品",IF(TB[[#This Row],[售价]]&lt;5000,"中价商品",IF(TB[[#This Row],[售价]]&lt;10000,"高价商品","超高价商品")))</f>
        <v>低价商品</v>
      </c>
    </row>
    <row r="326" spans="1:14" x14ac:dyDescent="0.2">
      <c r="A326">
        <v>299</v>
      </c>
      <c r="B326">
        <v>220</v>
      </c>
      <c r="C326" t="s">
        <v>32</v>
      </c>
      <c r="D326" t="s">
        <v>118</v>
      </c>
      <c r="E326" t="s">
        <v>19</v>
      </c>
      <c r="F326">
        <v>3</v>
      </c>
      <c r="G326" t="s">
        <v>13</v>
      </c>
      <c r="H326" s="1">
        <v>45936.835416666669</v>
      </c>
      <c r="I326" s="5">
        <f>INT(TB[[#This Row],[时间戳]])</f>
        <v>45936</v>
      </c>
      <c r="J326" s="2">
        <f>HOUR(TB[[#This Row],[时间戳]])</f>
        <v>20</v>
      </c>
      <c r="K326">
        <v>5815</v>
      </c>
      <c r="L326">
        <v>2</v>
      </c>
      <c r="M326">
        <f>TB[[#This Row],[售价]]*TB[[#This Row],[销量]]</f>
        <v>11630</v>
      </c>
      <c r="N326" t="str">
        <f>IF(TB[[#This Row],[售价]]&lt;1000,"低价商品",IF(TB[[#This Row],[售价]]&lt;5000,"中价商品",IF(TB[[#This Row],[售价]]&lt;10000,"高价商品","超高价商品")))</f>
        <v>高价商品</v>
      </c>
    </row>
    <row r="327" spans="1:14" x14ac:dyDescent="0.2">
      <c r="A327">
        <v>585</v>
      </c>
      <c r="B327">
        <v>214</v>
      </c>
      <c r="C327" t="s">
        <v>34</v>
      </c>
      <c r="D327" t="s">
        <v>35</v>
      </c>
      <c r="E327" t="s">
        <v>19</v>
      </c>
      <c r="F327">
        <v>3</v>
      </c>
      <c r="G327" t="s">
        <v>13</v>
      </c>
      <c r="H327" s="1">
        <v>45936.86041666667</v>
      </c>
      <c r="I327" s="5">
        <f>INT(TB[[#This Row],[时间戳]])</f>
        <v>45936</v>
      </c>
      <c r="J327" s="2">
        <f>HOUR(TB[[#This Row],[时间戳]])</f>
        <v>20</v>
      </c>
      <c r="K327">
        <v>1626</v>
      </c>
      <c r="L327">
        <v>4</v>
      </c>
      <c r="M327">
        <f>TB[[#This Row],[售价]]*TB[[#This Row],[销量]]</f>
        <v>6504</v>
      </c>
      <c r="N327" t="str">
        <f>IF(TB[[#This Row],[售价]]&lt;1000,"低价商品",IF(TB[[#This Row],[售价]]&lt;5000,"中价商品",IF(TB[[#This Row],[售价]]&lt;10000,"高价商品","超高价商品")))</f>
        <v>中价商品</v>
      </c>
    </row>
    <row r="328" spans="1:14" x14ac:dyDescent="0.2">
      <c r="A328">
        <v>370</v>
      </c>
      <c r="B328">
        <v>35</v>
      </c>
      <c r="C328" t="s">
        <v>14</v>
      </c>
      <c r="D328" t="s">
        <v>29</v>
      </c>
      <c r="E328" t="s">
        <v>22</v>
      </c>
      <c r="F328">
        <v>1</v>
      </c>
      <c r="G328" t="s">
        <v>42</v>
      </c>
      <c r="H328" s="1">
        <v>45936.875</v>
      </c>
      <c r="I328" s="5">
        <f>INT(TB[[#This Row],[时间戳]])</f>
        <v>45936</v>
      </c>
      <c r="J328" s="2">
        <f>HOUR(TB[[#This Row],[时间戳]])</f>
        <v>21</v>
      </c>
      <c r="K328">
        <v>2674</v>
      </c>
      <c r="L328">
        <v>0</v>
      </c>
      <c r="M328">
        <f>TB[[#This Row],[售价]]*TB[[#This Row],[销量]]</f>
        <v>0</v>
      </c>
      <c r="N328" t="str">
        <f>IF(TB[[#This Row],[售价]]&lt;1000,"低价商品",IF(TB[[#This Row],[售价]]&lt;5000,"中价商品",IF(TB[[#This Row],[售价]]&lt;10000,"高价商品","超高价商品")))</f>
        <v>中价商品</v>
      </c>
    </row>
    <row r="329" spans="1:14" x14ac:dyDescent="0.2">
      <c r="A329">
        <v>568</v>
      </c>
      <c r="B329">
        <v>11</v>
      </c>
      <c r="C329" t="s">
        <v>20</v>
      </c>
      <c r="D329" t="s">
        <v>21</v>
      </c>
      <c r="E329" t="s">
        <v>22</v>
      </c>
      <c r="F329">
        <v>1</v>
      </c>
      <c r="G329" t="s">
        <v>42</v>
      </c>
      <c r="H329" s="1">
        <v>45936.892361111109</v>
      </c>
      <c r="I329" s="5">
        <f>INT(TB[[#This Row],[时间戳]])</f>
        <v>45936</v>
      </c>
      <c r="J329" s="2">
        <f>HOUR(TB[[#This Row],[时间戳]])</f>
        <v>21</v>
      </c>
      <c r="K329">
        <v>5387</v>
      </c>
      <c r="L329">
        <v>0</v>
      </c>
      <c r="M329">
        <f>TB[[#This Row],[售价]]*TB[[#This Row],[销量]]</f>
        <v>0</v>
      </c>
      <c r="N329" t="str">
        <f>IF(TB[[#This Row],[售价]]&lt;1000,"低价商品",IF(TB[[#This Row],[售价]]&lt;5000,"中价商品",IF(TB[[#This Row],[售价]]&lt;10000,"高价商品","超高价商品")))</f>
        <v>高价商品</v>
      </c>
    </row>
    <row r="330" spans="1:14" x14ac:dyDescent="0.2">
      <c r="A330">
        <v>397</v>
      </c>
      <c r="B330">
        <v>192</v>
      </c>
      <c r="C330" t="s">
        <v>10</v>
      </c>
      <c r="D330" t="s">
        <v>240</v>
      </c>
      <c r="E330" t="s">
        <v>16</v>
      </c>
      <c r="F330">
        <v>6</v>
      </c>
      <c r="G330" t="s">
        <v>13</v>
      </c>
      <c r="H330" s="1">
        <v>45936.902777777781</v>
      </c>
      <c r="I330" s="5">
        <f>INT(TB[[#This Row],[时间戳]])</f>
        <v>45936</v>
      </c>
      <c r="J330" s="2">
        <f>HOUR(TB[[#This Row],[时间戳]])</f>
        <v>21</v>
      </c>
      <c r="K330">
        <v>8437</v>
      </c>
      <c r="L330">
        <v>2</v>
      </c>
      <c r="M330">
        <f>TB[[#This Row],[售价]]*TB[[#This Row],[销量]]</f>
        <v>16874</v>
      </c>
      <c r="N330" t="str">
        <f>IF(TB[[#This Row],[售价]]&lt;1000,"低价商品",IF(TB[[#This Row],[售价]]&lt;5000,"中价商品",IF(TB[[#This Row],[售价]]&lt;10000,"高价商品","超高价商品")))</f>
        <v>高价商品</v>
      </c>
    </row>
    <row r="331" spans="1:14" x14ac:dyDescent="0.2">
      <c r="A331">
        <v>70</v>
      </c>
      <c r="B331">
        <v>177</v>
      </c>
      <c r="C331" t="s">
        <v>10</v>
      </c>
      <c r="D331" t="s">
        <v>241</v>
      </c>
      <c r="E331" t="s">
        <v>12</v>
      </c>
      <c r="F331">
        <v>2</v>
      </c>
      <c r="G331" t="s">
        <v>13</v>
      </c>
      <c r="H331" s="1">
        <v>45936.907638888886</v>
      </c>
      <c r="I331" s="5">
        <f>INT(TB[[#This Row],[时间戳]])</f>
        <v>45936</v>
      </c>
      <c r="J331" s="2">
        <f>HOUR(TB[[#This Row],[时间戳]])</f>
        <v>21</v>
      </c>
      <c r="K331">
        <v>8337</v>
      </c>
      <c r="L331">
        <v>3</v>
      </c>
      <c r="M331">
        <f>TB[[#This Row],[售价]]*TB[[#This Row],[销量]]</f>
        <v>25011</v>
      </c>
      <c r="N331" t="str">
        <f>IF(TB[[#This Row],[售价]]&lt;1000,"低价商品",IF(TB[[#This Row],[售价]]&lt;5000,"中价商品",IF(TB[[#This Row],[售价]]&lt;10000,"高价商品","超高价商品")))</f>
        <v>高价商品</v>
      </c>
    </row>
    <row r="332" spans="1:14" x14ac:dyDescent="0.2">
      <c r="A332">
        <v>753</v>
      </c>
      <c r="B332">
        <v>171</v>
      </c>
      <c r="C332" t="s">
        <v>14</v>
      </c>
      <c r="D332" t="s">
        <v>52</v>
      </c>
      <c r="E332" t="s">
        <v>31</v>
      </c>
      <c r="F332">
        <v>4</v>
      </c>
      <c r="G332" t="s">
        <v>13</v>
      </c>
      <c r="H332" s="1">
        <v>45936.915972222225</v>
      </c>
      <c r="I332" s="5">
        <f>INT(TB[[#This Row],[时间戳]])</f>
        <v>45936</v>
      </c>
      <c r="J332" s="2">
        <f>HOUR(TB[[#This Row],[时间戳]])</f>
        <v>21</v>
      </c>
      <c r="K332">
        <v>718</v>
      </c>
      <c r="L332">
        <v>2</v>
      </c>
      <c r="M332">
        <f>TB[[#This Row],[售价]]*TB[[#This Row],[销量]]</f>
        <v>1436</v>
      </c>
      <c r="N332" t="str">
        <f>IF(TB[[#This Row],[售价]]&lt;1000,"低价商品",IF(TB[[#This Row],[售价]]&lt;5000,"中价商品",IF(TB[[#This Row],[售价]]&lt;10000,"高价商品","超高价商品")))</f>
        <v>低价商品</v>
      </c>
    </row>
    <row r="333" spans="1:14" x14ac:dyDescent="0.2">
      <c r="A333">
        <v>347</v>
      </c>
      <c r="B333">
        <v>90</v>
      </c>
      <c r="C333" t="s">
        <v>34</v>
      </c>
      <c r="D333" t="s">
        <v>174</v>
      </c>
      <c r="E333" t="s">
        <v>12</v>
      </c>
      <c r="F333">
        <v>2</v>
      </c>
      <c r="G333" t="s">
        <v>13</v>
      </c>
      <c r="H333" s="1">
        <v>45936.942361111112</v>
      </c>
      <c r="I333" s="5">
        <f>INT(TB[[#This Row],[时间戳]])</f>
        <v>45936</v>
      </c>
      <c r="J333" s="2">
        <f>HOUR(TB[[#This Row],[时间戳]])</f>
        <v>22</v>
      </c>
      <c r="K333">
        <v>6007</v>
      </c>
      <c r="L333">
        <v>1</v>
      </c>
      <c r="M333">
        <f>TB[[#This Row],[售价]]*TB[[#This Row],[销量]]</f>
        <v>6007</v>
      </c>
      <c r="N333" t="str">
        <f>IF(TB[[#This Row],[售价]]&lt;1000,"低价商品",IF(TB[[#This Row],[售价]]&lt;5000,"中价商品",IF(TB[[#This Row],[售价]]&lt;10000,"高价商品","超高价商品")))</f>
        <v>高价商品</v>
      </c>
    </row>
    <row r="334" spans="1:14" x14ac:dyDescent="0.2">
      <c r="A334">
        <v>187</v>
      </c>
      <c r="B334">
        <v>70</v>
      </c>
      <c r="C334" t="s">
        <v>44</v>
      </c>
      <c r="D334" t="s">
        <v>242</v>
      </c>
      <c r="E334" t="s">
        <v>16</v>
      </c>
      <c r="F334">
        <v>6</v>
      </c>
      <c r="G334" t="s">
        <v>13</v>
      </c>
      <c r="H334" s="1">
        <v>45936.942361111112</v>
      </c>
      <c r="I334" s="5">
        <f>INT(TB[[#This Row],[时间戳]])</f>
        <v>45936</v>
      </c>
      <c r="J334" s="2">
        <f>HOUR(TB[[#This Row],[时间戳]])</f>
        <v>22</v>
      </c>
      <c r="K334">
        <v>9768</v>
      </c>
      <c r="L334">
        <v>3</v>
      </c>
      <c r="M334">
        <f>TB[[#This Row],[售价]]*TB[[#This Row],[销量]]</f>
        <v>29304</v>
      </c>
      <c r="N334" t="str">
        <f>IF(TB[[#This Row],[售价]]&lt;1000,"低价商品",IF(TB[[#This Row],[售价]]&lt;5000,"中价商品",IF(TB[[#This Row],[售价]]&lt;10000,"高价商品","超高价商品")))</f>
        <v>高价商品</v>
      </c>
    </row>
    <row r="335" spans="1:14" x14ac:dyDescent="0.2">
      <c r="A335">
        <v>301</v>
      </c>
      <c r="B335">
        <v>104</v>
      </c>
      <c r="C335" t="s">
        <v>44</v>
      </c>
      <c r="D335" t="s">
        <v>243</v>
      </c>
      <c r="E335" t="s">
        <v>31</v>
      </c>
      <c r="F335">
        <v>4</v>
      </c>
      <c r="G335" t="s">
        <v>42</v>
      </c>
      <c r="H335" s="1">
        <v>45936.944444444445</v>
      </c>
      <c r="I335" s="5">
        <f>INT(TB[[#This Row],[时间戳]])</f>
        <v>45936</v>
      </c>
      <c r="J335" s="2">
        <f>HOUR(TB[[#This Row],[时间戳]])</f>
        <v>22</v>
      </c>
      <c r="K335">
        <v>345</v>
      </c>
      <c r="L335">
        <v>0</v>
      </c>
      <c r="M335">
        <f>TB[[#This Row],[售价]]*TB[[#This Row],[销量]]</f>
        <v>0</v>
      </c>
      <c r="N335" t="str">
        <f>IF(TB[[#This Row],[售价]]&lt;1000,"低价商品",IF(TB[[#This Row],[售价]]&lt;5000,"中价商品",IF(TB[[#This Row],[售价]]&lt;10000,"高价商品","超高价商品")))</f>
        <v>低价商品</v>
      </c>
    </row>
    <row r="336" spans="1:14" x14ac:dyDescent="0.2">
      <c r="A336">
        <v>318</v>
      </c>
      <c r="B336">
        <v>264</v>
      </c>
      <c r="C336" t="s">
        <v>10</v>
      </c>
      <c r="D336" t="s">
        <v>244</v>
      </c>
      <c r="E336" t="s">
        <v>19</v>
      </c>
      <c r="F336">
        <v>3</v>
      </c>
      <c r="G336" t="s">
        <v>42</v>
      </c>
      <c r="H336" s="1">
        <v>45936.945833333331</v>
      </c>
      <c r="I336" s="5">
        <f>INT(TB[[#This Row],[时间戳]])</f>
        <v>45936</v>
      </c>
      <c r="J336" s="2">
        <f>HOUR(TB[[#This Row],[时间戳]])</f>
        <v>22</v>
      </c>
      <c r="K336">
        <v>1760</v>
      </c>
      <c r="L336">
        <v>0</v>
      </c>
      <c r="M336">
        <f>TB[[#This Row],[售价]]*TB[[#This Row],[销量]]</f>
        <v>0</v>
      </c>
      <c r="N336" t="str">
        <f>IF(TB[[#This Row],[售价]]&lt;1000,"低价商品",IF(TB[[#This Row],[售价]]&lt;5000,"中价商品",IF(TB[[#This Row],[售价]]&lt;10000,"高价商品","超高价商品")))</f>
        <v>中价商品</v>
      </c>
    </row>
    <row r="337" spans="1:14" x14ac:dyDescent="0.2">
      <c r="A337">
        <v>38</v>
      </c>
      <c r="B337">
        <v>98</v>
      </c>
      <c r="C337" t="s">
        <v>44</v>
      </c>
      <c r="D337" t="s">
        <v>100</v>
      </c>
      <c r="E337" t="s">
        <v>19</v>
      </c>
      <c r="F337">
        <v>3</v>
      </c>
      <c r="G337" t="s">
        <v>13</v>
      </c>
      <c r="H337" s="1">
        <v>45936.946527777778</v>
      </c>
      <c r="I337" s="5">
        <f>INT(TB[[#This Row],[时间戳]])</f>
        <v>45936</v>
      </c>
      <c r="J337" s="2">
        <f>HOUR(TB[[#This Row],[时间戳]])</f>
        <v>22</v>
      </c>
      <c r="K337">
        <v>4840</v>
      </c>
      <c r="L337">
        <v>3</v>
      </c>
      <c r="M337">
        <f>TB[[#This Row],[售价]]*TB[[#This Row],[销量]]</f>
        <v>14520</v>
      </c>
      <c r="N337" t="str">
        <f>IF(TB[[#This Row],[售价]]&lt;1000,"低价商品",IF(TB[[#This Row],[售价]]&lt;5000,"中价商品",IF(TB[[#This Row],[售价]]&lt;10000,"高价商品","超高价商品")))</f>
        <v>中价商品</v>
      </c>
    </row>
    <row r="338" spans="1:14" x14ac:dyDescent="0.2">
      <c r="A338">
        <v>340</v>
      </c>
      <c r="B338">
        <v>140</v>
      </c>
      <c r="C338" t="s">
        <v>10</v>
      </c>
      <c r="D338" t="s">
        <v>240</v>
      </c>
      <c r="E338" t="s">
        <v>16</v>
      </c>
      <c r="F338">
        <v>6</v>
      </c>
      <c r="G338" t="s">
        <v>42</v>
      </c>
      <c r="H338" s="1">
        <v>45936.981944444444</v>
      </c>
      <c r="I338" s="5">
        <f>INT(TB[[#This Row],[时间戳]])</f>
        <v>45936</v>
      </c>
      <c r="J338" s="2">
        <f>HOUR(TB[[#This Row],[时间戳]])</f>
        <v>23</v>
      </c>
      <c r="K338">
        <v>6669</v>
      </c>
      <c r="L338">
        <v>0</v>
      </c>
      <c r="M338">
        <f>TB[[#This Row],[售价]]*TB[[#This Row],[销量]]</f>
        <v>0</v>
      </c>
      <c r="N338" t="str">
        <f>IF(TB[[#This Row],[售价]]&lt;1000,"低价商品",IF(TB[[#This Row],[售价]]&lt;5000,"中价商品",IF(TB[[#This Row],[售价]]&lt;10000,"高价商品","超高价商品")))</f>
        <v>高价商品</v>
      </c>
    </row>
    <row r="339" spans="1:14" x14ac:dyDescent="0.2">
      <c r="A339">
        <v>762</v>
      </c>
      <c r="B339">
        <v>226</v>
      </c>
      <c r="C339" t="s">
        <v>17</v>
      </c>
      <c r="D339" t="s">
        <v>128</v>
      </c>
      <c r="E339" t="s">
        <v>12</v>
      </c>
      <c r="F339">
        <v>2</v>
      </c>
      <c r="G339" t="s">
        <v>13</v>
      </c>
      <c r="H339" s="1">
        <v>45937.004166666666</v>
      </c>
      <c r="I339" s="5">
        <f>INT(TB[[#This Row],[时间戳]])</f>
        <v>45937</v>
      </c>
      <c r="J339" s="2">
        <f>HOUR(TB[[#This Row],[时间戳]])</f>
        <v>0</v>
      </c>
      <c r="K339">
        <v>6027</v>
      </c>
      <c r="L339">
        <v>2</v>
      </c>
      <c r="M339">
        <f>TB[[#This Row],[售价]]*TB[[#This Row],[销量]]</f>
        <v>12054</v>
      </c>
      <c r="N339" t="str">
        <f>IF(TB[[#This Row],[售价]]&lt;1000,"低价商品",IF(TB[[#This Row],[售价]]&lt;5000,"中价商品",IF(TB[[#This Row],[售价]]&lt;10000,"高价商品","超高价商品")))</f>
        <v>高价商品</v>
      </c>
    </row>
    <row r="340" spans="1:14" x14ac:dyDescent="0.2">
      <c r="A340">
        <v>709</v>
      </c>
      <c r="B340">
        <v>255</v>
      </c>
      <c r="C340" t="s">
        <v>26</v>
      </c>
      <c r="D340" t="s">
        <v>245</v>
      </c>
      <c r="E340" t="s">
        <v>39</v>
      </c>
      <c r="F340">
        <v>5</v>
      </c>
      <c r="G340" t="s">
        <v>13</v>
      </c>
      <c r="H340" s="1">
        <v>45937.015972222223</v>
      </c>
      <c r="I340" s="5">
        <f>INT(TB[[#This Row],[时间戳]])</f>
        <v>45937</v>
      </c>
      <c r="J340" s="2">
        <f>HOUR(TB[[#This Row],[时间戳]])</f>
        <v>0</v>
      </c>
      <c r="K340">
        <v>2356</v>
      </c>
      <c r="L340">
        <v>3</v>
      </c>
      <c r="M340">
        <f>TB[[#This Row],[售价]]*TB[[#This Row],[销量]]</f>
        <v>7068</v>
      </c>
      <c r="N340" t="str">
        <f>IF(TB[[#This Row],[售价]]&lt;1000,"低价商品",IF(TB[[#This Row],[售价]]&lt;5000,"中价商品",IF(TB[[#This Row],[售价]]&lt;10000,"高价商品","超高价商品")))</f>
        <v>中价商品</v>
      </c>
    </row>
    <row r="341" spans="1:14" x14ac:dyDescent="0.2">
      <c r="A341">
        <v>745</v>
      </c>
      <c r="B341">
        <v>218</v>
      </c>
      <c r="C341" t="s">
        <v>36</v>
      </c>
      <c r="D341" t="s">
        <v>173</v>
      </c>
      <c r="E341" t="s">
        <v>19</v>
      </c>
      <c r="F341">
        <v>3</v>
      </c>
      <c r="G341" t="s">
        <v>13</v>
      </c>
      <c r="H341" s="1">
        <v>45937.018055555556</v>
      </c>
      <c r="I341" s="5">
        <f>INT(TB[[#This Row],[时间戳]])</f>
        <v>45937</v>
      </c>
      <c r="J341" s="2">
        <f>HOUR(TB[[#This Row],[时间戳]])</f>
        <v>0</v>
      </c>
      <c r="K341">
        <v>4574</v>
      </c>
      <c r="L341">
        <v>2</v>
      </c>
      <c r="M341">
        <f>TB[[#This Row],[售价]]*TB[[#This Row],[销量]]</f>
        <v>9148</v>
      </c>
      <c r="N341" t="str">
        <f>IF(TB[[#This Row],[售价]]&lt;1000,"低价商品",IF(TB[[#This Row],[售价]]&lt;5000,"中价商品",IF(TB[[#This Row],[售价]]&lt;10000,"高价商品","超高价商品")))</f>
        <v>中价商品</v>
      </c>
    </row>
    <row r="342" spans="1:14" x14ac:dyDescent="0.2">
      <c r="A342">
        <v>559</v>
      </c>
      <c r="B342">
        <v>151</v>
      </c>
      <c r="C342" t="s">
        <v>46</v>
      </c>
      <c r="D342" t="s">
        <v>231</v>
      </c>
      <c r="E342" t="s">
        <v>16</v>
      </c>
      <c r="F342">
        <v>6</v>
      </c>
      <c r="G342" t="s">
        <v>13</v>
      </c>
      <c r="H342" s="1">
        <v>45937.030555555553</v>
      </c>
      <c r="I342" s="5">
        <f>INT(TB[[#This Row],[时间戳]])</f>
        <v>45937</v>
      </c>
      <c r="J342" s="2">
        <f>HOUR(TB[[#This Row],[时间戳]])</f>
        <v>0</v>
      </c>
      <c r="K342">
        <v>3313</v>
      </c>
      <c r="L342">
        <v>3</v>
      </c>
      <c r="M342">
        <f>TB[[#This Row],[售价]]*TB[[#This Row],[销量]]</f>
        <v>9939</v>
      </c>
      <c r="N342" t="str">
        <f>IF(TB[[#This Row],[售价]]&lt;1000,"低价商品",IF(TB[[#This Row],[售价]]&lt;5000,"中价商品",IF(TB[[#This Row],[售价]]&lt;10000,"高价商品","超高价商品")))</f>
        <v>中价商品</v>
      </c>
    </row>
    <row r="343" spans="1:14" x14ac:dyDescent="0.2">
      <c r="A343">
        <v>677</v>
      </c>
      <c r="B343">
        <v>152</v>
      </c>
      <c r="C343" t="s">
        <v>14</v>
      </c>
      <c r="D343" t="s">
        <v>53</v>
      </c>
      <c r="E343" t="s">
        <v>12</v>
      </c>
      <c r="F343">
        <v>2</v>
      </c>
      <c r="G343" t="s">
        <v>42</v>
      </c>
      <c r="H343" s="1">
        <v>45937.042361111111</v>
      </c>
      <c r="I343" s="5">
        <f>INT(TB[[#This Row],[时间戳]])</f>
        <v>45937</v>
      </c>
      <c r="J343" s="2">
        <f>HOUR(TB[[#This Row],[时间戳]])</f>
        <v>1</v>
      </c>
      <c r="K343">
        <v>9114</v>
      </c>
      <c r="L343">
        <v>0</v>
      </c>
      <c r="M343">
        <f>TB[[#This Row],[售价]]*TB[[#This Row],[销量]]</f>
        <v>0</v>
      </c>
      <c r="N343" t="str">
        <f>IF(TB[[#This Row],[售价]]&lt;1000,"低价商品",IF(TB[[#This Row],[售价]]&lt;5000,"中价商品",IF(TB[[#This Row],[售价]]&lt;10000,"高价商品","超高价商品")))</f>
        <v>高价商品</v>
      </c>
    </row>
    <row r="344" spans="1:14" x14ac:dyDescent="0.2">
      <c r="A344">
        <v>171</v>
      </c>
      <c r="B344">
        <v>228</v>
      </c>
      <c r="C344" t="s">
        <v>46</v>
      </c>
      <c r="D344" t="s">
        <v>246</v>
      </c>
      <c r="E344" t="s">
        <v>39</v>
      </c>
      <c r="F344">
        <v>5</v>
      </c>
      <c r="G344" t="s">
        <v>13</v>
      </c>
      <c r="H344" s="1">
        <v>45937.04583333333</v>
      </c>
      <c r="I344" s="5">
        <f>INT(TB[[#This Row],[时间戳]])</f>
        <v>45937</v>
      </c>
      <c r="J344" s="2">
        <f>HOUR(TB[[#This Row],[时间戳]])</f>
        <v>1</v>
      </c>
      <c r="K344">
        <v>2083</v>
      </c>
      <c r="L344">
        <v>2</v>
      </c>
      <c r="M344">
        <f>TB[[#This Row],[售价]]*TB[[#This Row],[销量]]</f>
        <v>4166</v>
      </c>
      <c r="N344" t="str">
        <f>IF(TB[[#This Row],[售价]]&lt;1000,"低价商品",IF(TB[[#This Row],[售价]]&lt;5000,"中价商品",IF(TB[[#This Row],[售价]]&lt;10000,"高价商品","超高价商品")))</f>
        <v>中价商品</v>
      </c>
    </row>
    <row r="345" spans="1:14" x14ac:dyDescent="0.2">
      <c r="A345">
        <v>630</v>
      </c>
      <c r="B345">
        <v>223</v>
      </c>
      <c r="C345" t="s">
        <v>10</v>
      </c>
      <c r="D345" t="s">
        <v>247</v>
      </c>
      <c r="E345" t="s">
        <v>31</v>
      </c>
      <c r="F345">
        <v>4</v>
      </c>
      <c r="G345" t="s">
        <v>13</v>
      </c>
      <c r="H345" s="1">
        <v>45937.056250000001</v>
      </c>
      <c r="I345" s="5">
        <f>INT(TB[[#This Row],[时间戳]])</f>
        <v>45937</v>
      </c>
      <c r="J345" s="2">
        <f>HOUR(TB[[#This Row],[时间戳]])</f>
        <v>1</v>
      </c>
      <c r="K345">
        <v>797</v>
      </c>
      <c r="L345">
        <v>2</v>
      </c>
      <c r="M345">
        <f>TB[[#This Row],[售价]]*TB[[#This Row],[销量]]</f>
        <v>1594</v>
      </c>
      <c r="N345" t="str">
        <f>IF(TB[[#This Row],[售价]]&lt;1000,"低价商品",IF(TB[[#This Row],[售价]]&lt;5000,"中价商品",IF(TB[[#This Row],[售价]]&lt;10000,"高价商品","超高价商品")))</f>
        <v>低价商品</v>
      </c>
    </row>
    <row r="346" spans="1:14" x14ac:dyDescent="0.2">
      <c r="A346">
        <v>688</v>
      </c>
      <c r="B346">
        <v>208</v>
      </c>
      <c r="C346" t="s">
        <v>10</v>
      </c>
      <c r="D346" t="s">
        <v>134</v>
      </c>
      <c r="E346" t="s">
        <v>22</v>
      </c>
      <c r="F346">
        <v>1</v>
      </c>
      <c r="G346" t="s">
        <v>13</v>
      </c>
      <c r="H346" s="1">
        <v>45937.06527777778</v>
      </c>
      <c r="I346" s="5">
        <f>INT(TB[[#This Row],[时间戳]])</f>
        <v>45937</v>
      </c>
      <c r="J346" s="2">
        <f>HOUR(TB[[#This Row],[时间戳]])</f>
        <v>1</v>
      </c>
      <c r="K346">
        <v>3376</v>
      </c>
      <c r="L346">
        <v>3</v>
      </c>
      <c r="M346">
        <f>TB[[#This Row],[售价]]*TB[[#This Row],[销量]]</f>
        <v>10128</v>
      </c>
      <c r="N346" t="str">
        <f>IF(TB[[#This Row],[售价]]&lt;1000,"低价商品",IF(TB[[#This Row],[售价]]&lt;5000,"中价商品",IF(TB[[#This Row],[售价]]&lt;10000,"高价商品","超高价商品")))</f>
        <v>中价商品</v>
      </c>
    </row>
    <row r="347" spans="1:14" x14ac:dyDescent="0.2">
      <c r="A347">
        <v>147</v>
      </c>
      <c r="B347">
        <v>225</v>
      </c>
      <c r="C347" t="s">
        <v>26</v>
      </c>
      <c r="D347" t="s">
        <v>131</v>
      </c>
      <c r="E347" t="s">
        <v>22</v>
      </c>
      <c r="F347">
        <v>1</v>
      </c>
      <c r="G347" t="s">
        <v>13</v>
      </c>
      <c r="H347" s="1">
        <v>45937.083333333336</v>
      </c>
      <c r="I347" s="5">
        <f>INT(TB[[#This Row],[时间戳]])</f>
        <v>45937</v>
      </c>
      <c r="J347" s="2">
        <f>HOUR(TB[[#This Row],[时间戳]])</f>
        <v>2</v>
      </c>
      <c r="K347">
        <v>4038</v>
      </c>
      <c r="L347">
        <v>3</v>
      </c>
      <c r="M347">
        <f>TB[[#This Row],[售价]]*TB[[#This Row],[销量]]</f>
        <v>12114</v>
      </c>
      <c r="N347" t="str">
        <f>IF(TB[[#This Row],[售价]]&lt;1000,"低价商品",IF(TB[[#This Row],[售价]]&lt;5000,"中价商品",IF(TB[[#This Row],[售价]]&lt;10000,"高价商品","超高价商品")))</f>
        <v>中价商品</v>
      </c>
    </row>
    <row r="348" spans="1:14" x14ac:dyDescent="0.2">
      <c r="A348">
        <v>798</v>
      </c>
      <c r="B348">
        <v>188</v>
      </c>
      <c r="C348" t="s">
        <v>14</v>
      </c>
      <c r="D348" t="s">
        <v>49</v>
      </c>
      <c r="E348" t="s">
        <v>22</v>
      </c>
      <c r="F348">
        <v>1</v>
      </c>
      <c r="G348" t="s">
        <v>13</v>
      </c>
      <c r="H348" s="1">
        <v>45937.101388888892</v>
      </c>
      <c r="I348" s="5">
        <f>INT(TB[[#This Row],[时间戳]])</f>
        <v>45937</v>
      </c>
      <c r="J348" s="2">
        <f>HOUR(TB[[#This Row],[时间戳]])</f>
        <v>2</v>
      </c>
      <c r="K348">
        <v>1149</v>
      </c>
      <c r="L348">
        <v>1</v>
      </c>
      <c r="M348">
        <f>TB[[#This Row],[售价]]*TB[[#This Row],[销量]]</f>
        <v>1149</v>
      </c>
      <c r="N348" t="str">
        <f>IF(TB[[#This Row],[售价]]&lt;1000,"低价商品",IF(TB[[#This Row],[售价]]&lt;5000,"中价商品",IF(TB[[#This Row],[售价]]&lt;10000,"高价商品","超高价商品")))</f>
        <v>中价商品</v>
      </c>
    </row>
    <row r="349" spans="1:14" x14ac:dyDescent="0.2">
      <c r="A349">
        <v>620</v>
      </c>
      <c r="B349">
        <v>79</v>
      </c>
      <c r="C349" t="s">
        <v>46</v>
      </c>
      <c r="D349" t="s">
        <v>80</v>
      </c>
      <c r="E349" t="s">
        <v>22</v>
      </c>
      <c r="F349">
        <v>1</v>
      </c>
      <c r="G349" t="s">
        <v>13</v>
      </c>
      <c r="H349" s="1">
        <v>45937.102777777778</v>
      </c>
      <c r="I349" s="5">
        <f>INT(TB[[#This Row],[时间戳]])</f>
        <v>45937</v>
      </c>
      <c r="J349" s="2">
        <f>HOUR(TB[[#This Row],[时间戳]])</f>
        <v>2</v>
      </c>
      <c r="K349">
        <v>3962</v>
      </c>
      <c r="L349">
        <v>1</v>
      </c>
      <c r="M349">
        <f>TB[[#This Row],[售价]]*TB[[#This Row],[销量]]</f>
        <v>3962</v>
      </c>
      <c r="N349" t="str">
        <f>IF(TB[[#This Row],[售价]]&lt;1000,"低价商品",IF(TB[[#This Row],[售价]]&lt;5000,"中价商品",IF(TB[[#This Row],[售价]]&lt;10000,"高价商品","超高价商品")))</f>
        <v>中价商品</v>
      </c>
    </row>
    <row r="350" spans="1:14" x14ac:dyDescent="0.2">
      <c r="A350">
        <v>455</v>
      </c>
      <c r="B350">
        <v>40</v>
      </c>
      <c r="C350" t="s">
        <v>34</v>
      </c>
      <c r="D350" t="s">
        <v>248</v>
      </c>
      <c r="E350" t="s">
        <v>22</v>
      </c>
      <c r="F350">
        <v>1</v>
      </c>
      <c r="G350" t="s">
        <v>13</v>
      </c>
      <c r="H350" s="1">
        <v>45937.111111111109</v>
      </c>
      <c r="I350" s="5">
        <f>INT(TB[[#This Row],[时间戳]])</f>
        <v>45937</v>
      </c>
      <c r="J350" s="2">
        <f>HOUR(TB[[#This Row],[时间戳]])</f>
        <v>2</v>
      </c>
      <c r="K350">
        <v>6592</v>
      </c>
      <c r="L350">
        <v>3</v>
      </c>
      <c r="M350">
        <f>TB[[#This Row],[售价]]*TB[[#This Row],[销量]]</f>
        <v>19776</v>
      </c>
      <c r="N350" t="str">
        <f>IF(TB[[#This Row],[售价]]&lt;1000,"低价商品",IF(TB[[#This Row],[售价]]&lt;5000,"中价商品",IF(TB[[#This Row],[售价]]&lt;10000,"高价商品","超高价商品")))</f>
        <v>高价商品</v>
      </c>
    </row>
    <row r="351" spans="1:14" x14ac:dyDescent="0.2">
      <c r="A351">
        <v>408</v>
      </c>
      <c r="B351">
        <v>161</v>
      </c>
      <c r="C351" t="s">
        <v>20</v>
      </c>
      <c r="D351" t="s">
        <v>147</v>
      </c>
      <c r="E351" t="s">
        <v>22</v>
      </c>
      <c r="F351">
        <v>1</v>
      </c>
      <c r="G351" t="s">
        <v>13</v>
      </c>
      <c r="H351" s="1">
        <v>45937.129166666666</v>
      </c>
      <c r="I351" s="5">
        <f>INT(TB[[#This Row],[时间戳]])</f>
        <v>45937</v>
      </c>
      <c r="J351" s="2">
        <f>HOUR(TB[[#This Row],[时间戳]])</f>
        <v>3</v>
      </c>
      <c r="K351">
        <v>5571</v>
      </c>
      <c r="L351">
        <v>4</v>
      </c>
      <c r="M351">
        <f>TB[[#This Row],[售价]]*TB[[#This Row],[销量]]</f>
        <v>22284</v>
      </c>
      <c r="N351" t="str">
        <f>IF(TB[[#This Row],[售价]]&lt;1000,"低价商品",IF(TB[[#This Row],[售价]]&lt;5000,"中价商品",IF(TB[[#This Row],[售价]]&lt;10000,"高价商品","超高价商品")))</f>
        <v>高价商品</v>
      </c>
    </row>
    <row r="352" spans="1:14" x14ac:dyDescent="0.2">
      <c r="A352">
        <v>27</v>
      </c>
      <c r="B352">
        <v>96</v>
      </c>
      <c r="C352" t="s">
        <v>32</v>
      </c>
      <c r="D352" t="s">
        <v>58</v>
      </c>
      <c r="E352" t="s">
        <v>31</v>
      </c>
      <c r="F352">
        <v>4</v>
      </c>
      <c r="G352" t="s">
        <v>13</v>
      </c>
      <c r="H352" s="1">
        <v>45937.142361111109</v>
      </c>
      <c r="I352" s="5">
        <f>INT(TB[[#This Row],[时间戳]])</f>
        <v>45937</v>
      </c>
      <c r="J352" s="2">
        <f>HOUR(TB[[#This Row],[时间戳]])</f>
        <v>3</v>
      </c>
      <c r="K352">
        <v>1322</v>
      </c>
      <c r="L352">
        <v>4</v>
      </c>
      <c r="M352">
        <f>TB[[#This Row],[售价]]*TB[[#This Row],[销量]]</f>
        <v>5288</v>
      </c>
      <c r="N352" t="str">
        <f>IF(TB[[#This Row],[售价]]&lt;1000,"低价商品",IF(TB[[#This Row],[售价]]&lt;5000,"中价商品",IF(TB[[#This Row],[售价]]&lt;10000,"高价商品","超高价商品")))</f>
        <v>中价商品</v>
      </c>
    </row>
    <row r="353" spans="1:14" x14ac:dyDescent="0.2">
      <c r="A353">
        <v>121</v>
      </c>
      <c r="B353">
        <v>135</v>
      </c>
      <c r="C353" t="s">
        <v>17</v>
      </c>
      <c r="D353" t="s">
        <v>198</v>
      </c>
      <c r="E353" t="s">
        <v>19</v>
      </c>
      <c r="F353">
        <v>3</v>
      </c>
      <c r="G353" t="s">
        <v>42</v>
      </c>
      <c r="H353" s="1">
        <v>45937.177777777775</v>
      </c>
      <c r="I353" s="5">
        <f>INT(TB[[#This Row],[时间戳]])</f>
        <v>45937</v>
      </c>
      <c r="J353" s="2">
        <f>HOUR(TB[[#This Row],[时间戳]])</f>
        <v>4</v>
      </c>
      <c r="K353">
        <v>5653</v>
      </c>
      <c r="L353">
        <v>0</v>
      </c>
      <c r="M353">
        <f>TB[[#This Row],[售价]]*TB[[#This Row],[销量]]</f>
        <v>0</v>
      </c>
      <c r="N353" t="str">
        <f>IF(TB[[#This Row],[售价]]&lt;1000,"低价商品",IF(TB[[#This Row],[售价]]&lt;5000,"中价商品",IF(TB[[#This Row],[售价]]&lt;10000,"高价商品","超高价商品")))</f>
        <v>高价商品</v>
      </c>
    </row>
    <row r="354" spans="1:14" x14ac:dyDescent="0.2">
      <c r="A354">
        <v>627</v>
      </c>
      <c r="B354">
        <v>147</v>
      </c>
      <c r="C354" t="s">
        <v>44</v>
      </c>
      <c r="D354" t="s">
        <v>76</v>
      </c>
      <c r="E354" t="s">
        <v>31</v>
      </c>
      <c r="F354">
        <v>4</v>
      </c>
      <c r="G354" t="s">
        <v>13</v>
      </c>
      <c r="H354" s="1">
        <v>45937.197916666664</v>
      </c>
      <c r="I354" s="5">
        <f>INT(TB[[#This Row],[时间戳]])</f>
        <v>45937</v>
      </c>
      <c r="J354" s="2">
        <f>HOUR(TB[[#This Row],[时间戳]])</f>
        <v>4</v>
      </c>
      <c r="K354">
        <v>743</v>
      </c>
      <c r="L354">
        <v>2</v>
      </c>
      <c r="M354">
        <f>TB[[#This Row],[售价]]*TB[[#This Row],[销量]]</f>
        <v>1486</v>
      </c>
      <c r="N354" t="str">
        <f>IF(TB[[#This Row],[售价]]&lt;1000,"低价商品",IF(TB[[#This Row],[售价]]&lt;5000,"中价商品",IF(TB[[#This Row],[售价]]&lt;10000,"高价商品","超高价商品")))</f>
        <v>低价商品</v>
      </c>
    </row>
    <row r="355" spans="1:14" x14ac:dyDescent="0.2">
      <c r="A355">
        <v>76</v>
      </c>
      <c r="B355">
        <v>232</v>
      </c>
      <c r="C355" t="s">
        <v>14</v>
      </c>
      <c r="D355" t="s">
        <v>144</v>
      </c>
      <c r="E355" t="s">
        <v>19</v>
      </c>
      <c r="F355">
        <v>3</v>
      </c>
      <c r="G355" t="s">
        <v>13</v>
      </c>
      <c r="H355" s="1">
        <v>45937.200694444444</v>
      </c>
      <c r="I355" s="5">
        <f>INT(TB[[#This Row],[时间戳]])</f>
        <v>45937</v>
      </c>
      <c r="J355" s="2">
        <f>HOUR(TB[[#This Row],[时间戳]])</f>
        <v>4</v>
      </c>
      <c r="K355">
        <v>5425</v>
      </c>
      <c r="L355">
        <v>2</v>
      </c>
      <c r="M355">
        <f>TB[[#This Row],[售价]]*TB[[#This Row],[销量]]</f>
        <v>10850</v>
      </c>
      <c r="N355" t="str">
        <f>IF(TB[[#This Row],[售价]]&lt;1000,"低价商品",IF(TB[[#This Row],[售价]]&lt;5000,"中价商品",IF(TB[[#This Row],[售价]]&lt;10000,"高价商品","超高价商品")))</f>
        <v>高价商品</v>
      </c>
    </row>
    <row r="356" spans="1:14" x14ac:dyDescent="0.2">
      <c r="A356">
        <v>699</v>
      </c>
      <c r="B356">
        <v>164</v>
      </c>
      <c r="C356" t="s">
        <v>44</v>
      </c>
      <c r="D356" t="s">
        <v>59</v>
      </c>
      <c r="E356" t="s">
        <v>22</v>
      </c>
      <c r="F356">
        <v>1</v>
      </c>
      <c r="G356" t="s">
        <v>13</v>
      </c>
      <c r="H356" s="1">
        <v>45937.20208333333</v>
      </c>
      <c r="I356" s="5">
        <f>INT(TB[[#This Row],[时间戳]])</f>
        <v>45937</v>
      </c>
      <c r="J356" s="2">
        <f>HOUR(TB[[#This Row],[时间戳]])</f>
        <v>4</v>
      </c>
      <c r="K356">
        <v>2579</v>
      </c>
      <c r="L356">
        <v>3</v>
      </c>
      <c r="M356">
        <f>TB[[#This Row],[售价]]*TB[[#This Row],[销量]]</f>
        <v>7737</v>
      </c>
      <c r="N356" t="str">
        <f>IF(TB[[#This Row],[售价]]&lt;1000,"低价商品",IF(TB[[#This Row],[售价]]&lt;5000,"中价商品",IF(TB[[#This Row],[售价]]&lt;10000,"高价商品","超高价商品")))</f>
        <v>中价商品</v>
      </c>
    </row>
    <row r="357" spans="1:14" x14ac:dyDescent="0.2">
      <c r="A357">
        <v>556</v>
      </c>
      <c r="B357">
        <v>149</v>
      </c>
      <c r="C357" t="s">
        <v>14</v>
      </c>
      <c r="D357" t="s">
        <v>249</v>
      </c>
      <c r="E357" t="s">
        <v>25</v>
      </c>
      <c r="F357">
        <v>7</v>
      </c>
      <c r="G357" t="s">
        <v>42</v>
      </c>
      <c r="H357" s="1">
        <v>45937.22152777778</v>
      </c>
      <c r="I357" s="5">
        <f>INT(TB[[#This Row],[时间戳]])</f>
        <v>45937</v>
      </c>
      <c r="J357" s="2">
        <f>HOUR(TB[[#This Row],[时间戳]])</f>
        <v>5</v>
      </c>
      <c r="K357">
        <v>6947</v>
      </c>
      <c r="L357">
        <v>0</v>
      </c>
      <c r="M357">
        <f>TB[[#This Row],[售价]]*TB[[#This Row],[销量]]</f>
        <v>0</v>
      </c>
      <c r="N357" t="str">
        <f>IF(TB[[#This Row],[售价]]&lt;1000,"低价商品",IF(TB[[#This Row],[售价]]&lt;5000,"中价商品",IF(TB[[#This Row],[售价]]&lt;10000,"高价商品","超高价商品")))</f>
        <v>高价商品</v>
      </c>
    </row>
    <row r="358" spans="1:14" x14ac:dyDescent="0.2">
      <c r="A358">
        <v>521</v>
      </c>
      <c r="B358">
        <v>115</v>
      </c>
      <c r="C358" t="s">
        <v>26</v>
      </c>
      <c r="D358" t="s">
        <v>219</v>
      </c>
      <c r="E358" t="s">
        <v>22</v>
      </c>
      <c r="F358">
        <v>1</v>
      </c>
      <c r="G358" t="s">
        <v>13</v>
      </c>
      <c r="H358" s="1">
        <v>45937.22152777778</v>
      </c>
      <c r="I358" s="5">
        <f>INT(TB[[#This Row],[时间戳]])</f>
        <v>45937</v>
      </c>
      <c r="J358" s="2">
        <f>HOUR(TB[[#This Row],[时间戳]])</f>
        <v>5</v>
      </c>
      <c r="K358">
        <v>3337</v>
      </c>
      <c r="L358">
        <v>5</v>
      </c>
      <c r="M358">
        <f>TB[[#This Row],[售价]]*TB[[#This Row],[销量]]</f>
        <v>16685</v>
      </c>
      <c r="N358" t="str">
        <f>IF(TB[[#This Row],[售价]]&lt;1000,"低价商品",IF(TB[[#This Row],[售价]]&lt;5000,"中价商品",IF(TB[[#This Row],[售价]]&lt;10000,"高价商品","超高价商品")))</f>
        <v>中价商品</v>
      </c>
    </row>
    <row r="359" spans="1:14" x14ac:dyDescent="0.2">
      <c r="A359">
        <v>506</v>
      </c>
      <c r="B359">
        <v>14</v>
      </c>
      <c r="C359" t="s">
        <v>26</v>
      </c>
      <c r="D359" t="s">
        <v>27</v>
      </c>
      <c r="E359" t="s">
        <v>22</v>
      </c>
      <c r="F359">
        <v>1</v>
      </c>
      <c r="G359" t="s">
        <v>13</v>
      </c>
      <c r="H359" s="1">
        <v>45937.238194444442</v>
      </c>
      <c r="I359" s="5">
        <f>INT(TB[[#This Row],[时间戳]])</f>
        <v>45937</v>
      </c>
      <c r="J359" s="2">
        <f>HOUR(TB[[#This Row],[时间戳]])</f>
        <v>5</v>
      </c>
      <c r="K359">
        <v>1896</v>
      </c>
      <c r="L359">
        <v>2</v>
      </c>
      <c r="M359">
        <f>TB[[#This Row],[售价]]*TB[[#This Row],[销量]]</f>
        <v>3792</v>
      </c>
      <c r="N359" t="str">
        <f>IF(TB[[#This Row],[售价]]&lt;1000,"低价商品",IF(TB[[#This Row],[售价]]&lt;5000,"中价商品",IF(TB[[#This Row],[售价]]&lt;10000,"高价商品","超高价商品")))</f>
        <v>中价商品</v>
      </c>
    </row>
    <row r="360" spans="1:14" x14ac:dyDescent="0.2">
      <c r="A360">
        <v>479</v>
      </c>
      <c r="B360">
        <v>283</v>
      </c>
      <c r="C360" t="s">
        <v>46</v>
      </c>
      <c r="D360" t="s">
        <v>142</v>
      </c>
      <c r="E360" t="s">
        <v>31</v>
      </c>
      <c r="F360">
        <v>4</v>
      </c>
      <c r="G360" t="s">
        <v>13</v>
      </c>
      <c r="H360" s="1">
        <v>45937.289583333331</v>
      </c>
      <c r="I360" s="5">
        <f>INT(TB[[#This Row],[时间戳]])</f>
        <v>45937</v>
      </c>
      <c r="J360" s="2">
        <f>HOUR(TB[[#This Row],[时间戳]])</f>
        <v>6</v>
      </c>
      <c r="K360">
        <v>872</v>
      </c>
      <c r="L360">
        <v>1</v>
      </c>
      <c r="M360">
        <f>TB[[#This Row],[售价]]*TB[[#This Row],[销量]]</f>
        <v>872</v>
      </c>
      <c r="N360" t="str">
        <f>IF(TB[[#This Row],[售价]]&lt;1000,"低价商品",IF(TB[[#This Row],[售价]]&lt;5000,"中价商品",IF(TB[[#This Row],[售价]]&lt;10000,"高价商品","超高价商品")))</f>
        <v>低价商品</v>
      </c>
    </row>
    <row r="361" spans="1:14" x14ac:dyDescent="0.2">
      <c r="A361">
        <v>317</v>
      </c>
      <c r="B361">
        <v>204</v>
      </c>
      <c r="C361" t="s">
        <v>14</v>
      </c>
      <c r="D361" t="s">
        <v>30</v>
      </c>
      <c r="E361" t="s">
        <v>31</v>
      </c>
      <c r="F361">
        <v>4</v>
      </c>
      <c r="G361" t="s">
        <v>13</v>
      </c>
      <c r="H361" s="1">
        <v>45937.305555555555</v>
      </c>
      <c r="I361" s="5">
        <f>INT(TB[[#This Row],[时间戳]])</f>
        <v>45937</v>
      </c>
      <c r="J361" s="2">
        <f>HOUR(TB[[#This Row],[时间戳]])</f>
        <v>7</v>
      </c>
      <c r="K361">
        <v>428</v>
      </c>
      <c r="L361">
        <v>3</v>
      </c>
      <c r="M361">
        <f>TB[[#This Row],[售价]]*TB[[#This Row],[销量]]</f>
        <v>1284</v>
      </c>
      <c r="N361" t="str">
        <f>IF(TB[[#This Row],[售价]]&lt;1000,"低价商品",IF(TB[[#This Row],[售价]]&lt;5000,"中价商品",IF(TB[[#This Row],[售价]]&lt;10000,"高价商品","超高价商品")))</f>
        <v>低价商品</v>
      </c>
    </row>
    <row r="362" spans="1:14" x14ac:dyDescent="0.2">
      <c r="A362">
        <v>421</v>
      </c>
      <c r="B362">
        <v>210</v>
      </c>
      <c r="C362" t="s">
        <v>44</v>
      </c>
      <c r="D362" t="s">
        <v>250</v>
      </c>
      <c r="E362" t="s">
        <v>25</v>
      </c>
      <c r="F362">
        <v>7</v>
      </c>
      <c r="G362" t="s">
        <v>13</v>
      </c>
      <c r="H362" s="1">
        <v>45937.314583333333</v>
      </c>
      <c r="I362" s="5">
        <f>INT(TB[[#This Row],[时间戳]])</f>
        <v>45937</v>
      </c>
      <c r="J362" s="2">
        <f>HOUR(TB[[#This Row],[时间戳]])</f>
        <v>7</v>
      </c>
      <c r="K362">
        <v>7541</v>
      </c>
      <c r="L362">
        <v>2</v>
      </c>
      <c r="M362">
        <f>TB[[#This Row],[售价]]*TB[[#This Row],[销量]]</f>
        <v>15082</v>
      </c>
      <c r="N362" t="str">
        <f>IF(TB[[#This Row],[售价]]&lt;1000,"低价商品",IF(TB[[#This Row],[售价]]&lt;5000,"中价商品",IF(TB[[#This Row],[售价]]&lt;10000,"高价商品","超高价商品")))</f>
        <v>高价商品</v>
      </c>
    </row>
    <row r="363" spans="1:14" x14ac:dyDescent="0.2">
      <c r="A363">
        <v>461</v>
      </c>
      <c r="B363">
        <v>239</v>
      </c>
      <c r="C363" t="s">
        <v>34</v>
      </c>
      <c r="D363" t="s">
        <v>108</v>
      </c>
      <c r="E363" t="s">
        <v>19</v>
      </c>
      <c r="F363">
        <v>3</v>
      </c>
      <c r="G363" t="s">
        <v>42</v>
      </c>
      <c r="H363" s="1">
        <v>45937.333333333336</v>
      </c>
      <c r="I363" s="5">
        <f>INT(TB[[#This Row],[时间戳]])</f>
        <v>45937</v>
      </c>
      <c r="J363" s="2">
        <f>HOUR(TB[[#This Row],[时间戳]])</f>
        <v>8</v>
      </c>
      <c r="K363">
        <v>1968</v>
      </c>
      <c r="L363">
        <v>0</v>
      </c>
      <c r="M363">
        <f>TB[[#This Row],[售价]]*TB[[#This Row],[销量]]</f>
        <v>0</v>
      </c>
      <c r="N363" t="str">
        <f>IF(TB[[#This Row],[售价]]&lt;1000,"低价商品",IF(TB[[#This Row],[售价]]&lt;5000,"中价商品",IF(TB[[#This Row],[售价]]&lt;10000,"高价商品","超高价商品")))</f>
        <v>中价商品</v>
      </c>
    </row>
    <row r="364" spans="1:14" x14ac:dyDescent="0.2">
      <c r="A364">
        <v>799</v>
      </c>
      <c r="B364">
        <v>283</v>
      </c>
      <c r="C364" t="s">
        <v>34</v>
      </c>
      <c r="D364" t="s">
        <v>82</v>
      </c>
      <c r="E364" t="s">
        <v>31</v>
      </c>
      <c r="F364">
        <v>4</v>
      </c>
      <c r="G364" t="s">
        <v>42</v>
      </c>
      <c r="H364" s="1">
        <v>45937.344444444447</v>
      </c>
      <c r="I364" s="5">
        <f>INT(TB[[#This Row],[时间戳]])</f>
        <v>45937</v>
      </c>
      <c r="J364" s="2">
        <f>HOUR(TB[[#This Row],[时间戳]])</f>
        <v>8</v>
      </c>
      <c r="K364">
        <v>1500</v>
      </c>
      <c r="L364">
        <v>0</v>
      </c>
      <c r="M364">
        <f>TB[[#This Row],[售价]]*TB[[#This Row],[销量]]</f>
        <v>0</v>
      </c>
      <c r="N364" t="str">
        <f>IF(TB[[#This Row],[售价]]&lt;1000,"低价商品",IF(TB[[#This Row],[售价]]&lt;5000,"中价商品",IF(TB[[#This Row],[售价]]&lt;10000,"高价商品","超高价商品")))</f>
        <v>中价商品</v>
      </c>
    </row>
    <row r="365" spans="1:14" x14ac:dyDescent="0.2">
      <c r="A365">
        <v>444</v>
      </c>
      <c r="B365">
        <v>258</v>
      </c>
      <c r="C365" t="s">
        <v>26</v>
      </c>
      <c r="D365" t="s">
        <v>27</v>
      </c>
      <c r="E365" t="s">
        <v>22</v>
      </c>
      <c r="F365">
        <v>1</v>
      </c>
      <c r="G365" t="s">
        <v>42</v>
      </c>
      <c r="H365" s="1">
        <v>45937.359027777777</v>
      </c>
      <c r="I365" s="5">
        <f>INT(TB[[#This Row],[时间戳]])</f>
        <v>45937</v>
      </c>
      <c r="J365" s="2">
        <f>HOUR(TB[[#This Row],[时间戳]])</f>
        <v>8</v>
      </c>
      <c r="K365">
        <v>6341</v>
      </c>
      <c r="L365">
        <v>0</v>
      </c>
      <c r="M365">
        <f>TB[[#This Row],[售价]]*TB[[#This Row],[销量]]</f>
        <v>0</v>
      </c>
      <c r="N365" t="str">
        <f>IF(TB[[#This Row],[售价]]&lt;1000,"低价商品",IF(TB[[#This Row],[售价]]&lt;5000,"中价商品",IF(TB[[#This Row],[售价]]&lt;10000,"高价商品","超高价商品")))</f>
        <v>高价商品</v>
      </c>
    </row>
    <row r="366" spans="1:14" x14ac:dyDescent="0.2">
      <c r="A366">
        <v>312</v>
      </c>
      <c r="B366">
        <v>85</v>
      </c>
      <c r="C366" t="s">
        <v>20</v>
      </c>
      <c r="D366" t="s">
        <v>120</v>
      </c>
      <c r="E366" t="s">
        <v>22</v>
      </c>
      <c r="F366">
        <v>1</v>
      </c>
      <c r="G366" t="s">
        <v>42</v>
      </c>
      <c r="H366" s="1">
        <v>45937.411805555559</v>
      </c>
      <c r="I366" s="5">
        <f>INT(TB[[#This Row],[时间戳]])</f>
        <v>45937</v>
      </c>
      <c r="J366" s="2">
        <f>HOUR(TB[[#This Row],[时间戳]])</f>
        <v>9</v>
      </c>
      <c r="K366">
        <v>1316</v>
      </c>
      <c r="L366">
        <v>0</v>
      </c>
      <c r="M366">
        <f>TB[[#This Row],[售价]]*TB[[#This Row],[销量]]</f>
        <v>0</v>
      </c>
      <c r="N366" t="str">
        <f>IF(TB[[#This Row],[售价]]&lt;1000,"低价商品",IF(TB[[#This Row],[售价]]&lt;5000,"中价商品",IF(TB[[#This Row],[售价]]&lt;10000,"高价商品","超高价商品")))</f>
        <v>中价商品</v>
      </c>
    </row>
    <row r="367" spans="1:14" x14ac:dyDescent="0.2">
      <c r="A367">
        <v>532</v>
      </c>
      <c r="B367">
        <v>146</v>
      </c>
      <c r="C367" t="s">
        <v>32</v>
      </c>
      <c r="D367" t="s">
        <v>218</v>
      </c>
      <c r="E367" t="s">
        <v>12</v>
      </c>
      <c r="F367">
        <v>2</v>
      </c>
      <c r="G367" t="s">
        <v>13</v>
      </c>
      <c r="H367" s="1">
        <v>45937.42083333333</v>
      </c>
      <c r="I367" s="5">
        <f>INT(TB[[#This Row],[时间戳]])</f>
        <v>45937</v>
      </c>
      <c r="J367" s="2">
        <f>HOUR(TB[[#This Row],[时间戳]])</f>
        <v>10</v>
      </c>
      <c r="K367">
        <v>6618</v>
      </c>
      <c r="L367">
        <v>3</v>
      </c>
      <c r="M367">
        <f>TB[[#This Row],[售价]]*TB[[#This Row],[销量]]</f>
        <v>19854</v>
      </c>
      <c r="N367" t="str">
        <f>IF(TB[[#This Row],[售价]]&lt;1000,"低价商品",IF(TB[[#This Row],[售价]]&lt;5000,"中价商品",IF(TB[[#This Row],[售价]]&lt;10000,"高价商品","超高价商品")))</f>
        <v>高价商品</v>
      </c>
    </row>
    <row r="368" spans="1:14" x14ac:dyDescent="0.2">
      <c r="A368">
        <v>565</v>
      </c>
      <c r="B368">
        <v>141</v>
      </c>
      <c r="C368" t="s">
        <v>32</v>
      </c>
      <c r="D368" t="s">
        <v>251</v>
      </c>
      <c r="E368" t="s">
        <v>12</v>
      </c>
      <c r="F368">
        <v>2</v>
      </c>
      <c r="G368" t="s">
        <v>42</v>
      </c>
      <c r="H368" s="1">
        <v>45937.480555555558</v>
      </c>
      <c r="I368" s="5">
        <f>INT(TB[[#This Row],[时间戳]])</f>
        <v>45937</v>
      </c>
      <c r="J368" s="2">
        <f>HOUR(TB[[#This Row],[时间戳]])</f>
        <v>11</v>
      </c>
      <c r="K368">
        <v>5220</v>
      </c>
      <c r="L368">
        <v>0</v>
      </c>
      <c r="M368">
        <f>TB[[#This Row],[售价]]*TB[[#This Row],[销量]]</f>
        <v>0</v>
      </c>
      <c r="N368" t="str">
        <f>IF(TB[[#This Row],[售价]]&lt;1000,"低价商品",IF(TB[[#This Row],[售价]]&lt;5000,"中价商品",IF(TB[[#This Row],[售价]]&lt;10000,"高价商品","超高价商品")))</f>
        <v>高价商品</v>
      </c>
    </row>
    <row r="369" spans="1:14" x14ac:dyDescent="0.2">
      <c r="A369">
        <v>547</v>
      </c>
      <c r="B369">
        <v>48</v>
      </c>
      <c r="C369" t="s">
        <v>36</v>
      </c>
      <c r="D369" t="s">
        <v>54</v>
      </c>
      <c r="E369" t="s">
        <v>12</v>
      </c>
      <c r="F369">
        <v>2</v>
      </c>
      <c r="G369" t="s">
        <v>13</v>
      </c>
      <c r="H369" s="1">
        <v>45937.523611111108</v>
      </c>
      <c r="I369" s="5">
        <f>INT(TB[[#This Row],[时间戳]])</f>
        <v>45937</v>
      </c>
      <c r="J369" s="2">
        <f>HOUR(TB[[#This Row],[时间戳]])</f>
        <v>12</v>
      </c>
      <c r="K369">
        <v>6170</v>
      </c>
      <c r="L369">
        <v>2</v>
      </c>
      <c r="M369">
        <f>TB[[#This Row],[售价]]*TB[[#This Row],[销量]]</f>
        <v>12340</v>
      </c>
      <c r="N369" t="str">
        <f>IF(TB[[#This Row],[售价]]&lt;1000,"低价商品",IF(TB[[#This Row],[售价]]&lt;5000,"中价商品",IF(TB[[#This Row],[售价]]&lt;10000,"高价商品","超高价商品")))</f>
        <v>高价商品</v>
      </c>
    </row>
    <row r="370" spans="1:14" x14ac:dyDescent="0.2">
      <c r="A370">
        <v>595</v>
      </c>
      <c r="B370">
        <v>79</v>
      </c>
      <c r="C370" t="s">
        <v>26</v>
      </c>
      <c r="D370" t="s">
        <v>252</v>
      </c>
      <c r="E370" t="s">
        <v>25</v>
      </c>
      <c r="F370">
        <v>7</v>
      </c>
      <c r="G370" t="s">
        <v>13</v>
      </c>
      <c r="H370" s="1">
        <v>45937.527777777781</v>
      </c>
      <c r="I370" s="5">
        <f>INT(TB[[#This Row],[时间戳]])</f>
        <v>45937</v>
      </c>
      <c r="J370" s="2">
        <f>HOUR(TB[[#This Row],[时间戳]])</f>
        <v>12</v>
      </c>
      <c r="K370">
        <v>5745</v>
      </c>
      <c r="L370">
        <v>3</v>
      </c>
      <c r="M370">
        <f>TB[[#This Row],[售价]]*TB[[#This Row],[销量]]</f>
        <v>17235</v>
      </c>
      <c r="N370" t="str">
        <f>IF(TB[[#This Row],[售价]]&lt;1000,"低价商品",IF(TB[[#This Row],[售价]]&lt;5000,"中价商品",IF(TB[[#This Row],[售价]]&lt;10000,"高价商品","超高价商品")))</f>
        <v>高价商品</v>
      </c>
    </row>
    <row r="371" spans="1:14" x14ac:dyDescent="0.2">
      <c r="A371">
        <v>620</v>
      </c>
      <c r="B371">
        <v>173</v>
      </c>
      <c r="C371" t="s">
        <v>46</v>
      </c>
      <c r="D371" t="s">
        <v>209</v>
      </c>
      <c r="E371" t="s">
        <v>22</v>
      </c>
      <c r="F371">
        <v>1</v>
      </c>
      <c r="G371" t="s">
        <v>13</v>
      </c>
      <c r="H371" s="1">
        <v>45937.529166666667</v>
      </c>
      <c r="I371" s="5">
        <f>INT(TB[[#This Row],[时间戳]])</f>
        <v>45937</v>
      </c>
      <c r="J371" s="2">
        <f>HOUR(TB[[#This Row],[时间戳]])</f>
        <v>12</v>
      </c>
      <c r="K371">
        <v>2539</v>
      </c>
      <c r="L371">
        <v>2</v>
      </c>
      <c r="M371">
        <f>TB[[#This Row],[售价]]*TB[[#This Row],[销量]]</f>
        <v>5078</v>
      </c>
      <c r="N371" t="str">
        <f>IF(TB[[#This Row],[售价]]&lt;1000,"低价商品",IF(TB[[#This Row],[售价]]&lt;5000,"中价商品",IF(TB[[#This Row],[售价]]&lt;10000,"高价商品","超高价商品")))</f>
        <v>中价商品</v>
      </c>
    </row>
    <row r="372" spans="1:14" x14ac:dyDescent="0.2">
      <c r="A372">
        <v>47</v>
      </c>
      <c r="B372">
        <v>296</v>
      </c>
      <c r="C372" t="s">
        <v>10</v>
      </c>
      <c r="D372" t="s">
        <v>237</v>
      </c>
      <c r="E372" t="s">
        <v>25</v>
      </c>
      <c r="F372">
        <v>7</v>
      </c>
      <c r="G372" t="s">
        <v>13</v>
      </c>
      <c r="H372" s="1">
        <v>45937.53125</v>
      </c>
      <c r="I372" s="5">
        <f>INT(TB[[#This Row],[时间戳]])</f>
        <v>45937</v>
      </c>
      <c r="J372" s="2">
        <f>HOUR(TB[[#This Row],[时间戳]])</f>
        <v>12</v>
      </c>
      <c r="K372">
        <v>5938</v>
      </c>
      <c r="L372">
        <v>1</v>
      </c>
      <c r="M372">
        <f>TB[[#This Row],[售价]]*TB[[#This Row],[销量]]</f>
        <v>5938</v>
      </c>
      <c r="N372" t="str">
        <f>IF(TB[[#This Row],[售价]]&lt;1000,"低价商品",IF(TB[[#This Row],[售价]]&lt;5000,"中价商品",IF(TB[[#This Row],[售价]]&lt;10000,"高价商品","超高价商品")))</f>
        <v>高价商品</v>
      </c>
    </row>
    <row r="373" spans="1:14" x14ac:dyDescent="0.2">
      <c r="A373">
        <v>427</v>
      </c>
      <c r="B373">
        <v>16</v>
      </c>
      <c r="C373" t="s">
        <v>32</v>
      </c>
      <c r="D373" t="s">
        <v>215</v>
      </c>
      <c r="E373" t="s">
        <v>31</v>
      </c>
      <c r="F373">
        <v>4</v>
      </c>
      <c r="G373" t="s">
        <v>13</v>
      </c>
      <c r="H373" s="1">
        <v>45937.53125</v>
      </c>
      <c r="I373" s="5">
        <f>INT(TB[[#This Row],[时间戳]])</f>
        <v>45937</v>
      </c>
      <c r="J373" s="2">
        <f>HOUR(TB[[#This Row],[时间戳]])</f>
        <v>12</v>
      </c>
      <c r="K373">
        <v>725</v>
      </c>
      <c r="L373">
        <v>5</v>
      </c>
      <c r="M373">
        <f>TB[[#This Row],[售价]]*TB[[#This Row],[销量]]</f>
        <v>3625</v>
      </c>
      <c r="N373" t="str">
        <f>IF(TB[[#This Row],[售价]]&lt;1000,"低价商品",IF(TB[[#This Row],[售价]]&lt;5000,"中价商品",IF(TB[[#This Row],[售价]]&lt;10000,"高价商品","超高价商品")))</f>
        <v>低价商品</v>
      </c>
    </row>
    <row r="374" spans="1:14" x14ac:dyDescent="0.2">
      <c r="A374">
        <v>658</v>
      </c>
      <c r="B374">
        <v>155</v>
      </c>
      <c r="C374" t="s">
        <v>20</v>
      </c>
      <c r="D374" t="s">
        <v>85</v>
      </c>
      <c r="E374" t="s">
        <v>31</v>
      </c>
      <c r="F374">
        <v>4</v>
      </c>
      <c r="G374" t="s">
        <v>13</v>
      </c>
      <c r="H374" s="1">
        <v>45937.533333333333</v>
      </c>
      <c r="I374" s="5">
        <f>INT(TB[[#This Row],[时间戳]])</f>
        <v>45937</v>
      </c>
      <c r="J374" s="2">
        <f>HOUR(TB[[#This Row],[时间戳]])</f>
        <v>12</v>
      </c>
      <c r="K374">
        <v>1190</v>
      </c>
      <c r="L374">
        <v>1</v>
      </c>
      <c r="M374">
        <f>TB[[#This Row],[售价]]*TB[[#This Row],[销量]]</f>
        <v>1190</v>
      </c>
      <c r="N374" t="str">
        <f>IF(TB[[#This Row],[售价]]&lt;1000,"低价商品",IF(TB[[#This Row],[售价]]&lt;5000,"中价商品",IF(TB[[#This Row],[售价]]&lt;10000,"高价商品","超高价商品")))</f>
        <v>中价商品</v>
      </c>
    </row>
    <row r="375" spans="1:14" x14ac:dyDescent="0.2">
      <c r="A375">
        <v>465</v>
      </c>
      <c r="B375">
        <v>38</v>
      </c>
      <c r="C375" t="s">
        <v>17</v>
      </c>
      <c r="D375" t="s">
        <v>133</v>
      </c>
      <c r="E375" t="s">
        <v>31</v>
      </c>
      <c r="F375">
        <v>4</v>
      </c>
      <c r="G375" t="s">
        <v>13</v>
      </c>
      <c r="H375" s="1">
        <v>45937.554166666669</v>
      </c>
      <c r="I375" s="5">
        <f>INT(TB[[#This Row],[时间戳]])</f>
        <v>45937</v>
      </c>
      <c r="J375" s="2">
        <f>HOUR(TB[[#This Row],[时间戳]])</f>
        <v>13</v>
      </c>
      <c r="K375">
        <v>964</v>
      </c>
      <c r="L375">
        <v>1</v>
      </c>
      <c r="M375">
        <f>TB[[#This Row],[售价]]*TB[[#This Row],[销量]]</f>
        <v>964</v>
      </c>
      <c r="N375" t="str">
        <f>IF(TB[[#This Row],[售价]]&lt;1000,"低价商品",IF(TB[[#This Row],[售价]]&lt;5000,"中价商品",IF(TB[[#This Row],[售价]]&lt;10000,"高价商品","超高价商品")))</f>
        <v>低价商品</v>
      </c>
    </row>
    <row r="376" spans="1:14" x14ac:dyDescent="0.2">
      <c r="A376">
        <v>426</v>
      </c>
      <c r="B376">
        <v>248</v>
      </c>
      <c r="C376" t="s">
        <v>26</v>
      </c>
      <c r="D376" t="s">
        <v>245</v>
      </c>
      <c r="E376" t="s">
        <v>39</v>
      </c>
      <c r="F376">
        <v>5</v>
      </c>
      <c r="G376" t="s">
        <v>13</v>
      </c>
      <c r="H376" s="1">
        <v>45937.555555555555</v>
      </c>
      <c r="I376" s="5">
        <f>INT(TB[[#This Row],[时间戳]])</f>
        <v>45937</v>
      </c>
      <c r="J376" s="2">
        <f>HOUR(TB[[#This Row],[时间戳]])</f>
        <v>13</v>
      </c>
      <c r="K376">
        <v>3450</v>
      </c>
      <c r="L376">
        <v>4</v>
      </c>
      <c r="M376">
        <f>TB[[#This Row],[售价]]*TB[[#This Row],[销量]]</f>
        <v>13800</v>
      </c>
      <c r="N376" t="str">
        <f>IF(TB[[#This Row],[售价]]&lt;1000,"低价商品",IF(TB[[#This Row],[售价]]&lt;5000,"中价商品",IF(TB[[#This Row],[售价]]&lt;10000,"高价商品","超高价商品")))</f>
        <v>中价商品</v>
      </c>
    </row>
    <row r="377" spans="1:14" x14ac:dyDescent="0.2">
      <c r="A377">
        <v>148</v>
      </c>
      <c r="B377">
        <v>161</v>
      </c>
      <c r="C377" t="s">
        <v>34</v>
      </c>
      <c r="D377" t="s">
        <v>164</v>
      </c>
      <c r="E377" t="s">
        <v>22</v>
      </c>
      <c r="F377">
        <v>1</v>
      </c>
      <c r="G377" t="s">
        <v>13</v>
      </c>
      <c r="H377" s="1">
        <v>45937.5625</v>
      </c>
      <c r="I377" s="5">
        <f>INT(TB[[#This Row],[时间戳]])</f>
        <v>45937</v>
      </c>
      <c r="J377" s="2">
        <f>HOUR(TB[[#This Row],[时间戳]])</f>
        <v>13</v>
      </c>
      <c r="K377">
        <v>4708</v>
      </c>
      <c r="L377">
        <v>4</v>
      </c>
      <c r="M377">
        <f>TB[[#This Row],[售价]]*TB[[#This Row],[销量]]</f>
        <v>18832</v>
      </c>
      <c r="N377" t="str">
        <f>IF(TB[[#This Row],[售价]]&lt;1000,"低价商品",IF(TB[[#This Row],[售价]]&lt;5000,"中价商品",IF(TB[[#This Row],[售价]]&lt;10000,"高价商品","超高价商品")))</f>
        <v>中价商品</v>
      </c>
    </row>
    <row r="378" spans="1:14" x14ac:dyDescent="0.2">
      <c r="A378">
        <v>134</v>
      </c>
      <c r="B378">
        <v>190</v>
      </c>
      <c r="C378" t="s">
        <v>34</v>
      </c>
      <c r="D378" t="s">
        <v>253</v>
      </c>
      <c r="E378" t="s">
        <v>25</v>
      </c>
      <c r="F378">
        <v>7</v>
      </c>
      <c r="G378" t="s">
        <v>13</v>
      </c>
      <c r="H378" s="1">
        <v>45937.597222222219</v>
      </c>
      <c r="I378" s="5">
        <f>INT(TB[[#This Row],[时间戳]])</f>
        <v>45937</v>
      </c>
      <c r="J378" s="2">
        <f>HOUR(TB[[#This Row],[时间戳]])</f>
        <v>14</v>
      </c>
      <c r="K378">
        <v>7347</v>
      </c>
      <c r="L378">
        <v>2</v>
      </c>
      <c r="M378">
        <f>TB[[#This Row],[售价]]*TB[[#This Row],[销量]]</f>
        <v>14694</v>
      </c>
      <c r="N378" t="str">
        <f>IF(TB[[#This Row],[售价]]&lt;1000,"低价商品",IF(TB[[#This Row],[售价]]&lt;5000,"中价商品",IF(TB[[#This Row],[售价]]&lt;10000,"高价商品","超高价商品")))</f>
        <v>高价商品</v>
      </c>
    </row>
    <row r="379" spans="1:14" x14ac:dyDescent="0.2">
      <c r="A379">
        <v>248</v>
      </c>
      <c r="B379">
        <v>239</v>
      </c>
      <c r="C379" t="s">
        <v>14</v>
      </c>
      <c r="D379" t="s">
        <v>145</v>
      </c>
      <c r="E379" t="s">
        <v>22</v>
      </c>
      <c r="F379">
        <v>1</v>
      </c>
      <c r="G379" t="s">
        <v>13</v>
      </c>
      <c r="H379" s="1">
        <v>45937.597222222219</v>
      </c>
      <c r="I379" s="5">
        <f>INT(TB[[#This Row],[时间戳]])</f>
        <v>45937</v>
      </c>
      <c r="J379" s="2">
        <f>HOUR(TB[[#This Row],[时间戳]])</f>
        <v>14</v>
      </c>
      <c r="K379">
        <v>5305</v>
      </c>
      <c r="L379">
        <v>1</v>
      </c>
      <c r="M379">
        <f>TB[[#This Row],[售价]]*TB[[#This Row],[销量]]</f>
        <v>5305</v>
      </c>
      <c r="N379" t="str">
        <f>IF(TB[[#This Row],[售价]]&lt;1000,"低价商品",IF(TB[[#This Row],[售价]]&lt;5000,"中价商品",IF(TB[[#This Row],[售价]]&lt;10000,"高价商品","超高价商品")))</f>
        <v>高价商品</v>
      </c>
    </row>
    <row r="380" spans="1:14" x14ac:dyDescent="0.2">
      <c r="A380">
        <v>145</v>
      </c>
      <c r="B380">
        <v>50</v>
      </c>
      <c r="C380" t="s">
        <v>44</v>
      </c>
      <c r="D380" t="s">
        <v>76</v>
      </c>
      <c r="E380" t="s">
        <v>31</v>
      </c>
      <c r="F380">
        <v>4</v>
      </c>
      <c r="G380" t="s">
        <v>42</v>
      </c>
      <c r="H380" s="1">
        <v>45937.628472222219</v>
      </c>
      <c r="I380" s="5">
        <f>INT(TB[[#This Row],[时间戳]])</f>
        <v>45937</v>
      </c>
      <c r="J380" s="2">
        <f>HOUR(TB[[#This Row],[时间戳]])</f>
        <v>15</v>
      </c>
      <c r="K380">
        <v>236</v>
      </c>
      <c r="L380">
        <v>0</v>
      </c>
      <c r="M380">
        <f>TB[[#This Row],[售价]]*TB[[#This Row],[销量]]</f>
        <v>0</v>
      </c>
      <c r="N380" t="str">
        <f>IF(TB[[#This Row],[售价]]&lt;1000,"低价商品",IF(TB[[#This Row],[售价]]&lt;5000,"中价商品",IF(TB[[#This Row],[售价]]&lt;10000,"高价商品","超高价商品")))</f>
        <v>低价商品</v>
      </c>
    </row>
    <row r="381" spans="1:14" x14ac:dyDescent="0.2">
      <c r="A381">
        <v>429</v>
      </c>
      <c r="B381">
        <v>128</v>
      </c>
      <c r="C381" t="s">
        <v>17</v>
      </c>
      <c r="D381" t="s">
        <v>93</v>
      </c>
      <c r="E381" t="s">
        <v>12</v>
      </c>
      <c r="F381">
        <v>2</v>
      </c>
      <c r="G381" t="s">
        <v>13</v>
      </c>
      <c r="H381" s="1">
        <v>45937.634722222225</v>
      </c>
      <c r="I381" s="5">
        <f>INT(TB[[#This Row],[时间戳]])</f>
        <v>45937</v>
      </c>
      <c r="J381" s="2">
        <f>HOUR(TB[[#This Row],[时间戳]])</f>
        <v>15</v>
      </c>
      <c r="K381">
        <v>4777</v>
      </c>
      <c r="L381">
        <v>1</v>
      </c>
      <c r="M381">
        <f>TB[[#This Row],[售价]]*TB[[#This Row],[销量]]</f>
        <v>4777</v>
      </c>
      <c r="N381" t="str">
        <f>IF(TB[[#This Row],[售价]]&lt;1000,"低价商品",IF(TB[[#This Row],[售价]]&lt;5000,"中价商品",IF(TB[[#This Row],[售价]]&lt;10000,"高价商品","超高价商品")))</f>
        <v>中价商品</v>
      </c>
    </row>
    <row r="382" spans="1:14" x14ac:dyDescent="0.2">
      <c r="A382">
        <v>195</v>
      </c>
      <c r="B382">
        <v>82</v>
      </c>
      <c r="C382" t="s">
        <v>46</v>
      </c>
      <c r="D382" t="s">
        <v>142</v>
      </c>
      <c r="E382" t="s">
        <v>31</v>
      </c>
      <c r="F382">
        <v>4</v>
      </c>
      <c r="G382" t="s">
        <v>13</v>
      </c>
      <c r="H382" s="1">
        <v>45937.636805555558</v>
      </c>
      <c r="I382" s="5">
        <f>INT(TB[[#This Row],[时间戳]])</f>
        <v>45937</v>
      </c>
      <c r="J382" s="2">
        <f>HOUR(TB[[#This Row],[时间戳]])</f>
        <v>15</v>
      </c>
      <c r="K382">
        <v>344</v>
      </c>
      <c r="L382">
        <v>5</v>
      </c>
      <c r="M382">
        <f>TB[[#This Row],[售价]]*TB[[#This Row],[销量]]</f>
        <v>1720</v>
      </c>
      <c r="N382" t="str">
        <f>IF(TB[[#This Row],[售价]]&lt;1000,"低价商品",IF(TB[[#This Row],[售价]]&lt;5000,"中价商品",IF(TB[[#This Row],[售价]]&lt;10000,"高价商品","超高价商品")))</f>
        <v>低价商品</v>
      </c>
    </row>
    <row r="383" spans="1:14" x14ac:dyDescent="0.2">
      <c r="A383">
        <v>316</v>
      </c>
      <c r="B383">
        <v>255</v>
      </c>
      <c r="C383" t="s">
        <v>44</v>
      </c>
      <c r="D383" t="s">
        <v>254</v>
      </c>
      <c r="E383" t="s">
        <v>25</v>
      </c>
      <c r="F383">
        <v>7</v>
      </c>
      <c r="G383" t="s">
        <v>13</v>
      </c>
      <c r="H383" s="1">
        <v>45937.65902777778</v>
      </c>
      <c r="I383" s="5">
        <f>INT(TB[[#This Row],[时间戳]])</f>
        <v>45937</v>
      </c>
      <c r="J383" s="2">
        <f>HOUR(TB[[#This Row],[时间戳]])</f>
        <v>15</v>
      </c>
      <c r="K383">
        <v>5644</v>
      </c>
      <c r="L383">
        <v>3</v>
      </c>
      <c r="M383">
        <f>TB[[#This Row],[售价]]*TB[[#This Row],[销量]]</f>
        <v>16932</v>
      </c>
      <c r="N383" t="str">
        <f>IF(TB[[#This Row],[售价]]&lt;1000,"低价商品",IF(TB[[#This Row],[售价]]&lt;5000,"中价商品",IF(TB[[#This Row],[售价]]&lt;10000,"高价商品","超高价商品")))</f>
        <v>高价商品</v>
      </c>
    </row>
    <row r="384" spans="1:14" x14ac:dyDescent="0.2">
      <c r="A384">
        <v>469</v>
      </c>
      <c r="B384">
        <v>124</v>
      </c>
      <c r="C384" t="s">
        <v>17</v>
      </c>
      <c r="D384" t="s">
        <v>255</v>
      </c>
      <c r="E384" t="s">
        <v>31</v>
      </c>
      <c r="F384">
        <v>4</v>
      </c>
      <c r="G384" t="s">
        <v>13</v>
      </c>
      <c r="H384" s="1">
        <v>45937.677083333336</v>
      </c>
      <c r="I384" s="5">
        <f>INT(TB[[#This Row],[时间戳]])</f>
        <v>45937</v>
      </c>
      <c r="J384" s="2">
        <f>HOUR(TB[[#This Row],[时间戳]])</f>
        <v>16</v>
      </c>
      <c r="K384">
        <v>50</v>
      </c>
      <c r="L384">
        <v>2</v>
      </c>
      <c r="M384">
        <f>TB[[#This Row],[售价]]*TB[[#This Row],[销量]]</f>
        <v>100</v>
      </c>
      <c r="N384" t="str">
        <f>IF(TB[[#This Row],[售价]]&lt;1000,"低价商品",IF(TB[[#This Row],[售价]]&lt;5000,"中价商品",IF(TB[[#This Row],[售价]]&lt;10000,"高价商品","超高价商品")))</f>
        <v>低价商品</v>
      </c>
    </row>
    <row r="385" spans="1:14" x14ac:dyDescent="0.2">
      <c r="A385">
        <v>52</v>
      </c>
      <c r="B385">
        <v>145</v>
      </c>
      <c r="C385" t="s">
        <v>34</v>
      </c>
      <c r="D385" t="s">
        <v>69</v>
      </c>
      <c r="E385" t="s">
        <v>31</v>
      </c>
      <c r="F385">
        <v>4</v>
      </c>
      <c r="G385" t="s">
        <v>13</v>
      </c>
      <c r="H385" s="1">
        <v>45937.715277777781</v>
      </c>
      <c r="I385" s="5">
        <f>INT(TB[[#This Row],[时间戳]])</f>
        <v>45937</v>
      </c>
      <c r="J385" s="2">
        <f>HOUR(TB[[#This Row],[时间戳]])</f>
        <v>17</v>
      </c>
      <c r="K385">
        <v>588</v>
      </c>
      <c r="L385">
        <v>1</v>
      </c>
      <c r="M385">
        <f>TB[[#This Row],[售价]]*TB[[#This Row],[销量]]</f>
        <v>588</v>
      </c>
      <c r="N385" t="str">
        <f>IF(TB[[#This Row],[售价]]&lt;1000,"低价商品",IF(TB[[#This Row],[售价]]&lt;5000,"中价商品",IF(TB[[#This Row],[售价]]&lt;10000,"高价商品","超高价商品")))</f>
        <v>低价商品</v>
      </c>
    </row>
    <row r="386" spans="1:14" x14ac:dyDescent="0.2">
      <c r="A386">
        <v>550</v>
      </c>
      <c r="B386">
        <v>5</v>
      </c>
      <c r="C386" t="s">
        <v>44</v>
      </c>
      <c r="D386" t="s">
        <v>100</v>
      </c>
      <c r="E386" t="s">
        <v>19</v>
      </c>
      <c r="F386">
        <v>3</v>
      </c>
      <c r="G386" t="s">
        <v>42</v>
      </c>
      <c r="H386" s="1">
        <v>45937.740277777775</v>
      </c>
      <c r="I386" s="5">
        <f>INT(TB[[#This Row],[时间戳]])</f>
        <v>45937</v>
      </c>
      <c r="J386" s="2">
        <f>HOUR(TB[[#This Row],[时间戳]])</f>
        <v>17</v>
      </c>
      <c r="K386">
        <v>5659</v>
      </c>
      <c r="L386">
        <v>0</v>
      </c>
      <c r="M386">
        <f>TB[[#This Row],[售价]]*TB[[#This Row],[销量]]</f>
        <v>0</v>
      </c>
      <c r="N386" t="str">
        <f>IF(TB[[#This Row],[售价]]&lt;1000,"低价商品",IF(TB[[#This Row],[售价]]&lt;5000,"中价商品",IF(TB[[#This Row],[售价]]&lt;10000,"高价商品","超高价商品")))</f>
        <v>高价商品</v>
      </c>
    </row>
    <row r="387" spans="1:14" x14ac:dyDescent="0.2">
      <c r="A387">
        <v>745</v>
      </c>
      <c r="B387">
        <v>188</v>
      </c>
      <c r="C387" t="s">
        <v>26</v>
      </c>
      <c r="D387" t="s">
        <v>227</v>
      </c>
      <c r="E387" t="s">
        <v>12</v>
      </c>
      <c r="F387">
        <v>2</v>
      </c>
      <c r="G387" t="s">
        <v>13</v>
      </c>
      <c r="H387" s="1">
        <v>45937.770138888889</v>
      </c>
      <c r="I387" s="5">
        <f>INT(TB[[#This Row],[时间戳]])</f>
        <v>45937</v>
      </c>
      <c r="J387" s="2">
        <f>HOUR(TB[[#This Row],[时间戳]])</f>
        <v>18</v>
      </c>
      <c r="K387">
        <v>5781</v>
      </c>
      <c r="L387">
        <v>3</v>
      </c>
      <c r="M387">
        <f>TB[[#This Row],[售价]]*TB[[#This Row],[销量]]</f>
        <v>17343</v>
      </c>
      <c r="N387" t="str">
        <f>IF(TB[[#This Row],[售价]]&lt;1000,"低价商品",IF(TB[[#This Row],[售价]]&lt;5000,"中价商品",IF(TB[[#This Row],[售价]]&lt;10000,"高价商品","超高价商品")))</f>
        <v>高价商品</v>
      </c>
    </row>
    <row r="388" spans="1:14" x14ac:dyDescent="0.2">
      <c r="A388">
        <v>53</v>
      </c>
      <c r="B388">
        <v>292</v>
      </c>
      <c r="C388" t="s">
        <v>10</v>
      </c>
      <c r="D388" t="s">
        <v>256</v>
      </c>
      <c r="E388" t="s">
        <v>19</v>
      </c>
      <c r="F388">
        <v>3</v>
      </c>
      <c r="G388" t="s">
        <v>13</v>
      </c>
      <c r="H388" s="1">
        <v>45937.776388888888</v>
      </c>
      <c r="I388" s="5">
        <f>INT(TB[[#This Row],[时间戳]])</f>
        <v>45937</v>
      </c>
      <c r="J388" s="2">
        <f>HOUR(TB[[#This Row],[时间戳]])</f>
        <v>18</v>
      </c>
      <c r="K388">
        <v>4790</v>
      </c>
      <c r="L388">
        <v>2</v>
      </c>
      <c r="M388">
        <f>TB[[#This Row],[售价]]*TB[[#This Row],[销量]]</f>
        <v>9580</v>
      </c>
      <c r="N388" t="str">
        <f>IF(TB[[#This Row],[售价]]&lt;1000,"低价商品",IF(TB[[#This Row],[售价]]&lt;5000,"中价商品",IF(TB[[#This Row],[售价]]&lt;10000,"高价商品","超高价商品")))</f>
        <v>中价商品</v>
      </c>
    </row>
    <row r="389" spans="1:14" x14ac:dyDescent="0.2">
      <c r="A389">
        <v>296</v>
      </c>
      <c r="B389">
        <v>38</v>
      </c>
      <c r="C389" t="s">
        <v>34</v>
      </c>
      <c r="D389" t="s">
        <v>174</v>
      </c>
      <c r="E389" t="s">
        <v>12</v>
      </c>
      <c r="F389">
        <v>2</v>
      </c>
      <c r="G389" t="s">
        <v>13</v>
      </c>
      <c r="H389" s="1">
        <v>45937.779861111114</v>
      </c>
      <c r="I389" s="5">
        <f>INT(TB[[#This Row],[时间戳]])</f>
        <v>45937</v>
      </c>
      <c r="J389" s="2">
        <f>HOUR(TB[[#This Row],[时间戳]])</f>
        <v>18</v>
      </c>
      <c r="K389">
        <v>13103</v>
      </c>
      <c r="L389">
        <v>1</v>
      </c>
      <c r="M389">
        <f>TB[[#This Row],[售价]]*TB[[#This Row],[销量]]</f>
        <v>13103</v>
      </c>
      <c r="N389" t="str">
        <f>IF(TB[[#This Row],[售价]]&lt;1000,"低价商品",IF(TB[[#This Row],[售价]]&lt;5000,"中价商品",IF(TB[[#This Row],[售价]]&lt;10000,"高价商品","超高价商品")))</f>
        <v>超高价商品</v>
      </c>
    </row>
    <row r="390" spans="1:14" x14ac:dyDescent="0.2">
      <c r="A390">
        <v>287</v>
      </c>
      <c r="B390">
        <v>61</v>
      </c>
      <c r="C390" t="s">
        <v>44</v>
      </c>
      <c r="D390" t="s">
        <v>239</v>
      </c>
      <c r="E390" t="s">
        <v>39</v>
      </c>
      <c r="F390">
        <v>5</v>
      </c>
      <c r="G390" t="s">
        <v>13</v>
      </c>
      <c r="H390" s="1">
        <v>45937.805555555555</v>
      </c>
      <c r="I390" s="5">
        <f>INT(TB[[#This Row],[时间戳]])</f>
        <v>45937</v>
      </c>
      <c r="J390" s="2">
        <f>HOUR(TB[[#This Row],[时间戳]])</f>
        <v>19</v>
      </c>
      <c r="K390">
        <v>2440</v>
      </c>
      <c r="L390">
        <v>1</v>
      </c>
      <c r="M390">
        <f>TB[[#This Row],[售价]]*TB[[#This Row],[销量]]</f>
        <v>2440</v>
      </c>
      <c r="N390" t="str">
        <f>IF(TB[[#This Row],[售价]]&lt;1000,"低价商品",IF(TB[[#This Row],[售价]]&lt;5000,"中价商品",IF(TB[[#This Row],[售价]]&lt;10000,"高价商品","超高价商品")))</f>
        <v>中价商品</v>
      </c>
    </row>
    <row r="391" spans="1:14" x14ac:dyDescent="0.2">
      <c r="A391">
        <v>348</v>
      </c>
      <c r="B391">
        <v>286</v>
      </c>
      <c r="C391" t="s">
        <v>17</v>
      </c>
      <c r="D391" t="s">
        <v>257</v>
      </c>
      <c r="E391" t="s">
        <v>19</v>
      </c>
      <c r="F391">
        <v>3</v>
      </c>
      <c r="G391" t="s">
        <v>13</v>
      </c>
      <c r="H391" s="1">
        <v>45937.835416666669</v>
      </c>
      <c r="I391" s="5">
        <f>INT(TB[[#This Row],[时间戳]])</f>
        <v>45937</v>
      </c>
      <c r="J391" s="2">
        <f>HOUR(TB[[#This Row],[时间戳]])</f>
        <v>20</v>
      </c>
      <c r="K391">
        <v>2403</v>
      </c>
      <c r="L391">
        <v>1</v>
      </c>
      <c r="M391">
        <f>TB[[#This Row],[售价]]*TB[[#This Row],[销量]]</f>
        <v>2403</v>
      </c>
      <c r="N391" t="str">
        <f>IF(TB[[#This Row],[售价]]&lt;1000,"低价商品",IF(TB[[#This Row],[售价]]&lt;5000,"中价商品",IF(TB[[#This Row],[售价]]&lt;10000,"高价商品","超高价商品")))</f>
        <v>中价商品</v>
      </c>
    </row>
    <row r="392" spans="1:14" x14ac:dyDescent="0.2">
      <c r="A392">
        <v>617</v>
      </c>
      <c r="B392">
        <v>261</v>
      </c>
      <c r="C392" t="s">
        <v>26</v>
      </c>
      <c r="D392" t="s">
        <v>229</v>
      </c>
      <c r="E392" t="s">
        <v>16</v>
      </c>
      <c r="F392">
        <v>6</v>
      </c>
      <c r="G392" t="s">
        <v>13</v>
      </c>
      <c r="H392" s="1">
        <v>45937.921527777777</v>
      </c>
      <c r="I392" s="5">
        <f>INT(TB[[#This Row],[时间戳]])</f>
        <v>45937</v>
      </c>
      <c r="J392" s="2">
        <f>HOUR(TB[[#This Row],[时间戳]])</f>
        <v>22</v>
      </c>
      <c r="K392">
        <v>8176</v>
      </c>
      <c r="L392">
        <v>4</v>
      </c>
      <c r="M392">
        <f>TB[[#This Row],[售价]]*TB[[#This Row],[销量]]</f>
        <v>32704</v>
      </c>
      <c r="N392" t="str">
        <f>IF(TB[[#This Row],[售价]]&lt;1000,"低价商品",IF(TB[[#This Row],[售价]]&lt;5000,"中价商品",IF(TB[[#This Row],[售价]]&lt;10000,"高价商品","超高价商品")))</f>
        <v>高价商品</v>
      </c>
    </row>
    <row r="393" spans="1:14" x14ac:dyDescent="0.2">
      <c r="A393">
        <v>40</v>
      </c>
      <c r="B393">
        <v>71</v>
      </c>
      <c r="C393" t="s">
        <v>10</v>
      </c>
      <c r="D393" t="s">
        <v>258</v>
      </c>
      <c r="E393" t="s">
        <v>39</v>
      </c>
      <c r="F393">
        <v>5</v>
      </c>
      <c r="G393" t="s">
        <v>13</v>
      </c>
      <c r="H393" s="1">
        <v>45937.931250000001</v>
      </c>
      <c r="I393" s="5">
        <f>INT(TB[[#This Row],[时间戳]])</f>
        <v>45937</v>
      </c>
      <c r="J393" s="2">
        <f>HOUR(TB[[#This Row],[时间戳]])</f>
        <v>22</v>
      </c>
      <c r="K393">
        <v>2500</v>
      </c>
      <c r="L393">
        <v>3</v>
      </c>
      <c r="M393">
        <f>TB[[#This Row],[售价]]*TB[[#This Row],[销量]]</f>
        <v>7500</v>
      </c>
      <c r="N393" t="str">
        <f>IF(TB[[#This Row],[售价]]&lt;1000,"低价商品",IF(TB[[#This Row],[售价]]&lt;5000,"中价商品",IF(TB[[#This Row],[售价]]&lt;10000,"高价商品","超高价商品")))</f>
        <v>中价商品</v>
      </c>
    </row>
    <row r="394" spans="1:14" x14ac:dyDescent="0.2">
      <c r="A394">
        <v>153</v>
      </c>
      <c r="B394">
        <v>264</v>
      </c>
      <c r="C394" t="s">
        <v>20</v>
      </c>
      <c r="D394" t="s">
        <v>259</v>
      </c>
      <c r="E394" t="s">
        <v>16</v>
      </c>
      <c r="F394">
        <v>6</v>
      </c>
      <c r="G394" t="s">
        <v>13</v>
      </c>
      <c r="H394" s="1">
        <v>45937.939583333333</v>
      </c>
      <c r="I394" s="5">
        <f>INT(TB[[#This Row],[时间戳]])</f>
        <v>45937</v>
      </c>
      <c r="J394" s="2">
        <f>HOUR(TB[[#This Row],[时间戳]])</f>
        <v>22</v>
      </c>
      <c r="K394">
        <v>7498</v>
      </c>
      <c r="L394">
        <v>2</v>
      </c>
      <c r="M394">
        <f>TB[[#This Row],[售价]]*TB[[#This Row],[销量]]</f>
        <v>14996</v>
      </c>
      <c r="N394" t="str">
        <f>IF(TB[[#This Row],[售价]]&lt;1000,"低价商品",IF(TB[[#This Row],[售价]]&lt;5000,"中价商品",IF(TB[[#This Row],[售价]]&lt;10000,"高价商品","超高价商品")))</f>
        <v>高价商品</v>
      </c>
    </row>
    <row r="395" spans="1:14" x14ac:dyDescent="0.2">
      <c r="A395">
        <v>167</v>
      </c>
      <c r="B395">
        <v>202</v>
      </c>
      <c r="C395" t="s">
        <v>46</v>
      </c>
      <c r="D395" t="s">
        <v>260</v>
      </c>
      <c r="E395" t="s">
        <v>22</v>
      </c>
      <c r="F395">
        <v>1</v>
      </c>
      <c r="G395" t="s">
        <v>13</v>
      </c>
      <c r="H395" s="1">
        <v>45937.967361111114</v>
      </c>
      <c r="I395" s="5">
        <f>INT(TB[[#This Row],[时间戳]])</f>
        <v>45937</v>
      </c>
      <c r="J395" s="2">
        <f>HOUR(TB[[#This Row],[时间戳]])</f>
        <v>23</v>
      </c>
      <c r="K395">
        <v>2112</v>
      </c>
      <c r="L395">
        <v>2</v>
      </c>
      <c r="M395">
        <f>TB[[#This Row],[售价]]*TB[[#This Row],[销量]]</f>
        <v>4224</v>
      </c>
      <c r="N395" t="str">
        <f>IF(TB[[#This Row],[售价]]&lt;1000,"低价商品",IF(TB[[#This Row],[售价]]&lt;5000,"中价商品",IF(TB[[#This Row],[售价]]&lt;10000,"高价商品","超高价商品")))</f>
        <v>中价商品</v>
      </c>
    </row>
    <row r="396" spans="1:14" x14ac:dyDescent="0.2">
      <c r="A396">
        <v>345</v>
      </c>
      <c r="B396">
        <v>260</v>
      </c>
      <c r="C396" t="s">
        <v>36</v>
      </c>
      <c r="D396" t="s">
        <v>192</v>
      </c>
      <c r="E396" t="s">
        <v>22</v>
      </c>
      <c r="F396">
        <v>1</v>
      </c>
      <c r="G396" t="s">
        <v>42</v>
      </c>
      <c r="H396" s="1">
        <v>45937.974999999999</v>
      </c>
      <c r="I396" s="5">
        <f>INT(TB[[#This Row],[时间戳]])</f>
        <v>45937</v>
      </c>
      <c r="J396" s="2">
        <f>HOUR(TB[[#This Row],[时间戳]])</f>
        <v>23</v>
      </c>
      <c r="K396">
        <v>6228</v>
      </c>
      <c r="L396">
        <v>0</v>
      </c>
      <c r="M396">
        <f>TB[[#This Row],[售价]]*TB[[#This Row],[销量]]</f>
        <v>0</v>
      </c>
      <c r="N396" t="str">
        <f>IF(TB[[#This Row],[售价]]&lt;1000,"低价商品",IF(TB[[#This Row],[售价]]&lt;5000,"中价商品",IF(TB[[#This Row],[售价]]&lt;10000,"高价商品","超高价商品")))</f>
        <v>高价商品</v>
      </c>
    </row>
    <row r="397" spans="1:14" x14ac:dyDescent="0.2">
      <c r="A397">
        <v>726</v>
      </c>
      <c r="B397">
        <v>289</v>
      </c>
      <c r="C397" t="s">
        <v>20</v>
      </c>
      <c r="D397" t="s">
        <v>261</v>
      </c>
      <c r="E397" t="s">
        <v>22</v>
      </c>
      <c r="F397">
        <v>1</v>
      </c>
      <c r="G397" t="s">
        <v>13</v>
      </c>
      <c r="H397" s="1">
        <v>45938.023611111108</v>
      </c>
      <c r="I397" s="5">
        <f>INT(TB[[#This Row],[时间戳]])</f>
        <v>45938</v>
      </c>
      <c r="J397" s="2">
        <f>HOUR(TB[[#This Row],[时间戳]])</f>
        <v>0</v>
      </c>
      <c r="K397">
        <v>7845</v>
      </c>
      <c r="L397">
        <v>3</v>
      </c>
      <c r="M397">
        <f>TB[[#This Row],[售价]]*TB[[#This Row],[销量]]</f>
        <v>23535</v>
      </c>
      <c r="N397" t="str">
        <f>IF(TB[[#This Row],[售价]]&lt;1000,"低价商品",IF(TB[[#This Row],[售价]]&lt;5000,"中价商品",IF(TB[[#This Row],[售价]]&lt;10000,"高价商品","超高价商品")))</f>
        <v>高价商品</v>
      </c>
    </row>
    <row r="398" spans="1:14" x14ac:dyDescent="0.2">
      <c r="A398">
        <v>340</v>
      </c>
      <c r="B398">
        <v>57</v>
      </c>
      <c r="C398" t="s">
        <v>10</v>
      </c>
      <c r="D398" t="s">
        <v>262</v>
      </c>
      <c r="E398" t="s">
        <v>25</v>
      </c>
      <c r="F398">
        <v>7</v>
      </c>
      <c r="G398" t="s">
        <v>42</v>
      </c>
      <c r="H398" s="1">
        <v>45938.05972222222</v>
      </c>
      <c r="I398" s="5">
        <f>INT(TB[[#This Row],[时间戳]])</f>
        <v>45938</v>
      </c>
      <c r="J398" s="2">
        <f>HOUR(TB[[#This Row],[时间戳]])</f>
        <v>1</v>
      </c>
      <c r="K398">
        <v>3998</v>
      </c>
      <c r="L398">
        <v>0</v>
      </c>
      <c r="M398">
        <f>TB[[#This Row],[售价]]*TB[[#This Row],[销量]]</f>
        <v>0</v>
      </c>
      <c r="N398" t="str">
        <f>IF(TB[[#This Row],[售价]]&lt;1000,"低价商品",IF(TB[[#This Row],[售价]]&lt;5000,"中价商品",IF(TB[[#This Row],[售价]]&lt;10000,"高价商品","超高价商品")))</f>
        <v>中价商品</v>
      </c>
    </row>
    <row r="399" spans="1:14" x14ac:dyDescent="0.2">
      <c r="A399">
        <v>705</v>
      </c>
      <c r="B399">
        <v>14</v>
      </c>
      <c r="C399" t="s">
        <v>36</v>
      </c>
      <c r="D399" t="s">
        <v>146</v>
      </c>
      <c r="E399" t="s">
        <v>22</v>
      </c>
      <c r="F399">
        <v>1</v>
      </c>
      <c r="G399" t="s">
        <v>13</v>
      </c>
      <c r="H399" s="1">
        <v>45938.070138888892</v>
      </c>
      <c r="I399" s="5">
        <f>INT(TB[[#This Row],[时间戳]])</f>
        <v>45938</v>
      </c>
      <c r="J399" s="2">
        <f>HOUR(TB[[#This Row],[时间戳]])</f>
        <v>1</v>
      </c>
      <c r="K399">
        <v>4510</v>
      </c>
      <c r="L399">
        <v>1</v>
      </c>
      <c r="M399">
        <f>TB[[#This Row],[售价]]*TB[[#This Row],[销量]]</f>
        <v>4510</v>
      </c>
      <c r="N399" t="str">
        <f>IF(TB[[#This Row],[售价]]&lt;1000,"低价商品",IF(TB[[#This Row],[售价]]&lt;5000,"中价商品",IF(TB[[#This Row],[售价]]&lt;10000,"高价商品","超高价商品")))</f>
        <v>中价商品</v>
      </c>
    </row>
    <row r="400" spans="1:14" x14ac:dyDescent="0.2">
      <c r="A400">
        <v>592</v>
      </c>
      <c r="B400">
        <v>117</v>
      </c>
      <c r="C400" t="s">
        <v>36</v>
      </c>
      <c r="D400" t="s">
        <v>123</v>
      </c>
      <c r="E400" t="s">
        <v>31</v>
      </c>
      <c r="F400">
        <v>4</v>
      </c>
      <c r="G400" t="s">
        <v>42</v>
      </c>
      <c r="H400" s="1">
        <v>45938.095833333333</v>
      </c>
      <c r="I400" s="5">
        <f>INT(TB[[#This Row],[时间戳]])</f>
        <v>45938</v>
      </c>
      <c r="J400" s="2">
        <f>HOUR(TB[[#This Row],[时间戳]])</f>
        <v>2</v>
      </c>
      <c r="K400">
        <v>1314</v>
      </c>
      <c r="L400">
        <v>0</v>
      </c>
      <c r="M400">
        <f>TB[[#This Row],[售价]]*TB[[#This Row],[销量]]</f>
        <v>0</v>
      </c>
      <c r="N400" t="str">
        <f>IF(TB[[#This Row],[售价]]&lt;1000,"低价商品",IF(TB[[#This Row],[售价]]&lt;5000,"中价商品",IF(TB[[#This Row],[售价]]&lt;10000,"高价商品","超高价商品")))</f>
        <v>中价商品</v>
      </c>
    </row>
    <row r="401" spans="1:14" x14ac:dyDescent="0.2">
      <c r="A401">
        <v>537</v>
      </c>
      <c r="B401">
        <v>195</v>
      </c>
      <c r="C401" t="s">
        <v>44</v>
      </c>
      <c r="D401" t="s">
        <v>143</v>
      </c>
      <c r="E401" t="s">
        <v>19</v>
      </c>
      <c r="F401">
        <v>3</v>
      </c>
      <c r="G401" t="s">
        <v>13</v>
      </c>
      <c r="H401" s="1">
        <v>45938.121527777781</v>
      </c>
      <c r="I401" s="5">
        <f>INT(TB[[#This Row],[时间戳]])</f>
        <v>45938</v>
      </c>
      <c r="J401" s="2">
        <f>HOUR(TB[[#This Row],[时间戳]])</f>
        <v>2</v>
      </c>
      <c r="K401">
        <v>2018</v>
      </c>
      <c r="L401">
        <v>1</v>
      </c>
      <c r="M401">
        <f>TB[[#This Row],[售价]]*TB[[#This Row],[销量]]</f>
        <v>2018</v>
      </c>
      <c r="N401" t="str">
        <f>IF(TB[[#This Row],[售价]]&lt;1000,"低价商品",IF(TB[[#This Row],[售价]]&lt;5000,"中价商品",IF(TB[[#This Row],[售价]]&lt;10000,"高价商品","超高价商品")))</f>
        <v>中价商品</v>
      </c>
    </row>
    <row r="402" spans="1:14" x14ac:dyDescent="0.2">
      <c r="A402">
        <v>587</v>
      </c>
      <c r="B402">
        <v>57</v>
      </c>
      <c r="C402" t="s">
        <v>32</v>
      </c>
      <c r="D402" t="s">
        <v>33</v>
      </c>
      <c r="E402" t="s">
        <v>16</v>
      </c>
      <c r="F402">
        <v>6</v>
      </c>
      <c r="G402" t="s">
        <v>42</v>
      </c>
      <c r="H402" s="1">
        <v>45938.123611111114</v>
      </c>
      <c r="I402" s="5">
        <f>INT(TB[[#This Row],[时间戳]])</f>
        <v>45938</v>
      </c>
      <c r="J402" s="2">
        <f>HOUR(TB[[#This Row],[时间戳]])</f>
        <v>2</v>
      </c>
      <c r="K402">
        <v>4569</v>
      </c>
      <c r="L402">
        <v>0</v>
      </c>
      <c r="M402">
        <f>TB[[#This Row],[售价]]*TB[[#This Row],[销量]]</f>
        <v>0</v>
      </c>
      <c r="N402" t="str">
        <f>IF(TB[[#This Row],[售价]]&lt;1000,"低价商品",IF(TB[[#This Row],[售价]]&lt;5000,"中价商品",IF(TB[[#This Row],[售价]]&lt;10000,"高价商品","超高价商品")))</f>
        <v>中价商品</v>
      </c>
    </row>
    <row r="403" spans="1:14" x14ac:dyDescent="0.2">
      <c r="A403">
        <v>429</v>
      </c>
      <c r="B403">
        <v>78</v>
      </c>
      <c r="C403" t="s">
        <v>44</v>
      </c>
      <c r="D403" t="s">
        <v>184</v>
      </c>
      <c r="E403" t="s">
        <v>12</v>
      </c>
      <c r="F403">
        <v>2</v>
      </c>
      <c r="G403" t="s">
        <v>13</v>
      </c>
      <c r="H403" s="1">
        <v>45938.166666666664</v>
      </c>
      <c r="I403" s="5">
        <f>INT(TB[[#This Row],[时间戳]])</f>
        <v>45938</v>
      </c>
      <c r="J403" s="2">
        <f>HOUR(TB[[#This Row],[时间戳]])</f>
        <v>4</v>
      </c>
      <c r="K403">
        <v>6934</v>
      </c>
      <c r="L403">
        <v>1</v>
      </c>
      <c r="M403">
        <f>TB[[#This Row],[售价]]*TB[[#This Row],[销量]]</f>
        <v>6934</v>
      </c>
      <c r="N403" t="str">
        <f>IF(TB[[#This Row],[售价]]&lt;1000,"低价商品",IF(TB[[#This Row],[售价]]&lt;5000,"中价商品",IF(TB[[#This Row],[售价]]&lt;10000,"高价商品","超高价商品")))</f>
        <v>高价商品</v>
      </c>
    </row>
    <row r="404" spans="1:14" x14ac:dyDescent="0.2">
      <c r="A404">
        <v>514</v>
      </c>
      <c r="B404">
        <v>242</v>
      </c>
      <c r="C404" t="s">
        <v>32</v>
      </c>
      <c r="D404" t="s">
        <v>79</v>
      </c>
      <c r="E404" t="s">
        <v>31</v>
      </c>
      <c r="F404">
        <v>4</v>
      </c>
      <c r="G404" t="s">
        <v>13</v>
      </c>
      <c r="H404" s="1">
        <v>45938.179166666669</v>
      </c>
      <c r="I404" s="5">
        <f>INT(TB[[#This Row],[时间戳]])</f>
        <v>45938</v>
      </c>
      <c r="J404" s="2">
        <f>HOUR(TB[[#This Row],[时间戳]])</f>
        <v>4</v>
      </c>
      <c r="K404">
        <v>1048</v>
      </c>
      <c r="L404">
        <v>1</v>
      </c>
      <c r="M404">
        <f>TB[[#This Row],[售价]]*TB[[#This Row],[销量]]</f>
        <v>1048</v>
      </c>
      <c r="N404" t="str">
        <f>IF(TB[[#This Row],[售价]]&lt;1000,"低价商品",IF(TB[[#This Row],[售价]]&lt;5000,"中价商品",IF(TB[[#This Row],[售价]]&lt;10000,"高价商品","超高价商品")))</f>
        <v>中价商品</v>
      </c>
    </row>
    <row r="405" spans="1:14" x14ac:dyDescent="0.2">
      <c r="A405">
        <v>213</v>
      </c>
      <c r="B405">
        <v>288</v>
      </c>
      <c r="C405" t="s">
        <v>26</v>
      </c>
      <c r="D405" t="s">
        <v>160</v>
      </c>
      <c r="E405" t="s">
        <v>19</v>
      </c>
      <c r="F405">
        <v>3</v>
      </c>
      <c r="G405" t="s">
        <v>13</v>
      </c>
      <c r="H405" s="1">
        <v>45938.211805555555</v>
      </c>
      <c r="I405" s="5">
        <f>INT(TB[[#This Row],[时间戳]])</f>
        <v>45938</v>
      </c>
      <c r="J405" s="2">
        <f>HOUR(TB[[#This Row],[时间戳]])</f>
        <v>5</v>
      </c>
      <c r="K405">
        <v>2171</v>
      </c>
      <c r="L405">
        <v>3</v>
      </c>
      <c r="M405">
        <f>TB[[#This Row],[售价]]*TB[[#This Row],[销量]]</f>
        <v>6513</v>
      </c>
      <c r="N405" t="str">
        <f>IF(TB[[#This Row],[售价]]&lt;1000,"低价商品",IF(TB[[#This Row],[售价]]&lt;5000,"中价商品",IF(TB[[#This Row],[售价]]&lt;10000,"高价商品","超高价商品")))</f>
        <v>中价商品</v>
      </c>
    </row>
    <row r="406" spans="1:14" x14ac:dyDescent="0.2">
      <c r="A406">
        <v>386</v>
      </c>
      <c r="B406">
        <v>161</v>
      </c>
      <c r="C406" t="s">
        <v>44</v>
      </c>
      <c r="D406" t="s">
        <v>239</v>
      </c>
      <c r="E406" t="s">
        <v>39</v>
      </c>
      <c r="F406">
        <v>5</v>
      </c>
      <c r="G406" t="s">
        <v>13</v>
      </c>
      <c r="H406" s="1">
        <v>45938.21875</v>
      </c>
      <c r="I406" s="5">
        <f>INT(TB[[#This Row],[时间戳]])</f>
        <v>45938</v>
      </c>
      <c r="J406" s="2">
        <f>HOUR(TB[[#This Row],[时间戳]])</f>
        <v>5</v>
      </c>
      <c r="K406">
        <v>2270</v>
      </c>
      <c r="L406">
        <v>2</v>
      </c>
      <c r="M406">
        <f>TB[[#This Row],[售价]]*TB[[#This Row],[销量]]</f>
        <v>4540</v>
      </c>
      <c r="N406" t="str">
        <f>IF(TB[[#This Row],[售价]]&lt;1000,"低价商品",IF(TB[[#This Row],[售价]]&lt;5000,"中价商品",IF(TB[[#This Row],[售价]]&lt;10000,"高价商品","超高价商品")))</f>
        <v>中价商品</v>
      </c>
    </row>
    <row r="407" spans="1:14" x14ac:dyDescent="0.2">
      <c r="A407">
        <v>560</v>
      </c>
      <c r="B407">
        <v>182</v>
      </c>
      <c r="C407" t="s">
        <v>20</v>
      </c>
      <c r="D407" t="s">
        <v>263</v>
      </c>
      <c r="E407" t="s">
        <v>39</v>
      </c>
      <c r="F407">
        <v>5</v>
      </c>
      <c r="G407" t="s">
        <v>42</v>
      </c>
      <c r="H407" s="1">
        <v>45938.260416666664</v>
      </c>
      <c r="I407" s="5">
        <f>INT(TB[[#This Row],[时间戳]])</f>
        <v>45938</v>
      </c>
      <c r="J407" s="2">
        <f>HOUR(TB[[#This Row],[时间戳]])</f>
        <v>6</v>
      </c>
      <c r="K407">
        <v>1544</v>
      </c>
      <c r="L407">
        <v>0</v>
      </c>
      <c r="M407">
        <f>TB[[#This Row],[售价]]*TB[[#This Row],[销量]]</f>
        <v>0</v>
      </c>
      <c r="N407" t="str">
        <f>IF(TB[[#This Row],[售价]]&lt;1000,"低价商品",IF(TB[[#This Row],[售价]]&lt;5000,"中价商品",IF(TB[[#This Row],[售价]]&lt;10000,"高价商品","超高价商品")))</f>
        <v>中价商品</v>
      </c>
    </row>
    <row r="408" spans="1:14" x14ac:dyDescent="0.2">
      <c r="A408">
        <v>496</v>
      </c>
      <c r="B408">
        <v>99</v>
      </c>
      <c r="C408" t="s">
        <v>36</v>
      </c>
      <c r="D408" t="s">
        <v>192</v>
      </c>
      <c r="E408" t="s">
        <v>22</v>
      </c>
      <c r="F408">
        <v>1</v>
      </c>
      <c r="G408" t="s">
        <v>13</v>
      </c>
      <c r="H408" s="1">
        <v>45938.269444444442</v>
      </c>
      <c r="I408" s="5">
        <f>INT(TB[[#This Row],[时间戳]])</f>
        <v>45938</v>
      </c>
      <c r="J408" s="2">
        <f>HOUR(TB[[#This Row],[时间戳]])</f>
        <v>6</v>
      </c>
      <c r="K408">
        <v>6731</v>
      </c>
      <c r="L408">
        <v>1</v>
      </c>
      <c r="M408">
        <f>TB[[#This Row],[售价]]*TB[[#This Row],[销量]]</f>
        <v>6731</v>
      </c>
      <c r="N408" t="str">
        <f>IF(TB[[#This Row],[售价]]&lt;1000,"低价商品",IF(TB[[#This Row],[售价]]&lt;5000,"中价商品",IF(TB[[#This Row],[售价]]&lt;10000,"高价商品","超高价商品")))</f>
        <v>高价商品</v>
      </c>
    </row>
    <row r="409" spans="1:14" x14ac:dyDescent="0.2">
      <c r="A409">
        <v>231</v>
      </c>
      <c r="B409">
        <v>153</v>
      </c>
      <c r="C409" t="s">
        <v>20</v>
      </c>
      <c r="D409" t="s">
        <v>85</v>
      </c>
      <c r="E409" t="s">
        <v>31</v>
      </c>
      <c r="F409">
        <v>4</v>
      </c>
      <c r="G409" t="s">
        <v>13</v>
      </c>
      <c r="H409" s="1">
        <v>45938.269444444442</v>
      </c>
      <c r="I409" s="5">
        <f>INT(TB[[#This Row],[时间戳]])</f>
        <v>45938</v>
      </c>
      <c r="J409" s="2">
        <f>HOUR(TB[[#This Row],[时间戳]])</f>
        <v>6</v>
      </c>
      <c r="K409">
        <v>496</v>
      </c>
      <c r="L409">
        <v>2</v>
      </c>
      <c r="M409">
        <f>TB[[#This Row],[售价]]*TB[[#This Row],[销量]]</f>
        <v>992</v>
      </c>
      <c r="N409" t="str">
        <f>IF(TB[[#This Row],[售价]]&lt;1000,"低价商品",IF(TB[[#This Row],[售价]]&lt;5000,"中价商品",IF(TB[[#This Row],[售价]]&lt;10000,"高价商品","超高价商品")))</f>
        <v>低价商品</v>
      </c>
    </row>
    <row r="410" spans="1:14" x14ac:dyDescent="0.2">
      <c r="A410">
        <v>325</v>
      </c>
      <c r="B410">
        <v>246</v>
      </c>
      <c r="C410" t="s">
        <v>32</v>
      </c>
      <c r="D410" t="s">
        <v>79</v>
      </c>
      <c r="E410" t="s">
        <v>31</v>
      </c>
      <c r="F410">
        <v>4</v>
      </c>
      <c r="G410" t="s">
        <v>13</v>
      </c>
      <c r="H410" s="1">
        <v>45938.313194444447</v>
      </c>
      <c r="I410" s="5">
        <f>INT(TB[[#This Row],[时间戳]])</f>
        <v>45938</v>
      </c>
      <c r="J410" s="2">
        <f>HOUR(TB[[#This Row],[时间戳]])</f>
        <v>7</v>
      </c>
      <c r="K410">
        <v>801</v>
      </c>
      <c r="L410">
        <v>2</v>
      </c>
      <c r="M410">
        <f>TB[[#This Row],[售价]]*TB[[#This Row],[销量]]</f>
        <v>1602</v>
      </c>
      <c r="N410" t="str">
        <f>IF(TB[[#This Row],[售价]]&lt;1000,"低价商品",IF(TB[[#This Row],[售价]]&lt;5000,"中价商品",IF(TB[[#This Row],[售价]]&lt;10000,"高价商品","超高价商品")))</f>
        <v>低价商品</v>
      </c>
    </row>
    <row r="411" spans="1:14" x14ac:dyDescent="0.2">
      <c r="A411">
        <v>125</v>
      </c>
      <c r="B411">
        <v>294</v>
      </c>
      <c r="C411" t="s">
        <v>36</v>
      </c>
      <c r="D411" t="s">
        <v>112</v>
      </c>
      <c r="E411" t="s">
        <v>22</v>
      </c>
      <c r="F411">
        <v>1</v>
      </c>
      <c r="G411" t="s">
        <v>13</v>
      </c>
      <c r="H411" s="1">
        <v>45938.314583333333</v>
      </c>
      <c r="I411" s="5">
        <f>INT(TB[[#This Row],[时间戳]])</f>
        <v>45938</v>
      </c>
      <c r="J411" s="2">
        <f>HOUR(TB[[#This Row],[时间戳]])</f>
        <v>7</v>
      </c>
      <c r="K411">
        <v>3943</v>
      </c>
      <c r="L411">
        <v>2</v>
      </c>
      <c r="M411">
        <f>TB[[#This Row],[售价]]*TB[[#This Row],[销量]]</f>
        <v>7886</v>
      </c>
      <c r="N411" t="str">
        <f>IF(TB[[#This Row],[售价]]&lt;1000,"低价商品",IF(TB[[#This Row],[售价]]&lt;5000,"中价商品",IF(TB[[#This Row],[售价]]&lt;10000,"高价商品","超高价商品")))</f>
        <v>中价商品</v>
      </c>
    </row>
    <row r="412" spans="1:14" x14ac:dyDescent="0.2">
      <c r="A412">
        <v>354</v>
      </c>
      <c r="B412">
        <v>75</v>
      </c>
      <c r="C412" t="s">
        <v>17</v>
      </c>
      <c r="D412" t="s">
        <v>126</v>
      </c>
      <c r="E412" t="s">
        <v>39</v>
      </c>
      <c r="F412">
        <v>5</v>
      </c>
      <c r="G412" t="s">
        <v>42</v>
      </c>
      <c r="H412" s="1">
        <v>45938.321527777778</v>
      </c>
      <c r="I412" s="5">
        <f>INT(TB[[#This Row],[时间戳]])</f>
        <v>45938</v>
      </c>
      <c r="J412" s="2">
        <f>HOUR(TB[[#This Row],[时间戳]])</f>
        <v>7</v>
      </c>
      <c r="K412">
        <v>3649</v>
      </c>
      <c r="L412">
        <v>0</v>
      </c>
      <c r="M412">
        <f>TB[[#This Row],[售价]]*TB[[#This Row],[销量]]</f>
        <v>0</v>
      </c>
      <c r="N412" t="str">
        <f>IF(TB[[#This Row],[售价]]&lt;1000,"低价商品",IF(TB[[#This Row],[售价]]&lt;5000,"中价商品",IF(TB[[#This Row],[售价]]&lt;10000,"高价商品","超高价商品")))</f>
        <v>中价商品</v>
      </c>
    </row>
    <row r="413" spans="1:14" x14ac:dyDescent="0.2">
      <c r="A413">
        <v>81</v>
      </c>
      <c r="B413">
        <v>178</v>
      </c>
      <c r="C413" t="s">
        <v>36</v>
      </c>
      <c r="D413" t="s">
        <v>264</v>
      </c>
      <c r="E413" t="s">
        <v>12</v>
      </c>
      <c r="F413">
        <v>2</v>
      </c>
      <c r="G413" t="s">
        <v>13</v>
      </c>
      <c r="H413" s="1">
        <v>45938.377083333333</v>
      </c>
      <c r="I413" s="5">
        <f>INT(TB[[#This Row],[时间戳]])</f>
        <v>45938</v>
      </c>
      <c r="J413" s="2">
        <f>HOUR(TB[[#This Row],[时间戳]])</f>
        <v>9</v>
      </c>
      <c r="K413">
        <v>8579</v>
      </c>
      <c r="L413">
        <v>5</v>
      </c>
      <c r="M413">
        <f>TB[[#This Row],[售价]]*TB[[#This Row],[销量]]</f>
        <v>42895</v>
      </c>
      <c r="N413" t="str">
        <f>IF(TB[[#This Row],[售价]]&lt;1000,"低价商品",IF(TB[[#This Row],[售价]]&lt;5000,"中价商品",IF(TB[[#This Row],[售价]]&lt;10000,"高价商品","超高价商品")))</f>
        <v>高价商品</v>
      </c>
    </row>
    <row r="414" spans="1:14" x14ac:dyDescent="0.2">
      <c r="A414">
        <v>220</v>
      </c>
      <c r="B414">
        <v>104</v>
      </c>
      <c r="C414" t="s">
        <v>36</v>
      </c>
      <c r="D414" t="s">
        <v>265</v>
      </c>
      <c r="E414" t="s">
        <v>31</v>
      </c>
      <c r="F414">
        <v>4</v>
      </c>
      <c r="G414" t="s">
        <v>13</v>
      </c>
      <c r="H414" s="1">
        <v>45938.431944444441</v>
      </c>
      <c r="I414" s="5">
        <f>INT(TB[[#This Row],[时间戳]])</f>
        <v>45938</v>
      </c>
      <c r="J414" s="2">
        <f>HOUR(TB[[#This Row],[时间戳]])</f>
        <v>10</v>
      </c>
      <c r="K414">
        <v>1090</v>
      </c>
      <c r="L414">
        <v>2</v>
      </c>
      <c r="M414">
        <f>TB[[#This Row],[售价]]*TB[[#This Row],[销量]]</f>
        <v>2180</v>
      </c>
      <c r="N414" t="str">
        <f>IF(TB[[#This Row],[售价]]&lt;1000,"低价商品",IF(TB[[#This Row],[售价]]&lt;5000,"中价商品",IF(TB[[#This Row],[售价]]&lt;10000,"高价商品","超高价商品")))</f>
        <v>中价商品</v>
      </c>
    </row>
    <row r="415" spans="1:14" x14ac:dyDescent="0.2">
      <c r="A415">
        <v>713</v>
      </c>
      <c r="B415">
        <v>140</v>
      </c>
      <c r="C415" t="s">
        <v>36</v>
      </c>
      <c r="D415" t="s">
        <v>192</v>
      </c>
      <c r="E415" t="s">
        <v>22</v>
      </c>
      <c r="F415">
        <v>1</v>
      </c>
      <c r="G415" t="s">
        <v>13</v>
      </c>
      <c r="H415" s="1">
        <v>45938.447916666664</v>
      </c>
      <c r="I415" s="5">
        <f>INT(TB[[#This Row],[时间戳]])</f>
        <v>45938</v>
      </c>
      <c r="J415" s="2">
        <f>HOUR(TB[[#This Row],[时间戳]])</f>
        <v>10</v>
      </c>
      <c r="K415">
        <v>7857</v>
      </c>
      <c r="L415">
        <v>2</v>
      </c>
      <c r="M415">
        <f>TB[[#This Row],[售价]]*TB[[#This Row],[销量]]</f>
        <v>15714</v>
      </c>
      <c r="N415" t="str">
        <f>IF(TB[[#This Row],[售价]]&lt;1000,"低价商品",IF(TB[[#This Row],[售价]]&lt;5000,"中价商品",IF(TB[[#This Row],[售价]]&lt;10000,"高价商品","超高价商品")))</f>
        <v>高价商品</v>
      </c>
    </row>
    <row r="416" spans="1:14" x14ac:dyDescent="0.2">
      <c r="A416">
        <v>601</v>
      </c>
      <c r="B416">
        <v>123</v>
      </c>
      <c r="C416" t="s">
        <v>46</v>
      </c>
      <c r="D416" t="s">
        <v>266</v>
      </c>
      <c r="E416" t="s">
        <v>12</v>
      </c>
      <c r="F416">
        <v>2</v>
      </c>
      <c r="G416" t="s">
        <v>42</v>
      </c>
      <c r="H416" s="1">
        <v>45938.466666666667</v>
      </c>
      <c r="I416" s="5">
        <f>INT(TB[[#This Row],[时间戳]])</f>
        <v>45938</v>
      </c>
      <c r="J416" s="2">
        <f>HOUR(TB[[#This Row],[时间戳]])</f>
        <v>11</v>
      </c>
      <c r="K416">
        <v>6104</v>
      </c>
      <c r="L416">
        <v>0</v>
      </c>
      <c r="M416">
        <f>TB[[#This Row],[售价]]*TB[[#This Row],[销量]]</f>
        <v>0</v>
      </c>
      <c r="N416" t="str">
        <f>IF(TB[[#This Row],[售价]]&lt;1000,"低价商品",IF(TB[[#This Row],[售价]]&lt;5000,"中价商品",IF(TB[[#This Row],[售价]]&lt;10000,"高价商品","超高价商品")))</f>
        <v>高价商品</v>
      </c>
    </row>
    <row r="417" spans="1:14" x14ac:dyDescent="0.2">
      <c r="A417">
        <v>654</v>
      </c>
      <c r="B417">
        <v>120</v>
      </c>
      <c r="C417" t="s">
        <v>20</v>
      </c>
      <c r="D417" t="s">
        <v>267</v>
      </c>
      <c r="E417" t="s">
        <v>39</v>
      </c>
      <c r="F417">
        <v>5</v>
      </c>
      <c r="G417" t="s">
        <v>13</v>
      </c>
      <c r="H417" s="1">
        <v>45938.477083333331</v>
      </c>
      <c r="I417" s="5">
        <f>INT(TB[[#This Row],[时间戳]])</f>
        <v>45938</v>
      </c>
      <c r="J417" s="2">
        <f>HOUR(TB[[#This Row],[时间戳]])</f>
        <v>11</v>
      </c>
      <c r="K417">
        <v>1618</v>
      </c>
      <c r="L417">
        <v>1</v>
      </c>
      <c r="M417">
        <f>TB[[#This Row],[售价]]*TB[[#This Row],[销量]]</f>
        <v>1618</v>
      </c>
      <c r="N417" t="str">
        <f>IF(TB[[#This Row],[售价]]&lt;1000,"低价商品",IF(TB[[#This Row],[售价]]&lt;5000,"中价商品",IF(TB[[#This Row],[售价]]&lt;10000,"高价商品","超高价商品")))</f>
        <v>中价商品</v>
      </c>
    </row>
    <row r="418" spans="1:14" x14ac:dyDescent="0.2">
      <c r="A418">
        <v>735</v>
      </c>
      <c r="B418">
        <v>242</v>
      </c>
      <c r="C418" t="s">
        <v>17</v>
      </c>
      <c r="D418" t="s">
        <v>109</v>
      </c>
      <c r="E418" t="s">
        <v>12</v>
      </c>
      <c r="F418">
        <v>2</v>
      </c>
      <c r="G418" t="s">
        <v>42</v>
      </c>
      <c r="H418" s="1">
        <v>45938.48333333333</v>
      </c>
      <c r="I418" s="5">
        <f>INT(TB[[#This Row],[时间戳]])</f>
        <v>45938</v>
      </c>
      <c r="J418" s="2">
        <f>HOUR(TB[[#This Row],[时间戳]])</f>
        <v>11</v>
      </c>
      <c r="K418">
        <v>4711</v>
      </c>
      <c r="L418">
        <v>0</v>
      </c>
      <c r="M418">
        <f>TB[[#This Row],[售价]]*TB[[#This Row],[销量]]</f>
        <v>0</v>
      </c>
      <c r="N418" t="str">
        <f>IF(TB[[#This Row],[售价]]&lt;1000,"低价商品",IF(TB[[#This Row],[售价]]&lt;5000,"中价商品",IF(TB[[#This Row],[售价]]&lt;10000,"高价商品","超高价商品")))</f>
        <v>中价商品</v>
      </c>
    </row>
    <row r="419" spans="1:14" x14ac:dyDescent="0.2">
      <c r="A419">
        <v>564</v>
      </c>
      <c r="B419">
        <v>81</v>
      </c>
      <c r="C419" t="s">
        <v>26</v>
      </c>
      <c r="D419" t="s">
        <v>225</v>
      </c>
      <c r="E419" t="s">
        <v>31</v>
      </c>
      <c r="F419">
        <v>4</v>
      </c>
      <c r="G419" t="s">
        <v>13</v>
      </c>
      <c r="H419" s="1">
        <v>45938.490972222222</v>
      </c>
      <c r="I419" s="5">
        <f>INT(TB[[#This Row],[时间戳]])</f>
        <v>45938</v>
      </c>
      <c r="J419" s="2">
        <f>HOUR(TB[[#This Row],[时间戳]])</f>
        <v>11</v>
      </c>
      <c r="K419">
        <v>403</v>
      </c>
      <c r="L419">
        <v>2</v>
      </c>
      <c r="M419">
        <f>TB[[#This Row],[售价]]*TB[[#This Row],[销量]]</f>
        <v>806</v>
      </c>
      <c r="N419" t="str">
        <f>IF(TB[[#This Row],[售价]]&lt;1000,"低价商品",IF(TB[[#This Row],[售价]]&lt;5000,"中价商品",IF(TB[[#This Row],[售价]]&lt;10000,"高价商品","超高价商品")))</f>
        <v>低价商品</v>
      </c>
    </row>
    <row r="420" spans="1:14" x14ac:dyDescent="0.2">
      <c r="A420">
        <v>667</v>
      </c>
      <c r="B420">
        <v>103</v>
      </c>
      <c r="C420" t="s">
        <v>44</v>
      </c>
      <c r="D420" t="s">
        <v>268</v>
      </c>
      <c r="E420" t="s">
        <v>16</v>
      </c>
      <c r="F420">
        <v>6</v>
      </c>
      <c r="G420" t="s">
        <v>13</v>
      </c>
      <c r="H420" s="1">
        <v>45938.511805555558</v>
      </c>
      <c r="I420" s="5">
        <f>INT(TB[[#This Row],[时间戳]])</f>
        <v>45938</v>
      </c>
      <c r="J420" s="2">
        <f>HOUR(TB[[#This Row],[时间戳]])</f>
        <v>12</v>
      </c>
      <c r="K420">
        <v>8800</v>
      </c>
      <c r="L420">
        <v>1</v>
      </c>
      <c r="M420">
        <f>TB[[#This Row],[售价]]*TB[[#This Row],[销量]]</f>
        <v>8800</v>
      </c>
      <c r="N420" t="str">
        <f>IF(TB[[#This Row],[售价]]&lt;1000,"低价商品",IF(TB[[#This Row],[售价]]&lt;5000,"中价商品",IF(TB[[#This Row],[售价]]&lt;10000,"高价商品","超高价商品")))</f>
        <v>高价商品</v>
      </c>
    </row>
    <row r="421" spans="1:14" x14ac:dyDescent="0.2">
      <c r="A421">
        <v>662</v>
      </c>
      <c r="B421">
        <v>31</v>
      </c>
      <c r="C421" t="s">
        <v>34</v>
      </c>
      <c r="D421" t="s">
        <v>248</v>
      </c>
      <c r="E421" t="s">
        <v>22</v>
      </c>
      <c r="F421">
        <v>1</v>
      </c>
      <c r="G421" t="s">
        <v>13</v>
      </c>
      <c r="H421" s="1">
        <v>45938.537499999999</v>
      </c>
      <c r="I421" s="5">
        <f>INT(TB[[#This Row],[时间戳]])</f>
        <v>45938</v>
      </c>
      <c r="J421" s="2">
        <f>HOUR(TB[[#This Row],[时间戳]])</f>
        <v>12</v>
      </c>
      <c r="K421">
        <v>7139</v>
      </c>
      <c r="L421">
        <v>2</v>
      </c>
      <c r="M421">
        <f>TB[[#This Row],[售价]]*TB[[#This Row],[销量]]</f>
        <v>14278</v>
      </c>
      <c r="N421" t="str">
        <f>IF(TB[[#This Row],[售价]]&lt;1000,"低价商品",IF(TB[[#This Row],[售价]]&lt;5000,"中价商品",IF(TB[[#This Row],[售价]]&lt;10000,"高价商品","超高价商品")))</f>
        <v>高价商品</v>
      </c>
    </row>
    <row r="422" spans="1:14" x14ac:dyDescent="0.2">
      <c r="A422">
        <v>548</v>
      </c>
      <c r="B422">
        <v>20</v>
      </c>
      <c r="C422" t="s">
        <v>46</v>
      </c>
      <c r="D422" t="s">
        <v>231</v>
      </c>
      <c r="E422" t="s">
        <v>16</v>
      </c>
      <c r="F422">
        <v>6</v>
      </c>
      <c r="G422" t="s">
        <v>13</v>
      </c>
      <c r="H422" s="1">
        <v>45938.565972222219</v>
      </c>
      <c r="I422" s="5">
        <f>INT(TB[[#This Row],[时间戳]])</f>
        <v>45938</v>
      </c>
      <c r="J422" s="2">
        <f>HOUR(TB[[#This Row],[时间戳]])</f>
        <v>13</v>
      </c>
      <c r="K422">
        <v>3598</v>
      </c>
      <c r="L422">
        <v>1</v>
      </c>
      <c r="M422">
        <f>TB[[#This Row],[售价]]*TB[[#This Row],[销量]]</f>
        <v>3598</v>
      </c>
      <c r="N422" t="str">
        <f>IF(TB[[#This Row],[售价]]&lt;1000,"低价商品",IF(TB[[#This Row],[售价]]&lt;5000,"中价商品",IF(TB[[#This Row],[售价]]&lt;10000,"高价商品","超高价商品")))</f>
        <v>中价商品</v>
      </c>
    </row>
    <row r="423" spans="1:14" x14ac:dyDescent="0.2">
      <c r="A423">
        <v>407</v>
      </c>
      <c r="B423">
        <v>254</v>
      </c>
      <c r="C423" t="s">
        <v>26</v>
      </c>
      <c r="D423" t="s">
        <v>131</v>
      </c>
      <c r="E423" t="s">
        <v>22</v>
      </c>
      <c r="F423">
        <v>1</v>
      </c>
      <c r="G423" t="s">
        <v>13</v>
      </c>
      <c r="H423" s="1">
        <v>45938.594444444447</v>
      </c>
      <c r="I423" s="5">
        <f>INT(TB[[#This Row],[时间戳]])</f>
        <v>45938</v>
      </c>
      <c r="J423" s="2">
        <f>HOUR(TB[[#This Row],[时间戳]])</f>
        <v>14</v>
      </c>
      <c r="K423">
        <v>2447</v>
      </c>
      <c r="L423">
        <v>2</v>
      </c>
      <c r="M423">
        <f>TB[[#This Row],[售价]]*TB[[#This Row],[销量]]</f>
        <v>4894</v>
      </c>
      <c r="N423" t="str">
        <f>IF(TB[[#This Row],[售价]]&lt;1000,"低价商品",IF(TB[[#This Row],[售价]]&lt;5000,"中价商品",IF(TB[[#This Row],[售价]]&lt;10000,"高价商品","超高价商品")))</f>
        <v>中价商品</v>
      </c>
    </row>
    <row r="424" spans="1:14" x14ac:dyDescent="0.2">
      <c r="A424">
        <v>10</v>
      </c>
      <c r="B424">
        <v>153</v>
      </c>
      <c r="C424" t="s">
        <v>36</v>
      </c>
      <c r="D424" t="s">
        <v>187</v>
      </c>
      <c r="E424" t="s">
        <v>12</v>
      </c>
      <c r="F424">
        <v>2</v>
      </c>
      <c r="G424" t="s">
        <v>13</v>
      </c>
      <c r="H424" s="1">
        <v>45938.59652777778</v>
      </c>
      <c r="I424" s="5">
        <f>INT(TB[[#This Row],[时间戳]])</f>
        <v>45938</v>
      </c>
      <c r="J424" s="2">
        <f>HOUR(TB[[#This Row],[时间戳]])</f>
        <v>14</v>
      </c>
      <c r="K424">
        <v>7235</v>
      </c>
      <c r="L424">
        <v>2</v>
      </c>
      <c r="M424">
        <f>TB[[#This Row],[售价]]*TB[[#This Row],[销量]]</f>
        <v>14470</v>
      </c>
      <c r="N424" t="str">
        <f>IF(TB[[#This Row],[售价]]&lt;1000,"低价商品",IF(TB[[#This Row],[售价]]&lt;5000,"中价商品",IF(TB[[#This Row],[售价]]&lt;10000,"高价商品","超高价商品")))</f>
        <v>高价商品</v>
      </c>
    </row>
    <row r="425" spans="1:14" x14ac:dyDescent="0.2">
      <c r="A425">
        <v>657</v>
      </c>
      <c r="B425">
        <v>279</v>
      </c>
      <c r="C425" t="s">
        <v>36</v>
      </c>
      <c r="D425" t="s">
        <v>269</v>
      </c>
      <c r="E425" t="s">
        <v>19</v>
      </c>
      <c r="F425">
        <v>3</v>
      </c>
      <c r="G425" t="s">
        <v>13</v>
      </c>
      <c r="H425" s="1">
        <v>45938.609027777777</v>
      </c>
      <c r="I425" s="5">
        <f>INT(TB[[#This Row],[时间戳]])</f>
        <v>45938</v>
      </c>
      <c r="J425" s="2">
        <f>HOUR(TB[[#This Row],[时间戳]])</f>
        <v>14</v>
      </c>
      <c r="K425">
        <v>2350</v>
      </c>
      <c r="L425">
        <v>3</v>
      </c>
      <c r="M425">
        <f>TB[[#This Row],[售价]]*TB[[#This Row],[销量]]</f>
        <v>7050</v>
      </c>
      <c r="N425" t="str">
        <f>IF(TB[[#This Row],[售价]]&lt;1000,"低价商品",IF(TB[[#This Row],[售价]]&lt;5000,"中价商品",IF(TB[[#This Row],[售价]]&lt;10000,"高价商品","超高价商品")))</f>
        <v>中价商品</v>
      </c>
    </row>
    <row r="426" spans="1:14" x14ac:dyDescent="0.2">
      <c r="A426">
        <v>480</v>
      </c>
      <c r="B426">
        <v>140</v>
      </c>
      <c r="C426" t="s">
        <v>26</v>
      </c>
      <c r="D426" t="s">
        <v>270</v>
      </c>
      <c r="E426" t="s">
        <v>16</v>
      </c>
      <c r="F426">
        <v>6</v>
      </c>
      <c r="G426" t="s">
        <v>13</v>
      </c>
      <c r="H426" s="1">
        <v>45938.61041666667</v>
      </c>
      <c r="I426" s="5">
        <f>INT(TB[[#This Row],[时间戳]])</f>
        <v>45938</v>
      </c>
      <c r="J426" s="2">
        <f>HOUR(TB[[#This Row],[时间戳]])</f>
        <v>14</v>
      </c>
      <c r="K426">
        <v>10642</v>
      </c>
      <c r="L426">
        <v>3</v>
      </c>
      <c r="M426">
        <f>TB[[#This Row],[售价]]*TB[[#This Row],[销量]]</f>
        <v>31926</v>
      </c>
      <c r="N426" t="str">
        <f>IF(TB[[#This Row],[售价]]&lt;1000,"低价商品",IF(TB[[#This Row],[售价]]&lt;5000,"中价商品",IF(TB[[#This Row],[售价]]&lt;10000,"高价商品","超高价商品")))</f>
        <v>超高价商品</v>
      </c>
    </row>
    <row r="427" spans="1:14" x14ac:dyDescent="0.2">
      <c r="A427">
        <v>749</v>
      </c>
      <c r="B427">
        <v>235</v>
      </c>
      <c r="C427" t="s">
        <v>34</v>
      </c>
      <c r="D427" t="s">
        <v>175</v>
      </c>
      <c r="E427" t="s">
        <v>22</v>
      </c>
      <c r="F427">
        <v>1</v>
      </c>
      <c r="G427" t="s">
        <v>13</v>
      </c>
      <c r="H427" s="1">
        <v>45938.625</v>
      </c>
      <c r="I427" s="5">
        <f>INT(TB[[#This Row],[时间戳]])</f>
        <v>45938</v>
      </c>
      <c r="J427" s="2">
        <f>HOUR(TB[[#This Row],[时间戳]])</f>
        <v>15</v>
      </c>
      <c r="K427">
        <v>2436</v>
      </c>
      <c r="L427">
        <v>3</v>
      </c>
      <c r="M427">
        <f>TB[[#This Row],[售价]]*TB[[#This Row],[销量]]</f>
        <v>7308</v>
      </c>
      <c r="N427" t="str">
        <f>IF(TB[[#This Row],[售价]]&lt;1000,"低价商品",IF(TB[[#This Row],[售价]]&lt;5000,"中价商品",IF(TB[[#This Row],[售价]]&lt;10000,"高价商品","超高价商品")))</f>
        <v>中价商品</v>
      </c>
    </row>
    <row r="428" spans="1:14" x14ac:dyDescent="0.2">
      <c r="A428">
        <v>755</v>
      </c>
      <c r="B428">
        <v>173</v>
      </c>
      <c r="C428" t="s">
        <v>26</v>
      </c>
      <c r="D428" t="s">
        <v>271</v>
      </c>
      <c r="E428" t="s">
        <v>25</v>
      </c>
      <c r="F428">
        <v>7</v>
      </c>
      <c r="G428" t="s">
        <v>13</v>
      </c>
      <c r="H428" s="1">
        <v>45938.635416666664</v>
      </c>
      <c r="I428" s="5">
        <f>INT(TB[[#This Row],[时间戳]])</f>
        <v>45938</v>
      </c>
      <c r="J428" s="2">
        <f>HOUR(TB[[#This Row],[时间戳]])</f>
        <v>15</v>
      </c>
      <c r="K428">
        <v>6741</v>
      </c>
      <c r="L428">
        <v>1</v>
      </c>
      <c r="M428">
        <f>TB[[#This Row],[售价]]*TB[[#This Row],[销量]]</f>
        <v>6741</v>
      </c>
      <c r="N428" t="str">
        <f>IF(TB[[#This Row],[售价]]&lt;1000,"低价商品",IF(TB[[#This Row],[售价]]&lt;5000,"中价商品",IF(TB[[#This Row],[售价]]&lt;10000,"高价商品","超高价商品")))</f>
        <v>高价商品</v>
      </c>
    </row>
    <row r="429" spans="1:14" x14ac:dyDescent="0.2">
      <c r="A429">
        <v>626</v>
      </c>
      <c r="B429">
        <v>208</v>
      </c>
      <c r="C429" t="s">
        <v>32</v>
      </c>
      <c r="D429" t="s">
        <v>118</v>
      </c>
      <c r="E429" t="s">
        <v>19</v>
      </c>
      <c r="F429">
        <v>3</v>
      </c>
      <c r="G429" t="s">
        <v>13</v>
      </c>
      <c r="H429" s="1">
        <v>45938.675694444442</v>
      </c>
      <c r="I429" s="5">
        <f>INT(TB[[#This Row],[时间戳]])</f>
        <v>45938</v>
      </c>
      <c r="J429" s="2">
        <f>HOUR(TB[[#This Row],[时间戳]])</f>
        <v>16</v>
      </c>
      <c r="K429">
        <v>4006</v>
      </c>
      <c r="L429">
        <v>4</v>
      </c>
      <c r="M429">
        <f>TB[[#This Row],[售价]]*TB[[#This Row],[销量]]</f>
        <v>16024</v>
      </c>
      <c r="N429" t="str">
        <f>IF(TB[[#This Row],[售价]]&lt;1000,"低价商品",IF(TB[[#This Row],[售价]]&lt;5000,"中价商品",IF(TB[[#This Row],[售价]]&lt;10000,"高价商品","超高价商品")))</f>
        <v>中价商品</v>
      </c>
    </row>
    <row r="430" spans="1:14" x14ac:dyDescent="0.2">
      <c r="A430">
        <v>411</v>
      </c>
      <c r="B430">
        <v>49</v>
      </c>
      <c r="C430" t="s">
        <v>34</v>
      </c>
      <c r="D430" t="s">
        <v>108</v>
      </c>
      <c r="E430" t="s">
        <v>19</v>
      </c>
      <c r="F430">
        <v>3</v>
      </c>
      <c r="G430" t="s">
        <v>42</v>
      </c>
      <c r="H430" s="1">
        <v>45938.684027777781</v>
      </c>
      <c r="I430" s="5">
        <f>INT(TB[[#This Row],[时间戳]])</f>
        <v>45938</v>
      </c>
      <c r="J430" s="2">
        <f>HOUR(TB[[#This Row],[时间戳]])</f>
        <v>16</v>
      </c>
      <c r="K430">
        <v>5066</v>
      </c>
      <c r="L430">
        <v>0</v>
      </c>
      <c r="M430">
        <f>TB[[#This Row],[售价]]*TB[[#This Row],[销量]]</f>
        <v>0</v>
      </c>
      <c r="N430" t="str">
        <f>IF(TB[[#This Row],[售价]]&lt;1000,"低价商品",IF(TB[[#This Row],[售价]]&lt;5000,"中价商品",IF(TB[[#This Row],[售价]]&lt;10000,"高价商品","超高价商品")))</f>
        <v>高价商品</v>
      </c>
    </row>
    <row r="431" spans="1:14" x14ac:dyDescent="0.2">
      <c r="A431">
        <v>255</v>
      </c>
      <c r="B431">
        <v>4</v>
      </c>
      <c r="C431" t="s">
        <v>44</v>
      </c>
      <c r="D431" t="s">
        <v>272</v>
      </c>
      <c r="E431" t="s">
        <v>16</v>
      </c>
      <c r="F431">
        <v>6</v>
      </c>
      <c r="G431" t="s">
        <v>13</v>
      </c>
      <c r="H431" s="1">
        <v>45938.686111111114</v>
      </c>
      <c r="I431" s="5">
        <f>INT(TB[[#This Row],[时间戳]])</f>
        <v>45938</v>
      </c>
      <c r="J431" s="2">
        <f>HOUR(TB[[#This Row],[时间戳]])</f>
        <v>16</v>
      </c>
      <c r="K431">
        <v>4898</v>
      </c>
      <c r="L431">
        <v>2</v>
      </c>
      <c r="M431">
        <f>TB[[#This Row],[售价]]*TB[[#This Row],[销量]]</f>
        <v>9796</v>
      </c>
      <c r="N431" t="str">
        <f>IF(TB[[#This Row],[售价]]&lt;1000,"低价商品",IF(TB[[#This Row],[售价]]&lt;5000,"中价商品",IF(TB[[#This Row],[售价]]&lt;10000,"高价商品","超高价商品")))</f>
        <v>中价商品</v>
      </c>
    </row>
    <row r="432" spans="1:14" x14ac:dyDescent="0.2">
      <c r="A432">
        <v>772</v>
      </c>
      <c r="B432">
        <v>137</v>
      </c>
      <c r="C432" t="s">
        <v>32</v>
      </c>
      <c r="D432" t="s">
        <v>273</v>
      </c>
      <c r="E432" t="s">
        <v>16</v>
      </c>
      <c r="F432">
        <v>6</v>
      </c>
      <c r="G432" t="s">
        <v>13</v>
      </c>
      <c r="H432" s="1">
        <v>45938.688888888886</v>
      </c>
      <c r="I432" s="5">
        <f>INT(TB[[#This Row],[时间戳]])</f>
        <v>45938</v>
      </c>
      <c r="J432" s="2">
        <f>HOUR(TB[[#This Row],[时间戳]])</f>
        <v>16</v>
      </c>
      <c r="K432">
        <v>6268</v>
      </c>
      <c r="L432">
        <v>1</v>
      </c>
      <c r="M432">
        <f>TB[[#This Row],[售价]]*TB[[#This Row],[销量]]</f>
        <v>6268</v>
      </c>
      <c r="N432" t="str">
        <f>IF(TB[[#This Row],[售价]]&lt;1000,"低价商品",IF(TB[[#This Row],[售价]]&lt;5000,"中价商品",IF(TB[[#This Row],[售价]]&lt;10000,"高价商品","超高价商品")))</f>
        <v>高价商品</v>
      </c>
    </row>
    <row r="433" spans="1:14" x14ac:dyDescent="0.2">
      <c r="A433">
        <v>587</v>
      </c>
      <c r="B433">
        <v>6</v>
      </c>
      <c r="C433" t="s">
        <v>46</v>
      </c>
      <c r="D433" t="s">
        <v>209</v>
      </c>
      <c r="E433" t="s">
        <v>22</v>
      </c>
      <c r="F433">
        <v>1</v>
      </c>
      <c r="G433" t="s">
        <v>13</v>
      </c>
      <c r="H433" s="1">
        <v>45938.715277777781</v>
      </c>
      <c r="I433" s="5">
        <f>INT(TB[[#This Row],[时间戳]])</f>
        <v>45938</v>
      </c>
      <c r="J433" s="2">
        <f>HOUR(TB[[#This Row],[时间戳]])</f>
        <v>17</v>
      </c>
      <c r="K433">
        <v>3654</v>
      </c>
      <c r="L433">
        <v>1</v>
      </c>
      <c r="M433">
        <f>TB[[#This Row],[售价]]*TB[[#This Row],[销量]]</f>
        <v>3654</v>
      </c>
      <c r="N433" t="str">
        <f>IF(TB[[#This Row],[售价]]&lt;1000,"低价商品",IF(TB[[#This Row],[售价]]&lt;5000,"中价商品",IF(TB[[#This Row],[售价]]&lt;10000,"高价商品","超高价商品")))</f>
        <v>中价商品</v>
      </c>
    </row>
    <row r="434" spans="1:14" x14ac:dyDescent="0.2">
      <c r="A434">
        <v>242</v>
      </c>
      <c r="B434">
        <v>32</v>
      </c>
      <c r="C434" t="s">
        <v>34</v>
      </c>
      <c r="D434" t="s">
        <v>105</v>
      </c>
      <c r="E434" t="s">
        <v>12</v>
      </c>
      <c r="F434">
        <v>2</v>
      </c>
      <c r="G434" t="s">
        <v>13</v>
      </c>
      <c r="H434" s="1">
        <v>45938.732638888891</v>
      </c>
      <c r="I434" s="5">
        <f>INT(TB[[#This Row],[时间戳]])</f>
        <v>45938</v>
      </c>
      <c r="J434" s="2">
        <f>HOUR(TB[[#This Row],[时间戳]])</f>
        <v>17</v>
      </c>
      <c r="K434">
        <v>8419</v>
      </c>
      <c r="L434">
        <v>1</v>
      </c>
      <c r="M434">
        <f>TB[[#This Row],[售价]]*TB[[#This Row],[销量]]</f>
        <v>8419</v>
      </c>
      <c r="N434" t="str">
        <f>IF(TB[[#This Row],[售价]]&lt;1000,"低价商品",IF(TB[[#This Row],[售价]]&lt;5000,"中价商品",IF(TB[[#This Row],[售价]]&lt;10000,"高价商品","超高价商品")))</f>
        <v>高价商品</v>
      </c>
    </row>
    <row r="435" spans="1:14" x14ac:dyDescent="0.2">
      <c r="A435">
        <v>164</v>
      </c>
      <c r="B435">
        <v>208</v>
      </c>
      <c r="C435" t="s">
        <v>44</v>
      </c>
      <c r="D435" t="s">
        <v>158</v>
      </c>
      <c r="E435" t="s">
        <v>31</v>
      </c>
      <c r="F435">
        <v>4</v>
      </c>
      <c r="G435" t="s">
        <v>13</v>
      </c>
      <c r="H435" s="1">
        <v>45938.734722222223</v>
      </c>
      <c r="I435" s="5">
        <f>INT(TB[[#This Row],[时间戳]])</f>
        <v>45938</v>
      </c>
      <c r="J435" s="2">
        <f>HOUR(TB[[#This Row],[时间戳]])</f>
        <v>17</v>
      </c>
      <c r="K435">
        <v>1277</v>
      </c>
      <c r="L435">
        <v>2</v>
      </c>
      <c r="M435">
        <f>TB[[#This Row],[售价]]*TB[[#This Row],[销量]]</f>
        <v>2554</v>
      </c>
      <c r="N435" t="str">
        <f>IF(TB[[#This Row],[售价]]&lt;1000,"低价商品",IF(TB[[#This Row],[售价]]&lt;5000,"中价商品",IF(TB[[#This Row],[售价]]&lt;10000,"高价商品","超高价商品")))</f>
        <v>中价商品</v>
      </c>
    </row>
    <row r="436" spans="1:14" x14ac:dyDescent="0.2">
      <c r="A436">
        <v>121</v>
      </c>
      <c r="B436">
        <v>152</v>
      </c>
      <c r="C436" t="s">
        <v>36</v>
      </c>
      <c r="D436" t="s">
        <v>274</v>
      </c>
      <c r="E436" t="s">
        <v>16</v>
      </c>
      <c r="F436">
        <v>6</v>
      </c>
      <c r="G436" t="s">
        <v>13</v>
      </c>
      <c r="H436" s="1">
        <v>45938.736805555556</v>
      </c>
      <c r="I436" s="5">
        <f>INT(TB[[#This Row],[时间戳]])</f>
        <v>45938</v>
      </c>
      <c r="J436" s="2">
        <f>HOUR(TB[[#This Row],[时间戳]])</f>
        <v>17</v>
      </c>
      <c r="K436">
        <v>10393</v>
      </c>
      <c r="L436">
        <v>2</v>
      </c>
      <c r="M436">
        <f>TB[[#This Row],[售价]]*TB[[#This Row],[销量]]</f>
        <v>20786</v>
      </c>
      <c r="N436" t="str">
        <f>IF(TB[[#This Row],[售价]]&lt;1000,"低价商品",IF(TB[[#This Row],[售价]]&lt;5000,"中价商品",IF(TB[[#This Row],[售价]]&lt;10000,"高价商品","超高价商品")))</f>
        <v>超高价商品</v>
      </c>
    </row>
    <row r="437" spans="1:14" x14ac:dyDescent="0.2">
      <c r="A437">
        <v>137</v>
      </c>
      <c r="B437">
        <v>245</v>
      </c>
      <c r="C437" t="s">
        <v>32</v>
      </c>
      <c r="D437" t="s">
        <v>275</v>
      </c>
      <c r="E437" t="s">
        <v>22</v>
      </c>
      <c r="F437">
        <v>1</v>
      </c>
      <c r="G437" t="s">
        <v>13</v>
      </c>
      <c r="H437" s="1">
        <v>45938.759027777778</v>
      </c>
      <c r="I437" s="5">
        <f>INT(TB[[#This Row],[时间戳]])</f>
        <v>45938</v>
      </c>
      <c r="J437" s="2">
        <f>HOUR(TB[[#This Row],[时间戳]])</f>
        <v>18</v>
      </c>
      <c r="K437">
        <v>4124</v>
      </c>
      <c r="L437">
        <v>2</v>
      </c>
      <c r="M437">
        <f>TB[[#This Row],[售价]]*TB[[#This Row],[销量]]</f>
        <v>8248</v>
      </c>
      <c r="N437" t="str">
        <f>IF(TB[[#This Row],[售价]]&lt;1000,"低价商品",IF(TB[[#This Row],[售价]]&lt;5000,"中价商品",IF(TB[[#This Row],[售价]]&lt;10000,"高价商品","超高价商品")))</f>
        <v>中价商品</v>
      </c>
    </row>
    <row r="438" spans="1:14" x14ac:dyDescent="0.2">
      <c r="A438">
        <v>426</v>
      </c>
      <c r="B438">
        <v>282</v>
      </c>
      <c r="C438" t="s">
        <v>46</v>
      </c>
      <c r="D438" t="s">
        <v>260</v>
      </c>
      <c r="E438" t="s">
        <v>22</v>
      </c>
      <c r="F438">
        <v>1</v>
      </c>
      <c r="G438" t="s">
        <v>13</v>
      </c>
      <c r="H438" s="1">
        <v>45938.760416666664</v>
      </c>
      <c r="I438" s="5">
        <f>INT(TB[[#This Row],[时间戳]])</f>
        <v>45938</v>
      </c>
      <c r="J438" s="2">
        <f>HOUR(TB[[#This Row],[时间戳]])</f>
        <v>18</v>
      </c>
      <c r="K438">
        <v>2286</v>
      </c>
      <c r="L438">
        <v>1</v>
      </c>
      <c r="M438">
        <f>TB[[#This Row],[售价]]*TB[[#This Row],[销量]]</f>
        <v>2286</v>
      </c>
      <c r="N438" t="str">
        <f>IF(TB[[#This Row],[售价]]&lt;1000,"低价商品",IF(TB[[#This Row],[售价]]&lt;5000,"中价商品",IF(TB[[#This Row],[售价]]&lt;10000,"高价商品","超高价商品")))</f>
        <v>中价商品</v>
      </c>
    </row>
    <row r="439" spans="1:14" x14ac:dyDescent="0.2">
      <c r="A439">
        <v>224</v>
      </c>
      <c r="B439">
        <v>127</v>
      </c>
      <c r="C439" t="s">
        <v>20</v>
      </c>
      <c r="D439" t="s">
        <v>276</v>
      </c>
      <c r="E439" t="s">
        <v>16</v>
      </c>
      <c r="F439">
        <v>6</v>
      </c>
      <c r="G439" t="s">
        <v>13</v>
      </c>
      <c r="H439" s="1">
        <v>45938.791666666664</v>
      </c>
      <c r="I439" s="5">
        <f>INT(TB[[#This Row],[时间戳]])</f>
        <v>45938</v>
      </c>
      <c r="J439" s="2">
        <f>HOUR(TB[[#This Row],[时间戳]])</f>
        <v>19</v>
      </c>
      <c r="K439">
        <v>9901</v>
      </c>
      <c r="L439">
        <v>1</v>
      </c>
      <c r="M439">
        <f>TB[[#This Row],[售价]]*TB[[#This Row],[销量]]</f>
        <v>9901</v>
      </c>
      <c r="N439" t="str">
        <f>IF(TB[[#This Row],[售价]]&lt;1000,"低价商品",IF(TB[[#This Row],[售价]]&lt;5000,"中价商品",IF(TB[[#This Row],[售价]]&lt;10000,"高价商品","超高价商品")))</f>
        <v>高价商品</v>
      </c>
    </row>
    <row r="440" spans="1:14" x14ac:dyDescent="0.2">
      <c r="A440">
        <v>539</v>
      </c>
      <c r="B440">
        <v>229</v>
      </c>
      <c r="C440" t="s">
        <v>46</v>
      </c>
      <c r="D440" t="s">
        <v>180</v>
      </c>
      <c r="E440" t="s">
        <v>31</v>
      </c>
      <c r="F440">
        <v>4</v>
      </c>
      <c r="G440" t="s">
        <v>13</v>
      </c>
      <c r="H440" s="1">
        <v>45938.814583333333</v>
      </c>
      <c r="I440" s="5">
        <f>INT(TB[[#This Row],[时间戳]])</f>
        <v>45938</v>
      </c>
      <c r="J440" s="2">
        <f>HOUR(TB[[#This Row],[时间戳]])</f>
        <v>19</v>
      </c>
      <c r="K440">
        <v>1500</v>
      </c>
      <c r="L440">
        <v>2</v>
      </c>
      <c r="M440">
        <f>TB[[#This Row],[售价]]*TB[[#This Row],[销量]]</f>
        <v>3000</v>
      </c>
      <c r="N440" t="str">
        <f>IF(TB[[#This Row],[售价]]&lt;1000,"低价商品",IF(TB[[#This Row],[售价]]&lt;5000,"中价商品",IF(TB[[#This Row],[售价]]&lt;10000,"高价商品","超高价商品")))</f>
        <v>中价商品</v>
      </c>
    </row>
    <row r="441" spans="1:14" x14ac:dyDescent="0.2">
      <c r="A441">
        <v>578</v>
      </c>
      <c r="B441">
        <v>58</v>
      </c>
      <c r="C441" t="s">
        <v>34</v>
      </c>
      <c r="D441" t="s">
        <v>196</v>
      </c>
      <c r="E441" t="s">
        <v>16</v>
      </c>
      <c r="F441">
        <v>6</v>
      </c>
      <c r="G441" t="s">
        <v>13</v>
      </c>
      <c r="H441" s="1">
        <v>45938.815972222219</v>
      </c>
      <c r="I441" s="5">
        <f>INT(TB[[#This Row],[时间戳]])</f>
        <v>45938</v>
      </c>
      <c r="J441" s="2">
        <f>HOUR(TB[[#This Row],[时间戳]])</f>
        <v>19</v>
      </c>
      <c r="K441">
        <v>10813</v>
      </c>
      <c r="L441">
        <v>2</v>
      </c>
      <c r="M441">
        <f>TB[[#This Row],[售价]]*TB[[#This Row],[销量]]</f>
        <v>21626</v>
      </c>
      <c r="N441" t="str">
        <f>IF(TB[[#This Row],[售价]]&lt;1000,"低价商品",IF(TB[[#This Row],[售价]]&lt;5000,"中价商品",IF(TB[[#This Row],[售价]]&lt;10000,"高价商品","超高价商品")))</f>
        <v>超高价商品</v>
      </c>
    </row>
    <row r="442" spans="1:14" x14ac:dyDescent="0.2">
      <c r="A442">
        <v>587</v>
      </c>
      <c r="B442">
        <v>275</v>
      </c>
      <c r="C442" t="s">
        <v>20</v>
      </c>
      <c r="D442" t="s">
        <v>277</v>
      </c>
      <c r="E442" t="s">
        <v>12</v>
      </c>
      <c r="F442">
        <v>2</v>
      </c>
      <c r="G442" t="s">
        <v>13</v>
      </c>
      <c r="H442" s="1">
        <v>45938.817361111112</v>
      </c>
      <c r="I442" s="5">
        <f>INT(TB[[#This Row],[时间戳]])</f>
        <v>45938</v>
      </c>
      <c r="J442" s="2">
        <f>HOUR(TB[[#This Row],[时间戳]])</f>
        <v>19</v>
      </c>
      <c r="K442">
        <v>5091</v>
      </c>
      <c r="L442">
        <v>2</v>
      </c>
      <c r="M442">
        <f>TB[[#This Row],[售价]]*TB[[#This Row],[销量]]</f>
        <v>10182</v>
      </c>
      <c r="N442" t="str">
        <f>IF(TB[[#This Row],[售价]]&lt;1000,"低价商品",IF(TB[[#This Row],[售价]]&lt;5000,"中价商品",IF(TB[[#This Row],[售价]]&lt;10000,"高价商品","超高价商品")))</f>
        <v>高价商品</v>
      </c>
    </row>
    <row r="443" spans="1:14" x14ac:dyDescent="0.2">
      <c r="A443">
        <v>453</v>
      </c>
      <c r="B443">
        <v>60</v>
      </c>
      <c r="C443" t="s">
        <v>34</v>
      </c>
      <c r="D443" t="s">
        <v>199</v>
      </c>
      <c r="E443" t="s">
        <v>39</v>
      </c>
      <c r="F443">
        <v>5</v>
      </c>
      <c r="G443" t="s">
        <v>13</v>
      </c>
      <c r="H443" s="1">
        <v>45938.897222222222</v>
      </c>
      <c r="I443" s="5">
        <f>INT(TB[[#This Row],[时间戳]])</f>
        <v>45938</v>
      </c>
      <c r="J443" s="2">
        <f>HOUR(TB[[#This Row],[时间戳]])</f>
        <v>21</v>
      </c>
      <c r="K443">
        <v>1297</v>
      </c>
      <c r="L443">
        <v>4</v>
      </c>
      <c r="M443">
        <f>TB[[#This Row],[售价]]*TB[[#This Row],[销量]]</f>
        <v>5188</v>
      </c>
      <c r="N443" t="str">
        <f>IF(TB[[#This Row],[售价]]&lt;1000,"低价商品",IF(TB[[#This Row],[售价]]&lt;5000,"中价商品",IF(TB[[#This Row],[售价]]&lt;10000,"高价商品","超高价商品")))</f>
        <v>中价商品</v>
      </c>
    </row>
    <row r="444" spans="1:14" x14ac:dyDescent="0.2">
      <c r="A444">
        <v>94</v>
      </c>
      <c r="B444">
        <v>262</v>
      </c>
      <c r="C444" t="s">
        <v>46</v>
      </c>
      <c r="D444" t="s">
        <v>211</v>
      </c>
      <c r="E444" t="s">
        <v>31</v>
      </c>
      <c r="F444">
        <v>4</v>
      </c>
      <c r="G444" t="s">
        <v>13</v>
      </c>
      <c r="H444" s="1">
        <v>45938.905555555553</v>
      </c>
      <c r="I444" s="5">
        <f>INT(TB[[#This Row],[时间戳]])</f>
        <v>45938</v>
      </c>
      <c r="J444" s="2">
        <f>HOUR(TB[[#This Row],[时间戳]])</f>
        <v>21</v>
      </c>
      <c r="K444">
        <v>1348</v>
      </c>
      <c r="L444">
        <v>2</v>
      </c>
      <c r="M444">
        <f>TB[[#This Row],[售价]]*TB[[#This Row],[销量]]</f>
        <v>2696</v>
      </c>
      <c r="N444" t="str">
        <f>IF(TB[[#This Row],[售价]]&lt;1000,"低价商品",IF(TB[[#This Row],[售价]]&lt;5000,"中价商品",IF(TB[[#This Row],[售价]]&lt;10000,"高价商品","超高价商品")))</f>
        <v>中价商品</v>
      </c>
    </row>
    <row r="445" spans="1:14" x14ac:dyDescent="0.2">
      <c r="A445">
        <v>526</v>
      </c>
      <c r="B445">
        <v>213</v>
      </c>
      <c r="C445" t="s">
        <v>44</v>
      </c>
      <c r="D445" t="s">
        <v>76</v>
      </c>
      <c r="E445" t="s">
        <v>31</v>
      </c>
      <c r="F445">
        <v>4</v>
      </c>
      <c r="G445" t="s">
        <v>13</v>
      </c>
      <c r="H445" s="1">
        <v>45938.913888888892</v>
      </c>
      <c r="I445" s="5">
        <f>INT(TB[[#This Row],[时间戳]])</f>
        <v>45938</v>
      </c>
      <c r="J445" s="2">
        <f>HOUR(TB[[#This Row],[时间戳]])</f>
        <v>21</v>
      </c>
      <c r="K445">
        <v>790</v>
      </c>
      <c r="L445">
        <v>2</v>
      </c>
      <c r="M445">
        <f>TB[[#This Row],[售价]]*TB[[#This Row],[销量]]</f>
        <v>1580</v>
      </c>
      <c r="N445" t="str">
        <f>IF(TB[[#This Row],[售价]]&lt;1000,"低价商品",IF(TB[[#This Row],[售价]]&lt;5000,"中价商品",IF(TB[[#This Row],[售价]]&lt;10000,"高价商品","超高价商品")))</f>
        <v>低价商品</v>
      </c>
    </row>
    <row r="446" spans="1:14" x14ac:dyDescent="0.2">
      <c r="A446">
        <v>474</v>
      </c>
      <c r="B446">
        <v>158</v>
      </c>
      <c r="C446" t="s">
        <v>10</v>
      </c>
      <c r="D446" t="s">
        <v>278</v>
      </c>
      <c r="E446" t="s">
        <v>19</v>
      </c>
      <c r="F446">
        <v>3</v>
      </c>
      <c r="G446" t="s">
        <v>13</v>
      </c>
      <c r="H446" s="1">
        <v>45938.945138888892</v>
      </c>
      <c r="I446" s="5">
        <f>INT(TB[[#This Row],[时间戳]])</f>
        <v>45938</v>
      </c>
      <c r="J446" s="2">
        <f>HOUR(TB[[#This Row],[时间戳]])</f>
        <v>22</v>
      </c>
      <c r="K446">
        <v>5330</v>
      </c>
      <c r="L446">
        <v>5</v>
      </c>
      <c r="M446">
        <f>TB[[#This Row],[售价]]*TB[[#This Row],[销量]]</f>
        <v>26650</v>
      </c>
      <c r="N446" t="str">
        <f>IF(TB[[#This Row],[售价]]&lt;1000,"低价商品",IF(TB[[#This Row],[售价]]&lt;5000,"中价商品",IF(TB[[#This Row],[售价]]&lt;10000,"高价商品","超高价商品")))</f>
        <v>高价商品</v>
      </c>
    </row>
    <row r="447" spans="1:14" x14ac:dyDescent="0.2">
      <c r="A447">
        <v>4</v>
      </c>
      <c r="B447">
        <v>112</v>
      </c>
      <c r="C447" t="s">
        <v>17</v>
      </c>
      <c r="D447" t="s">
        <v>279</v>
      </c>
      <c r="E447" t="s">
        <v>22</v>
      </c>
      <c r="F447">
        <v>1</v>
      </c>
      <c r="G447" t="s">
        <v>13</v>
      </c>
      <c r="H447" s="1">
        <v>45938.999305555553</v>
      </c>
      <c r="I447" s="5">
        <f>INT(TB[[#This Row],[时间戳]])</f>
        <v>45938</v>
      </c>
      <c r="J447" s="2">
        <f>HOUR(TB[[#This Row],[时间戳]])</f>
        <v>23</v>
      </c>
      <c r="K447">
        <v>6736</v>
      </c>
      <c r="L447">
        <v>3</v>
      </c>
      <c r="M447">
        <f>TB[[#This Row],[售价]]*TB[[#This Row],[销量]]</f>
        <v>20208</v>
      </c>
      <c r="N447" t="str">
        <f>IF(TB[[#This Row],[售价]]&lt;1000,"低价商品",IF(TB[[#This Row],[售价]]&lt;5000,"中价商品",IF(TB[[#This Row],[售价]]&lt;10000,"高价商品","超高价商品")))</f>
        <v>高价商品</v>
      </c>
    </row>
    <row r="448" spans="1:14" x14ac:dyDescent="0.2">
      <c r="A448">
        <v>353</v>
      </c>
      <c r="B448">
        <v>33</v>
      </c>
      <c r="C448" t="s">
        <v>10</v>
      </c>
      <c r="D448" t="s">
        <v>183</v>
      </c>
      <c r="E448" t="s">
        <v>22</v>
      </c>
      <c r="F448">
        <v>1</v>
      </c>
      <c r="G448" t="s">
        <v>13</v>
      </c>
      <c r="H448" s="1">
        <v>45939.077777777777</v>
      </c>
      <c r="I448" s="5">
        <f>INT(TB[[#This Row],[时间戳]])</f>
        <v>45939</v>
      </c>
      <c r="J448" s="2">
        <f>HOUR(TB[[#This Row],[时间戳]])</f>
        <v>1</v>
      </c>
      <c r="K448">
        <v>5574</v>
      </c>
      <c r="L448">
        <v>1</v>
      </c>
      <c r="M448">
        <f>TB[[#This Row],[售价]]*TB[[#This Row],[销量]]</f>
        <v>5574</v>
      </c>
      <c r="N448" t="str">
        <f>IF(TB[[#This Row],[售价]]&lt;1000,"低价商品",IF(TB[[#This Row],[售价]]&lt;5000,"中价商品",IF(TB[[#This Row],[售价]]&lt;10000,"高价商品","超高价商品")))</f>
        <v>高价商品</v>
      </c>
    </row>
    <row r="449" spans="1:14" x14ac:dyDescent="0.2">
      <c r="A449">
        <v>33</v>
      </c>
      <c r="B449">
        <v>147</v>
      </c>
      <c r="C449" t="s">
        <v>14</v>
      </c>
      <c r="D449" t="s">
        <v>280</v>
      </c>
      <c r="E449" t="s">
        <v>12</v>
      </c>
      <c r="F449">
        <v>2</v>
      </c>
      <c r="G449" t="s">
        <v>13</v>
      </c>
      <c r="H449" s="1">
        <v>45939.103472222225</v>
      </c>
      <c r="I449" s="5">
        <f>INT(TB[[#This Row],[时间戳]])</f>
        <v>45939</v>
      </c>
      <c r="J449" s="2">
        <f>HOUR(TB[[#This Row],[时间戳]])</f>
        <v>2</v>
      </c>
      <c r="K449">
        <v>12696</v>
      </c>
      <c r="L449">
        <v>1</v>
      </c>
      <c r="M449">
        <f>TB[[#This Row],[售价]]*TB[[#This Row],[销量]]</f>
        <v>12696</v>
      </c>
      <c r="N449" t="str">
        <f>IF(TB[[#This Row],[售价]]&lt;1000,"低价商品",IF(TB[[#This Row],[售价]]&lt;5000,"中价商品",IF(TB[[#This Row],[售价]]&lt;10000,"高价商品","超高价商品")))</f>
        <v>超高价商品</v>
      </c>
    </row>
    <row r="450" spans="1:14" x14ac:dyDescent="0.2">
      <c r="A450">
        <v>747</v>
      </c>
      <c r="B450">
        <v>216</v>
      </c>
      <c r="C450" t="s">
        <v>26</v>
      </c>
      <c r="D450" t="s">
        <v>281</v>
      </c>
      <c r="E450" t="s">
        <v>16</v>
      </c>
      <c r="F450">
        <v>6</v>
      </c>
      <c r="G450" t="s">
        <v>13</v>
      </c>
      <c r="H450" s="1">
        <v>45939.111805555556</v>
      </c>
      <c r="I450" s="5">
        <f>INT(TB[[#This Row],[时间戳]])</f>
        <v>45939</v>
      </c>
      <c r="J450" s="2">
        <f>HOUR(TB[[#This Row],[时间戳]])</f>
        <v>2</v>
      </c>
      <c r="K450">
        <v>8590</v>
      </c>
      <c r="L450">
        <v>2</v>
      </c>
      <c r="M450">
        <f>TB[[#This Row],[售价]]*TB[[#This Row],[销量]]</f>
        <v>17180</v>
      </c>
      <c r="N450" t="str">
        <f>IF(TB[[#This Row],[售价]]&lt;1000,"低价商品",IF(TB[[#This Row],[售价]]&lt;5000,"中价商品",IF(TB[[#This Row],[售价]]&lt;10000,"高价商品","超高价商品")))</f>
        <v>高价商品</v>
      </c>
    </row>
    <row r="451" spans="1:14" x14ac:dyDescent="0.2">
      <c r="A451">
        <v>385</v>
      </c>
      <c r="B451">
        <v>42</v>
      </c>
      <c r="C451" t="s">
        <v>44</v>
      </c>
      <c r="D451" t="s">
        <v>163</v>
      </c>
      <c r="E451" t="s">
        <v>12</v>
      </c>
      <c r="F451">
        <v>2</v>
      </c>
      <c r="G451" t="s">
        <v>13</v>
      </c>
      <c r="H451" s="1">
        <v>45939.113888888889</v>
      </c>
      <c r="I451" s="5">
        <f>INT(TB[[#This Row],[时间戳]])</f>
        <v>45939</v>
      </c>
      <c r="J451" s="2">
        <f>HOUR(TB[[#This Row],[时间戳]])</f>
        <v>2</v>
      </c>
      <c r="K451">
        <v>10130</v>
      </c>
      <c r="L451">
        <v>4</v>
      </c>
      <c r="M451">
        <f>TB[[#This Row],[售价]]*TB[[#This Row],[销量]]</f>
        <v>40520</v>
      </c>
      <c r="N451" t="str">
        <f>IF(TB[[#This Row],[售价]]&lt;1000,"低价商品",IF(TB[[#This Row],[售价]]&lt;5000,"中价商品",IF(TB[[#This Row],[售价]]&lt;10000,"高价商品","超高价商品")))</f>
        <v>超高价商品</v>
      </c>
    </row>
    <row r="452" spans="1:14" x14ac:dyDescent="0.2">
      <c r="A452">
        <v>670</v>
      </c>
      <c r="B452">
        <v>179</v>
      </c>
      <c r="C452" t="s">
        <v>20</v>
      </c>
      <c r="D452" t="s">
        <v>40</v>
      </c>
      <c r="E452" t="s">
        <v>25</v>
      </c>
      <c r="F452">
        <v>7</v>
      </c>
      <c r="G452" t="s">
        <v>13</v>
      </c>
      <c r="H452" s="1">
        <v>45939.14166666667</v>
      </c>
      <c r="I452" s="5">
        <f>INT(TB[[#This Row],[时间戳]])</f>
        <v>45939</v>
      </c>
      <c r="J452" s="2">
        <f>HOUR(TB[[#This Row],[时间戳]])</f>
        <v>3</v>
      </c>
      <c r="K452">
        <v>7230</v>
      </c>
      <c r="L452">
        <v>1</v>
      </c>
      <c r="M452">
        <f>TB[[#This Row],[售价]]*TB[[#This Row],[销量]]</f>
        <v>7230</v>
      </c>
      <c r="N452" t="str">
        <f>IF(TB[[#This Row],[售价]]&lt;1000,"低价商品",IF(TB[[#This Row],[售价]]&lt;5000,"中价商品",IF(TB[[#This Row],[售价]]&lt;10000,"高价商品","超高价商品")))</f>
        <v>高价商品</v>
      </c>
    </row>
    <row r="453" spans="1:14" x14ac:dyDescent="0.2">
      <c r="A453">
        <v>542</v>
      </c>
      <c r="B453">
        <v>66</v>
      </c>
      <c r="C453" t="s">
        <v>20</v>
      </c>
      <c r="D453" t="s">
        <v>113</v>
      </c>
      <c r="E453" t="s">
        <v>31</v>
      </c>
      <c r="F453">
        <v>4</v>
      </c>
      <c r="G453" t="s">
        <v>42</v>
      </c>
      <c r="H453" s="1">
        <v>45939.15625</v>
      </c>
      <c r="I453" s="5">
        <f>INT(TB[[#This Row],[时间戳]])</f>
        <v>45939</v>
      </c>
      <c r="J453" s="2">
        <f>HOUR(TB[[#This Row],[时间戳]])</f>
        <v>3</v>
      </c>
      <c r="K453">
        <v>183</v>
      </c>
      <c r="L453">
        <v>0</v>
      </c>
      <c r="M453">
        <f>TB[[#This Row],[售价]]*TB[[#This Row],[销量]]</f>
        <v>0</v>
      </c>
      <c r="N453" t="str">
        <f>IF(TB[[#This Row],[售价]]&lt;1000,"低价商品",IF(TB[[#This Row],[售价]]&lt;5000,"中价商品",IF(TB[[#This Row],[售价]]&lt;10000,"高价商品","超高价商品")))</f>
        <v>低价商品</v>
      </c>
    </row>
    <row r="454" spans="1:14" x14ac:dyDescent="0.2">
      <c r="A454">
        <v>306</v>
      </c>
      <c r="B454">
        <v>238</v>
      </c>
      <c r="C454" t="s">
        <v>10</v>
      </c>
      <c r="D454" t="s">
        <v>134</v>
      </c>
      <c r="E454" t="s">
        <v>22</v>
      </c>
      <c r="F454">
        <v>1</v>
      </c>
      <c r="G454" t="s">
        <v>13</v>
      </c>
      <c r="H454" s="1">
        <v>45939.166666666664</v>
      </c>
      <c r="I454" s="5">
        <f>INT(TB[[#This Row],[时间戳]])</f>
        <v>45939</v>
      </c>
      <c r="J454" s="2">
        <f>HOUR(TB[[#This Row],[时间戳]])</f>
        <v>4</v>
      </c>
      <c r="K454">
        <v>6876</v>
      </c>
      <c r="L454">
        <v>2</v>
      </c>
      <c r="M454">
        <f>TB[[#This Row],[售价]]*TB[[#This Row],[销量]]</f>
        <v>13752</v>
      </c>
      <c r="N454" t="str">
        <f>IF(TB[[#This Row],[售价]]&lt;1000,"低价商品",IF(TB[[#This Row],[售价]]&lt;5000,"中价商品",IF(TB[[#This Row],[售价]]&lt;10000,"高价商品","超高价商品")))</f>
        <v>高价商品</v>
      </c>
    </row>
    <row r="455" spans="1:14" x14ac:dyDescent="0.2">
      <c r="A455">
        <v>545</v>
      </c>
      <c r="B455">
        <v>195</v>
      </c>
      <c r="C455" t="s">
        <v>20</v>
      </c>
      <c r="D455" t="s">
        <v>261</v>
      </c>
      <c r="E455" t="s">
        <v>22</v>
      </c>
      <c r="F455">
        <v>1</v>
      </c>
      <c r="G455" t="s">
        <v>13</v>
      </c>
      <c r="H455" s="1">
        <v>45939.210416666669</v>
      </c>
      <c r="I455" s="5">
        <f>INT(TB[[#This Row],[时间戳]])</f>
        <v>45939</v>
      </c>
      <c r="J455" s="2">
        <f>HOUR(TB[[#This Row],[时间戳]])</f>
        <v>5</v>
      </c>
      <c r="K455">
        <v>6685</v>
      </c>
      <c r="L455">
        <v>4</v>
      </c>
      <c r="M455">
        <f>TB[[#This Row],[售价]]*TB[[#This Row],[销量]]</f>
        <v>26740</v>
      </c>
      <c r="N455" t="str">
        <f>IF(TB[[#This Row],[售价]]&lt;1000,"低价商品",IF(TB[[#This Row],[售价]]&lt;5000,"中价商品",IF(TB[[#This Row],[售价]]&lt;10000,"高价商品","超高价商品")))</f>
        <v>高价商品</v>
      </c>
    </row>
    <row r="456" spans="1:14" x14ac:dyDescent="0.2">
      <c r="A456">
        <v>355</v>
      </c>
      <c r="B456">
        <v>80</v>
      </c>
      <c r="C456" t="s">
        <v>32</v>
      </c>
      <c r="D456" t="s">
        <v>176</v>
      </c>
      <c r="E456" t="s">
        <v>22</v>
      </c>
      <c r="F456">
        <v>1</v>
      </c>
      <c r="G456" t="s">
        <v>42</v>
      </c>
      <c r="H456" s="1">
        <v>45939.212500000001</v>
      </c>
      <c r="I456" s="5">
        <f>INT(TB[[#This Row],[时间戳]])</f>
        <v>45939</v>
      </c>
      <c r="J456" s="2">
        <f>HOUR(TB[[#This Row],[时间戳]])</f>
        <v>5</v>
      </c>
      <c r="K456">
        <v>7661</v>
      </c>
      <c r="L456">
        <v>0</v>
      </c>
      <c r="M456">
        <f>TB[[#This Row],[售价]]*TB[[#This Row],[销量]]</f>
        <v>0</v>
      </c>
      <c r="N456" t="str">
        <f>IF(TB[[#This Row],[售价]]&lt;1000,"低价商品",IF(TB[[#This Row],[售价]]&lt;5000,"中价商品",IF(TB[[#This Row],[售价]]&lt;10000,"高价商品","超高价商品")))</f>
        <v>高价商品</v>
      </c>
    </row>
    <row r="457" spans="1:14" x14ac:dyDescent="0.2">
      <c r="A457">
        <v>677</v>
      </c>
      <c r="B457">
        <v>215</v>
      </c>
      <c r="C457" t="s">
        <v>14</v>
      </c>
      <c r="D457" t="s">
        <v>282</v>
      </c>
      <c r="E457" t="s">
        <v>19</v>
      </c>
      <c r="F457">
        <v>3</v>
      </c>
      <c r="G457" t="s">
        <v>13</v>
      </c>
      <c r="H457" s="1">
        <v>45939.224999999999</v>
      </c>
      <c r="I457" s="5">
        <f>INT(TB[[#This Row],[时间戳]])</f>
        <v>45939</v>
      </c>
      <c r="J457" s="2">
        <f>HOUR(TB[[#This Row],[时间戳]])</f>
        <v>5</v>
      </c>
      <c r="K457">
        <v>3654</v>
      </c>
      <c r="L457">
        <v>2</v>
      </c>
      <c r="M457">
        <f>TB[[#This Row],[售价]]*TB[[#This Row],[销量]]</f>
        <v>7308</v>
      </c>
      <c r="N457" t="str">
        <f>IF(TB[[#This Row],[售价]]&lt;1000,"低价商品",IF(TB[[#This Row],[售价]]&lt;5000,"中价商品",IF(TB[[#This Row],[售价]]&lt;10000,"高价商品","超高价商品")))</f>
        <v>中价商品</v>
      </c>
    </row>
    <row r="458" spans="1:14" x14ac:dyDescent="0.2">
      <c r="A458">
        <v>212</v>
      </c>
      <c r="B458">
        <v>35</v>
      </c>
      <c r="C458" t="s">
        <v>10</v>
      </c>
      <c r="D458" t="s">
        <v>41</v>
      </c>
      <c r="E458" t="s">
        <v>22</v>
      </c>
      <c r="F458">
        <v>1</v>
      </c>
      <c r="G458" t="s">
        <v>13</v>
      </c>
      <c r="H458" s="1">
        <v>45939.224999999999</v>
      </c>
      <c r="I458" s="5">
        <f>INT(TB[[#This Row],[时间戳]])</f>
        <v>45939</v>
      </c>
      <c r="J458" s="2">
        <f>HOUR(TB[[#This Row],[时间戳]])</f>
        <v>5</v>
      </c>
      <c r="K458">
        <v>6229</v>
      </c>
      <c r="L458">
        <v>3</v>
      </c>
      <c r="M458">
        <f>TB[[#This Row],[售价]]*TB[[#This Row],[销量]]</f>
        <v>18687</v>
      </c>
      <c r="N458" t="str">
        <f>IF(TB[[#This Row],[售价]]&lt;1000,"低价商品",IF(TB[[#This Row],[售价]]&lt;5000,"中价商品",IF(TB[[#This Row],[售价]]&lt;10000,"高价商品","超高价商品")))</f>
        <v>高价商品</v>
      </c>
    </row>
    <row r="459" spans="1:14" x14ac:dyDescent="0.2">
      <c r="A459">
        <v>613</v>
      </c>
      <c r="B459">
        <v>25</v>
      </c>
      <c r="C459" t="s">
        <v>10</v>
      </c>
      <c r="D459" t="s">
        <v>283</v>
      </c>
      <c r="E459" t="s">
        <v>25</v>
      </c>
      <c r="F459">
        <v>7</v>
      </c>
      <c r="G459" t="s">
        <v>13</v>
      </c>
      <c r="H459" s="1">
        <v>45939.236805555556</v>
      </c>
      <c r="I459" s="5">
        <f>INT(TB[[#This Row],[时间戳]])</f>
        <v>45939</v>
      </c>
      <c r="J459" s="2">
        <f>HOUR(TB[[#This Row],[时间戳]])</f>
        <v>5</v>
      </c>
      <c r="K459">
        <v>2430</v>
      </c>
      <c r="L459">
        <v>1</v>
      </c>
      <c r="M459">
        <f>TB[[#This Row],[售价]]*TB[[#This Row],[销量]]</f>
        <v>2430</v>
      </c>
      <c r="N459" t="str">
        <f>IF(TB[[#This Row],[售价]]&lt;1000,"低价商品",IF(TB[[#This Row],[售价]]&lt;5000,"中价商品",IF(TB[[#This Row],[售价]]&lt;10000,"高价商品","超高价商品")))</f>
        <v>中价商品</v>
      </c>
    </row>
    <row r="460" spans="1:14" x14ac:dyDescent="0.2">
      <c r="A460">
        <v>450</v>
      </c>
      <c r="B460">
        <v>120</v>
      </c>
      <c r="C460" t="s">
        <v>10</v>
      </c>
      <c r="D460" t="s">
        <v>183</v>
      </c>
      <c r="E460" t="s">
        <v>22</v>
      </c>
      <c r="F460">
        <v>1</v>
      </c>
      <c r="G460" t="s">
        <v>13</v>
      </c>
      <c r="H460" s="1">
        <v>45939.237500000003</v>
      </c>
      <c r="I460" s="5">
        <f>INT(TB[[#This Row],[时间戳]])</f>
        <v>45939</v>
      </c>
      <c r="J460" s="2">
        <f>HOUR(TB[[#This Row],[时间戳]])</f>
        <v>5</v>
      </c>
      <c r="K460">
        <v>3183</v>
      </c>
      <c r="L460">
        <v>1</v>
      </c>
      <c r="M460">
        <f>TB[[#This Row],[售价]]*TB[[#This Row],[销量]]</f>
        <v>3183</v>
      </c>
      <c r="N460" t="str">
        <f>IF(TB[[#This Row],[售价]]&lt;1000,"低价商品",IF(TB[[#This Row],[售价]]&lt;5000,"中价商品",IF(TB[[#This Row],[售价]]&lt;10000,"高价商品","超高价商品")))</f>
        <v>中价商品</v>
      </c>
    </row>
    <row r="461" spans="1:14" x14ac:dyDescent="0.2">
      <c r="A461">
        <v>516</v>
      </c>
      <c r="B461">
        <v>149</v>
      </c>
      <c r="C461" t="s">
        <v>10</v>
      </c>
      <c r="D461" t="s">
        <v>197</v>
      </c>
      <c r="E461" t="s">
        <v>39</v>
      </c>
      <c r="F461">
        <v>5</v>
      </c>
      <c r="G461" t="s">
        <v>42</v>
      </c>
      <c r="H461" s="1">
        <v>45939.240277777775</v>
      </c>
      <c r="I461" s="5">
        <f>INT(TB[[#This Row],[时间戳]])</f>
        <v>45939</v>
      </c>
      <c r="J461" s="2">
        <f>HOUR(TB[[#This Row],[时间戳]])</f>
        <v>5</v>
      </c>
      <c r="K461">
        <v>2921</v>
      </c>
      <c r="L461">
        <v>0</v>
      </c>
      <c r="M461">
        <f>TB[[#This Row],[售价]]*TB[[#This Row],[销量]]</f>
        <v>0</v>
      </c>
      <c r="N461" t="str">
        <f>IF(TB[[#This Row],[售价]]&lt;1000,"低价商品",IF(TB[[#This Row],[售价]]&lt;5000,"中价商品",IF(TB[[#This Row],[售价]]&lt;10000,"高价商品","超高价商品")))</f>
        <v>中价商品</v>
      </c>
    </row>
    <row r="462" spans="1:14" x14ac:dyDescent="0.2">
      <c r="A462">
        <v>592</v>
      </c>
      <c r="B462">
        <v>165</v>
      </c>
      <c r="C462" t="s">
        <v>46</v>
      </c>
      <c r="D462" t="s">
        <v>154</v>
      </c>
      <c r="E462" t="s">
        <v>25</v>
      </c>
      <c r="F462">
        <v>7</v>
      </c>
      <c r="G462" t="s">
        <v>13</v>
      </c>
      <c r="H462" s="1">
        <v>45939.242361111108</v>
      </c>
      <c r="I462" s="5">
        <f>INT(TB[[#This Row],[时间戳]])</f>
        <v>45939</v>
      </c>
      <c r="J462" s="2">
        <f>HOUR(TB[[#This Row],[时间戳]])</f>
        <v>5</v>
      </c>
      <c r="K462">
        <v>3592</v>
      </c>
      <c r="L462">
        <v>2</v>
      </c>
      <c r="M462">
        <f>TB[[#This Row],[售价]]*TB[[#This Row],[销量]]</f>
        <v>7184</v>
      </c>
      <c r="N462" t="str">
        <f>IF(TB[[#This Row],[售价]]&lt;1000,"低价商品",IF(TB[[#This Row],[售价]]&lt;5000,"中价商品",IF(TB[[#This Row],[售价]]&lt;10000,"高价商品","超高价商品")))</f>
        <v>中价商品</v>
      </c>
    </row>
    <row r="463" spans="1:14" x14ac:dyDescent="0.2">
      <c r="A463">
        <v>534</v>
      </c>
      <c r="B463">
        <v>114</v>
      </c>
      <c r="C463" t="s">
        <v>26</v>
      </c>
      <c r="D463" t="s">
        <v>65</v>
      </c>
      <c r="E463" t="s">
        <v>22</v>
      </c>
      <c r="F463">
        <v>1</v>
      </c>
      <c r="G463" t="s">
        <v>42</v>
      </c>
      <c r="H463" s="1">
        <v>45939.261805555558</v>
      </c>
      <c r="I463" s="5">
        <f>INT(TB[[#This Row],[时间戳]])</f>
        <v>45939</v>
      </c>
      <c r="J463" s="2">
        <f>HOUR(TB[[#This Row],[时间戳]])</f>
        <v>6</v>
      </c>
      <c r="K463">
        <v>2894</v>
      </c>
      <c r="L463">
        <v>0</v>
      </c>
      <c r="M463">
        <f>TB[[#This Row],[售价]]*TB[[#This Row],[销量]]</f>
        <v>0</v>
      </c>
      <c r="N463" t="str">
        <f>IF(TB[[#This Row],[售价]]&lt;1000,"低价商品",IF(TB[[#This Row],[售价]]&lt;5000,"中价商品",IF(TB[[#This Row],[售价]]&lt;10000,"高价商品","超高价商品")))</f>
        <v>中价商品</v>
      </c>
    </row>
    <row r="464" spans="1:14" x14ac:dyDescent="0.2">
      <c r="A464">
        <v>571</v>
      </c>
      <c r="B464">
        <v>90</v>
      </c>
      <c r="C464" t="s">
        <v>36</v>
      </c>
      <c r="D464" t="s">
        <v>37</v>
      </c>
      <c r="E464" t="s">
        <v>31</v>
      </c>
      <c r="F464">
        <v>4</v>
      </c>
      <c r="G464" t="s">
        <v>13</v>
      </c>
      <c r="H464" s="1">
        <v>45939.286805555559</v>
      </c>
      <c r="I464" s="5">
        <f>INT(TB[[#This Row],[时间戳]])</f>
        <v>45939</v>
      </c>
      <c r="J464" s="2">
        <f>HOUR(TB[[#This Row],[时间戳]])</f>
        <v>6</v>
      </c>
      <c r="K464">
        <v>849</v>
      </c>
      <c r="L464">
        <v>2</v>
      </c>
      <c r="M464">
        <f>TB[[#This Row],[售价]]*TB[[#This Row],[销量]]</f>
        <v>1698</v>
      </c>
      <c r="N464" t="str">
        <f>IF(TB[[#This Row],[售价]]&lt;1000,"低价商品",IF(TB[[#This Row],[售价]]&lt;5000,"中价商品",IF(TB[[#This Row],[售价]]&lt;10000,"高价商品","超高价商品")))</f>
        <v>低价商品</v>
      </c>
    </row>
    <row r="465" spans="1:14" x14ac:dyDescent="0.2">
      <c r="A465">
        <v>508</v>
      </c>
      <c r="B465">
        <v>25</v>
      </c>
      <c r="C465" t="s">
        <v>17</v>
      </c>
      <c r="D465" t="s">
        <v>191</v>
      </c>
      <c r="E465" t="s">
        <v>39</v>
      </c>
      <c r="F465">
        <v>5</v>
      </c>
      <c r="G465" t="s">
        <v>13</v>
      </c>
      <c r="H465" s="1">
        <v>45939.302777777775</v>
      </c>
      <c r="I465" s="5">
        <f>INT(TB[[#This Row],[时间戳]])</f>
        <v>45939</v>
      </c>
      <c r="J465" s="2">
        <f>HOUR(TB[[#This Row],[时间戳]])</f>
        <v>7</v>
      </c>
      <c r="K465">
        <v>3511</v>
      </c>
      <c r="L465">
        <v>2</v>
      </c>
      <c r="M465">
        <f>TB[[#This Row],[售价]]*TB[[#This Row],[销量]]</f>
        <v>7022</v>
      </c>
      <c r="N465" t="str">
        <f>IF(TB[[#This Row],[售价]]&lt;1000,"低价商品",IF(TB[[#This Row],[售价]]&lt;5000,"中价商品",IF(TB[[#This Row],[售价]]&lt;10000,"高价商品","超高价商品")))</f>
        <v>中价商品</v>
      </c>
    </row>
    <row r="466" spans="1:14" x14ac:dyDescent="0.2">
      <c r="A466">
        <v>327</v>
      </c>
      <c r="B466">
        <v>214</v>
      </c>
      <c r="C466" t="s">
        <v>17</v>
      </c>
      <c r="D466" t="s">
        <v>93</v>
      </c>
      <c r="E466" t="s">
        <v>12</v>
      </c>
      <c r="F466">
        <v>2</v>
      </c>
      <c r="G466" t="s">
        <v>13</v>
      </c>
      <c r="H466" s="1">
        <v>45939.363194444442</v>
      </c>
      <c r="I466" s="5">
        <f>INT(TB[[#This Row],[时间戳]])</f>
        <v>45939</v>
      </c>
      <c r="J466" s="2">
        <f>HOUR(TB[[#This Row],[时间戳]])</f>
        <v>8</v>
      </c>
      <c r="K466">
        <v>9771</v>
      </c>
      <c r="L466">
        <v>2</v>
      </c>
      <c r="M466">
        <f>TB[[#This Row],[售价]]*TB[[#This Row],[销量]]</f>
        <v>19542</v>
      </c>
      <c r="N466" t="str">
        <f>IF(TB[[#This Row],[售价]]&lt;1000,"低价商品",IF(TB[[#This Row],[售价]]&lt;5000,"中价商品",IF(TB[[#This Row],[售价]]&lt;10000,"高价商品","超高价商品")))</f>
        <v>高价商品</v>
      </c>
    </row>
    <row r="467" spans="1:14" x14ac:dyDescent="0.2">
      <c r="A467">
        <v>189</v>
      </c>
      <c r="B467">
        <v>276</v>
      </c>
      <c r="C467" t="s">
        <v>36</v>
      </c>
      <c r="D467" t="s">
        <v>284</v>
      </c>
      <c r="E467" t="s">
        <v>39</v>
      </c>
      <c r="F467">
        <v>5</v>
      </c>
      <c r="G467" t="s">
        <v>42</v>
      </c>
      <c r="H467" s="1">
        <v>45939.371527777781</v>
      </c>
      <c r="I467" s="5">
        <f>INT(TB[[#This Row],[时间戳]])</f>
        <v>45939</v>
      </c>
      <c r="J467" s="2">
        <f>HOUR(TB[[#This Row],[时间戳]])</f>
        <v>8</v>
      </c>
      <c r="K467">
        <v>2348</v>
      </c>
      <c r="L467">
        <v>0</v>
      </c>
      <c r="M467">
        <f>TB[[#This Row],[售价]]*TB[[#This Row],[销量]]</f>
        <v>0</v>
      </c>
      <c r="N467" t="str">
        <f>IF(TB[[#This Row],[售价]]&lt;1000,"低价商品",IF(TB[[#This Row],[售价]]&lt;5000,"中价商品",IF(TB[[#This Row],[售价]]&lt;10000,"高价商品","超高价商品")))</f>
        <v>中价商品</v>
      </c>
    </row>
    <row r="468" spans="1:14" x14ac:dyDescent="0.2">
      <c r="A468">
        <v>725</v>
      </c>
      <c r="B468">
        <v>74</v>
      </c>
      <c r="C468" t="s">
        <v>32</v>
      </c>
      <c r="D468" t="s">
        <v>224</v>
      </c>
      <c r="E468" t="s">
        <v>25</v>
      </c>
      <c r="F468">
        <v>7</v>
      </c>
      <c r="G468" t="s">
        <v>13</v>
      </c>
      <c r="H468" s="1">
        <v>45939.37777777778</v>
      </c>
      <c r="I468" s="5">
        <f>INT(TB[[#This Row],[时间戳]])</f>
        <v>45939</v>
      </c>
      <c r="J468" s="2">
        <f>HOUR(TB[[#This Row],[时间戳]])</f>
        <v>9</v>
      </c>
      <c r="K468">
        <v>5302</v>
      </c>
      <c r="L468">
        <v>4</v>
      </c>
      <c r="M468">
        <f>TB[[#This Row],[售价]]*TB[[#This Row],[销量]]</f>
        <v>21208</v>
      </c>
      <c r="N468" t="str">
        <f>IF(TB[[#This Row],[售价]]&lt;1000,"低价商品",IF(TB[[#This Row],[售价]]&lt;5000,"中价商品",IF(TB[[#This Row],[售价]]&lt;10000,"高价商品","超高价商品")))</f>
        <v>高价商品</v>
      </c>
    </row>
    <row r="469" spans="1:14" x14ac:dyDescent="0.2">
      <c r="A469">
        <v>427</v>
      </c>
      <c r="B469">
        <v>286</v>
      </c>
      <c r="C469" t="s">
        <v>20</v>
      </c>
      <c r="D469" t="s">
        <v>23</v>
      </c>
      <c r="E469" t="s">
        <v>12</v>
      </c>
      <c r="F469">
        <v>2</v>
      </c>
      <c r="G469" t="s">
        <v>13</v>
      </c>
      <c r="H469" s="1">
        <v>45939.415277777778</v>
      </c>
      <c r="I469" s="5">
        <f>INT(TB[[#This Row],[时间戳]])</f>
        <v>45939</v>
      </c>
      <c r="J469" s="2">
        <f>HOUR(TB[[#This Row],[时间戳]])</f>
        <v>9</v>
      </c>
      <c r="K469">
        <v>11415</v>
      </c>
      <c r="L469">
        <v>2</v>
      </c>
      <c r="M469">
        <f>TB[[#This Row],[售价]]*TB[[#This Row],[销量]]</f>
        <v>22830</v>
      </c>
      <c r="N469" t="str">
        <f>IF(TB[[#This Row],[售价]]&lt;1000,"低价商品",IF(TB[[#This Row],[售价]]&lt;5000,"中价商品",IF(TB[[#This Row],[售价]]&lt;10000,"高价商品","超高价商品")))</f>
        <v>超高价商品</v>
      </c>
    </row>
    <row r="470" spans="1:14" x14ac:dyDescent="0.2">
      <c r="A470">
        <v>262</v>
      </c>
      <c r="B470">
        <v>105</v>
      </c>
      <c r="C470" t="s">
        <v>17</v>
      </c>
      <c r="D470" t="s">
        <v>285</v>
      </c>
      <c r="E470" t="s">
        <v>25</v>
      </c>
      <c r="F470">
        <v>7</v>
      </c>
      <c r="G470" t="s">
        <v>13</v>
      </c>
      <c r="H470" s="1">
        <v>45939.420138888891</v>
      </c>
      <c r="I470" s="5">
        <f>INT(TB[[#This Row],[时间戳]])</f>
        <v>45939</v>
      </c>
      <c r="J470" s="2">
        <f>HOUR(TB[[#This Row],[时间戳]])</f>
        <v>10</v>
      </c>
      <c r="K470">
        <v>5709</v>
      </c>
      <c r="L470">
        <v>1</v>
      </c>
      <c r="M470">
        <f>TB[[#This Row],[售价]]*TB[[#This Row],[销量]]</f>
        <v>5709</v>
      </c>
      <c r="N470" t="str">
        <f>IF(TB[[#This Row],[售价]]&lt;1000,"低价商品",IF(TB[[#This Row],[售价]]&lt;5000,"中价商品",IF(TB[[#This Row],[售价]]&lt;10000,"高价商品","超高价商品")))</f>
        <v>高价商品</v>
      </c>
    </row>
    <row r="471" spans="1:14" x14ac:dyDescent="0.2">
      <c r="A471">
        <v>380</v>
      </c>
      <c r="B471">
        <v>48</v>
      </c>
      <c r="C471" t="s">
        <v>14</v>
      </c>
      <c r="D471" t="s">
        <v>202</v>
      </c>
      <c r="E471" t="s">
        <v>31</v>
      </c>
      <c r="F471">
        <v>4</v>
      </c>
      <c r="G471" t="s">
        <v>13</v>
      </c>
      <c r="H471" s="1">
        <v>45939.480555555558</v>
      </c>
      <c r="I471" s="5">
        <f>INT(TB[[#This Row],[时间戳]])</f>
        <v>45939</v>
      </c>
      <c r="J471" s="2">
        <f>HOUR(TB[[#This Row],[时间戳]])</f>
        <v>11</v>
      </c>
      <c r="K471">
        <v>857</v>
      </c>
      <c r="L471">
        <v>1</v>
      </c>
      <c r="M471">
        <f>TB[[#This Row],[售价]]*TB[[#This Row],[销量]]</f>
        <v>857</v>
      </c>
      <c r="N471" t="str">
        <f>IF(TB[[#This Row],[售价]]&lt;1000,"低价商品",IF(TB[[#This Row],[售价]]&lt;5000,"中价商品",IF(TB[[#This Row],[售价]]&lt;10000,"高价商品","超高价商品")))</f>
        <v>低价商品</v>
      </c>
    </row>
    <row r="472" spans="1:14" x14ac:dyDescent="0.2">
      <c r="A472">
        <v>275</v>
      </c>
      <c r="B472">
        <v>194</v>
      </c>
      <c r="C472" t="s">
        <v>32</v>
      </c>
      <c r="D472" t="s">
        <v>286</v>
      </c>
      <c r="E472" t="s">
        <v>22</v>
      </c>
      <c r="F472">
        <v>1</v>
      </c>
      <c r="G472" t="s">
        <v>13</v>
      </c>
      <c r="H472" s="1">
        <v>45939.481249999997</v>
      </c>
      <c r="I472" s="5">
        <f>INT(TB[[#This Row],[时间戳]])</f>
        <v>45939</v>
      </c>
      <c r="J472" s="2">
        <f>HOUR(TB[[#This Row],[时间戳]])</f>
        <v>11</v>
      </c>
      <c r="K472">
        <v>5557</v>
      </c>
      <c r="L472">
        <v>3</v>
      </c>
      <c r="M472">
        <f>TB[[#This Row],[售价]]*TB[[#This Row],[销量]]</f>
        <v>16671</v>
      </c>
      <c r="N472" t="str">
        <f>IF(TB[[#This Row],[售价]]&lt;1000,"低价商品",IF(TB[[#This Row],[售价]]&lt;5000,"中价商品",IF(TB[[#This Row],[售价]]&lt;10000,"高价商品","超高价商品")))</f>
        <v>高价商品</v>
      </c>
    </row>
    <row r="473" spans="1:14" x14ac:dyDescent="0.2">
      <c r="A473">
        <v>742</v>
      </c>
      <c r="B473">
        <v>287</v>
      </c>
      <c r="C473" t="s">
        <v>32</v>
      </c>
      <c r="D473" t="s">
        <v>287</v>
      </c>
      <c r="E473" t="s">
        <v>19</v>
      </c>
      <c r="F473">
        <v>3</v>
      </c>
      <c r="G473" t="s">
        <v>13</v>
      </c>
      <c r="H473" s="1">
        <v>45939.545138888891</v>
      </c>
      <c r="I473" s="5">
        <f>INT(TB[[#This Row],[时间戳]])</f>
        <v>45939</v>
      </c>
      <c r="J473" s="2">
        <f>HOUR(TB[[#This Row],[时间戳]])</f>
        <v>13</v>
      </c>
      <c r="K473">
        <v>1660</v>
      </c>
      <c r="L473">
        <v>2</v>
      </c>
      <c r="M473">
        <f>TB[[#This Row],[售价]]*TB[[#This Row],[销量]]</f>
        <v>3320</v>
      </c>
      <c r="N473" t="str">
        <f>IF(TB[[#This Row],[售价]]&lt;1000,"低价商品",IF(TB[[#This Row],[售价]]&lt;5000,"中价商品",IF(TB[[#This Row],[售价]]&lt;10000,"高价商品","超高价商品")))</f>
        <v>中价商品</v>
      </c>
    </row>
    <row r="474" spans="1:14" x14ac:dyDescent="0.2">
      <c r="A474">
        <v>311</v>
      </c>
      <c r="B474">
        <v>8</v>
      </c>
      <c r="C474" t="s">
        <v>32</v>
      </c>
      <c r="D474" t="s">
        <v>288</v>
      </c>
      <c r="E474" t="s">
        <v>22</v>
      </c>
      <c r="F474">
        <v>1</v>
      </c>
      <c r="G474" t="s">
        <v>13</v>
      </c>
      <c r="H474" s="1">
        <v>45939.546527777777</v>
      </c>
      <c r="I474" s="5">
        <f>INT(TB[[#This Row],[时间戳]])</f>
        <v>45939</v>
      </c>
      <c r="J474" s="2">
        <f>HOUR(TB[[#This Row],[时间戳]])</f>
        <v>13</v>
      </c>
      <c r="K474">
        <v>2822</v>
      </c>
      <c r="L474">
        <v>3</v>
      </c>
      <c r="M474">
        <f>TB[[#This Row],[售价]]*TB[[#This Row],[销量]]</f>
        <v>8466</v>
      </c>
      <c r="N474" t="str">
        <f>IF(TB[[#This Row],[售价]]&lt;1000,"低价商品",IF(TB[[#This Row],[售价]]&lt;5000,"中价商品",IF(TB[[#This Row],[售价]]&lt;10000,"高价商品","超高价商品")))</f>
        <v>中价商品</v>
      </c>
    </row>
    <row r="475" spans="1:14" x14ac:dyDescent="0.2">
      <c r="A475">
        <v>773</v>
      </c>
      <c r="B475">
        <v>246</v>
      </c>
      <c r="C475" t="s">
        <v>14</v>
      </c>
      <c r="D475" t="s">
        <v>223</v>
      </c>
      <c r="E475" t="s">
        <v>22</v>
      </c>
      <c r="F475">
        <v>1</v>
      </c>
      <c r="G475" t="s">
        <v>42</v>
      </c>
      <c r="H475" s="1">
        <v>45939.586805555555</v>
      </c>
      <c r="I475" s="5">
        <f>INT(TB[[#This Row],[时间戳]])</f>
        <v>45939</v>
      </c>
      <c r="J475" s="2">
        <f>HOUR(TB[[#This Row],[时间戳]])</f>
        <v>14</v>
      </c>
      <c r="K475">
        <v>2632</v>
      </c>
      <c r="L475">
        <v>0</v>
      </c>
      <c r="M475">
        <f>TB[[#This Row],[售价]]*TB[[#This Row],[销量]]</f>
        <v>0</v>
      </c>
      <c r="N475" t="str">
        <f>IF(TB[[#This Row],[售价]]&lt;1000,"低价商品",IF(TB[[#This Row],[售价]]&lt;5000,"中价商品",IF(TB[[#This Row],[售价]]&lt;10000,"高价商品","超高价商品")))</f>
        <v>中价商品</v>
      </c>
    </row>
    <row r="476" spans="1:14" x14ac:dyDescent="0.2">
      <c r="A476">
        <v>210</v>
      </c>
      <c r="B476">
        <v>204</v>
      </c>
      <c r="C476" t="s">
        <v>46</v>
      </c>
      <c r="D476" t="s">
        <v>289</v>
      </c>
      <c r="E476" t="s">
        <v>16</v>
      </c>
      <c r="F476">
        <v>6</v>
      </c>
      <c r="G476" t="s">
        <v>13</v>
      </c>
      <c r="H476" s="1">
        <v>45939.600694444445</v>
      </c>
      <c r="I476" s="5">
        <f>INT(TB[[#This Row],[时间戳]])</f>
        <v>45939</v>
      </c>
      <c r="J476" s="2">
        <f>HOUR(TB[[#This Row],[时间戳]])</f>
        <v>14</v>
      </c>
      <c r="K476">
        <v>6130</v>
      </c>
      <c r="L476">
        <v>2</v>
      </c>
      <c r="M476">
        <f>TB[[#This Row],[售价]]*TB[[#This Row],[销量]]</f>
        <v>12260</v>
      </c>
      <c r="N476" t="str">
        <f>IF(TB[[#This Row],[售价]]&lt;1000,"低价商品",IF(TB[[#This Row],[售价]]&lt;5000,"中价商品",IF(TB[[#This Row],[售价]]&lt;10000,"高价商品","超高价商品")))</f>
        <v>高价商品</v>
      </c>
    </row>
    <row r="477" spans="1:14" x14ac:dyDescent="0.2">
      <c r="A477">
        <v>390</v>
      </c>
      <c r="B477">
        <v>239</v>
      </c>
      <c r="C477" t="s">
        <v>34</v>
      </c>
      <c r="D477" t="s">
        <v>290</v>
      </c>
      <c r="E477" t="s">
        <v>25</v>
      </c>
      <c r="F477">
        <v>7</v>
      </c>
      <c r="G477" t="s">
        <v>42</v>
      </c>
      <c r="H477" s="1">
        <v>45939.692361111112</v>
      </c>
      <c r="I477" s="5">
        <f>INT(TB[[#This Row],[时间戳]])</f>
        <v>45939</v>
      </c>
      <c r="J477" s="2">
        <f>HOUR(TB[[#This Row],[时间戳]])</f>
        <v>16</v>
      </c>
      <c r="K477">
        <v>3542</v>
      </c>
      <c r="L477">
        <v>0</v>
      </c>
      <c r="M477">
        <f>TB[[#This Row],[售价]]*TB[[#This Row],[销量]]</f>
        <v>0</v>
      </c>
      <c r="N477" t="str">
        <f>IF(TB[[#This Row],[售价]]&lt;1000,"低价商品",IF(TB[[#This Row],[售价]]&lt;5000,"中价商品",IF(TB[[#This Row],[售价]]&lt;10000,"高价商品","超高价商品")))</f>
        <v>中价商品</v>
      </c>
    </row>
    <row r="478" spans="1:14" x14ac:dyDescent="0.2">
      <c r="A478">
        <v>268</v>
      </c>
      <c r="B478">
        <v>185</v>
      </c>
      <c r="C478" t="s">
        <v>34</v>
      </c>
      <c r="D478" t="s">
        <v>248</v>
      </c>
      <c r="E478" t="s">
        <v>22</v>
      </c>
      <c r="F478">
        <v>1</v>
      </c>
      <c r="G478" t="s">
        <v>13</v>
      </c>
      <c r="H478" s="1">
        <v>45939.693749999999</v>
      </c>
      <c r="I478" s="5">
        <f>INT(TB[[#This Row],[时间戳]])</f>
        <v>45939</v>
      </c>
      <c r="J478" s="2">
        <f>HOUR(TB[[#This Row],[时间戳]])</f>
        <v>16</v>
      </c>
      <c r="K478">
        <v>5503</v>
      </c>
      <c r="L478">
        <v>1</v>
      </c>
      <c r="M478">
        <f>TB[[#This Row],[售价]]*TB[[#This Row],[销量]]</f>
        <v>5503</v>
      </c>
      <c r="N478" t="str">
        <f>IF(TB[[#This Row],[售价]]&lt;1000,"低价商品",IF(TB[[#This Row],[售价]]&lt;5000,"中价商品",IF(TB[[#This Row],[售价]]&lt;10000,"高价商品","超高价商品")))</f>
        <v>高价商品</v>
      </c>
    </row>
    <row r="479" spans="1:14" x14ac:dyDescent="0.2">
      <c r="A479">
        <v>740</v>
      </c>
      <c r="B479">
        <v>241</v>
      </c>
      <c r="C479" t="s">
        <v>44</v>
      </c>
      <c r="D479" t="s">
        <v>59</v>
      </c>
      <c r="E479" t="s">
        <v>22</v>
      </c>
      <c r="F479">
        <v>1</v>
      </c>
      <c r="G479" t="s">
        <v>13</v>
      </c>
      <c r="H479" s="1">
        <v>45939.708333333336</v>
      </c>
      <c r="I479" s="5">
        <f>INT(TB[[#This Row],[时间戳]])</f>
        <v>45939</v>
      </c>
      <c r="J479" s="2">
        <f>HOUR(TB[[#This Row],[时间戳]])</f>
        <v>17</v>
      </c>
      <c r="K479">
        <v>5254</v>
      </c>
      <c r="L479">
        <v>3</v>
      </c>
      <c r="M479">
        <f>TB[[#This Row],[售价]]*TB[[#This Row],[销量]]</f>
        <v>15762</v>
      </c>
      <c r="N479" t="str">
        <f>IF(TB[[#This Row],[售价]]&lt;1000,"低价商品",IF(TB[[#This Row],[售价]]&lt;5000,"中价商品",IF(TB[[#This Row],[售价]]&lt;10000,"高价商品","超高价商品")))</f>
        <v>高价商品</v>
      </c>
    </row>
    <row r="480" spans="1:14" x14ac:dyDescent="0.2">
      <c r="A480">
        <v>424</v>
      </c>
      <c r="B480">
        <v>24</v>
      </c>
      <c r="C480" t="s">
        <v>34</v>
      </c>
      <c r="D480" t="s">
        <v>291</v>
      </c>
      <c r="E480" t="s">
        <v>31</v>
      </c>
      <c r="F480">
        <v>4</v>
      </c>
      <c r="G480" t="s">
        <v>42</v>
      </c>
      <c r="H480" s="1">
        <v>45939.772222222222</v>
      </c>
      <c r="I480" s="5">
        <f>INT(TB[[#This Row],[时间戳]])</f>
        <v>45939</v>
      </c>
      <c r="J480" s="2">
        <f>HOUR(TB[[#This Row],[时间戳]])</f>
        <v>18</v>
      </c>
      <c r="K480">
        <v>609</v>
      </c>
      <c r="L480">
        <v>0</v>
      </c>
      <c r="M480">
        <f>TB[[#This Row],[售价]]*TB[[#This Row],[销量]]</f>
        <v>0</v>
      </c>
      <c r="N480" t="str">
        <f>IF(TB[[#This Row],[售价]]&lt;1000,"低价商品",IF(TB[[#This Row],[售价]]&lt;5000,"中价商品",IF(TB[[#This Row],[售价]]&lt;10000,"高价商品","超高价商品")))</f>
        <v>低价商品</v>
      </c>
    </row>
    <row r="481" spans="1:14" x14ac:dyDescent="0.2">
      <c r="A481">
        <v>268</v>
      </c>
      <c r="B481">
        <v>284</v>
      </c>
      <c r="C481" t="s">
        <v>26</v>
      </c>
      <c r="D481" t="s">
        <v>271</v>
      </c>
      <c r="E481" t="s">
        <v>25</v>
      </c>
      <c r="F481">
        <v>7</v>
      </c>
      <c r="G481" t="s">
        <v>13</v>
      </c>
      <c r="H481" s="1">
        <v>45939.786111111112</v>
      </c>
      <c r="I481" s="5">
        <f>INT(TB[[#This Row],[时间戳]])</f>
        <v>45939</v>
      </c>
      <c r="J481" s="2">
        <f>HOUR(TB[[#This Row],[时间戳]])</f>
        <v>18</v>
      </c>
      <c r="K481">
        <v>6021</v>
      </c>
      <c r="L481">
        <v>2</v>
      </c>
      <c r="M481">
        <f>TB[[#This Row],[售价]]*TB[[#This Row],[销量]]</f>
        <v>12042</v>
      </c>
      <c r="N481" t="str">
        <f>IF(TB[[#This Row],[售价]]&lt;1000,"低价商品",IF(TB[[#This Row],[售价]]&lt;5000,"中价商品",IF(TB[[#This Row],[售价]]&lt;10000,"高价商品","超高价商品")))</f>
        <v>高价商品</v>
      </c>
    </row>
    <row r="482" spans="1:14" x14ac:dyDescent="0.2">
      <c r="A482">
        <v>157</v>
      </c>
      <c r="B482">
        <v>101</v>
      </c>
      <c r="C482" t="s">
        <v>17</v>
      </c>
      <c r="D482" t="s">
        <v>279</v>
      </c>
      <c r="E482" t="s">
        <v>22</v>
      </c>
      <c r="F482">
        <v>1</v>
      </c>
      <c r="G482" t="s">
        <v>42</v>
      </c>
      <c r="H482" s="1">
        <v>45939.804166666669</v>
      </c>
      <c r="I482" s="5">
        <f>INT(TB[[#This Row],[时间戳]])</f>
        <v>45939</v>
      </c>
      <c r="J482" s="2">
        <f>HOUR(TB[[#This Row],[时间戳]])</f>
        <v>19</v>
      </c>
      <c r="K482">
        <v>5880</v>
      </c>
      <c r="L482">
        <v>0</v>
      </c>
      <c r="M482">
        <f>TB[[#This Row],[售价]]*TB[[#This Row],[销量]]</f>
        <v>0</v>
      </c>
      <c r="N482" t="str">
        <f>IF(TB[[#This Row],[售价]]&lt;1000,"低价商品",IF(TB[[#This Row],[售价]]&lt;5000,"中价商品",IF(TB[[#This Row],[售价]]&lt;10000,"高价商品","超高价商品")))</f>
        <v>高价商品</v>
      </c>
    </row>
    <row r="483" spans="1:14" x14ac:dyDescent="0.2">
      <c r="A483">
        <v>252</v>
      </c>
      <c r="B483">
        <v>256</v>
      </c>
      <c r="C483" t="s">
        <v>17</v>
      </c>
      <c r="D483" t="s">
        <v>292</v>
      </c>
      <c r="E483" t="s">
        <v>25</v>
      </c>
      <c r="F483">
        <v>7</v>
      </c>
      <c r="G483" t="s">
        <v>13</v>
      </c>
      <c r="H483" s="1">
        <v>45939.826388888891</v>
      </c>
      <c r="I483" s="5">
        <f>INT(TB[[#This Row],[时间戳]])</f>
        <v>45939</v>
      </c>
      <c r="J483" s="2">
        <f>HOUR(TB[[#This Row],[时间戳]])</f>
        <v>19</v>
      </c>
      <c r="K483">
        <v>4119</v>
      </c>
      <c r="L483">
        <v>1</v>
      </c>
      <c r="M483">
        <f>TB[[#This Row],[售价]]*TB[[#This Row],[销量]]</f>
        <v>4119</v>
      </c>
      <c r="N483" t="str">
        <f>IF(TB[[#This Row],[售价]]&lt;1000,"低价商品",IF(TB[[#This Row],[售价]]&lt;5000,"中价商品",IF(TB[[#This Row],[售价]]&lt;10000,"高价商品","超高价商品")))</f>
        <v>中价商品</v>
      </c>
    </row>
    <row r="484" spans="1:14" x14ac:dyDescent="0.2">
      <c r="A484">
        <v>782</v>
      </c>
      <c r="B484">
        <v>251</v>
      </c>
      <c r="C484" t="s">
        <v>34</v>
      </c>
      <c r="D484" t="s">
        <v>248</v>
      </c>
      <c r="E484" t="s">
        <v>22</v>
      </c>
      <c r="F484">
        <v>1</v>
      </c>
      <c r="G484" t="s">
        <v>42</v>
      </c>
      <c r="H484" s="1">
        <v>45939.837500000001</v>
      </c>
      <c r="I484" s="5">
        <f>INT(TB[[#This Row],[时间戳]])</f>
        <v>45939</v>
      </c>
      <c r="J484" s="2">
        <f>HOUR(TB[[#This Row],[时间戳]])</f>
        <v>20</v>
      </c>
      <c r="K484">
        <v>5645</v>
      </c>
      <c r="L484">
        <v>0</v>
      </c>
      <c r="M484">
        <f>TB[[#This Row],[售价]]*TB[[#This Row],[销量]]</f>
        <v>0</v>
      </c>
      <c r="N484" t="str">
        <f>IF(TB[[#This Row],[售价]]&lt;1000,"低价商品",IF(TB[[#This Row],[售价]]&lt;5000,"中价商品",IF(TB[[#This Row],[售价]]&lt;10000,"高价商品","超高价商品")))</f>
        <v>高价商品</v>
      </c>
    </row>
    <row r="485" spans="1:14" x14ac:dyDescent="0.2">
      <c r="A485">
        <v>173</v>
      </c>
      <c r="B485">
        <v>181</v>
      </c>
      <c r="C485" t="s">
        <v>44</v>
      </c>
      <c r="D485" t="s">
        <v>66</v>
      </c>
      <c r="E485" t="s">
        <v>22</v>
      </c>
      <c r="F485">
        <v>1</v>
      </c>
      <c r="G485" t="s">
        <v>13</v>
      </c>
      <c r="H485" s="1">
        <v>45939.855555555558</v>
      </c>
      <c r="I485" s="5">
        <f>INT(TB[[#This Row],[时间戳]])</f>
        <v>45939</v>
      </c>
      <c r="J485" s="2">
        <f>HOUR(TB[[#This Row],[时间戳]])</f>
        <v>20</v>
      </c>
      <c r="K485">
        <v>7055</v>
      </c>
      <c r="L485">
        <v>2</v>
      </c>
      <c r="M485">
        <f>TB[[#This Row],[售价]]*TB[[#This Row],[销量]]</f>
        <v>14110</v>
      </c>
      <c r="N485" t="str">
        <f>IF(TB[[#This Row],[售价]]&lt;1000,"低价商品",IF(TB[[#This Row],[售价]]&lt;5000,"中价商品",IF(TB[[#This Row],[售价]]&lt;10000,"高价商品","超高价商品")))</f>
        <v>高价商品</v>
      </c>
    </row>
    <row r="486" spans="1:14" x14ac:dyDescent="0.2">
      <c r="A486">
        <v>189</v>
      </c>
      <c r="B486">
        <v>278</v>
      </c>
      <c r="C486" t="s">
        <v>20</v>
      </c>
      <c r="D486" t="s">
        <v>261</v>
      </c>
      <c r="E486" t="s">
        <v>22</v>
      </c>
      <c r="F486">
        <v>1</v>
      </c>
      <c r="G486" t="s">
        <v>13</v>
      </c>
      <c r="H486" s="1">
        <v>45939.871527777781</v>
      </c>
      <c r="I486" s="5">
        <f>INT(TB[[#This Row],[时间戳]])</f>
        <v>45939</v>
      </c>
      <c r="J486" s="2">
        <f>HOUR(TB[[#This Row],[时间戳]])</f>
        <v>20</v>
      </c>
      <c r="K486">
        <v>2257</v>
      </c>
      <c r="L486">
        <v>4</v>
      </c>
      <c r="M486">
        <f>TB[[#This Row],[售价]]*TB[[#This Row],[销量]]</f>
        <v>9028</v>
      </c>
      <c r="N486" t="str">
        <f>IF(TB[[#This Row],[售价]]&lt;1000,"低价商品",IF(TB[[#This Row],[售价]]&lt;5000,"中价商品",IF(TB[[#This Row],[售价]]&lt;10000,"高价商品","超高价商品")))</f>
        <v>中价商品</v>
      </c>
    </row>
    <row r="487" spans="1:14" x14ac:dyDescent="0.2">
      <c r="A487">
        <v>77</v>
      </c>
      <c r="B487">
        <v>25</v>
      </c>
      <c r="C487" t="s">
        <v>20</v>
      </c>
      <c r="D487" t="s">
        <v>293</v>
      </c>
      <c r="E487" t="s">
        <v>12</v>
      </c>
      <c r="F487">
        <v>2</v>
      </c>
      <c r="G487" t="s">
        <v>13</v>
      </c>
      <c r="H487" s="1">
        <v>45939.914583333331</v>
      </c>
      <c r="I487" s="5">
        <f>INT(TB[[#This Row],[时间戳]])</f>
        <v>45939</v>
      </c>
      <c r="J487" s="2">
        <f>HOUR(TB[[#This Row],[时间戳]])</f>
        <v>21</v>
      </c>
      <c r="K487">
        <v>14345</v>
      </c>
      <c r="L487">
        <v>1</v>
      </c>
      <c r="M487">
        <f>TB[[#This Row],[售价]]*TB[[#This Row],[销量]]</f>
        <v>14345</v>
      </c>
      <c r="N487" t="str">
        <f>IF(TB[[#This Row],[售价]]&lt;1000,"低价商品",IF(TB[[#This Row],[售价]]&lt;5000,"中价商品",IF(TB[[#This Row],[售价]]&lt;10000,"高价商品","超高价商品")))</f>
        <v>超高价商品</v>
      </c>
    </row>
    <row r="488" spans="1:14" x14ac:dyDescent="0.2">
      <c r="A488">
        <v>646</v>
      </c>
      <c r="B488">
        <v>119</v>
      </c>
      <c r="C488" t="s">
        <v>17</v>
      </c>
      <c r="D488" t="s">
        <v>285</v>
      </c>
      <c r="E488" t="s">
        <v>25</v>
      </c>
      <c r="F488">
        <v>7</v>
      </c>
      <c r="G488" t="s">
        <v>13</v>
      </c>
      <c r="H488" s="1">
        <v>45939.915277777778</v>
      </c>
      <c r="I488" s="5">
        <f>INT(TB[[#This Row],[时间戳]])</f>
        <v>45939</v>
      </c>
      <c r="J488" s="2">
        <f>HOUR(TB[[#This Row],[时间戳]])</f>
        <v>21</v>
      </c>
      <c r="K488">
        <v>7564</v>
      </c>
      <c r="L488">
        <v>1</v>
      </c>
      <c r="M488">
        <f>TB[[#This Row],[售价]]*TB[[#This Row],[销量]]</f>
        <v>7564</v>
      </c>
      <c r="N488" t="str">
        <f>IF(TB[[#This Row],[售价]]&lt;1000,"低价商品",IF(TB[[#This Row],[售价]]&lt;5000,"中价商品",IF(TB[[#This Row],[售价]]&lt;10000,"高价商品","超高价商品")))</f>
        <v>高价商品</v>
      </c>
    </row>
    <row r="489" spans="1:14" x14ac:dyDescent="0.2">
      <c r="A489">
        <v>224</v>
      </c>
      <c r="B489">
        <v>259</v>
      </c>
      <c r="C489" t="s">
        <v>26</v>
      </c>
      <c r="D489" t="s">
        <v>271</v>
      </c>
      <c r="E489" t="s">
        <v>25</v>
      </c>
      <c r="F489">
        <v>7</v>
      </c>
      <c r="G489" t="s">
        <v>42</v>
      </c>
      <c r="H489" s="1">
        <v>45939.921527777777</v>
      </c>
      <c r="I489" s="5">
        <f>INT(TB[[#This Row],[时间戳]])</f>
        <v>45939</v>
      </c>
      <c r="J489" s="2">
        <f>HOUR(TB[[#This Row],[时间戳]])</f>
        <v>22</v>
      </c>
      <c r="K489">
        <v>2218</v>
      </c>
      <c r="L489">
        <v>0</v>
      </c>
      <c r="M489">
        <f>TB[[#This Row],[售价]]*TB[[#This Row],[销量]]</f>
        <v>0</v>
      </c>
      <c r="N489" t="str">
        <f>IF(TB[[#This Row],[售价]]&lt;1000,"低价商品",IF(TB[[#This Row],[售价]]&lt;5000,"中价商品",IF(TB[[#This Row],[售价]]&lt;10000,"高价商品","超高价商品")))</f>
        <v>中价商品</v>
      </c>
    </row>
    <row r="490" spans="1:14" x14ac:dyDescent="0.2">
      <c r="A490">
        <v>654</v>
      </c>
      <c r="B490">
        <v>248</v>
      </c>
      <c r="C490" t="s">
        <v>10</v>
      </c>
      <c r="D490" t="s">
        <v>189</v>
      </c>
      <c r="E490" t="s">
        <v>22</v>
      </c>
      <c r="F490">
        <v>1</v>
      </c>
      <c r="G490" t="s">
        <v>13</v>
      </c>
      <c r="H490" s="1">
        <v>45939.976388888892</v>
      </c>
      <c r="I490" s="5">
        <f>INT(TB[[#This Row],[时间戳]])</f>
        <v>45939</v>
      </c>
      <c r="J490" s="2">
        <f>HOUR(TB[[#This Row],[时间戳]])</f>
        <v>23</v>
      </c>
      <c r="K490">
        <v>4726</v>
      </c>
      <c r="L490">
        <v>2</v>
      </c>
      <c r="M490">
        <f>TB[[#This Row],[售价]]*TB[[#This Row],[销量]]</f>
        <v>9452</v>
      </c>
      <c r="N490" t="str">
        <f>IF(TB[[#This Row],[售价]]&lt;1000,"低价商品",IF(TB[[#This Row],[售价]]&lt;5000,"中价商品",IF(TB[[#This Row],[售价]]&lt;10000,"高价商品","超高价商品")))</f>
        <v>中价商品</v>
      </c>
    </row>
    <row r="491" spans="1:14" x14ac:dyDescent="0.2">
      <c r="A491">
        <v>545</v>
      </c>
      <c r="B491">
        <v>283</v>
      </c>
      <c r="C491" t="s">
        <v>10</v>
      </c>
      <c r="D491" t="s">
        <v>134</v>
      </c>
      <c r="E491" t="s">
        <v>22</v>
      </c>
      <c r="F491">
        <v>1</v>
      </c>
      <c r="G491" t="s">
        <v>13</v>
      </c>
      <c r="H491" s="1">
        <v>45940.017361111109</v>
      </c>
      <c r="I491" s="5">
        <f>INT(TB[[#This Row],[时间戳]])</f>
        <v>45940</v>
      </c>
      <c r="J491" s="2">
        <f>HOUR(TB[[#This Row],[时间戳]])</f>
        <v>0</v>
      </c>
      <c r="K491">
        <v>6449</v>
      </c>
      <c r="L491">
        <v>3</v>
      </c>
      <c r="M491">
        <f>TB[[#This Row],[售价]]*TB[[#This Row],[销量]]</f>
        <v>19347</v>
      </c>
      <c r="N491" t="str">
        <f>IF(TB[[#This Row],[售价]]&lt;1000,"低价商品",IF(TB[[#This Row],[售价]]&lt;5000,"中价商品",IF(TB[[#This Row],[售价]]&lt;10000,"高价商品","超高价商品")))</f>
        <v>高价商品</v>
      </c>
    </row>
    <row r="492" spans="1:14" x14ac:dyDescent="0.2">
      <c r="A492">
        <v>740</v>
      </c>
      <c r="B492">
        <v>141</v>
      </c>
      <c r="C492" t="s">
        <v>10</v>
      </c>
      <c r="D492" t="s">
        <v>294</v>
      </c>
      <c r="E492" t="s">
        <v>31</v>
      </c>
      <c r="F492">
        <v>4</v>
      </c>
      <c r="G492" t="s">
        <v>13</v>
      </c>
      <c r="H492" s="1">
        <v>45940.02847222222</v>
      </c>
      <c r="I492" s="5">
        <f>INT(TB[[#This Row],[时间戳]])</f>
        <v>45940</v>
      </c>
      <c r="J492" s="2">
        <f>HOUR(TB[[#This Row],[时间戳]])</f>
        <v>0</v>
      </c>
      <c r="K492">
        <v>698</v>
      </c>
      <c r="L492">
        <v>3</v>
      </c>
      <c r="M492">
        <f>TB[[#This Row],[售价]]*TB[[#This Row],[销量]]</f>
        <v>2094</v>
      </c>
      <c r="N492" t="str">
        <f>IF(TB[[#This Row],[售价]]&lt;1000,"低价商品",IF(TB[[#This Row],[售价]]&lt;5000,"中价商品",IF(TB[[#This Row],[售价]]&lt;10000,"高价商品","超高价商品")))</f>
        <v>低价商品</v>
      </c>
    </row>
    <row r="493" spans="1:14" x14ac:dyDescent="0.2">
      <c r="A493">
        <v>715</v>
      </c>
      <c r="B493">
        <v>221</v>
      </c>
      <c r="C493" t="s">
        <v>10</v>
      </c>
      <c r="D493" t="s">
        <v>189</v>
      </c>
      <c r="E493" t="s">
        <v>22</v>
      </c>
      <c r="F493">
        <v>1</v>
      </c>
      <c r="G493" t="s">
        <v>13</v>
      </c>
      <c r="H493" s="1">
        <v>45940.04583333333</v>
      </c>
      <c r="I493" s="5">
        <f>INT(TB[[#This Row],[时间戳]])</f>
        <v>45940</v>
      </c>
      <c r="J493" s="2">
        <f>HOUR(TB[[#This Row],[时间戳]])</f>
        <v>1</v>
      </c>
      <c r="K493">
        <v>5334</v>
      </c>
      <c r="L493">
        <v>1</v>
      </c>
      <c r="M493">
        <f>TB[[#This Row],[售价]]*TB[[#This Row],[销量]]</f>
        <v>5334</v>
      </c>
      <c r="N493" t="str">
        <f>IF(TB[[#This Row],[售价]]&lt;1000,"低价商品",IF(TB[[#This Row],[售价]]&lt;5000,"中价商品",IF(TB[[#This Row],[售价]]&lt;10000,"高价商品","超高价商品")))</f>
        <v>高价商品</v>
      </c>
    </row>
    <row r="494" spans="1:14" x14ac:dyDescent="0.2">
      <c r="A494">
        <v>153</v>
      </c>
      <c r="B494">
        <v>124</v>
      </c>
      <c r="C494" t="s">
        <v>14</v>
      </c>
      <c r="D494" t="s">
        <v>295</v>
      </c>
      <c r="E494" t="s">
        <v>39</v>
      </c>
      <c r="F494">
        <v>5</v>
      </c>
      <c r="G494" t="s">
        <v>13</v>
      </c>
      <c r="H494" s="1">
        <v>45940.052083333336</v>
      </c>
      <c r="I494" s="5">
        <f>INT(TB[[#This Row],[时间戳]])</f>
        <v>45940</v>
      </c>
      <c r="J494" s="2">
        <f>HOUR(TB[[#This Row],[时间戳]])</f>
        <v>1</v>
      </c>
      <c r="K494">
        <v>1388</v>
      </c>
      <c r="L494">
        <v>2</v>
      </c>
      <c r="M494">
        <f>TB[[#This Row],[售价]]*TB[[#This Row],[销量]]</f>
        <v>2776</v>
      </c>
      <c r="N494" t="str">
        <f>IF(TB[[#This Row],[售价]]&lt;1000,"低价商品",IF(TB[[#This Row],[售价]]&lt;5000,"中价商品",IF(TB[[#This Row],[售价]]&lt;10000,"高价商品","超高价商品")))</f>
        <v>中价商品</v>
      </c>
    </row>
    <row r="495" spans="1:14" x14ac:dyDescent="0.2">
      <c r="A495">
        <v>363</v>
      </c>
      <c r="B495">
        <v>137</v>
      </c>
      <c r="C495" t="s">
        <v>20</v>
      </c>
      <c r="D495" t="s">
        <v>296</v>
      </c>
      <c r="E495" t="s">
        <v>25</v>
      </c>
      <c r="F495">
        <v>7</v>
      </c>
      <c r="G495" t="s">
        <v>42</v>
      </c>
      <c r="H495" s="1">
        <v>45940.056250000001</v>
      </c>
      <c r="I495" s="5">
        <f>INT(TB[[#This Row],[时间戳]])</f>
        <v>45940</v>
      </c>
      <c r="J495" s="2">
        <f>HOUR(TB[[#This Row],[时间戳]])</f>
        <v>1</v>
      </c>
      <c r="K495">
        <v>3189</v>
      </c>
      <c r="L495">
        <v>0</v>
      </c>
      <c r="M495">
        <f>TB[[#This Row],[售价]]*TB[[#This Row],[销量]]</f>
        <v>0</v>
      </c>
      <c r="N495" t="str">
        <f>IF(TB[[#This Row],[售价]]&lt;1000,"低价商品",IF(TB[[#This Row],[售价]]&lt;5000,"中价商品",IF(TB[[#This Row],[售价]]&lt;10000,"高价商品","超高价商品")))</f>
        <v>中价商品</v>
      </c>
    </row>
    <row r="496" spans="1:14" x14ac:dyDescent="0.2">
      <c r="A496">
        <v>416</v>
      </c>
      <c r="B496">
        <v>236</v>
      </c>
      <c r="C496" t="s">
        <v>14</v>
      </c>
      <c r="D496" t="s">
        <v>145</v>
      </c>
      <c r="E496" t="s">
        <v>22</v>
      </c>
      <c r="F496">
        <v>1</v>
      </c>
      <c r="G496" t="s">
        <v>13</v>
      </c>
      <c r="H496" s="1">
        <v>45940.067361111112</v>
      </c>
      <c r="I496" s="5">
        <f>INT(TB[[#This Row],[时间戳]])</f>
        <v>45940</v>
      </c>
      <c r="J496" s="2">
        <f>HOUR(TB[[#This Row],[时间戳]])</f>
        <v>1</v>
      </c>
      <c r="K496">
        <v>7515</v>
      </c>
      <c r="L496">
        <v>1</v>
      </c>
      <c r="M496">
        <f>TB[[#This Row],[售价]]*TB[[#This Row],[销量]]</f>
        <v>7515</v>
      </c>
      <c r="N496" t="str">
        <f>IF(TB[[#This Row],[售价]]&lt;1000,"低价商品",IF(TB[[#This Row],[售价]]&lt;5000,"中价商品",IF(TB[[#This Row],[售价]]&lt;10000,"高价商品","超高价商品")))</f>
        <v>高价商品</v>
      </c>
    </row>
    <row r="497" spans="1:14" x14ac:dyDescent="0.2">
      <c r="A497">
        <v>701</v>
      </c>
      <c r="B497">
        <v>42</v>
      </c>
      <c r="C497" t="s">
        <v>32</v>
      </c>
      <c r="D497" t="s">
        <v>107</v>
      </c>
      <c r="E497" t="s">
        <v>31</v>
      </c>
      <c r="F497">
        <v>4</v>
      </c>
      <c r="G497" t="s">
        <v>13</v>
      </c>
      <c r="H497" s="1">
        <v>45940.075694444444</v>
      </c>
      <c r="I497" s="5">
        <f>INT(TB[[#This Row],[时间戳]])</f>
        <v>45940</v>
      </c>
      <c r="J497" s="2">
        <f>HOUR(TB[[#This Row],[时间戳]])</f>
        <v>1</v>
      </c>
      <c r="K497">
        <v>1131</v>
      </c>
      <c r="L497">
        <v>4</v>
      </c>
      <c r="M497">
        <f>TB[[#This Row],[售价]]*TB[[#This Row],[销量]]</f>
        <v>4524</v>
      </c>
      <c r="N497" t="str">
        <f>IF(TB[[#This Row],[售价]]&lt;1000,"低价商品",IF(TB[[#This Row],[售价]]&lt;5000,"中价商品",IF(TB[[#This Row],[售价]]&lt;10000,"高价商品","超高价商品")))</f>
        <v>中价商品</v>
      </c>
    </row>
    <row r="498" spans="1:14" x14ac:dyDescent="0.2">
      <c r="A498">
        <v>387</v>
      </c>
      <c r="B498">
        <v>283</v>
      </c>
      <c r="C498" t="s">
        <v>17</v>
      </c>
      <c r="D498" t="s">
        <v>226</v>
      </c>
      <c r="E498" t="s">
        <v>16</v>
      </c>
      <c r="F498">
        <v>6</v>
      </c>
      <c r="G498" t="s">
        <v>13</v>
      </c>
      <c r="H498" s="1">
        <v>45940.091666666667</v>
      </c>
      <c r="I498" s="5">
        <f>INT(TB[[#This Row],[时间戳]])</f>
        <v>45940</v>
      </c>
      <c r="J498" s="2">
        <f>HOUR(TB[[#This Row],[时间戳]])</f>
        <v>2</v>
      </c>
      <c r="K498">
        <v>2366</v>
      </c>
      <c r="L498">
        <v>1</v>
      </c>
      <c r="M498">
        <f>TB[[#This Row],[售价]]*TB[[#This Row],[销量]]</f>
        <v>2366</v>
      </c>
      <c r="N498" t="str">
        <f>IF(TB[[#This Row],[售价]]&lt;1000,"低价商品",IF(TB[[#This Row],[售价]]&lt;5000,"中价商品",IF(TB[[#This Row],[售价]]&lt;10000,"高价商品","超高价商品")))</f>
        <v>中价商品</v>
      </c>
    </row>
    <row r="499" spans="1:14" x14ac:dyDescent="0.2">
      <c r="A499">
        <v>176</v>
      </c>
      <c r="B499">
        <v>43</v>
      </c>
      <c r="C499" t="s">
        <v>10</v>
      </c>
      <c r="D499" t="s">
        <v>11</v>
      </c>
      <c r="E499" t="s">
        <v>12</v>
      </c>
      <c r="F499">
        <v>2</v>
      </c>
      <c r="G499" t="s">
        <v>13</v>
      </c>
      <c r="H499" s="1">
        <v>45940.093055555553</v>
      </c>
      <c r="I499" s="5">
        <f>INT(TB[[#This Row],[时间戳]])</f>
        <v>45940</v>
      </c>
      <c r="J499" s="2">
        <f>HOUR(TB[[#This Row],[时间戳]])</f>
        <v>2</v>
      </c>
      <c r="K499">
        <v>11626</v>
      </c>
      <c r="L499">
        <v>1</v>
      </c>
      <c r="M499">
        <f>TB[[#This Row],[售价]]*TB[[#This Row],[销量]]</f>
        <v>11626</v>
      </c>
      <c r="N499" t="str">
        <f>IF(TB[[#This Row],[售价]]&lt;1000,"低价商品",IF(TB[[#This Row],[售价]]&lt;5000,"中价商品",IF(TB[[#This Row],[售价]]&lt;10000,"高价商品","超高价商品")))</f>
        <v>超高价商品</v>
      </c>
    </row>
    <row r="500" spans="1:14" x14ac:dyDescent="0.2">
      <c r="A500">
        <v>98</v>
      </c>
      <c r="B500">
        <v>271</v>
      </c>
      <c r="C500" t="s">
        <v>34</v>
      </c>
      <c r="D500" t="s">
        <v>164</v>
      </c>
      <c r="E500" t="s">
        <v>22</v>
      </c>
      <c r="F500">
        <v>1</v>
      </c>
      <c r="G500" t="s">
        <v>13</v>
      </c>
      <c r="H500" s="1">
        <v>45940.160416666666</v>
      </c>
      <c r="I500" s="5">
        <f>INT(TB[[#This Row],[时间戳]])</f>
        <v>45940</v>
      </c>
      <c r="J500" s="2">
        <f>HOUR(TB[[#This Row],[时间戳]])</f>
        <v>3</v>
      </c>
      <c r="K500">
        <v>5116</v>
      </c>
      <c r="L500">
        <v>2</v>
      </c>
      <c r="M500">
        <f>TB[[#This Row],[售价]]*TB[[#This Row],[销量]]</f>
        <v>10232</v>
      </c>
      <c r="N500" t="str">
        <f>IF(TB[[#This Row],[售价]]&lt;1000,"低价商品",IF(TB[[#This Row],[售价]]&lt;5000,"中价商品",IF(TB[[#This Row],[售价]]&lt;10000,"高价商品","超高价商品")))</f>
        <v>高价商品</v>
      </c>
    </row>
    <row r="501" spans="1:14" x14ac:dyDescent="0.2">
      <c r="A501">
        <v>581</v>
      </c>
      <c r="B501">
        <v>244</v>
      </c>
      <c r="C501" t="s">
        <v>32</v>
      </c>
      <c r="D501" t="s">
        <v>193</v>
      </c>
      <c r="E501" t="s">
        <v>22</v>
      </c>
      <c r="F501">
        <v>1</v>
      </c>
      <c r="G501" t="s">
        <v>13</v>
      </c>
      <c r="H501" s="1">
        <v>45940.239583333336</v>
      </c>
      <c r="I501" s="5">
        <f>INT(TB[[#This Row],[时间戳]])</f>
        <v>45940</v>
      </c>
      <c r="J501" s="2">
        <f>HOUR(TB[[#This Row],[时间戳]])</f>
        <v>5</v>
      </c>
      <c r="K501">
        <v>1265</v>
      </c>
      <c r="L501">
        <v>4</v>
      </c>
      <c r="M501">
        <f>TB[[#This Row],[售价]]*TB[[#This Row],[销量]]</f>
        <v>5060</v>
      </c>
      <c r="N501" t="str">
        <f>IF(TB[[#This Row],[售价]]&lt;1000,"低价商品",IF(TB[[#This Row],[售价]]&lt;5000,"中价商品",IF(TB[[#This Row],[售价]]&lt;10000,"高价商品","超高价商品")))</f>
        <v>中价商品</v>
      </c>
    </row>
    <row r="502" spans="1:14" x14ac:dyDescent="0.2">
      <c r="A502">
        <v>288</v>
      </c>
      <c r="B502">
        <v>279</v>
      </c>
      <c r="C502" t="s">
        <v>14</v>
      </c>
      <c r="D502" t="s">
        <v>297</v>
      </c>
      <c r="E502" t="s">
        <v>25</v>
      </c>
      <c r="F502">
        <v>7</v>
      </c>
      <c r="G502" t="s">
        <v>13</v>
      </c>
      <c r="H502" s="1">
        <v>45940.261111111111</v>
      </c>
      <c r="I502" s="5">
        <f>INT(TB[[#This Row],[时间戳]])</f>
        <v>45940</v>
      </c>
      <c r="J502" s="2">
        <f>HOUR(TB[[#This Row],[时间戳]])</f>
        <v>6</v>
      </c>
      <c r="K502">
        <v>3543</v>
      </c>
      <c r="L502">
        <v>1</v>
      </c>
      <c r="M502">
        <f>TB[[#This Row],[售价]]*TB[[#This Row],[销量]]</f>
        <v>3543</v>
      </c>
      <c r="N502" t="str">
        <f>IF(TB[[#This Row],[售价]]&lt;1000,"低价商品",IF(TB[[#This Row],[售价]]&lt;5000,"中价商品",IF(TB[[#This Row],[售价]]&lt;10000,"高价商品","超高价商品")))</f>
        <v>中价商品</v>
      </c>
    </row>
    <row r="503" spans="1:14" x14ac:dyDescent="0.2">
      <c r="A503">
        <v>323</v>
      </c>
      <c r="B503">
        <v>9</v>
      </c>
      <c r="C503" t="s">
        <v>10</v>
      </c>
      <c r="D503" t="s">
        <v>298</v>
      </c>
      <c r="E503" t="s">
        <v>12</v>
      </c>
      <c r="F503">
        <v>2</v>
      </c>
      <c r="G503" t="s">
        <v>13</v>
      </c>
      <c r="H503" s="1">
        <v>45940.275694444441</v>
      </c>
      <c r="I503" s="5">
        <f>INT(TB[[#This Row],[时间戳]])</f>
        <v>45940</v>
      </c>
      <c r="J503" s="2">
        <f>HOUR(TB[[#This Row],[时间戳]])</f>
        <v>6</v>
      </c>
      <c r="K503">
        <v>13368</v>
      </c>
      <c r="L503">
        <v>3</v>
      </c>
      <c r="M503">
        <f>TB[[#This Row],[售价]]*TB[[#This Row],[销量]]</f>
        <v>40104</v>
      </c>
      <c r="N503" t="str">
        <f>IF(TB[[#This Row],[售价]]&lt;1000,"低价商品",IF(TB[[#This Row],[售价]]&lt;5000,"中价商品",IF(TB[[#This Row],[售价]]&lt;10000,"高价商品","超高价商品")))</f>
        <v>超高价商品</v>
      </c>
    </row>
    <row r="504" spans="1:14" x14ac:dyDescent="0.2">
      <c r="A504">
        <v>79</v>
      </c>
      <c r="B504">
        <v>154</v>
      </c>
      <c r="C504" t="s">
        <v>26</v>
      </c>
      <c r="D504" t="s">
        <v>299</v>
      </c>
      <c r="E504" t="s">
        <v>19</v>
      </c>
      <c r="F504">
        <v>3</v>
      </c>
      <c r="G504" t="s">
        <v>42</v>
      </c>
      <c r="H504" s="1">
        <v>45940.281944444447</v>
      </c>
      <c r="I504" s="5">
        <f>INT(TB[[#This Row],[时间戳]])</f>
        <v>45940</v>
      </c>
      <c r="J504" s="2">
        <f>HOUR(TB[[#This Row],[时间戳]])</f>
        <v>6</v>
      </c>
      <c r="K504">
        <v>3297</v>
      </c>
      <c r="L504">
        <v>0</v>
      </c>
      <c r="M504">
        <f>TB[[#This Row],[售价]]*TB[[#This Row],[销量]]</f>
        <v>0</v>
      </c>
      <c r="N504" t="str">
        <f>IF(TB[[#This Row],[售价]]&lt;1000,"低价商品",IF(TB[[#This Row],[售价]]&lt;5000,"中价商品",IF(TB[[#This Row],[售价]]&lt;10000,"高价商品","超高价商品")))</f>
        <v>中价商品</v>
      </c>
    </row>
    <row r="505" spans="1:14" x14ac:dyDescent="0.2">
      <c r="A505">
        <v>399</v>
      </c>
      <c r="B505">
        <v>277</v>
      </c>
      <c r="C505" t="s">
        <v>32</v>
      </c>
      <c r="D505" t="s">
        <v>212</v>
      </c>
      <c r="E505" t="s">
        <v>22</v>
      </c>
      <c r="F505">
        <v>1</v>
      </c>
      <c r="G505" t="s">
        <v>13</v>
      </c>
      <c r="H505" s="1">
        <v>45940.313194444447</v>
      </c>
      <c r="I505" s="5">
        <f>INT(TB[[#This Row],[时间戳]])</f>
        <v>45940</v>
      </c>
      <c r="J505" s="2">
        <f>HOUR(TB[[#This Row],[时间戳]])</f>
        <v>7</v>
      </c>
      <c r="K505">
        <v>2418</v>
      </c>
      <c r="L505">
        <v>3</v>
      </c>
      <c r="M505">
        <f>TB[[#This Row],[售价]]*TB[[#This Row],[销量]]</f>
        <v>7254</v>
      </c>
      <c r="N505" t="str">
        <f>IF(TB[[#This Row],[售价]]&lt;1000,"低价商品",IF(TB[[#This Row],[售价]]&lt;5000,"中价商品",IF(TB[[#This Row],[售价]]&lt;10000,"高价商品","超高价商品")))</f>
        <v>中价商品</v>
      </c>
    </row>
    <row r="506" spans="1:14" x14ac:dyDescent="0.2">
      <c r="A506">
        <v>513</v>
      </c>
      <c r="B506">
        <v>178</v>
      </c>
      <c r="C506" t="s">
        <v>26</v>
      </c>
      <c r="D506" t="s">
        <v>300</v>
      </c>
      <c r="E506" t="s">
        <v>19</v>
      </c>
      <c r="F506">
        <v>3</v>
      </c>
      <c r="G506" t="s">
        <v>13</v>
      </c>
      <c r="H506" s="1">
        <v>45940.334722222222</v>
      </c>
      <c r="I506" s="5">
        <f>INT(TB[[#This Row],[时间戳]])</f>
        <v>45940</v>
      </c>
      <c r="J506" s="2">
        <f>HOUR(TB[[#This Row],[时间戳]])</f>
        <v>8</v>
      </c>
      <c r="K506">
        <v>4213</v>
      </c>
      <c r="L506">
        <v>3</v>
      </c>
      <c r="M506">
        <f>TB[[#This Row],[售价]]*TB[[#This Row],[销量]]</f>
        <v>12639</v>
      </c>
      <c r="N506" t="str">
        <f>IF(TB[[#This Row],[售价]]&lt;1000,"低价商品",IF(TB[[#This Row],[售价]]&lt;5000,"中价商品",IF(TB[[#This Row],[售价]]&lt;10000,"高价商品","超高价商品")))</f>
        <v>中价商品</v>
      </c>
    </row>
    <row r="507" spans="1:14" x14ac:dyDescent="0.2">
      <c r="A507">
        <v>78</v>
      </c>
      <c r="B507">
        <v>175</v>
      </c>
      <c r="C507" t="s">
        <v>17</v>
      </c>
      <c r="D507" t="s">
        <v>214</v>
      </c>
      <c r="E507" t="s">
        <v>22</v>
      </c>
      <c r="F507">
        <v>1</v>
      </c>
      <c r="G507" t="s">
        <v>13</v>
      </c>
      <c r="H507" s="1">
        <v>45940.337500000001</v>
      </c>
      <c r="I507" s="5">
        <f>INT(TB[[#This Row],[时间戳]])</f>
        <v>45940</v>
      </c>
      <c r="J507" s="2">
        <f>HOUR(TB[[#This Row],[时间戳]])</f>
        <v>8</v>
      </c>
      <c r="K507">
        <v>1289</v>
      </c>
      <c r="L507">
        <v>1</v>
      </c>
      <c r="M507">
        <f>TB[[#This Row],[售价]]*TB[[#This Row],[销量]]</f>
        <v>1289</v>
      </c>
      <c r="N507" t="str">
        <f>IF(TB[[#This Row],[售价]]&lt;1000,"低价商品",IF(TB[[#This Row],[售价]]&lt;5000,"中价商品",IF(TB[[#This Row],[售价]]&lt;10000,"高价商品","超高价商品")))</f>
        <v>中价商品</v>
      </c>
    </row>
    <row r="508" spans="1:14" x14ac:dyDescent="0.2">
      <c r="A508">
        <v>407</v>
      </c>
      <c r="B508">
        <v>168</v>
      </c>
      <c r="C508" t="s">
        <v>46</v>
      </c>
      <c r="D508" t="s">
        <v>150</v>
      </c>
      <c r="E508" t="s">
        <v>25</v>
      </c>
      <c r="F508">
        <v>7</v>
      </c>
      <c r="G508" t="s">
        <v>13</v>
      </c>
      <c r="H508" s="1">
        <v>45940.381944444445</v>
      </c>
      <c r="I508" s="5">
        <f>INT(TB[[#This Row],[时间戳]])</f>
        <v>45940</v>
      </c>
      <c r="J508" s="2">
        <f>HOUR(TB[[#This Row],[时间戳]])</f>
        <v>9</v>
      </c>
      <c r="K508">
        <v>6650</v>
      </c>
      <c r="L508">
        <v>2</v>
      </c>
      <c r="M508">
        <f>TB[[#This Row],[售价]]*TB[[#This Row],[销量]]</f>
        <v>13300</v>
      </c>
      <c r="N508" t="str">
        <f>IF(TB[[#This Row],[售价]]&lt;1000,"低价商品",IF(TB[[#This Row],[售价]]&lt;5000,"中价商品",IF(TB[[#This Row],[售价]]&lt;10000,"高价商品","超高价商品")))</f>
        <v>高价商品</v>
      </c>
    </row>
    <row r="509" spans="1:14" x14ac:dyDescent="0.2">
      <c r="A509">
        <v>503</v>
      </c>
      <c r="B509">
        <v>117</v>
      </c>
      <c r="C509" t="s">
        <v>36</v>
      </c>
      <c r="D509" t="s">
        <v>269</v>
      </c>
      <c r="E509" t="s">
        <v>19</v>
      </c>
      <c r="F509">
        <v>3</v>
      </c>
      <c r="G509" t="s">
        <v>13</v>
      </c>
      <c r="H509" s="1">
        <v>45940.413888888892</v>
      </c>
      <c r="I509" s="5">
        <f>INT(TB[[#This Row],[时间戳]])</f>
        <v>45940</v>
      </c>
      <c r="J509" s="2">
        <f>HOUR(TB[[#This Row],[时间戳]])</f>
        <v>9</v>
      </c>
      <c r="K509">
        <v>1866</v>
      </c>
      <c r="L509">
        <v>4</v>
      </c>
      <c r="M509">
        <f>TB[[#This Row],[售价]]*TB[[#This Row],[销量]]</f>
        <v>7464</v>
      </c>
      <c r="N509" t="str">
        <f>IF(TB[[#This Row],[售价]]&lt;1000,"低价商品",IF(TB[[#This Row],[售价]]&lt;5000,"中价商品",IF(TB[[#This Row],[售价]]&lt;10000,"高价商品","超高价商品")))</f>
        <v>中价商品</v>
      </c>
    </row>
    <row r="510" spans="1:14" x14ac:dyDescent="0.2">
      <c r="A510">
        <v>191</v>
      </c>
      <c r="B510">
        <v>300</v>
      </c>
      <c r="C510" t="s">
        <v>17</v>
      </c>
      <c r="D510" t="s">
        <v>137</v>
      </c>
      <c r="E510" t="s">
        <v>31</v>
      </c>
      <c r="F510">
        <v>4</v>
      </c>
      <c r="G510" t="s">
        <v>13</v>
      </c>
      <c r="H510" s="1">
        <v>45940.46875</v>
      </c>
      <c r="I510" s="5">
        <f>INT(TB[[#This Row],[时间戳]])</f>
        <v>45940</v>
      </c>
      <c r="J510" s="2">
        <f>HOUR(TB[[#This Row],[时间戳]])</f>
        <v>11</v>
      </c>
      <c r="K510">
        <v>861</v>
      </c>
      <c r="L510">
        <v>1</v>
      </c>
      <c r="M510">
        <f>TB[[#This Row],[售价]]*TB[[#This Row],[销量]]</f>
        <v>861</v>
      </c>
      <c r="N510" t="str">
        <f>IF(TB[[#This Row],[售价]]&lt;1000,"低价商品",IF(TB[[#This Row],[售价]]&lt;5000,"中价商品",IF(TB[[#This Row],[售价]]&lt;10000,"高价商品","超高价商品")))</f>
        <v>低价商品</v>
      </c>
    </row>
    <row r="511" spans="1:14" x14ac:dyDescent="0.2">
      <c r="A511">
        <v>303</v>
      </c>
      <c r="B511">
        <v>127</v>
      </c>
      <c r="C511" t="s">
        <v>14</v>
      </c>
      <c r="D511" t="s">
        <v>29</v>
      </c>
      <c r="E511" t="s">
        <v>22</v>
      </c>
      <c r="F511">
        <v>1</v>
      </c>
      <c r="G511" t="s">
        <v>42</v>
      </c>
      <c r="H511" s="1">
        <v>45940.493055555555</v>
      </c>
      <c r="I511" s="5">
        <f>INT(TB[[#This Row],[时间戳]])</f>
        <v>45940</v>
      </c>
      <c r="J511" s="2">
        <f>HOUR(TB[[#This Row],[时间戳]])</f>
        <v>11</v>
      </c>
      <c r="K511">
        <v>6406</v>
      </c>
      <c r="L511">
        <v>0</v>
      </c>
      <c r="M511">
        <f>TB[[#This Row],[售价]]*TB[[#This Row],[销量]]</f>
        <v>0</v>
      </c>
      <c r="N511" t="str">
        <f>IF(TB[[#This Row],[售价]]&lt;1000,"低价商品",IF(TB[[#This Row],[售价]]&lt;5000,"中价商品",IF(TB[[#This Row],[售价]]&lt;10000,"高价商品","超高价商品")))</f>
        <v>高价商品</v>
      </c>
    </row>
    <row r="512" spans="1:14" x14ac:dyDescent="0.2">
      <c r="A512">
        <v>158</v>
      </c>
      <c r="B512">
        <v>195</v>
      </c>
      <c r="C512" t="s">
        <v>14</v>
      </c>
      <c r="D512" t="s">
        <v>145</v>
      </c>
      <c r="E512" t="s">
        <v>22</v>
      </c>
      <c r="F512">
        <v>1</v>
      </c>
      <c r="G512" t="s">
        <v>13</v>
      </c>
      <c r="H512" s="1">
        <v>45940.510416666664</v>
      </c>
      <c r="I512" s="5">
        <f>INT(TB[[#This Row],[时间戳]])</f>
        <v>45940</v>
      </c>
      <c r="J512" s="2">
        <f>HOUR(TB[[#This Row],[时间戳]])</f>
        <v>12</v>
      </c>
      <c r="K512">
        <v>6678</v>
      </c>
      <c r="L512">
        <v>2</v>
      </c>
      <c r="M512">
        <f>TB[[#This Row],[售价]]*TB[[#This Row],[销量]]</f>
        <v>13356</v>
      </c>
      <c r="N512" t="str">
        <f>IF(TB[[#This Row],[售价]]&lt;1000,"低价商品",IF(TB[[#This Row],[售价]]&lt;5000,"中价商品",IF(TB[[#This Row],[售价]]&lt;10000,"高价商品","超高价商品")))</f>
        <v>高价商品</v>
      </c>
    </row>
    <row r="513" spans="1:14" x14ac:dyDescent="0.2">
      <c r="A513">
        <v>399</v>
      </c>
      <c r="B513">
        <v>163</v>
      </c>
      <c r="C513" t="s">
        <v>26</v>
      </c>
      <c r="D513" t="s">
        <v>65</v>
      </c>
      <c r="E513" t="s">
        <v>22</v>
      </c>
      <c r="F513">
        <v>1</v>
      </c>
      <c r="G513" t="s">
        <v>13</v>
      </c>
      <c r="H513" s="1">
        <v>45940.520138888889</v>
      </c>
      <c r="I513" s="5">
        <f>INT(TB[[#This Row],[时间戳]])</f>
        <v>45940</v>
      </c>
      <c r="J513" s="2">
        <f>HOUR(TB[[#This Row],[时间戳]])</f>
        <v>12</v>
      </c>
      <c r="K513">
        <v>6954</v>
      </c>
      <c r="L513">
        <v>2</v>
      </c>
      <c r="M513">
        <f>TB[[#This Row],[售价]]*TB[[#This Row],[销量]]</f>
        <v>13908</v>
      </c>
      <c r="N513" t="str">
        <f>IF(TB[[#This Row],[售价]]&lt;1000,"低价商品",IF(TB[[#This Row],[售价]]&lt;5000,"中价商品",IF(TB[[#This Row],[售价]]&lt;10000,"高价商品","超高价商品")))</f>
        <v>高价商品</v>
      </c>
    </row>
    <row r="514" spans="1:14" x14ac:dyDescent="0.2">
      <c r="A514">
        <v>316</v>
      </c>
      <c r="B514">
        <v>228</v>
      </c>
      <c r="C514" t="s">
        <v>14</v>
      </c>
      <c r="D514" t="s">
        <v>30</v>
      </c>
      <c r="E514" t="s">
        <v>31</v>
      </c>
      <c r="F514">
        <v>4</v>
      </c>
      <c r="G514" t="s">
        <v>13</v>
      </c>
      <c r="H514" s="1">
        <v>45940.570138888892</v>
      </c>
      <c r="I514" s="5">
        <f>INT(TB[[#This Row],[时间戳]])</f>
        <v>45940</v>
      </c>
      <c r="J514" s="2">
        <f>HOUR(TB[[#This Row],[时间戳]])</f>
        <v>13</v>
      </c>
      <c r="K514">
        <v>642</v>
      </c>
      <c r="L514">
        <v>3</v>
      </c>
      <c r="M514">
        <f>TB[[#This Row],[售价]]*TB[[#This Row],[销量]]</f>
        <v>1926</v>
      </c>
      <c r="N514" t="str">
        <f>IF(TB[[#This Row],[售价]]&lt;1000,"低价商品",IF(TB[[#This Row],[售价]]&lt;5000,"中价商品",IF(TB[[#This Row],[售价]]&lt;10000,"高价商品","超高价商品")))</f>
        <v>低价商品</v>
      </c>
    </row>
    <row r="515" spans="1:14" x14ac:dyDescent="0.2">
      <c r="A515">
        <v>136</v>
      </c>
      <c r="B515">
        <v>45</v>
      </c>
      <c r="C515" t="s">
        <v>36</v>
      </c>
      <c r="D515" t="s">
        <v>181</v>
      </c>
      <c r="E515" t="s">
        <v>25</v>
      </c>
      <c r="F515">
        <v>7</v>
      </c>
      <c r="G515" t="s">
        <v>13</v>
      </c>
      <c r="H515" s="1">
        <v>45940.606944444444</v>
      </c>
      <c r="I515" s="5">
        <f>INT(TB[[#This Row],[时间戳]])</f>
        <v>45940</v>
      </c>
      <c r="J515" s="2">
        <f>HOUR(TB[[#This Row],[时间戳]])</f>
        <v>14</v>
      </c>
      <c r="K515">
        <v>4637</v>
      </c>
      <c r="L515">
        <v>1</v>
      </c>
      <c r="M515">
        <f>TB[[#This Row],[售价]]*TB[[#This Row],[销量]]</f>
        <v>4637</v>
      </c>
      <c r="N515" t="str">
        <f>IF(TB[[#This Row],[售价]]&lt;1000,"低价商品",IF(TB[[#This Row],[售价]]&lt;5000,"中价商品",IF(TB[[#This Row],[售价]]&lt;10000,"高价商品","超高价商品")))</f>
        <v>中价商品</v>
      </c>
    </row>
    <row r="516" spans="1:14" x14ac:dyDescent="0.2">
      <c r="A516">
        <v>569</v>
      </c>
      <c r="B516">
        <v>263</v>
      </c>
      <c r="C516" t="s">
        <v>44</v>
      </c>
      <c r="D516" t="s">
        <v>301</v>
      </c>
      <c r="E516" t="s">
        <v>22</v>
      </c>
      <c r="F516">
        <v>1</v>
      </c>
      <c r="G516" t="s">
        <v>13</v>
      </c>
      <c r="H516" s="1">
        <v>45940.607638888891</v>
      </c>
      <c r="I516" s="5">
        <f>INT(TB[[#This Row],[时间戳]])</f>
        <v>45940</v>
      </c>
      <c r="J516" s="2">
        <f>HOUR(TB[[#This Row],[时间戳]])</f>
        <v>14</v>
      </c>
      <c r="K516">
        <v>2555</v>
      </c>
      <c r="L516">
        <v>2</v>
      </c>
      <c r="M516">
        <f>TB[[#This Row],[售价]]*TB[[#This Row],[销量]]</f>
        <v>5110</v>
      </c>
      <c r="N516" t="str">
        <f>IF(TB[[#This Row],[售价]]&lt;1000,"低价商品",IF(TB[[#This Row],[售价]]&lt;5000,"中价商品",IF(TB[[#This Row],[售价]]&lt;10000,"高价商品","超高价商品")))</f>
        <v>中价商品</v>
      </c>
    </row>
    <row r="517" spans="1:14" x14ac:dyDescent="0.2">
      <c r="A517">
        <v>363</v>
      </c>
      <c r="B517">
        <v>284</v>
      </c>
      <c r="C517" t="s">
        <v>10</v>
      </c>
      <c r="D517" t="s">
        <v>302</v>
      </c>
      <c r="E517" t="s">
        <v>19</v>
      </c>
      <c r="F517">
        <v>3</v>
      </c>
      <c r="G517" t="s">
        <v>13</v>
      </c>
      <c r="H517" s="1">
        <v>45940.60833333333</v>
      </c>
      <c r="I517" s="5">
        <f>INT(TB[[#This Row],[时间戳]])</f>
        <v>45940</v>
      </c>
      <c r="J517" s="2">
        <f>HOUR(TB[[#This Row],[时间戳]])</f>
        <v>14</v>
      </c>
      <c r="K517">
        <v>4694</v>
      </c>
      <c r="L517">
        <v>2</v>
      </c>
      <c r="M517">
        <f>TB[[#This Row],[售价]]*TB[[#This Row],[销量]]</f>
        <v>9388</v>
      </c>
      <c r="N517" t="str">
        <f>IF(TB[[#This Row],[售价]]&lt;1000,"低价商品",IF(TB[[#This Row],[售价]]&lt;5000,"中价商品",IF(TB[[#This Row],[售价]]&lt;10000,"高价商品","超高价商品")))</f>
        <v>中价商品</v>
      </c>
    </row>
    <row r="518" spans="1:14" x14ac:dyDescent="0.2">
      <c r="A518">
        <v>395</v>
      </c>
      <c r="B518">
        <v>7</v>
      </c>
      <c r="C518" t="s">
        <v>46</v>
      </c>
      <c r="D518" t="s">
        <v>303</v>
      </c>
      <c r="E518" t="s">
        <v>19</v>
      </c>
      <c r="F518">
        <v>3</v>
      </c>
      <c r="G518" t="s">
        <v>13</v>
      </c>
      <c r="H518" s="1">
        <v>45940.617361111108</v>
      </c>
      <c r="I518" s="5">
        <f>INT(TB[[#This Row],[时间戳]])</f>
        <v>45940</v>
      </c>
      <c r="J518" s="2">
        <f>HOUR(TB[[#This Row],[时间戳]])</f>
        <v>14</v>
      </c>
      <c r="K518">
        <v>2367</v>
      </c>
      <c r="L518">
        <v>3</v>
      </c>
      <c r="M518">
        <f>TB[[#This Row],[售价]]*TB[[#This Row],[销量]]</f>
        <v>7101</v>
      </c>
      <c r="N518" t="str">
        <f>IF(TB[[#This Row],[售价]]&lt;1000,"低价商品",IF(TB[[#This Row],[售价]]&lt;5000,"中价商品",IF(TB[[#This Row],[售价]]&lt;10000,"高价商品","超高价商品")))</f>
        <v>中价商品</v>
      </c>
    </row>
    <row r="519" spans="1:14" x14ac:dyDescent="0.2">
      <c r="A519">
        <v>743</v>
      </c>
      <c r="B519">
        <v>287</v>
      </c>
      <c r="C519" t="s">
        <v>17</v>
      </c>
      <c r="D519" t="s">
        <v>234</v>
      </c>
      <c r="E519" t="s">
        <v>39</v>
      </c>
      <c r="F519">
        <v>5</v>
      </c>
      <c r="G519" t="s">
        <v>13</v>
      </c>
      <c r="H519" s="1">
        <v>45940.647916666669</v>
      </c>
      <c r="I519" s="5">
        <f>INT(TB[[#This Row],[时间戳]])</f>
        <v>45940</v>
      </c>
      <c r="J519" s="2">
        <f>HOUR(TB[[#This Row],[时间戳]])</f>
        <v>15</v>
      </c>
      <c r="K519">
        <v>2006</v>
      </c>
      <c r="L519">
        <v>1</v>
      </c>
      <c r="M519">
        <f>TB[[#This Row],[售价]]*TB[[#This Row],[销量]]</f>
        <v>2006</v>
      </c>
      <c r="N519" t="str">
        <f>IF(TB[[#This Row],[售价]]&lt;1000,"低价商品",IF(TB[[#This Row],[售价]]&lt;5000,"中价商品",IF(TB[[#This Row],[售价]]&lt;10000,"高价商品","超高价商品")))</f>
        <v>中价商品</v>
      </c>
    </row>
    <row r="520" spans="1:14" x14ac:dyDescent="0.2">
      <c r="A520">
        <v>702</v>
      </c>
      <c r="B520">
        <v>195</v>
      </c>
      <c r="C520" t="s">
        <v>20</v>
      </c>
      <c r="D520" t="s">
        <v>64</v>
      </c>
      <c r="E520" t="s">
        <v>31</v>
      </c>
      <c r="F520">
        <v>4</v>
      </c>
      <c r="G520" t="s">
        <v>42</v>
      </c>
      <c r="H520" s="1">
        <v>45940.727777777778</v>
      </c>
      <c r="I520" s="5">
        <f>INT(TB[[#This Row],[时间戳]])</f>
        <v>45940</v>
      </c>
      <c r="J520" s="2">
        <f>HOUR(TB[[#This Row],[时间戳]])</f>
        <v>17</v>
      </c>
      <c r="K520">
        <v>639</v>
      </c>
      <c r="L520">
        <v>0</v>
      </c>
      <c r="M520">
        <f>TB[[#This Row],[售价]]*TB[[#This Row],[销量]]</f>
        <v>0</v>
      </c>
      <c r="N520" t="str">
        <f>IF(TB[[#This Row],[售价]]&lt;1000,"低价商品",IF(TB[[#This Row],[售价]]&lt;5000,"中价商品",IF(TB[[#This Row],[售价]]&lt;10000,"高价商品","超高价商品")))</f>
        <v>低价商品</v>
      </c>
    </row>
    <row r="521" spans="1:14" x14ac:dyDescent="0.2">
      <c r="A521">
        <v>275</v>
      </c>
      <c r="B521">
        <v>253</v>
      </c>
      <c r="C521" t="s">
        <v>36</v>
      </c>
      <c r="D521" t="s">
        <v>304</v>
      </c>
      <c r="E521" t="s">
        <v>16</v>
      </c>
      <c r="F521">
        <v>6</v>
      </c>
      <c r="G521" t="s">
        <v>13</v>
      </c>
      <c r="H521" s="1">
        <v>45940.731249999997</v>
      </c>
      <c r="I521" s="5">
        <f>INT(TB[[#This Row],[时间戳]])</f>
        <v>45940</v>
      </c>
      <c r="J521" s="2">
        <f>HOUR(TB[[#This Row],[时间戳]])</f>
        <v>17</v>
      </c>
      <c r="K521">
        <v>4648</v>
      </c>
      <c r="L521">
        <v>2</v>
      </c>
      <c r="M521">
        <f>TB[[#This Row],[售价]]*TB[[#This Row],[销量]]</f>
        <v>9296</v>
      </c>
      <c r="N521" t="str">
        <f>IF(TB[[#This Row],[售价]]&lt;1000,"低价商品",IF(TB[[#This Row],[售价]]&lt;5000,"中价商品",IF(TB[[#This Row],[售价]]&lt;10000,"高价商品","超高价商品")))</f>
        <v>中价商品</v>
      </c>
    </row>
    <row r="522" spans="1:14" x14ac:dyDescent="0.2">
      <c r="A522">
        <v>283</v>
      </c>
      <c r="B522">
        <v>216</v>
      </c>
      <c r="C522" t="s">
        <v>26</v>
      </c>
      <c r="D522" t="s">
        <v>299</v>
      </c>
      <c r="E522" t="s">
        <v>19</v>
      </c>
      <c r="F522">
        <v>3</v>
      </c>
      <c r="G522" t="s">
        <v>13</v>
      </c>
      <c r="H522" s="1">
        <v>45940.74722222222</v>
      </c>
      <c r="I522" s="5">
        <f>INT(TB[[#This Row],[时间戳]])</f>
        <v>45940</v>
      </c>
      <c r="J522" s="2">
        <f>HOUR(TB[[#This Row],[时间戳]])</f>
        <v>17</v>
      </c>
      <c r="K522">
        <v>2527</v>
      </c>
      <c r="L522">
        <v>1</v>
      </c>
      <c r="M522">
        <f>TB[[#This Row],[售价]]*TB[[#This Row],[销量]]</f>
        <v>2527</v>
      </c>
      <c r="N522" t="str">
        <f>IF(TB[[#This Row],[售价]]&lt;1000,"低价商品",IF(TB[[#This Row],[售价]]&lt;5000,"中价商品",IF(TB[[#This Row],[售价]]&lt;10000,"高价商品","超高价商品")))</f>
        <v>中价商品</v>
      </c>
    </row>
    <row r="523" spans="1:14" x14ac:dyDescent="0.2">
      <c r="A523">
        <v>258</v>
      </c>
      <c r="B523">
        <v>127</v>
      </c>
      <c r="C523" t="s">
        <v>14</v>
      </c>
      <c r="D523" t="s">
        <v>305</v>
      </c>
      <c r="E523" t="s">
        <v>25</v>
      </c>
      <c r="F523">
        <v>7</v>
      </c>
      <c r="G523" t="s">
        <v>13</v>
      </c>
      <c r="H523" s="1">
        <v>45940.756249999999</v>
      </c>
      <c r="I523" s="5">
        <f>INT(TB[[#This Row],[时间戳]])</f>
        <v>45940</v>
      </c>
      <c r="J523" s="2">
        <f>HOUR(TB[[#This Row],[时间戳]])</f>
        <v>18</v>
      </c>
      <c r="K523">
        <v>4002</v>
      </c>
      <c r="L523">
        <v>1</v>
      </c>
      <c r="M523">
        <f>TB[[#This Row],[售价]]*TB[[#This Row],[销量]]</f>
        <v>4002</v>
      </c>
      <c r="N523" t="str">
        <f>IF(TB[[#This Row],[售价]]&lt;1000,"低价商品",IF(TB[[#This Row],[售价]]&lt;5000,"中价商品",IF(TB[[#This Row],[售价]]&lt;10000,"高价商品","超高价商品")))</f>
        <v>中价商品</v>
      </c>
    </row>
    <row r="524" spans="1:14" x14ac:dyDescent="0.2">
      <c r="A524">
        <v>632</v>
      </c>
      <c r="B524">
        <v>101</v>
      </c>
      <c r="C524" t="s">
        <v>44</v>
      </c>
      <c r="D524" t="s">
        <v>301</v>
      </c>
      <c r="E524" t="s">
        <v>22</v>
      </c>
      <c r="F524">
        <v>1</v>
      </c>
      <c r="G524" t="s">
        <v>42</v>
      </c>
      <c r="H524" s="1">
        <v>45940.820833333331</v>
      </c>
      <c r="I524" s="5">
        <f>INT(TB[[#This Row],[时间戳]])</f>
        <v>45940</v>
      </c>
      <c r="J524" s="2">
        <f>HOUR(TB[[#This Row],[时间戳]])</f>
        <v>19</v>
      </c>
      <c r="K524">
        <v>7025</v>
      </c>
      <c r="L524">
        <v>0</v>
      </c>
      <c r="M524">
        <f>TB[[#This Row],[售价]]*TB[[#This Row],[销量]]</f>
        <v>0</v>
      </c>
      <c r="N524" t="str">
        <f>IF(TB[[#This Row],[售价]]&lt;1000,"低价商品",IF(TB[[#This Row],[售价]]&lt;5000,"中价商品",IF(TB[[#This Row],[售价]]&lt;10000,"高价商品","超高价商品")))</f>
        <v>高价商品</v>
      </c>
    </row>
    <row r="525" spans="1:14" x14ac:dyDescent="0.2">
      <c r="A525">
        <v>7</v>
      </c>
      <c r="B525">
        <v>203</v>
      </c>
      <c r="C525" t="s">
        <v>26</v>
      </c>
      <c r="D525" t="s">
        <v>306</v>
      </c>
      <c r="E525" t="s">
        <v>31</v>
      </c>
      <c r="F525">
        <v>4</v>
      </c>
      <c r="G525" t="s">
        <v>13</v>
      </c>
      <c r="H525" s="1">
        <v>45940.854861111111</v>
      </c>
      <c r="I525" s="5">
        <f>INT(TB[[#This Row],[时间戳]])</f>
        <v>45940</v>
      </c>
      <c r="J525" s="2">
        <f>HOUR(TB[[#This Row],[时间戳]])</f>
        <v>20</v>
      </c>
      <c r="K525">
        <v>841</v>
      </c>
      <c r="L525">
        <v>3</v>
      </c>
      <c r="M525">
        <f>TB[[#This Row],[售价]]*TB[[#This Row],[销量]]</f>
        <v>2523</v>
      </c>
      <c r="N525" t="str">
        <f>IF(TB[[#This Row],[售价]]&lt;1000,"低价商品",IF(TB[[#This Row],[售价]]&lt;5000,"中价商品",IF(TB[[#This Row],[售价]]&lt;10000,"高价商品","超高价商品")))</f>
        <v>低价商品</v>
      </c>
    </row>
    <row r="526" spans="1:14" x14ac:dyDescent="0.2">
      <c r="A526">
        <v>451</v>
      </c>
      <c r="B526">
        <v>172</v>
      </c>
      <c r="C526" t="s">
        <v>17</v>
      </c>
      <c r="D526" t="s">
        <v>279</v>
      </c>
      <c r="E526" t="s">
        <v>22</v>
      </c>
      <c r="F526">
        <v>1</v>
      </c>
      <c r="G526" t="s">
        <v>13</v>
      </c>
      <c r="H526" s="1">
        <v>45940.888194444444</v>
      </c>
      <c r="I526" s="5">
        <f>INT(TB[[#This Row],[时间戳]])</f>
        <v>45940</v>
      </c>
      <c r="J526" s="2">
        <f>HOUR(TB[[#This Row],[时间戳]])</f>
        <v>21</v>
      </c>
      <c r="K526">
        <v>3838</v>
      </c>
      <c r="L526">
        <v>3</v>
      </c>
      <c r="M526">
        <f>TB[[#This Row],[售价]]*TB[[#This Row],[销量]]</f>
        <v>11514</v>
      </c>
      <c r="N526" t="str">
        <f>IF(TB[[#This Row],[售价]]&lt;1000,"低价商品",IF(TB[[#This Row],[售价]]&lt;5000,"中价商品",IF(TB[[#This Row],[售价]]&lt;10000,"高价商品","超高价商品")))</f>
        <v>中价商品</v>
      </c>
    </row>
    <row r="527" spans="1:14" x14ac:dyDescent="0.2">
      <c r="A527">
        <v>308</v>
      </c>
      <c r="B527">
        <v>165</v>
      </c>
      <c r="C527" t="s">
        <v>46</v>
      </c>
      <c r="D527" t="s">
        <v>157</v>
      </c>
      <c r="E527" t="s">
        <v>12</v>
      </c>
      <c r="F527">
        <v>2</v>
      </c>
      <c r="G527" t="s">
        <v>13</v>
      </c>
      <c r="H527" s="1">
        <v>45940.9</v>
      </c>
      <c r="I527" s="5">
        <f>INT(TB[[#This Row],[时间戳]])</f>
        <v>45940</v>
      </c>
      <c r="J527" s="2">
        <f>HOUR(TB[[#This Row],[时间戳]])</f>
        <v>21</v>
      </c>
      <c r="K527">
        <v>11188</v>
      </c>
      <c r="L527">
        <v>1</v>
      </c>
      <c r="M527">
        <f>TB[[#This Row],[售价]]*TB[[#This Row],[销量]]</f>
        <v>11188</v>
      </c>
      <c r="N527" t="str">
        <f>IF(TB[[#This Row],[售价]]&lt;1000,"低价商品",IF(TB[[#This Row],[售价]]&lt;5000,"中价商品",IF(TB[[#This Row],[售价]]&lt;10000,"高价商品","超高价商品")))</f>
        <v>超高价商品</v>
      </c>
    </row>
    <row r="528" spans="1:14" x14ac:dyDescent="0.2">
      <c r="A528">
        <v>322</v>
      </c>
      <c r="B528">
        <v>91</v>
      </c>
      <c r="C528" t="s">
        <v>32</v>
      </c>
      <c r="D528" t="s">
        <v>176</v>
      </c>
      <c r="E528" t="s">
        <v>22</v>
      </c>
      <c r="F528">
        <v>1</v>
      </c>
      <c r="G528" t="s">
        <v>13</v>
      </c>
      <c r="H528" s="1">
        <v>45940.909722222219</v>
      </c>
      <c r="I528" s="5">
        <f>INT(TB[[#This Row],[时间戳]])</f>
        <v>45940</v>
      </c>
      <c r="J528" s="2">
        <f>HOUR(TB[[#This Row],[时间戳]])</f>
        <v>21</v>
      </c>
      <c r="K528">
        <v>6096</v>
      </c>
      <c r="L528">
        <v>1</v>
      </c>
      <c r="M528">
        <f>TB[[#This Row],[售价]]*TB[[#This Row],[销量]]</f>
        <v>6096</v>
      </c>
      <c r="N528" t="str">
        <f>IF(TB[[#This Row],[售价]]&lt;1000,"低价商品",IF(TB[[#This Row],[售价]]&lt;5000,"中价商品",IF(TB[[#This Row],[售价]]&lt;10000,"高价商品","超高价商品")))</f>
        <v>高价商品</v>
      </c>
    </row>
    <row r="529" spans="1:14" x14ac:dyDescent="0.2">
      <c r="A529">
        <v>712</v>
      </c>
      <c r="B529">
        <v>252</v>
      </c>
      <c r="C529" t="s">
        <v>36</v>
      </c>
      <c r="D529" t="s">
        <v>274</v>
      </c>
      <c r="E529" t="s">
        <v>16</v>
      </c>
      <c r="F529">
        <v>6</v>
      </c>
      <c r="G529" t="s">
        <v>13</v>
      </c>
      <c r="H529" s="1">
        <v>45940.915972222225</v>
      </c>
      <c r="I529" s="5">
        <f>INT(TB[[#This Row],[时间戳]])</f>
        <v>45940</v>
      </c>
      <c r="J529" s="2">
        <f>HOUR(TB[[#This Row],[时间戳]])</f>
        <v>21</v>
      </c>
      <c r="K529">
        <v>8487</v>
      </c>
      <c r="L529">
        <v>1</v>
      </c>
      <c r="M529">
        <f>TB[[#This Row],[售价]]*TB[[#This Row],[销量]]</f>
        <v>8487</v>
      </c>
      <c r="N529" t="str">
        <f>IF(TB[[#This Row],[售价]]&lt;1000,"低价商品",IF(TB[[#This Row],[售价]]&lt;5000,"中价商品",IF(TB[[#This Row],[售价]]&lt;10000,"高价商品","超高价商品")))</f>
        <v>高价商品</v>
      </c>
    </row>
    <row r="530" spans="1:14" x14ac:dyDescent="0.2">
      <c r="A530">
        <v>386</v>
      </c>
      <c r="B530">
        <v>144</v>
      </c>
      <c r="C530" t="s">
        <v>32</v>
      </c>
      <c r="D530" t="s">
        <v>107</v>
      </c>
      <c r="E530" t="s">
        <v>31</v>
      </c>
      <c r="F530">
        <v>4</v>
      </c>
      <c r="G530" t="s">
        <v>42</v>
      </c>
      <c r="H530" s="1">
        <v>45940.916666666664</v>
      </c>
      <c r="I530" s="5">
        <f>INT(TB[[#This Row],[时间戳]])</f>
        <v>45940</v>
      </c>
      <c r="J530" s="2">
        <f>HOUR(TB[[#This Row],[时间戳]])</f>
        <v>22</v>
      </c>
      <c r="K530">
        <v>1429</v>
      </c>
      <c r="L530">
        <v>0</v>
      </c>
      <c r="M530">
        <f>TB[[#This Row],[售价]]*TB[[#This Row],[销量]]</f>
        <v>0</v>
      </c>
      <c r="N530" t="str">
        <f>IF(TB[[#This Row],[售价]]&lt;1000,"低价商品",IF(TB[[#This Row],[售价]]&lt;5000,"中价商品",IF(TB[[#This Row],[售价]]&lt;10000,"高价商品","超高价商品")))</f>
        <v>中价商品</v>
      </c>
    </row>
    <row r="531" spans="1:14" x14ac:dyDescent="0.2">
      <c r="A531">
        <v>578</v>
      </c>
      <c r="B531">
        <v>103</v>
      </c>
      <c r="C531" t="s">
        <v>34</v>
      </c>
      <c r="D531" t="s">
        <v>307</v>
      </c>
      <c r="E531" t="s">
        <v>22</v>
      </c>
      <c r="F531">
        <v>1</v>
      </c>
      <c r="G531" t="s">
        <v>13</v>
      </c>
      <c r="H531" s="1">
        <v>45940.953472222223</v>
      </c>
      <c r="I531" s="5">
        <f>INT(TB[[#This Row],[时间戳]])</f>
        <v>45940</v>
      </c>
      <c r="J531" s="2">
        <f>HOUR(TB[[#This Row],[时间戳]])</f>
        <v>22</v>
      </c>
      <c r="K531">
        <v>7689</v>
      </c>
      <c r="L531">
        <v>2</v>
      </c>
      <c r="M531">
        <f>TB[[#This Row],[售价]]*TB[[#This Row],[销量]]</f>
        <v>15378</v>
      </c>
      <c r="N531" t="str">
        <f>IF(TB[[#This Row],[售价]]&lt;1000,"低价商品",IF(TB[[#This Row],[售价]]&lt;5000,"中价商品",IF(TB[[#This Row],[售价]]&lt;10000,"高价商品","超高价商品")))</f>
        <v>高价商品</v>
      </c>
    </row>
    <row r="532" spans="1:14" x14ac:dyDescent="0.2">
      <c r="A532">
        <v>28</v>
      </c>
      <c r="B532">
        <v>237</v>
      </c>
      <c r="C532" t="s">
        <v>26</v>
      </c>
      <c r="D532" t="s">
        <v>48</v>
      </c>
      <c r="E532" t="s">
        <v>31</v>
      </c>
      <c r="F532">
        <v>4</v>
      </c>
      <c r="G532" t="s">
        <v>13</v>
      </c>
      <c r="H532" s="1">
        <v>45940.984722222223</v>
      </c>
      <c r="I532" s="5">
        <f>INT(TB[[#This Row],[时间戳]])</f>
        <v>45940</v>
      </c>
      <c r="J532" s="2">
        <f>HOUR(TB[[#This Row],[时间戳]])</f>
        <v>23</v>
      </c>
      <c r="K532">
        <v>1341</v>
      </c>
      <c r="L532">
        <v>4</v>
      </c>
      <c r="M532">
        <f>TB[[#This Row],[售价]]*TB[[#This Row],[销量]]</f>
        <v>5364</v>
      </c>
      <c r="N532" t="str">
        <f>IF(TB[[#This Row],[售价]]&lt;1000,"低价商品",IF(TB[[#This Row],[售价]]&lt;5000,"中价商品",IF(TB[[#This Row],[售价]]&lt;10000,"高价商品","超高价商品")))</f>
        <v>中价商品</v>
      </c>
    </row>
    <row r="533" spans="1:14" x14ac:dyDescent="0.2">
      <c r="A533">
        <v>710</v>
      </c>
      <c r="B533">
        <v>36</v>
      </c>
      <c r="C533" t="s">
        <v>44</v>
      </c>
      <c r="D533" t="s">
        <v>132</v>
      </c>
      <c r="E533" t="s">
        <v>22</v>
      </c>
      <c r="F533">
        <v>1</v>
      </c>
      <c r="G533" t="s">
        <v>42</v>
      </c>
      <c r="H533" s="1">
        <v>45941.134722222225</v>
      </c>
      <c r="I533" s="5">
        <f>INT(TB[[#This Row],[时间戳]])</f>
        <v>45941</v>
      </c>
      <c r="J533" s="2">
        <f>HOUR(TB[[#This Row],[时间戳]])</f>
        <v>3</v>
      </c>
      <c r="K533">
        <v>6709</v>
      </c>
      <c r="L533">
        <v>0</v>
      </c>
      <c r="M533">
        <f>TB[[#This Row],[售价]]*TB[[#This Row],[销量]]</f>
        <v>0</v>
      </c>
      <c r="N533" t="str">
        <f>IF(TB[[#This Row],[售价]]&lt;1000,"低价商品",IF(TB[[#This Row],[售价]]&lt;5000,"中价商品",IF(TB[[#This Row],[售价]]&lt;10000,"高价商品","超高价商品")))</f>
        <v>高价商品</v>
      </c>
    </row>
    <row r="534" spans="1:14" x14ac:dyDescent="0.2">
      <c r="A534">
        <v>649</v>
      </c>
      <c r="B534">
        <v>156</v>
      </c>
      <c r="C534" t="s">
        <v>44</v>
      </c>
      <c r="D534" t="s">
        <v>70</v>
      </c>
      <c r="E534" t="s">
        <v>12</v>
      </c>
      <c r="F534">
        <v>2</v>
      </c>
      <c r="G534" t="s">
        <v>13</v>
      </c>
      <c r="H534" s="1">
        <v>45941.239583333336</v>
      </c>
      <c r="I534" s="5">
        <f>INT(TB[[#This Row],[时间戳]])</f>
        <v>45941</v>
      </c>
      <c r="J534" s="2">
        <f>HOUR(TB[[#This Row],[时间戳]])</f>
        <v>5</v>
      </c>
      <c r="K534">
        <v>10847</v>
      </c>
      <c r="L534">
        <v>2</v>
      </c>
      <c r="M534">
        <f>TB[[#This Row],[售价]]*TB[[#This Row],[销量]]</f>
        <v>21694</v>
      </c>
      <c r="N534" t="str">
        <f>IF(TB[[#This Row],[售价]]&lt;1000,"低价商品",IF(TB[[#This Row],[售价]]&lt;5000,"中价商品",IF(TB[[#This Row],[售价]]&lt;10000,"高价商品","超高价商品")))</f>
        <v>超高价商品</v>
      </c>
    </row>
    <row r="535" spans="1:14" x14ac:dyDescent="0.2">
      <c r="A535">
        <v>387</v>
      </c>
      <c r="B535">
        <v>38</v>
      </c>
      <c r="C535" t="s">
        <v>26</v>
      </c>
      <c r="D535" t="s">
        <v>122</v>
      </c>
      <c r="E535" t="s">
        <v>31</v>
      </c>
      <c r="F535">
        <v>4</v>
      </c>
      <c r="G535" t="s">
        <v>13</v>
      </c>
      <c r="H535" s="1">
        <v>45941.254166666666</v>
      </c>
      <c r="I535" s="5">
        <f>INT(TB[[#This Row],[时间戳]])</f>
        <v>45941</v>
      </c>
      <c r="J535" s="2">
        <f>HOUR(TB[[#This Row],[时间戳]])</f>
        <v>6</v>
      </c>
      <c r="K535">
        <v>474</v>
      </c>
      <c r="L535">
        <v>3</v>
      </c>
      <c r="M535">
        <f>TB[[#This Row],[售价]]*TB[[#This Row],[销量]]</f>
        <v>1422</v>
      </c>
      <c r="N535" t="str">
        <f>IF(TB[[#This Row],[售价]]&lt;1000,"低价商品",IF(TB[[#This Row],[售价]]&lt;5000,"中价商品",IF(TB[[#This Row],[售价]]&lt;10000,"高价商品","超高价商品")))</f>
        <v>低价商品</v>
      </c>
    </row>
    <row r="536" spans="1:14" x14ac:dyDescent="0.2">
      <c r="A536">
        <v>411</v>
      </c>
      <c r="B536">
        <v>274</v>
      </c>
      <c r="C536" t="s">
        <v>44</v>
      </c>
      <c r="D536" t="s">
        <v>51</v>
      </c>
      <c r="E536" t="s">
        <v>19</v>
      </c>
      <c r="F536">
        <v>3</v>
      </c>
      <c r="G536" t="s">
        <v>13</v>
      </c>
      <c r="H536" s="1">
        <v>45941.28125</v>
      </c>
      <c r="I536" s="5">
        <f>INT(TB[[#This Row],[时间戳]])</f>
        <v>45941</v>
      </c>
      <c r="J536" s="2">
        <f>HOUR(TB[[#This Row],[时间戳]])</f>
        <v>6</v>
      </c>
      <c r="K536">
        <v>5284</v>
      </c>
      <c r="L536">
        <v>3</v>
      </c>
      <c r="M536">
        <f>TB[[#This Row],[售价]]*TB[[#This Row],[销量]]</f>
        <v>15852</v>
      </c>
      <c r="N536" t="str">
        <f>IF(TB[[#This Row],[售价]]&lt;1000,"低价商品",IF(TB[[#This Row],[售价]]&lt;5000,"中价商品",IF(TB[[#This Row],[售价]]&lt;10000,"高价商品","超高价商品")))</f>
        <v>高价商品</v>
      </c>
    </row>
    <row r="537" spans="1:14" x14ac:dyDescent="0.2">
      <c r="A537">
        <v>38</v>
      </c>
      <c r="B537">
        <v>185</v>
      </c>
      <c r="C537" t="s">
        <v>17</v>
      </c>
      <c r="D537" t="s">
        <v>255</v>
      </c>
      <c r="E537" t="s">
        <v>31</v>
      </c>
      <c r="F537">
        <v>4</v>
      </c>
      <c r="G537" t="s">
        <v>13</v>
      </c>
      <c r="H537" s="1">
        <v>45941.334722222222</v>
      </c>
      <c r="I537" s="5">
        <f>INT(TB[[#This Row],[时间戳]])</f>
        <v>45941</v>
      </c>
      <c r="J537" s="2">
        <f>HOUR(TB[[#This Row],[时间戳]])</f>
        <v>8</v>
      </c>
      <c r="K537">
        <v>1241</v>
      </c>
      <c r="L537">
        <v>3</v>
      </c>
      <c r="M537">
        <f>TB[[#This Row],[售价]]*TB[[#This Row],[销量]]</f>
        <v>3723</v>
      </c>
      <c r="N537" t="str">
        <f>IF(TB[[#This Row],[售价]]&lt;1000,"低价商品",IF(TB[[#This Row],[售价]]&lt;5000,"中价商品",IF(TB[[#This Row],[售价]]&lt;10000,"高价商品","超高价商品")))</f>
        <v>中价商品</v>
      </c>
    </row>
    <row r="538" spans="1:14" x14ac:dyDescent="0.2">
      <c r="A538">
        <v>88</v>
      </c>
      <c r="B538">
        <v>56</v>
      </c>
      <c r="C538" t="s">
        <v>46</v>
      </c>
      <c r="D538" t="s">
        <v>209</v>
      </c>
      <c r="E538" t="s">
        <v>22</v>
      </c>
      <c r="F538">
        <v>1</v>
      </c>
      <c r="G538" t="s">
        <v>13</v>
      </c>
      <c r="H538" s="1">
        <v>45941.369444444441</v>
      </c>
      <c r="I538" s="5">
        <f>INT(TB[[#This Row],[时间戳]])</f>
        <v>45941</v>
      </c>
      <c r="J538" s="2">
        <f>HOUR(TB[[#This Row],[时间戳]])</f>
        <v>8</v>
      </c>
      <c r="K538">
        <v>6821</v>
      </c>
      <c r="L538">
        <v>3</v>
      </c>
      <c r="M538">
        <f>TB[[#This Row],[售价]]*TB[[#This Row],[销量]]</f>
        <v>20463</v>
      </c>
      <c r="N538" t="str">
        <f>IF(TB[[#This Row],[售价]]&lt;1000,"低价商品",IF(TB[[#This Row],[售价]]&lt;5000,"中价商品",IF(TB[[#This Row],[售价]]&lt;10000,"高价商品","超高价商品")))</f>
        <v>高价商品</v>
      </c>
    </row>
    <row r="539" spans="1:14" x14ac:dyDescent="0.2">
      <c r="A539">
        <v>663</v>
      </c>
      <c r="B539">
        <v>23</v>
      </c>
      <c r="C539" t="s">
        <v>34</v>
      </c>
      <c r="D539" t="s">
        <v>308</v>
      </c>
      <c r="E539" t="s">
        <v>25</v>
      </c>
      <c r="F539">
        <v>7</v>
      </c>
      <c r="G539" t="s">
        <v>13</v>
      </c>
      <c r="H539" s="1">
        <v>45941.375</v>
      </c>
      <c r="I539" s="5">
        <f>INT(TB[[#This Row],[时间戳]])</f>
        <v>45941</v>
      </c>
      <c r="J539" s="2">
        <f>HOUR(TB[[#This Row],[时间戳]])</f>
        <v>9</v>
      </c>
      <c r="K539">
        <v>7726</v>
      </c>
      <c r="L539">
        <v>2</v>
      </c>
      <c r="M539">
        <f>TB[[#This Row],[售价]]*TB[[#This Row],[销量]]</f>
        <v>15452</v>
      </c>
      <c r="N539" t="str">
        <f>IF(TB[[#This Row],[售价]]&lt;1000,"低价商品",IF(TB[[#This Row],[售价]]&lt;5000,"中价商品",IF(TB[[#This Row],[售价]]&lt;10000,"高价商品","超高价商品")))</f>
        <v>高价商品</v>
      </c>
    </row>
    <row r="540" spans="1:14" x14ac:dyDescent="0.2">
      <c r="A540">
        <v>441</v>
      </c>
      <c r="B540">
        <v>55</v>
      </c>
      <c r="C540" t="s">
        <v>17</v>
      </c>
      <c r="D540" t="s">
        <v>309</v>
      </c>
      <c r="E540" t="s">
        <v>16</v>
      </c>
      <c r="F540">
        <v>6</v>
      </c>
      <c r="G540" t="s">
        <v>13</v>
      </c>
      <c r="H540" s="1">
        <v>45941.386111111111</v>
      </c>
      <c r="I540" s="5">
        <f>INT(TB[[#This Row],[时间戳]])</f>
        <v>45941</v>
      </c>
      <c r="J540" s="2">
        <f>HOUR(TB[[#This Row],[时间戳]])</f>
        <v>9</v>
      </c>
      <c r="K540">
        <v>11357</v>
      </c>
      <c r="L540">
        <v>5</v>
      </c>
      <c r="M540">
        <f>TB[[#This Row],[售价]]*TB[[#This Row],[销量]]</f>
        <v>56785</v>
      </c>
      <c r="N540" t="str">
        <f>IF(TB[[#This Row],[售价]]&lt;1000,"低价商品",IF(TB[[#This Row],[售价]]&lt;5000,"中价商品",IF(TB[[#This Row],[售价]]&lt;10000,"高价商品","超高价商品")))</f>
        <v>超高价商品</v>
      </c>
    </row>
    <row r="541" spans="1:14" x14ac:dyDescent="0.2">
      <c r="A541">
        <v>523</v>
      </c>
      <c r="B541">
        <v>266</v>
      </c>
      <c r="C541" t="s">
        <v>36</v>
      </c>
      <c r="D541" t="s">
        <v>310</v>
      </c>
      <c r="E541" t="s">
        <v>39</v>
      </c>
      <c r="F541">
        <v>5</v>
      </c>
      <c r="G541" t="s">
        <v>13</v>
      </c>
      <c r="H541" s="1">
        <v>45941.388194444444</v>
      </c>
      <c r="I541" s="5">
        <f>INT(TB[[#This Row],[时间戳]])</f>
        <v>45941</v>
      </c>
      <c r="J541" s="2">
        <f>HOUR(TB[[#This Row],[时间戳]])</f>
        <v>9</v>
      </c>
      <c r="K541">
        <v>800</v>
      </c>
      <c r="L541">
        <v>2</v>
      </c>
      <c r="M541">
        <f>TB[[#This Row],[售价]]*TB[[#This Row],[销量]]</f>
        <v>1600</v>
      </c>
      <c r="N541" t="str">
        <f>IF(TB[[#This Row],[售价]]&lt;1000,"低价商品",IF(TB[[#This Row],[售价]]&lt;5000,"中价商品",IF(TB[[#This Row],[售价]]&lt;10000,"高价商品","超高价商品")))</f>
        <v>低价商品</v>
      </c>
    </row>
    <row r="542" spans="1:14" x14ac:dyDescent="0.2">
      <c r="A542">
        <v>475</v>
      </c>
      <c r="B542">
        <v>257</v>
      </c>
      <c r="C542" t="s">
        <v>34</v>
      </c>
      <c r="D542" t="s">
        <v>311</v>
      </c>
      <c r="E542" t="s">
        <v>19</v>
      </c>
      <c r="F542">
        <v>3</v>
      </c>
      <c r="G542" t="s">
        <v>13</v>
      </c>
      <c r="H542" s="1">
        <v>45941.445138888892</v>
      </c>
      <c r="I542" s="5">
        <f>INT(TB[[#This Row],[时间戳]])</f>
        <v>45941</v>
      </c>
      <c r="J542" s="2">
        <f>HOUR(TB[[#This Row],[时间戳]])</f>
        <v>10</v>
      </c>
      <c r="K542">
        <v>3338</v>
      </c>
      <c r="L542">
        <v>1</v>
      </c>
      <c r="M542">
        <f>TB[[#This Row],[售价]]*TB[[#This Row],[销量]]</f>
        <v>3338</v>
      </c>
      <c r="N542" t="str">
        <f>IF(TB[[#This Row],[售价]]&lt;1000,"低价商品",IF(TB[[#This Row],[售价]]&lt;5000,"中价商品",IF(TB[[#This Row],[售价]]&lt;10000,"高价商品","超高价商品")))</f>
        <v>中价商品</v>
      </c>
    </row>
    <row r="543" spans="1:14" x14ac:dyDescent="0.2">
      <c r="A543">
        <v>108</v>
      </c>
      <c r="B543">
        <v>152</v>
      </c>
      <c r="C543" t="s">
        <v>10</v>
      </c>
      <c r="D543" t="s">
        <v>312</v>
      </c>
      <c r="E543" t="s">
        <v>12</v>
      </c>
      <c r="F543">
        <v>2</v>
      </c>
      <c r="G543" t="s">
        <v>13</v>
      </c>
      <c r="H543" s="1">
        <v>45941.462500000001</v>
      </c>
      <c r="I543" s="5">
        <f>INT(TB[[#This Row],[时间戳]])</f>
        <v>45941</v>
      </c>
      <c r="J543" s="2">
        <f>HOUR(TB[[#This Row],[时间戳]])</f>
        <v>11</v>
      </c>
      <c r="K543">
        <v>6445</v>
      </c>
      <c r="L543">
        <v>2</v>
      </c>
      <c r="M543">
        <f>TB[[#This Row],[售价]]*TB[[#This Row],[销量]]</f>
        <v>12890</v>
      </c>
      <c r="N543" t="str">
        <f>IF(TB[[#This Row],[售价]]&lt;1000,"低价商品",IF(TB[[#This Row],[售价]]&lt;5000,"中价商品",IF(TB[[#This Row],[售价]]&lt;10000,"高价商品","超高价商品")))</f>
        <v>高价商品</v>
      </c>
    </row>
    <row r="544" spans="1:14" x14ac:dyDescent="0.2">
      <c r="A544">
        <v>357</v>
      </c>
      <c r="B544">
        <v>160</v>
      </c>
      <c r="C544" t="s">
        <v>14</v>
      </c>
      <c r="D544" t="s">
        <v>43</v>
      </c>
      <c r="E544" t="s">
        <v>31</v>
      </c>
      <c r="F544">
        <v>4</v>
      </c>
      <c r="G544" t="s">
        <v>13</v>
      </c>
      <c r="H544" s="1">
        <v>45941.466666666667</v>
      </c>
      <c r="I544" s="5">
        <f>INT(TB[[#This Row],[时间戳]])</f>
        <v>45941</v>
      </c>
      <c r="J544" s="2">
        <f>HOUR(TB[[#This Row],[时间戳]])</f>
        <v>11</v>
      </c>
      <c r="K544">
        <v>744</v>
      </c>
      <c r="L544">
        <v>3</v>
      </c>
      <c r="M544">
        <f>TB[[#This Row],[售价]]*TB[[#This Row],[销量]]</f>
        <v>2232</v>
      </c>
      <c r="N544" t="str">
        <f>IF(TB[[#This Row],[售价]]&lt;1000,"低价商品",IF(TB[[#This Row],[售价]]&lt;5000,"中价商品",IF(TB[[#This Row],[售价]]&lt;10000,"高价商品","超高价商品")))</f>
        <v>低价商品</v>
      </c>
    </row>
    <row r="545" spans="1:14" x14ac:dyDescent="0.2">
      <c r="A545">
        <v>495</v>
      </c>
      <c r="B545">
        <v>179</v>
      </c>
      <c r="C545" t="s">
        <v>32</v>
      </c>
      <c r="D545" t="s">
        <v>313</v>
      </c>
      <c r="E545" t="s">
        <v>39</v>
      </c>
      <c r="F545">
        <v>5</v>
      </c>
      <c r="G545" t="s">
        <v>13</v>
      </c>
      <c r="H545" s="1">
        <v>45941.487500000003</v>
      </c>
      <c r="I545" s="5">
        <f>INT(TB[[#This Row],[时间戳]])</f>
        <v>45941</v>
      </c>
      <c r="J545" s="2">
        <f>HOUR(TB[[#This Row],[时间戳]])</f>
        <v>11</v>
      </c>
      <c r="K545">
        <v>2238</v>
      </c>
      <c r="L545">
        <v>3</v>
      </c>
      <c r="M545">
        <f>TB[[#This Row],[售价]]*TB[[#This Row],[销量]]</f>
        <v>6714</v>
      </c>
      <c r="N545" t="str">
        <f>IF(TB[[#This Row],[售价]]&lt;1000,"低价商品",IF(TB[[#This Row],[售价]]&lt;5000,"中价商品",IF(TB[[#This Row],[售价]]&lt;10000,"高价商品","超高价商品")))</f>
        <v>中价商品</v>
      </c>
    </row>
    <row r="546" spans="1:14" x14ac:dyDescent="0.2">
      <c r="A546">
        <v>327</v>
      </c>
      <c r="B546">
        <v>35</v>
      </c>
      <c r="C546" t="s">
        <v>44</v>
      </c>
      <c r="D546" t="s">
        <v>169</v>
      </c>
      <c r="E546" t="s">
        <v>31</v>
      </c>
      <c r="F546">
        <v>4</v>
      </c>
      <c r="G546" t="s">
        <v>13</v>
      </c>
      <c r="H546" s="1">
        <v>45941.504861111112</v>
      </c>
      <c r="I546" s="5">
        <f>INT(TB[[#This Row],[时间戳]])</f>
        <v>45941</v>
      </c>
      <c r="J546" s="2">
        <f>HOUR(TB[[#This Row],[时间戳]])</f>
        <v>12</v>
      </c>
      <c r="K546">
        <v>874</v>
      </c>
      <c r="L546">
        <v>3</v>
      </c>
      <c r="M546">
        <f>TB[[#This Row],[售价]]*TB[[#This Row],[销量]]</f>
        <v>2622</v>
      </c>
      <c r="N546" t="str">
        <f>IF(TB[[#This Row],[售价]]&lt;1000,"低价商品",IF(TB[[#This Row],[售价]]&lt;5000,"中价商品",IF(TB[[#This Row],[售价]]&lt;10000,"高价商品","超高价商品")))</f>
        <v>低价商品</v>
      </c>
    </row>
    <row r="547" spans="1:14" x14ac:dyDescent="0.2">
      <c r="A547">
        <v>352</v>
      </c>
      <c r="B547">
        <v>56</v>
      </c>
      <c r="C547" t="s">
        <v>14</v>
      </c>
      <c r="D547" t="s">
        <v>89</v>
      </c>
      <c r="E547" t="s">
        <v>22</v>
      </c>
      <c r="F547">
        <v>1</v>
      </c>
      <c r="G547" t="s">
        <v>13</v>
      </c>
      <c r="H547" s="1">
        <v>45941.513194444444</v>
      </c>
      <c r="I547" s="5">
        <f>INT(TB[[#This Row],[时间戳]])</f>
        <v>45941</v>
      </c>
      <c r="J547" s="2">
        <f>HOUR(TB[[#This Row],[时间戳]])</f>
        <v>12</v>
      </c>
      <c r="K547">
        <v>3281</v>
      </c>
      <c r="L547">
        <v>3</v>
      </c>
      <c r="M547">
        <f>TB[[#This Row],[售价]]*TB[[#This Row],[销量]]</f>
        <v>9843</v>
      </c>
      <c r="N547" t="str">
        <f>IF(TB[[#This Row],[售价]]&lt;1000,"低价商品",IF(TB[[#This Row],[售价]]&lt;5000,"中价商品",IF(TB[[#This Row],[售价]]&lt;10000,"高价商品","超高价商品")))</f>
        <v>中价商品</v>
      </c>
    </row>
    <row r="548" spans="1:14" x14ac:dyDescent="0.2">
      <c r="A548">
        <v>179</v>
      </c>
      <c r="B548">
        <v>283</v>
      </c>
      <c r="C548" t="s">
        <v>32</v>
      </c>
      <c r="D548" t="s">
        <v>63</v>
      </c>
      <c r="E548" t="s">
        <v>12</v>
      </c>
      <c r="F548">
        <v>2</v>
      </c>
      <c r="G548" t="s">
        <v>13</v>
      </c>
      <c r="H548" s="1">
        <v>45941.515277777777</v>
      </c>
      <c r="I548" s="5">
        <f>INT(TB[[#This Row],[时间戳]])</f>
        <v>45941</v>
      </c>
      <c r="J548" s="2">
        <f>HOUR(TB[[#This Row],[时间戳]])</f>
        <v>12</v>
      </c>
      <c r="K548">
        <v>6871</v>
      </c>
      <c r="L548">
        <v>2</v>
      </c>
      <c r="M548">
        <f>TB[[#This Row],[售价]]*TB[[#This Row],[销量]]</f>
        <v>13742</v>
      </c>
      <c r="N548" t="str">
        <f>IF(TB[[#This Row],[售价]]&lt;1000,"低价商品",IF(TB[[#This Row],[售价]]&lt;5000,"中价商品",IF(TB[[#This Row],[售价]]&lt;10000,"高价商品","超高价商品")))</f>
        <v>高价商品</v>
      </c>
    </row>
    <row r="549" spans="1:14" x14ac:dyDescent="0.2">
      <c r="A549">
        <v>474</v>
      </c>
      <c r="B549">
        <v>119</v>
      </c>
      <c r="C549" t="s">
        <v>20</v>
      </c>
      <c r="D549" t="s">
        <v>261</v>
      </c>
      <c r="E549" t="s">
        <v>22</v>
      </c>
      <c r="F549">
        <v>1</v>
      </c>
      <c r="G549" t="s">
        <v>42</v>
      </c>
      <c r="H549" s="1">
        <v>45941.536111111112</v>
      </c>
      <c r="I549" s="5">
        <f>INT(TB[[#This Row],[时间戳]])</f>
        <v>45941</v>
      </c>
      <c r="J549" s="2">
        <f>HOUR(TB[[#This Row],[时间戳]])</f>
        <v>12</v>
      </c>
      <c r="K549">
        <v>2280</v>
      </c>
      <c r="L549">
        <v>0</v>
      </c>
      <c r="M549">
        <f>TB[[#This Row],[售价]]*TB[[#This Row],[销量]]</f>
        <v>0</v>
      </c>
      <c r="N549" t="str">
        <f>IF(TB[[#This Row],[售价]]&lt;1000,"低价商品",IF(TB[[#This Row],[售价]]&lt;5000,"中价商品",IF(TB[[#This Row],[售价]]&lt;10000,"高价商品","超高价商品")))</f>
        <v>中价商品</v>
      </c>
    </row>
    <row r="550" spans="1:14" x14ac:dyDescent="0.2">
      <c r="A550">
        <v>656</v>
      </c>
      <c r="B550">
        <v>222</v>
      </c>
      <c r="C550" t="s">
        <v>26</v>
      </c>
      <c r="D550" t="s">
        <v>27</v>
      </c>
      <c r="E550" t="s">
        <v>22</v>
      </c>
      <c r="F550">
        <v>1</v>
      </c>
      <c r="G550" t="s">
        <v>13</v>
      </c>
      <c r="H550" s="1">
        <v>45941.549305555556</v>
      </c>
      <c r="I550" s="5">
        <f>INT(TB[[#This Row],[时间戳]])</f>
        <v>45941</v>
      </c>
      <c r="J550" s="2">
        <f>HOUR(TB[[#This Row],[时间戳]])</f>
        <v>13</v>
      </c>
      <c r="K550">
        <v>7542</v>
      </c>
      <c r="L550">
        <v>3</v>
      </c>
      <c r="M550">
        <f>TB[[#This Row],[售价]]*TB[[#This Row],[销量]]</f>
        <v>22626</v>
      </c>
      <c r="N550" t="str">
        <f>IF(TB[[#This Row],[售价]]&lt;1000,"低价商品",IF(TB[[#This Row],[售价]]&lt;5000,"中价商品",IF(TB[[#This Row],[售价]]&lt;10000,"高价商品","超高价商品")))</f>
        <v>高价商品</v>
      </c>
    </row>
    <row r="551" spans="1:14" x14ac:dyDescent="0.2">
      <c r="A551">
        <v>461</v>
      </c>
      <c r="B551">
        <v>220</v>
      </c>
      <c r="C551" t="s">
        <v>46</v>
      </c>
      <c r="D551" t="s">
        <v>135</v>
      </c>
      <c r="E551" t="s">
        <v>22</v>
      </c>
      <c r="F551">
        <v>1</v>
      </c>
      <c r="G551" t="s">
        <v>13</v>
      </c>
      <c r="H551" s="1">
        <v>45941.57708333333</v>
      </c>
      <c r="I551" s="5">
        <f>INT(TB[[#This Row],[时间戳]])</f>
        <v>45941</v>
      </c>
      <c r="J551" s="2">
        <f>HOUR(TB[[#This Row],[时间戳]])</f>
        <v>13</v>
      </c>
      <c r="K551">
        <v>4054</v>
      </c>
      <c r="L551">
        <v>1</v>
      </c>
      <c r="M551">
        <f>TB[[#This Row],[售价]]*TB[[#This Row],[销量]]</f>
        <v>4054</v>
      </c>
      <c r="N551" t="str">
        <f>IF(TB[[#This Row],[售价]]&lt;1000,"低价商品",IF(TB[[#This Row],[售价]]&lt;5000,"中价商品",IF(TB[[#This Row],[售价]]&lt;10000,"高价商品","超高价商品")))</f>
        <v>中价商品</v>
      </c>
    </row>
    <row r="552" spans="1:14" x14ac:dyDescent="0.2">
      <c r="A552">
        <v>286</v>
      </c>
      <c r="B552">
        <v>33</v>
      </c>
      <c r="C552" t="s">
        <v>32</v>
      </c>
      <c r="D552" t="s">
        <v>314</v>
      </c>
      <c r="E552" t="s">
        <v>16</v>
      </c>
      <c r="F552">
        <v>6</v>
      </c>
      <c r="G552" t="s">
        <v>13</v>
      </c>
      <c r="H552" s="1">
        <v>45941.590277777781</v>
      </c>
      <c r="I552" s="5">
        <f>INT(TB[[#This Row],[时间戳]])</f>
        <v>45941</v>
      </c>
      <c r="J552" s="2">
        <f>HOUR(TB[[#This Row],[时间戳]])</f>
        <v>14</v>
      </c>
      <c r="K552">
        <v>8172</v>
      </c>
      <c r="L552">
        <v>3</v>
      </c>
      <c r="M552">
        <f>TB[[#This Row],[售价]]*TB[[#This Row],[销量]]</f>
        <v>24516</v>
      </c>
      <c r="N552" t="str">
        <f>IF(TB[[#This Row],[售价]]&lt;1000,"低价商品",IF(TB[[#This Row],[售价]]&lt;5000,"中价商品",IF(TB[[#This Row],[售价]]&lt;10000,"高价商品","超高价商品")))</f>
        <v>高价商品</v>
      </c>
    </row>
    <row r="553" spans="1:14" x14ac:dyDescent="0.2">
      <c r="A553">
        <v>375</v>
      </c>
      <c r="B553">
        <v>167</v>
      </c>
      <c r="C553" t="s">
        <v>20</v>
      </c>
      <c r="D553" t="s">
        <v>120</v>
      </c>
      <c r="E553" t="s">
        <v>22</v>
      </c>
      <c r="F553">
        <v>1</v>
      </c>
      <c r="G553" t="s">
        <v>13</v>
      </c>
      <c r="H553" s="1">
        <v>45941.625694444447</v>
      </c>
      <c r="I553" s="5">
        <f>INT(TB[[#This Row],[时间戳]])</f>
        <v>45941</v>
      </c>
      <c r="J553" s="2">
        <f>HOUR(TB[[#This Row],[时间戳]])</f>
        <v>15</v>
      </c>
      <c r="K553">
        <v>5581</v>
      </c>
      <c r="L553">
        <v>3</v>
      </c>
      <c r="M553">
        <f>TB[[#This Row],[售价]]*TB[[#This Row],[销量]]</f>
        <v>16743</v>
      </c>
      <c r="N553" t="str">
        <f>IF(TB[[#This Row],[售价]]&lt;1000,"低价商品",IF(TB[[#This Row],[售价]]&lt;5000,"中价商品",IF(TB[[#This Row],[售价]]&lt;10000,"高价商品","超高价商品")))</f>
        <v>高价商品</v>
      </c>
    </row>
    <row r="554" spans="1:14" x14ac:dyDescent="0.2">
      <c r="A554">
        <v>687</v>
      </c>
      <c r="B554">
        <v>251</v>
      </c>
      <c r="C554" t="s">
        <v>14</v>
      </c>
      <c r="D554" t="s">
        <v>228</v>
      </c>
      <c r="E554" t="s">
        <v>31</v>
      </c>
      <c r="F554">
        <v>4</v>
      </c>
      <c r="G554" t="s">
        <v>13</v>
      </c>
      <c r="H554" s="1">
        <v>45941.640277777777</v>
      </c>
      <c r="I554" s="5">
        <f>INT(TB[[#This Row],[时间戳]])</f>
        <v>45941</v>
      </c>
      <c r="J554" s="2">
        <f>HOUR(TB[[#This Row],[时间戳]])</f>
        <v>15</v>
      </c>
      <c r="K554">
        <v>487</v>
      </c>
      <c r="L554">
        <v>2</v>
      </c>
      <c r="M554">
        <f>TB[[#This Row],[售价]]*TB[[#This Row],[销量]]</f>
        <v>974</v>
      </c>
      <c r="N554" t="str">
        <f>IF(TB[[#This Row],[售价]]&lt;1000,"低价商品",IF(TB[[#This Row],[售价]]&lt;5000,"中价商品",IF(TB[[#This Row],[售价]]&lt;10000,"高价商品","超高价商品")))</f>
        <v>低价商品</v>
      </c>
    </row>
    <row r="555" spans="1:14" x14ac:dyDescent="0.2">
      <c r="A555">
        <v>398</v>
      </c>
      <c r="B555">
        <v>201</v>
      </c>
      <c r="C555" t="s">
        <v>34</v>
      </c>
      <c r="D555" t="s">
        <v>125</v>
      </c>
      <c r="E555" t="s">
        <v>31</v>
      </c>
      <c r="F555">
        <v>4</v>
      </c>
      <c r="G555" t="s">
        <v>42</v>
      </c>
      <c r="H555" s="1">
        <v>45941.655555555553</v>
      </c>
      <c r="I555" s="5">
        <f>INT(TB[[#This Row],[时间戳]])</f>
        <v>45941</v>
      </c>
      <c r="J555" s="2">
        <f>HOUR(TB[[#This Row],[时间戳]])</f>
        <v>15</v>
      </c>
      <c r="K555">
        <v>1257</v>
      </c>
      <c r="L555">
        <v>0</v>
      </c>
      <c r="M555">
        <f>TB[[#This Row],[售价]]*TB[[#This Row],[销量]]</f>
        <v>0</v>
      </c>
      <c r="N555" t="str">
        <f>IF(TB[[#This Row],[售价]]&lt;1000,"低价商品",IF(TB[[#This Row],[售价]]&lt;5000,"中价商品",IF(TB[[#This Row],[售价]]&lt;10000,"高价商品","超高价商品")))</f>
        <v>中价商品</v>
      </c>
    </row>
    <row r="556" spans="1:14" x14ac:dyDescent="0.2">
      <c r="A556">
        <v>633</v>
      </c>
      <c r="B556">
        <v>89</v>
      </c>
      <c r="C556" t="s">
        <v>34</v>
      </c>
      <c r="D556" t="s">
        <v>311</v>
      </c>
      <c r="E556" t="s">
        <v>19</v>
      </c>
      <c r="F556">
        <v>3</v>
      </c>
      <c r="G556" t="s">
        <v>13</v>
      </c>
      <c r="H556" s="1">
        <v>45941.693749999999</v>
      </c>
      <c r="I556" s="5">
        <f>INT(TB[[#This Row],[时间戳]])</f>
        <v>45941</v>
      </c>
      <c r="J556" s="2">
        <f>HOUR(TB[[#This Row],[时间戳]])</f>
        <v>16</v>
      </c>
      <c r="K556">
        <v>2413</v>
      </c>
      <c r="L556">
        <v>1</v>
      </c>
      <c r="M556">
        <f>TB[[#This Row],[售价]]*TB[[#This Row],[销量]]</f>
        <v>2413</v>
      </c>
      <c r="N556" t="str">
        <f>IF(TB[[#This Row],[售价]]&lt;1000,"低价商品",IF(TB[[#This Row],[售价]]&lt;5000,"中价商品",IF(TB[[#This Row],[售价]]&lt;10000,"高价商品","超高价商品")))</f>
        <v>中价商品</v>
      </c>
    </row>
    <row r="557" spans="1:14" x14ac:dyDescent="0.2">
      <c r="A557">
        <v>689</v>
      </c>
      <c r="B557">
        <v>69</v>
      </c>
      <c r="C557" t="s">
        <v>46</v>
      </c>
      <c r="D557" t="s">
        <v>315</v>
      </c>
      <c r="E557" t="s">
        <v>12</v>
      </c>
      <c r="F557">
        <v>2</v>
      </c>
      <c r="G557" t="s">
        <v>13</v>
      </c>
      <c r="H557" s="1">
        <v>45941.703472222223</v>
      </c>
      <c r="I557" s="5">
        <f>INT(TB[[#This Row],[时间戳]])</f>
        <v>45941</v>
      </c>
      <c r="J557" s="2">
        <f>HOUR(TB[[#This Row],[时间戳]])</f>
        <v>16</v>
      </c>
      <c r="K557">
        <v>8987</v>
      </c>
      <c r="L557">
        <v>2</v>
      </c>
      <c r="M557">
        <f>TB[[#This Row],[售价]]*TB[[#This Row],[销量]]</f>
        <v>17974</v>
      </c>
      <c r="N557" t="str">
        <f>IF(TB[[#This Row],[售价]]&lt;1000,"低价商品",IF(TB[[#This Row],[售价]]&lt;5000,"中价商品",IF(TB[[#This Row],[售价]]&lt;10000,"高价商品","超高价商品")))</f>
        <v>高价商品</v>
      </c>
    </row>
    <row r="558" spans="1:14" x14ac:dyDescent="0.2">
      <c r="A558">
        <v>120</v>
      </c>
      <c r="B558">
        <v>94</v>
      </c>
      <c r="C558" t="s">
        <v>32</v>
      </c>
      <c r="D558" t="s">
        <v>115</v>
      </c>
      <c r="E558" t="s">
        <v>19</v>
      </c>
      <c r="F558">
        <v>3</v>
      </c>
      <c r="G558" t="s">
        <v>13</v>
      </c>
      <c r="H558" s="1">
        <v>45941.706250000003</v>
      </c>
      <c r="I558" s="5">
        <f>INT(TB[[#This Row],[时间戳]])</f>
        <v>45941</v>
      </c>
      <c r="J558" s="2">
        <f>HOUR(TB[[#This Row],[时间戳]])</f>
        <v>16</v>
      </c>
      <c r="K558">
        <v>3925</v>
      </c>
      <c r="L558">
        <v>1</v>
      </c>
      <c r="M558">
        <f>TB[[#This Row],[售价]]*TB[[#This Row],[销量]]</f>
        <v>3925</v>
      </c>
      <c r="N558" t="str">
        <f>IF(TB[[#This Row],[售价]]&lt;1000,"低价商品",IF(TB[[#This Row],[售价]]&lt;5000,"中价商品",IF(TB[[#This Row],[售价]]&lt;10000,"高价商品","超高价商品")))</f>
        <v>中价商品</v>
      </c>
    </row>
    <row r="559" spans="1:14" x14ac:dyDescent="0.2">
      <c r="A559">
        <v>398</v>
      </c>
      <c r="B559">
        <v>215</v>
      </c>
      <c r="C559" t="s">
        <v>26</v>
      </c>
      <c r="D559" t="s">
        <v>160</v>
      </c>
      <c r="E559" t="s">
        <v>19</v>
      </c>
      <c r="F559">
        <v>3</v>
      </c>
      <c r="G559" t="s">
        <v>13</v>
      </c>
      <c r="H559" s="1">
        <v>45941.706250000003</v>
      </c>
      <c r="I559" s="5">
        <f>INT(TB[[#This Row],[时间戳]])</f>
        <v>45941</v>
      </c>
      <c r="J559" s="2">
        <f>HOUR(TB[[#This Row],[时间戳]])</f>
        <v>16</v>
      </c>
      <c r="K559">
        <v>4713</v>
      </c>
      <c r="L559">
        <v>4</v>
      </c>
      <c r="M559">
        <f>TB[[#This Row],[售价]]*TB[[#This Row],[销量]]</f>
        <v>18852</v>
      </c>
      <c r="N559" t="str">
        <f>IF(TB[[#This Row],[售价]]&lt;1000,"低价商品",IF(TB[[#This Row],[售价]]&lt;5000,"中价商品",IF(TB[[#This Row],[售价]]&lt;10000,"高价商品","超高价商品")))</f>
        <v>中价商品</v>
      </c>
    </row>
    <row r="560" spans="1:14" x14ac:dyDescent="0.2">
      <c r="A560">
        <v>434</v>
      </c>
      <c r="B560">
        <v>96</v>
      </c>
      <c r="C560" t="s">
        <v>46</v>
      </c>
      <c r="D560" t="s">
        <v>316</v>
      </c>
      <c r="E560" t="s">
        <v>25</v>
      </c>
      <c r="F560">
        <v>7</v>
      </c>
      <c r="G560" t="s">
        <v>13</v>
      </c>
      <c r="H560" s="1">
        <v>45941.732638888891</v>
      </c>
      <c r="I560" s="5">
        <f>INT(TB[[#This Row],[时间戳]])</f>
        <v>45941</v>
      </c>
      <c r="J560" s="2">
        <f>HOUR(TB[[#This Row],[时间戳]])</f>
        <v>17</v>
      </c>
      <c r="K560">
        <v>6255</v>
      </c>
      <c r="L560">
        <v>2</v>
      </c>
      <c r="M560">
        <f>TB[[#This Row],[售价]]*TB[[#This Row],[销量]]</f>
        <v>12510</v>
      </c>
      <c r="N560" t="str">
        <f>IF(TB[[#This Row],[售价]]&lt;1000,"低价商品",IF(TB[[#This Row],[售价]]&lt;5000,"中价商品",IF(TB[[#This Row],[售价]]&lt;10000,"高价商品","超高价商品")))</f>
        <v>高价商品</v>
      </c>
    </row>
    <row r="561" spans="1:14" x14ac:dyDescent="0.2">
      <c r="A561">
        <v>661</v>
      </c>
      <c r="B561">
        <v>89</v>
      </c>
      <c r="C561" t="s">
        <v>20</v>
      </c>
      <c r="D561" t="s">
        <v>204</v>
      </c>
      <c r="E561" t="s">
        <v>25</v>
      </c>
      <c r="F561">
        <v>7</v>
      </c>
      <c r="G561" t="s">
        <v>13</v>
      </c>
      <c r="H561" s="1">
        <v>45941.75</v>
      </c>
      <c r="I561" s="5">
        <f>INT(TB[[#This Row],[时间戳]])</f>
        <v>45941</v>
      </c>
      <c r="J561" s="2">
        <f>HOUR(TB[[#This Row],[时间戳]])</f>
        <v>18</v>
      </c>
      <c r="K561">
        <v>5611</v>
      </c>
      <c r="L561">
        <v>2</v>
      </c>
      <c r="M561">
        <f>TB[[#This Row],[售价]]*TB[[#This Row],[销量]]</f>
        <v>11222</v>
      </c>
      <c r="N561" t="str">
        <f>IF(TB[[#This Row],[售价]]&lt;1000,"低价商品",IF(TB[[#This Row],[售价]]&lt;5000,"中价商品",IF(TB[[#This Row],[售价]]&lt;10000,"高价商品","超高价商品")))</f>
        <v>高价商品</v>
      </c>
    </row>
    <row r="562" spans="1:14" x14ac:dyDescent="0.2">
      <c r="A562">
        <v>192</v>
      </c>
      <c r="B562">
        <v>162</v>
      </c>
      <c r="C562" t="s">
        <v>36</v>
      </c>
      <c r="D562" t="s">
        <v>317</v>
      </c>
      <c r="E562" t="s">
        <v>19</v>
      </c>
      <c r="F562">
        <v>3</v>
      </c>
      <c r="G562" t="s">
        <v>13</v>
      </c>
      <c r="H562" s="1">
        <v>45941.772916666669</v>
      </c>
      <c r="I562" s="5">
        <f>INT(TB[[#This Row],[时间戳]])</f>
        <v>45941</v>
      </c>
      <c r="J562" s="2">
        <f>HOUR(TB[[#This Row],[时间戳]])</f>
        <v>18</v>
      </c>
      <c r="K562">
        <v>2916</v>
      </c>
      <c r="L562">
        <v>2</v>
      </c>
      <c r="M562">
        <f>TB[[#This Row],[售价]]*TB[[#This Row],[销量]]</f>
        <v>5832</v>
      </c>
      <c r="N562" t="str">
        <f>IF(TB[[#This Row],[售价]]&lt;1000,"低价商品",IF(TB[[#This Row],[售价]]&lt;5000,"中价商品",IF(TB[[#This Row],[售价]]&lt;10000,"高价商品","超高价商品")))</f>
        <v>中价商品</v>
      </c>
    </row>
    <row r="563" spans="1:14" x14ac:dyDescent="0.2">
      <c r="A563">
        <v>10</v>
      </c>
      <c r="B563">
        <v>249</v>
      </c>
      <c r="C563" t="s">
        <v>10</v>
      </c>
      <c r="D563" t="s">
        <v>262</v>
      </c>
      <c r="E563" t="s">
        <v>25</v>
      </c>
      <c r="F563">
        <v>7</v>
      </c>
      <c r="G563" t="s">
        <v>42</v>
      </c>
      <c r="H563" s="1">
        <v>45941.777083333334</v>
      </c>
      <c r="I563" s="5">
        <f>INT(TB[[#This Row],[时间戳]])</f>
        <v>45941</v>
      </c>
      <c r="J563" s="2">
        <f>HOUR(TB[[#This Row],[时间戳]])</f>
        <v>18</v>
      </c>
      <c r="K563">
        <v>5311</v>
      </c>
      <c r="L563">
        <v>0</v>
      </c>
      <c r="M563">
        <f>TB[[#This Row],[售价]]*TB[[#This Row],[销量]]</f>
        <v>0</v>
      </c>
      <c r="N563" t="str">
        <f>IF(TB[[#This Row],[售价]]&lt;1000,"低价商品",IF(TB[[#This Row],[售价]]&lt;5000,"中价商品",IF(TB[[#This Row],[售价]]&lt;10000,"高价商品","超高价商品")))</f>
        <v>高价商品</v>
      </c>
    </row>
    <row r="564" spans="1:14" x14ac:dyDescent="0.2">
      <c r="A564">
        <v>518</v>
      </c>
      <c r="B564">
        <v>254</v>
      </c>
      <c r="C564" t="s">
        <v>17</v>
      </c>
      <c r="D564" t="s">
        <v>93</v>
      </c>
      <c r="E564" t="s">
        <v>12</v>
      </c>
      <c r="F564">
        <v>2</v>
      </c>
      <c r="G564" t="s">
        <v>13</v>
      </c>
      <c r="H564" s="1">
        <v>45941.779861111114</v>
      </c>
      <c r="I564" s="5">
        <f>INT(TB[[#This Row],[时间戳]])</f>
        <v>45941</v>
      </c>
      <c r="J564" s="2">
        <f>HOUR(TB[[#This Row],[时间戳]])</f>
        <v>18</v>
      </c>
      <c r="K564">
        <v>6135</v>
      </c>
      <c r="L564">
        <v>2</v>
      </c>
      <c r="M564">
        <f>TB[[#This Row],[售价]]*TB[[#This Row],[销量]]</f>
        <v>12270</v>
      </c>
      <c r="N564" t="str">
        <f>IF(TB[[#This Row],[售价]]&lt;1000,"低价商品",IF(TB[[#This Row],[售价]]&lt;5000,"中价商品",IF(TB[[#This Row],[售价]]&lt;10000,"高价商品","超高价商品")))</f>
        <v>高价商品</v>
      </c>
    </row>
    <row r="565" spans="1:14" x14ac:dyDescent="0.2">
      <c r="A565">
        <v>728</v>
      </c>
      <c r="B565">
        <v>228</v>
      </c>
      <c r="C565" t="s">
        <v>44</v>
      </c>
      <c r="D565" t="s">
        <v>163</v>
      </c>
      <c r="E565" t="s">
        <v>12</v>
      </c>
      <c r="F565">
        <v>2</v>
      </c>
      <c r="G565" t="s">
        <v>13</v>
      </c>
      <c r="H565" s="1">
        <v>45941.779861111114</v>
      </c>
      <c r="I565" s="5">
        <f>INT(TB[[#This Row],[时间戳]])</f>
        <v>45941</v>
      </c>
      <c r="J565" s="2">
        <f>HOUR(TB[[#This Row],[时间戳]])</f>
        <v>18</v>
      </c>
      <c r="K565">
        <v>10853</v>
      </c>
      <c r="L565">
        <v>2</v>
      </c>
      <c r="M565">
        <f>TB[[#This Row],[售价]]*TB[[#This Row],[销量]]</f>
        <v>21706</v>
      </c>
      <c r="N565" t="str">
        <f>IF(TB[[#This Row],[售价]]&lt;1000,"低价商品",IF(TB[[#This Row],[售价]]&lt;5000,"中价商品",IF(TB[[#This Row],[售价]]&lt;10000,"高价商品","超高价商品")))</f>
        <v>超高价商品</v>
      </c>
    </row>
    <row r="566" spans="1:14" x14ac:dyDescent="0.2">
      <c r="A566">
        <v>32</v>
      </c>
      <c r="B566">
        <v>113</v>
      </c>
      <c r="C566" t="s">
        <v>14</v>
      </c>
      <c r="D566" t="s">
        <v>52</v>
      </c>
      <c r="E566" t="s">
        <v>31</v>
      </c>
      <c r="F566">
        <v>4</v>
      </c>
      <c r="G566" t="s">
        <v>13</v>
      </c>
      <c r="H566" s="1">
        <v>45941.788194444445</v>
      </c>
      <c r="I566" s="5">
        <f>INT(TB[[#This Row],[时间戳]])</f>
        <v>45941</v>
      </c>
      <c r="J566" s="2">
        <f>HOUR(TB[[#This Row],[时间戳]])</f>
        <v>18</v>
      </c>
      <c r="K566">
        <v>935</v>
      </c>
      <c r="L566">
        <v>2</v>
      </c>
      <c r="M566">
        <f>TB[[#This Row],[售价]]*TB[[#This Row],[销量]]</f>
        <v>1870</v>
      </c>
      <c r="N566" t="str">
        <f>IF(TB[[#This Row],[售价]]&lt;1000,"低价商品",IF(TB[[#This Row],[售价]]&lt;5000,"中价商品",IF(TB[[#This Row],[售价]]&lt;10000,"高价商品","超高价商品")))</f>
        <v>低价商品</v>
      </c>
    </row>
    <row r="567" spans="1:14" x14ac:dyDescent="0.2">
      <c r="A567">
        <v>551</v>
      </c>
      <c r="B567">
        <v>148</v>
      </c>
      <c r="C567" t="s">
        <v>36</v>
      </c>
      <c r="D567" t="s">
        <v>318</v>
      </c>
      <c r="E567" t="s">
        <v>16</v>
      </c>
      <c r="F567">
        <v>6</v>
      </c>
      <c r="G567" t="s">
        <v>13</v>
      </c>
      <c r="H567" s="1">
        <v>45941.804166666669</v>
      </c>
      <c r="I567" s="5">
        <f>INT(TB[[#This Row],[时间戳]])</f>
        <v>45941</v>
      </c>
      <c r="J567" s="2">
        <f>HOUR(TB[[#This Row],[时间戳]])</f>
        <v>19</v>
      </c>
      <c r="K567">
        <v>6601</v>
      </c>
      <c r="L567">
        <v>1</v>
      </c>
      <c r="M567">
        <f>TB[[#This Row],[售价]]*TB[[#This Row],[销量]]</f>
        <v>6601</v>
      </c>
      <c r="N567" t="str">
        <f>IF(TB[[#This Row],[售价]]&lt;1000,"低价商品",IF(TB[[#This Row],[售价]]&lt;5000,"中价商品",IF(TB[[#This Row],[售价]]&lt;10000,"高价商品","超高价商品")))</f>
        <v>高价商品</v>
      </c>
    </row>
    <row r="568" spans="1:14" x14ac:dyDescent="0.2">
      <c r="A568">
        <v>761</v>
      </c>
      <c r="B568">
        <v>254</v>
      </c>
      <c r="C568" t="s">
        <v>44</v>
      </c>
      <c r="D568" t="s">
        <v>301</v>
      </c>
      <c r="E568" t="s">
        <v>22</v>
      </c>
      <c r="F568">
        <v>1</v>
      </c>
      <c r="G568" t="s">
        <v>13</v>
      </c>
      <c r="H568" s="1">
        <v>45941.813888888886</v>
      </c>
      <c r="I568" s="5">
        <f>INT(TB[[#This Row],[时间戳]])</f>
        <v>45941</v>
      </c>
      <c r="J568" s="2">
        <f>HOUR(TB[[#This Row],[时间戳]])</f>
        <v>19</v>
      </c>
      <c r="K568">
        <v>2576</v>
      </c>
      <c r="L568">
        <v>3</v>
      </c>
      <c r="M568">
        <f>TB[[#This Row],[售价]]*TB[[#This Row],[销量]]</f>
        <v>7728</v>
      </c>
      <c r="N568" t="str">
        <f>IF(TB[[#This Row],[售价]]&lt;1000,"低价商品",IF(TB[[#This Row],[售价]]&lt;5000,"中价商品",IF(TB[[#This Row],[售价]]&lt;10000,"高价商品","超高价商品")))</f>
        <v>中价商品</v>
      </c>
    </row>
    <row r="569" spans="1:14" x14ac:dyDescent="0.2">
      <c r="A569">
        <v>117</v>
      </c>
      <c r="B569">
        <v>138</v>
      </c>
      <c r="C569" t="s">
        <v>14</v>
      </c>
      <c r="D569" t="s">
        <v>29</v>
      </c>
      <c r="E569" t="s">
        <v>22</v>
      </c>
      <c r="F569">
        <v>1</v>
      </c>
      <c r="G569" t="s">
        <v>13</v>
      </c>
      <c r="H569" s="1">
        <v>45941.824305555558</v>
      </c>
      <c r="I569" s="5">
        <f>INT(TB[[#This Row],[时间戳]])</f>
        <v>45941</v>
      </c>
      <c r="J569" s="2">
        <f>HOUR(TB[[#This Row],[时间戳]])</f>
        <v>19</v>
      </c>
      <c r="K569">
        <v>5564</v>
      </c>
      <c r="L569">
        <v>3</v>
      </c>
      <c r="M569">
        <f>TB[[#This Row],[售价]]*TB[[#This Row],[销量]]</f>
        <v>16692</v>
      </c>
      <c r="N569" t="str">
        <f>IF(TB[[#This Row],[售价]]&lt;1000,"低价商品",IF(TB[[#This Row],[售价]]&lt;5000,"中价商品",IF(TB[[#This Row],[售价]]&lt;10000,"高价商品","超高价商品")))</f>
        <v>高价商品</v>
      </c>
    </row>
    <row r="570" spans="1:14" x14ac:dyDescent="0.2">
      <c r="A570">
        <v>779</v>
      </c>
      <c r="B570">
        <v>226</v>
      </c>
      <c r="C570" t="s">
        <v>20</v>
      </c>
      <c r="D570" t="s">
        <v>319</v>
      </c>
      <c r="E570" t="s">
        <v>31</v>
      </c>
      <c r="F570">
        <v>4</v>
      </c>
      <c r="G570" t="s">
        <v>13</v>
      </c>
      <c r="H570" s="1">
        <v>45941.867361111108</v>
      </c>
      <c r="I570" s="5">
        <f>INT(TB[[#This Row],[时间戳]])</f>
        <v>45941</v>
      </c>
      <c r="J570" s="2">
        <f>HOUR(TB[[#This Row],[时间戳]])</f>
        <v>20</v>
      </c>
      <c r="K570">
        <v>1149</v>
      </c>
      <c r="L570">
        <v>3</v>
      </c>
      <c r="M570">
        <f>TB[[#This Row],[售价]]*TB[[#This Row],[销量]]</f>
        <v>3447</v>
      </c>
      <c r="N570" t="str">
        <f>IF(TB[[#This Row],[售价]]&lt;1000,"低价商品",IF(TB[[#This Row],[售价]]&lt;5000,"中价商品",IF(TB[[#This Row],[售价]]&lt;10000,"高价商品","超高价商品")))</f>
        <v>中价商品</v>
      </c>
    </row>
    <row r="571" spans="1:14" x14ac:dyDescent="0.2">
      <c r="A571">
        <v>754</v>
      </c>
      <c r="B571">
        <v>127</v>
      </c>
      <c r="C571" t="s">
        <v>17</v>
      </c>
      <c r="D571" t="s">
        <v>74</v>
      </c>
      <c r="E571" t="s">
        <v>22</v>
      </c>
      <c r="F571">
        <v>1</v>
      </c>
      <c r="G571" t="s">
        <v>42</v>
      </c>
      <c r="H571" s="1">
        <v>45941.875</v>
      </c>
      <c r="I571" s="5">
        <f>INT(TB[[#This Row],[时间戳]])</f>
        <v>45941</v>
      </c>
      <c r="J571" s="2">
        <f>HOUR(TB[[#This Row],[时间戳]])</f>
        <v>21</v>
      </c>
      <c r="K571">
        <v>5386</v>
      </c>
      <c r="L571">
        <v>0</v>
      </c>
      <c r="M571">
        <f>TB[[#This Row],[售价]]*TB[[#This Row],[销量]]</f>
        <v>0</v>
      </c>
      <c r="N571" t="str">
        <f>IF(TB[[#This Row],[售价]]&lt;1000,"低价商品",IF(TB[[#This Row],[售价]]&lt;5000,"中价商品",IF(TB[[#This Row],[售价]]&lt;10000,"高价商品","超高价商品")))</f>
        <v>高价商品</v>
      </c>
    </row>
    <row r="572" spans="1:14" x14ac:dyDescent="0.2">
      <c r="A572">
        <v>357</v>
      </c>
      <c r="B572">
        <v>45</v>
      </c>
      <c r="C572" t="s">
        <v>44</v>
      </c>
      <c r="D572" t="s">
        <v>158</v>
      </c>
      <c r="E572" t="s">
        <v>31</v>
      </c>
      <c r="F572">
        <v>4</v>
      </c>
      <c r="G572" t="s">
        <v>13</v>
      </c>
      <c r="H572" s="1">
        <v>45941.888194444444</v>
      </c>
      <c r="I572" s="5">
        <f>INT(TB[[#This Row],[时间戳]])</f>
        <v>45941</v>
      </c>
      <c r="J572" s="2">
        <f>HOUR(TB[[#This Row],[时间戳]])</f>
        <v>21</v>
      </c>
      <c r="K572">
        <v>475</v>
      </c>
      <c r="L572">
        <v>3</v>
      </c>
      <c r="M572">
        <f>TB[[#This Row],[售价]]*TB[[#This Row],[销量]]</f>
        <v>1425</v>
      </c>
      <c r="N572" t="str">
        <f>IF(TB[[#This Row],[售价]]&lt;1000,"低价商品",IF(TB[[#This Row],[售价]]&lt;5000,"中价商品",IF(TB[[#This Row],[售价]]&lt;10000,"高价商品","超高价商品")))</f>
        <v>低价商品</v>
      </c>
    </row>
    <row r="573" spans="1:14" x14ac:dyDescent="0.2">
      <c r="A573">
        <v>756</v>
      </c>
      <c r="B573">
        <v>180</v>
      </c>
      <c r="C573" t="s">
        <v>32</v>
      </c>
      <c r="D573" t="s">
        <v>118</v>
      </c>
      <c r="E573" t="s">
        <v>19</v>
      </c>
      <c r="F573">
        <v>3</v>
      </c>
      <c r="G573" t="s">
        <v>13</v>
      </c>
      <c r="H573" s="1">
        <v>45941.916666666664</v>
      </c>
      <c r="I573" s="5">
        <f>INT(TB[[#This Row],[时间戳]])</f>
        <v>45941</v>
      </c>
      <c r="J573" s="2">
        <f>HOUR(TB[[#This Row],[时间戳]])</f>
        <v>22</v>
      </c>
      <c r="K573">
        <v>4956</v>
      </c>
      <c r="L573">
        <v>1</v>
      </c>
      <c r="M573">
        <f>TB[[#This Row],[售价]]*TB[[#This Row],[销量]]</f>
        <v>4956</v>
      </c>
      <c r="N573" t="str">
        <f>IF(TB[[#This Row],[售价]]&lt;1000,"低价商品",IF(TB[[#This Row],[售价]]&lt;5000,"中价商品",IF(TB[[#This Row],[售价]]&lt;10000,"高价商品","超高价商品")))</f>
        <v>中价商品</v>
      </c>
    </row>
    <row r="574" spans="1:14" x14ac:dyDescent="0.2">
      <c r="A574">
        <v>631</v>
      </c>
      <c r="B574">
        <v>72</v>
      </c>
      <c r="C574" t="s">
        <v>17</v>
      </c>
      <c r="D574" t="s">
        <v>320</v>
      </c>
      <c r="E574" t="s">
        <v>16</v>
      </c>
      <c r="F574">
        <v>6</v>
      </c>
      <c r="G574" t="s">
        <v>13</v>
      </c>
      <c r="H574" s="1">
        <v>45941.925694444442</v>
      </c>
      <c r="I574" s="5">
        <f>INT(TB[[#This Row],[时间戳]])</f>
        <v>45941</v>
      </c>
      <c r="J574" s="2">
        <f>HOUR(TB[[#This Row],[时间戳]])</f>
        <v>22</v>
      </c>
      <c r="K574">
        <v>12000</v>
      </c>
      <c r="L574">
        <v>1</v>
      </c>
      <c r="M574">
        <f>TB[[#This Row],[售价]]*TB[[#This Row],[销量]]</f>
        <v>12000</v>
      </c>
      <c r="N574" t="str">
        <f>IF(TB[[#This Row],[售价]]&lt;1000,"低价商品",IF(TB[[#This Row],[售价]]&lt;5000,"中价商品",IF(TB[[#This Row],[售价]]&lt;10000,"高价商品","超高价商品")))</f>
        <v>超高价商品</v>
      </c>
    </row>
    <row r="575" spans="1:14" x14ac:dyDescent="0.2">
      <c r="A575">
        <v>360</v>
      </c>
      <c r="B575">
        <v>273</v>
      </c>
      <c r="C575" t="s">
        <v>10</v>
      </c>
      <c r="D575" t="s">
        <v>321</v>
      </c>
      <c r="E575" t="s">
        <v>39</v>
      </c>
      <c r="F575">
        <v>5</v>
      </c>
      <c r="G575" t="s">
        <v>42</v>
      </c>
      <c r="H575" s="1">
        <v>45941.943749999999</v>
      </c>
      <c r="I575" s="5">
        <f>INT(TB[[#This Row],[时间戳]])</f>
        <v>45941</v>
      </c>
      <c r="J575" s="2">
        <f>HOUR(TB[[#This Row],[时间戳]])</f>
        <v>22</v>
      </c>
      <c r="K575">
        <v>1551</v>
      </c>
      <c r="L575">
        <v>0</v>
      </c>
      <c r="M575">
        <f>TB[[#This Row],[售价]]*TB[[#This Row],[销量]]</f>
        <v>0</v>
      </c>
      <c r="N575" t="str">
        <f>IF(TB[[#This Row],[售价]]&lt;1000,"低价商品",IF(TB[[#This Row],[售价]]&lt;5000,"中价商品",IF(TB[[#This Row],[售价]]&lt;10000,"高价商品","超高价商品")))</f>
        <v>中价商品</v>
      </c>
    </row>
    <row r="576" spans="1:14" x14ac:dyDescent="0.2">
      <c r="A576">
        <v>332</v>
      </c>
      <c r="B576">
        <v>150</v>
      </c>
      <c r="C576" t="s">
        <v>20</v>
      </c>
      <c r="D576" t="s">
        <v>40</v>
      </c>
      <c r="E576" t="s">
        <v>25</v>
      </c>
      <c r="F576">
        <v>7</v>
      </c>
      <c r="G576" t="s">
        <v>13</v>
      </c>
      <c r="H576" s="1">
        <v>45941.980555555558</v>
      </c>
      <c r="I576" s="5">
        <f>INT(TB[[#This Row],[时间戳]])</f>
        <v>45941</v>
      </c>
      <c r="J576" s="2">
        <f>HOUR(TB[[#This Row],[时间戳]])</f>
        <v>23</v>
      </c>
      <c r="K576">
        <v>3907</v>
      </c>
      <c r="L576">
        <v>1</v>
      </c>
      <c r="M576">
        <f>TB[[#This Row],[售价]]*TB[[#This Row],[销量]]</f>
        <v>3907</v>
      </c>
      <c r="N576" t="str">
        <f>IF(TB[[#This Row],[售价]]&lt;1000,"低价商品",IF(TB[[#This Row],[售价]]&lt;5000,"中价商品",IF(TB[[#This Row],[售价]]&lt;10000,"高价商品","超高价商品")))</f>
        <v>中价商品</v>
      </c>
    </row>
    <row r="577" spans="1:14" x14ac:dyDescent="0.2">
      <c r="A577">
        <v>696</v>
      </c>
      <c r="B577">
        <v>49</v>
      </c>
      <c r="C577" t="s">
        <v>36</v>
      </c>
      <c r="D577" t="s">
        <v>123</v>
      </c>
      <c r="E577" t="s">
        <v>31</v>
      </c>
      <c r="F577">
        <v>4</v>
      </c>
      <c r="G577" t="s">
        <v>13</v>
      </c>
      <c r="H577" s="1">
        <v>45942.035416666666</v>
      </c>
      <c r="I577" s="5">
        <f>INT(TB[[#This Row],[时间戳]])</f>
        <v>45942</v>
      </c>
      <c r="J577" s="2">
        <f>HOUR(TB[[#This Row],[时间戳]])</f>
        <v>0</v>
      </c>
      <c r="K577">
        <v>735</v>
      </c>
      <c r="L577">
        <v>2</v>
      </c>
      <c r="M577">
        <f>TB[[#This Row],[售价]]*TB[[#This Row],[销量]]</f>
        <v>1470</v>
      </c>
      <c r="N577" t="str">
        <f>IF(TB[[#This Row],[售价]]&lt;1000,"低价商品",IF(TB[[#This Row],[售价]]&lt;5000,"中价商品",IF(TB[[#This Row],[售价]]&lt;10000,"高价商品","超高价商品")))</f>
        <v>低价商品</v>
      </c>
    </row>
    <row r="578" spans="1:14" x14ac:dyDescent="0.2">
      <c r="A578">
        <v>284</v>
      </c>
      <c r="B578">
        <v>65</v>
      </c>
      <c r="C578" t="s">
        <v>17</v>
      </c>
      <c r="D578" t="s">
        <v>28</v>
      </c>
      <c r="E578" t="s">
        <v>12</v>
      </c>
      <c r="F578">
        <v>2</v>
      </c>
      <c r="G578" t="s">
        <v>13</v>
      </c>
      <c r="H578" s="1">
        <v>45942.038194444445</v>
      </c>
      <c r="I578" s="5">
        <f>INT(TB[[#This Row],[时间戳]])</f>
        <v>45942</v>
      </c>
      <c r="J578" s="2">
        <f>HOUR(TB[[#This Row],[时间戳]])</f>
        <v>0</v>
      </c>
      <c r="K578">
        <v>6405</v>
      </c>
      <c r="L578">
        <v>3</v>
      </c>
      <c r="M578">
        <f>TB[[#This Row],[售价]]*TB[[#This Row],[销量]]</f>
        <v>19215</v>
      </c>
      <c r="N578" t="str">
        <f>IF(TB[[#This Row],[售价]]&lt;1000,"低价商品",IF(TB[[#This Row],[售价]]&lt;5000,"中价商品",IF(TB[[#This Row],[售价]]&lt;10000,"高价商品","超高价商品")))</f>
        <v>高价商品</v>
      </c>
    </row>
    <row r="579" spans="1:14" x14ac:dyDescent="0.2">
      <c r="A579">
        <v>729</v>
      </c>
      <c r="B579">
        <v>165</v>
      </c>
      <c r="C579" t="s">
        <v>32</v>
      </c>
      <c r="D579" t="s">
        <v>275</v>
      </c>
      <c r="E579" t="s">
        <v>22</v>
      </c>
      <c r="F579">
        <v>1</v>
      </c>
      <c r="G579" t="s">
        <v>13</v>
      </c>
      <c r="H579" s="1">
        <v>45942.086111111108</v>
      </c>
      <c r="I579" s="5">
        <f>INT(TB[[#This Row],[时间戳]])</f>
        <v>45942</v>
      </c>
      <c r="J579" s="2">
        <f>HOUR(TB[[#This Row],[时间戳]])</f>
        <v>2</v>
      </c>
      <c r="K579">
        <v>6613</v>
      </c>
      <c r="L579">
        <v>2</v>
      </c>
      <c r="M579">
        <f>TB[[#This Row],[售价]]*TB[[#This Row],[销量]]</f>
        <v>13226</v>
      </c>
      <c r="N579" t="str">
        <f>IF(TB[[#This Row],[售价]]&lt;1000,"低价商品",IF(TB[[#This Row],[售价]]&lt;5000,"中价商品",IF(TB[[#This Row],[售价]]&lt;10000,"高价商品","超高价商品")))</f>
        <v>高价商品</v>
      </c>
    </row>
    <row r="580" spans="1:14" x14ac:dyDescent="0.2">
      <c r="A580">
        <v>146</v>
      </c>
      <c r="B580">
        <v>296</v>
      </c>
      <c r="C580" t="s">
        <v>17</v>
      </c>
      <c r="D580" t="s">
        <v>137</v>
      </c>
      <c r="E580" t="s">
        <v>31</v>
      </c>
      <c r="F580">
        <v>4</v>
      </c>
      <c r="G580" t="s">
        <v>13</v>
      </c>
      <c r="H580" s="1">
        <v>45942.098611111112</v>
      </c>
      <c r="I580" s="5">
        <f>INT(TB[[#This Row],[时间戳]])</f>
        <v>45942</v>
      </c>
      <c r="J580" s="2">
        <f>HOUR(TB[[#This Row],[时间戳]])</f>
        <v>2</v>
      </c>
      <c r="K580">
        <v>745</v>
      </c>
      <c r="L580">
        <v>5</v>
      </c>
      <c r="M580">
        <f>TB[[#This Row],[售价]]*TB[[#This Row],[销量]]</f>
        <v>3725</v>
      </c>
      <c r="N580" t="str">
        <f>IF(TB[[#This Row],[售价]]&lt;1000,"低价商品",IF(TB[[#This Row],[售价]]&lt;5000,"中价商品",IF(TB[[#This Row],[售价]]&lt;10000,"高价商品","超高价商品")))</f>
        <v>低价商品</v>
      </c>
    </row>
    <row r="581" spans="1:14" x14ac:dyDescent="0.2">
      <c r="A581">
        <v>463</v>
      </c>
      <c r="B581">
        <v>39</v>
      </c>
      <c r="C581" t="s">
        <v>17</v>
      </c>
      <c r="D581" t="s">
        <v>177</v>
      </c>
      <c r="E581" t="s">
        <v>22</v>
      </c>
      <c r="F581">
        <v>1</v>
      </c>
      <c r="G581" t="s">
        <v>13</v>
      </c>
      <c r="H581" s="1">
        <v>45942.104166666664</v>
      </c>
      <c r="I581" s="5">
        <f>INT(TB[[#This Row],[时间戳]])</f>
        <v>45942</v>
      </c>
      <c r="J581" s="2">
        <f>HOUR(TB[[#This Row],[时间戳]])</f>
        <v>2</v>
      </c>
      <c r="K581">
        <v>6117</v>
      </c>
      <c r="L581">
        <v>4</v>
      </c>
      <c r="M581">
        <f>TB[[#This Row],[售价]]*TB[[#This Row],[销量]]</f>
        <v>24468</v>
      </c>
      <c r="N581" t="str">
        <f>IF(TB[[#This Row],[售价]]&lt;1000,"低价商品",IF(TB[[#This Row],[售价]]&lt;5000,"中价商品",IF(TB[[#This Row],[售价]]&lt;10000,"高价商品","超高价商品")))</f>
        <v>高价商品</v>
      </c>
    </row>
    <row r="582" spans="1:14" x14ac:dyDescent="0.2">
      <c r="A582">
        <v>528</v>
      </c>
      <c r="B582">
        <v>143</v>
      </c>
      <c r="C582" t="s">
        <v>14</v>
      </c>
      <c r="D582" t="s">
        <v>207</v>
      </c>
      <c r="E582" t="s">
        <v>25</v>
      </c>
      <c r="F582">
        <v>7</v>
      </c>
      <c r="G582" t="s">
        <v>13</v>
      </c>
      <c r="H582" s="1">
        <v>45942.115277777775</v>
      </c>
      <c r="I582" s="5">
        <f>INT(TB[[#This Row],[时间戳]])</f>
        <v>45942</v>
      </c>
      <c r="J582" s="2">
        <f>HOUR(TB[[#This Row],[时间戳]])</f>
        <v>2</v>
      </c>
      <c r="K582">
        <v>6883</v>
      </c>
      <c r="L582">
        <v>1</v>
      </c>
      <c r="M582">
        <f>TB[[#This Row],[售价]]*TB[[#This Row],[销量]]</f>
        <v>6883</v>
      </c>
      <c r="N582" t="str">
        <f>IF(TB[[#This Row],[售价]]&lt;1000,"低价商品",IF(TB[[#This Row],[售价]]&lt;5000,"中价商品",IF(TB[[#This Row],[售价]]&lt;10000,"高价商品","超高价商品")))</f>
        <v>高价商品</v>
      </c>
    </row>
    <row r="583" spans="1:14" x14ac:dyDescent="0.2">
      <c r="A583">
        <v>596</v>
      </c>
      <c r="B583">
        <v>2</v>
      </c>
      <c r="C583" t="s">
        <v>44</v>
      </c>
      <c r="D583" t="s">
        <v>100</v>
      </c>
      <c r="E583" t="s">
        <v>19</v>
      </c>
      <c r="F583">
        <v>3</v>
      </c>
      <c r="G583" t="s">
        <v>13</v>
      </c>
      <c r="H583" s="1">
        <v>45942.1875</v>
      </c>
      <c r="I583" s="5">
        <f>INT(TB[[#This Row],[时间戳]])</f>
        <v>45942</v>
      </c>
      <c r="J583" s="2">
        <f>HOUR(TB[[#This Row],[时间戳]])</f>
        <v>4</v>
      </c>
      <c r="K583">
        <v>4555</v>
      </c>
      <c r="L583">
        <v>2</v>
      </c>
      <c r="M583">
        <f>TB[[#This Row],[售价]]*TB[[#This Row],[销量]]</f>
        <v>9110</v>
      </c>
      <c r="N583" t="str">
        <f>IF(TB[[#This Row],[售价]]&lt;1000,"低价商品",IF(TB[[#This Row],[售价]]&lt;5000,"中价商品",IF(TB[[#This Row],[售价]]&lt;10000,"高价商品","超高价商品")))</f>
        <v>中价商品</v>
      </c>
    </row>
    <row r="584" spans="1:14" x14ac:dyDescent="0.2">
      <c r="A584">
        <v>65</v>
      </c>
      <c r="B584">
        <v>274</v>
      </c>
      <c r="C584" t="s">
        <v>44</v>
      </c>
      <c r="D584" t="s">
        <v>100</v>
      </c>
      <c r="E584" t="s">
        <v>19</v>
      </c>
      <c r="F584">
        <v>3</v>
      </c>
      <c r="G584" t="s">
        <v>13</v>
      </c>
      <c r="H584" s="1">
        <v>45942.2</v>
      </c>
      <c r="I584" s="5">
        <f>INT(TB[[#This Row],[时间戳]])</f>
        <v>45942</v>
      </c>
      <c r="J584" s="2">
        <f>HOUR(TB[[#This Row],[时间戳]])</f>
        <v>4</v>
      </c>
      <c r="K584">
        <v>2437</v>
      </c>
      <c r="L584">
        <v>3</v>
      </c>
      <c r="M584">
        <f>TB[[#This Row],[售价]]*TB[[#This Row],[销量]]</f>
        <v>7311</v>
      </c>
      <c r="N584" t="str">
        <f>IF(TB[[#This Row],[售价]]&lt;1000,"低价商品",IF(TB[[#This Row],[售价]]&lt;5000,"中价商品",IF(TB[[#This Row],[售价]]&lt;10000,"高价商品","超高价商品")))</f>
        <v>中价商品</v>
      </c>
    </row>
    <row r="585" spans="1:14" x14ac:dyDescent="0.2">
      <c r="A585">
        <v>507</v>
      </c>
      <c r="B585">
        <v>138</v>
      </c>
      <c r="C585" t="s">
        <v>17</v>
      </c>
      <c r="D585" t="s">
        <v>320</v>
      </c>
      <c r="E585" t="s">
        <v>16</v>
      </c>
      <c r="F585">
        <v>6</v>
      </c>
      <c r="G585" t="s">
        <v>42</v>
      </c>
      <c r="H585" s="1">
        <v>45942.207638888889</v>
      </c>
      <c r="I585" s="5">
        <f>INT(TB[[#This Row],[时间戳]])</f>
        <v>45942</v>
      </c>
      <c r="J585" s="2">
        <f>HOUR(TB[[#This Row],[时间戳]])</f>
        <v>4</v>
      </c>
      <c r="K585">
        <v>8427</v>
      </c>
      <c r="L585">
        <v>0</v>
      </c>
      <c r="M585">
        <f>TB[[#This Row],[售价]]*TB[[#This Row],[销量]]</f>
        <v>0</v>
      </c>
      <c r="N585" t="str">
        <f>IF(TB[[#This Row],[售价]]&lt;1000,"低价商品",IF(TB[[#This Row],[售价]]&lt;5000,"中价商品",IF(TB[[#This Row],[售价]]&lt;10000,"高价商品","超高价商品")))</f>
        <v>高价商品</v>
      </c>
    </row>
    <row r="586" spans="1:14" x14ac:dyDescent="0.2">
      <c r="A586">
        <v>592</v>
      </c>
      <c r="B586">
        <v>67</v>
      </c>
      <c r="C586" t="s">
        <v>34</v>
      </c>
      <c r="D586" t="s">
        <v>164</v>
      </c>
      <c r="E586" t="s">
        <v>22</v>
      </c>
      <c r="F586">
        <v>1</v>
      </c>
      <c r="G586" t="s">
        <v>13</v>
      </c>
      <c r="H586" s="1">
        <v>45942.225694444445</v>
      </c>
      <c r="I586" s="5">
        <f>INT(TB[[#This Row],[时间戳]])</f>
        <v>45942</v>
      </c>
      <c r="J586" s="2">
        <f>HOUR(TB[[#This Row],[时间戳]])</f>
        <v>5</v>
      </c>
      <c r="K586">
        <v>3589</v>
      </c>
      <c r="L586">
        <v>1</v>
      </c>
      <c r="M586">
        <f>TB[[#This Row],[售价]]*TB[[#This Row],[销量]]</f>
        <v>3589</v>
      </c>
      <c r="N586" t="str">
        <f>IF(TB[[#This Row],[售价]]&lt;1000,"低价商品",IF(TB[[#This Row],[售价]]&lt;5000,"中价商品",IF(TB[[#This Row],[售价]]&lt;10000,"高价商品","超高价商品")))</f>
        <v>中价商品</v>
      </c>
    </row>
    <row r="587" spans="1:14" x14ac:dyDescent="0.2">
      <c r="A587">
        <v>781</v>
      </c>
      <c r="B587">
        <v>25</v>
      </c>
      <c r="C587" t="s">
        <v>34</v>
      </c>
      <c r="D587" t="s">
        <v>232</v>
      </c>
      <c r="E587" t="s">
        <v>22</v>
      </c>
      <c r="F587">
        <v>1</v>
      </c>
      <c r="G587" t="s">
        <v>13</v>
      </c>
      <c r="H587" s="1">
        <v>45942.230555555558</v>
      </c>
      <c r="I587" s="5">
        <f>INT(TB[[#This Row],[时间戳]])</f>
        <v>45942</v>
      </c>
      <c r="J587" s="2">
        <f>HOUR(TB[[#This Row],[时间戳]])</f>
        <v>5</v>
      </c>
      <c r="K587">
        <v>5685</v>
      </c>
      <c r="L587">
        <v>2</v>
      </c>
      <c r="M587">
        <f>TB[[#This Row],[售价]]*TB[[#This Row],[销量]]</f>
        <v>11370</v>
      </c>
      <c r="N587" t="str">
        <f>IF(TB[[#This Row],[售价]]&lt;1000,"低价商品",IF(TB[[#This Row],[售价]]&lt;5000,"中价商品",IF(TB[[#This Row],[售价]]&lt;10000,"高价商品","超高价商品")))</f>
        <v>高价商品</v>
      </c>
    </row>
    <row r="588" spans="1:14" x14ac:dyDescent="0.2">
      <c r="A588">
        <v>128</v>
      </c>
      <c r="B588">
        <v>81</v>
      </c>
      <c r="C588" t="s">
        <v>44</v>
      </c>
      <c r="D588" t="s">
        <v>322</v>
      </c>
      <c r="E588" t="s">
        <v>16</v>
      </c>
      <c r="F588">
        <v>6</v>
      </c>
      <c r="G588" t="s">
        <v>42</v>
      </c>
      <c r="H588" s="1">
        <v>45942.232638888891</v>
      </c>
      <c r="I588" s="5">
        <f>INT(TB[[#This Row],[时间戳]])</f>
        <v>45942</v>
      </c>
      <c r="J588" s="2">
        <f>HOUR(TB[[#This Row],[时间戳]])</f>
        <v>5</v>
      </c>
      <c r="K588">
        <v>2602</v>
      </c>
      <c r="L588">
        <v>0</v>
      </c>
      <c r="M588">
        <f>TB[[#This Row],[售价]]*TB[[#This Row],[销量]]</f>
        <v>0</v>
      </c>
      <c r="N588" t="str">
        <f>IF(TB[[#This Row],[售价]]&lt;1000,"低价商品",IF(TB[[#This Row],[售价]]&lt;5000,"中价商品",IF(TB[[#This Row],[售价]]&lt;10000,"高价商品","超高价商品")))</f>
        <v>中价商品</v>
      </c>
    </row>
    <row r="589" spans="1:14" x14ac:dyDescent="0.2">
      <c r="A589">
        <v>208</v>
      </c>
      <c r="B589">
        <v>68</v>
      </c>
      <c r="C589" t="s">
        <v>10</v>
      </c>
      <c r="D589" t="s">
        <v>283</v>
      </c>
      <c r="E589" t="s">
        <v>25</v>
      </c>
      <c r="F589">
        <v>7</v>
      </c>
      <c r="G589" t="s">
        <v>13</v>
      </c>
      <c r="H589" s="1">
        <v>45942.234722222223</v>
      </c>
      <c r="I589" s="5">
        <f>INT(TB[[#This Row],[时间戳]])</f>
        <v>45942</v>
      </c>
      <c r="J589" s="2">
        <f>HOUR(TB[[#This Row],[时间戳]])</f>
        <v>5</v>
      </c>
      <c r="K589">
        <v>5148</v>
      </c>
      <c r="L589">
        <v>2</v>
      </c>
      <c r="M589">
        <f>TB[[#This Row],[售价]]*TB[[#This Row],[销量]]</f>
        <v>10296</v>
      </c>
      <c r="N589" t="str">
        <f>IF(TB[[#This Row],[售价]]&lt;1000,"低价商品",IF(TB[[#This Row],[售价]]&lt;5000,"中价商品",IF(TB[[#This Row],[售价]]&lt;10000,"高价商品","超高价商品")))</f>
        <v>高价商品</v>
      </c>
    </row>
    <row r="590" spans="1:14" x14ac:dyDescent="0.2">
      <c r="A590">
        <v>96</v>
      </c>
      <c r="B590">
        <v>185</v>
      </c>
      <c r="C590" t="s">
        <v>26</v>
      </c>
      <c r="D590" t="s">
        <v>306</v>
      </c>
      <c r="E590" t="s">
        <v>31</v>
      </c>
      <c r="F590">
        <v>4</v>
      </c>
      <c r="G590" t="s">
        <v>13</v>
      </c>
      <c r="H590" s="1">
        <v>45942.237500000003</v>
      </c>
      <c r="I590" s="5">
        <f>INT(TB[[#This Row],[时间戳]])</f>
        <v>45942</v>
      </c>
      <c r="J590" s="2">
        <f>HOUR(TB[[#This Row],[时间戳]])</f>
        <v>5</v>
      </c>
      <c r="K590">
        <v>1335</v>
      </c>
      <c r="L590">
        <v>1</v>
      </c>
      <c r="M590">
        <f>TB[[#This Row],[售价]]*TB[[#This Row],[销量]]</f>
        <v>1335</v>
      </c>
      <c r="N590" t="str">
        <f>IF(TB[[#This Row],[售价]]&lt;1000,"低价商品",IF(TB[[#This Row],[售价]]&lt;5000,"中价商品",IF(TB[[#This Row],[售价]]&lt;10000,"高价商品","超高价商品")))</f>
        <v>中价商品</v>
      </c>
    </row>
    <row r="591" spans="1:14" x14ac:dyDescent="0.2">
      <c r="A591">
        <v>54</v>
      </c>
      <c r="B591">
        <v>203</v>
      </c>
      <c r="C591" t="s">
        <v>34</v>
      </c>
      <c r="D591" t="s">
        <v>323</v>
      </c>
      <c r="E591" t="s">
        <v>39</v>
      </c>
      <c r="F591">
        <v>5</v>
      </c>
      <c r="G591" t="s">
        <v>13</v>
      </c>
      <c r="H591" s="1">
        <v>45942.240277777775</v>
      </c>
      <c r="I591" s="5">
        <f>INT(TB[[#This Row],[时间戳]])</f>
        <v>45942</v>
      </c>
      <c r="J591" s="2">
        <f>HOUR(TB[[#This Row],[时间戳]])</f>
        <v>5</v>
      </c>
      <c r="K591">
        <v>1667</v>
      </c>
      <c r="L591">
        <v>1</v>
      </c>
      <c r="M591">
        <f>TB[[#This Row],[售价]]*TB[[#This Row],[销量]]</f>
        <v>1667</v>
      </c>
      <c r="N591" t="str">
        <f>IF(TB[[#This Row],[售价]]&lt;1000,"低价商品",IF(TB[[#This Row],[售价]]&lt;5000,"中价商品",IF(TB[[#This Row],[售价]]&lt;10000,"高价商品","超高价商品")))</f>
        <v>中价商品</v>
      </c>
    </row>
    <row r="592" spans="1:14" x14ac:dyDescent="0.2">
      <c r="A592">
        <v>672</v>
      </c>
      <c r="B592">
        <v>47</v>
      </c>
      <c r="C592" t="s">
        <v>32</v>
      </c>
      <c r="D592" t="s">
        <v>176</v>
      </c>
      <c r="E592" t="s">
        <v>22</v>
      </c>
      <c r="F592">
        <v>1</v>
      </c>
      <c r="G592" t="s">
        <v>13</v>
      </c>
      <c r="H592" s="1">
        <v>45942.243055555555</v>
      </c>
      <c r="I592" s="5">
        <f>INT(TB[[#This Row],[时间戳]])</f>
        <v>45942</v>
      </c>
      <c r="J592" s="2">
        <f>HOUR(TB[[#This Row],[时间戳]])</f>
        <v>5</v>
      </c>
      <c r="K592">
        <v>6080</v>
      </c>
      <c r="L592">
        <v>1</v>
      </c>
      <c r="M592">
        <f>TB[[#This Row],[售价]]*TB[[#This Row],[销量]]</f>
        <v>6080</v>
      </c>
      <c r="N592" t="str">
        <f>IF(TB[[#This Row],[售价]]&lt;1000,"低价商品",IF(TB[[#This Row],[售价]]&lt;5000,"中价商品",IF(TB[[#This Row],[售价]]&lt;10000,"高价商品","超高价商品")))</f>
        <v>高价商品</v>
      </c>
    </row>
    <row r="593" spans="1:14" x14ac:dyDescent="0.2">
      <c r="A593">
        <v>80</v>
      </c>
      <c r="B593">
        <v>68</v>
      </c>
      <c r="C593" t="s">
        <v>32</v>
      </c>
      <c r="D593" t="s">
        <v>273</v>
      </c>
      <c r="E593" t="s">
        <v>16</v>
      </c>
      <c r="F593">
        <v>6</v>
      </c>
      <c r="G593" t="s">
        <v>13</v>
      </c>
      <c r="H593" s="1">
        <v>45942.261805555558</v>
      </c>
      <c r="I593" s="5">
        <f>INT(TB[[#This Row],[时间戳]])</f>
        <v>45942</v>
      </c>
      <c r="J593" s="2">
        <f>HOUR(TB[[#This Row],[时间戳]])</f>
        <v>6</v>
      </c>
      <c r="K593">
        <v>3359</v>
      </c>
      <c r="L593">
        <v>1</v>
      </c>
      <c r="M593">
        <f>TB[[#This Row],[售价]]*TB[[#This Row],[销量]]</f>
        <v>3359</v>
      </c>
      <c r="N593" t="str">
        <f>IF(TB[[#This Row],[售价]]&lt;1000,"低价商品",IF(TB[[#This Row],[售价]]&lt;5000,"中价商品",IF(TB[[#This Row],[售价]]&lt;10000,"高价商品","超高价商品")))</f>
        <v>中价商品</v>
      </c>
    </row>
    <row r="594" spans="1:14" x14ac:dyDescent="0.2">
      <c r="A594">
        <v>456</v>
      </c>
      <c r="B594">
        <v>5</v>
      </c>
      <c r="C594" t="s">
        <v>20</v>
      </c>
      <c r="D594" t="s">
        <v>324</v>
      </c>
      <c r="E594" t="s">
        <v>12</v>
      </c>
      <c r="F594">
        <v>2</v>
      </c>
      <c r="G594" t="s">
        <v>13</v>
      </c>
      <c r="H594" s="1">
        <v>45942.265972222223</v>
      </c>
      <c r="I594" s="5">
        <f>INT(TB[[#This Row],[时间戳]])</f>
        <v>45942</v>
      </c>
      <c r="J594" s="2">
        <f>HOUR(TB[[#This Row],[时间戳]])</f>
        <v>6</v>
      </c>
      <c r="K594">
        <v>13641</v>
      </c>
      <c r="L594">
        <v>2</v>
      </c>
      <c r="M594">
        <f>TB[[#This Row],[售价]]*TB[[#This Row],[销量]]</f>
        <v>27282</v>
      </c>
      <c r="N594" t="str">
        <f>IF(TB[[#This Row],[售价]]&lt;1000,"低价商品",IF(TB[[#This Row],[售价]]&lt;5000,"中价商品",IF(TB[[#This Row],[售价]]&lt;10000,"高价商品","超高价商品")))</f>
        <v>超高价商品</v>
      </c>
    </row>
    <row r="595" spans="1:14" x14ac:dyDescent="0.2">
      <c r="A595">
        <v>433</v>
      </c>
      <c r="B595">
        <v>68</v>
      </c>
      <c r="C595" t="s">
        <v>34</v>
      </c>
      <c r="D595" t="s">
        <v>325</v>
      </c>
      <c r="E595" t="s">
        <v>25</v>
      </c>
      <c r="F595">
        <v>7</v>
      </c>
      <c r="G595" t="s">
        <v>13</v>
      </c>
      <c r="H595" s="1">
        <v>45942.273611111108</v>
      </c>
      <c r="I595" s="5">
        <f>INT(TB[[#This Row],[时间戳]])</f>
        <v>45942</v>
      </c>
      <c r="J595" s="2">
        <f>HOUR(TB[[#This Row],[时间戳]])</f>
        <v>6</v>
      </c>
      <c r="K595">
        <v>1722</v>
      </c>
      <c r="L595">
        <v>1</v>
      </c>
      <c r="M595">
        <f>TB[[#This Row],[售价]]*TB[[#This Row],[销量]]</f>
        <v>1722</v>
      </c>
      <c r="N595" t="str">
        <f>IF(TB[[#This Row],[售价]]&lt;1000,"低价商品",IF(TB[[#This Row],[售价]]&lt;5000,"中价商品",IF(TB[[#This Row],[售价]]&lt;10000,"高价商品","超高价商品")))</f>
        <v>中价商品</v>
      </c>
    </row>
    <row r="596" spans="1:14" x14ac:dyDescent="0.2">
      <c r="A596">
        <v>92</v>
      </c>
      <c r="B596">
        <v>53</v>
      </c>
      <c r="C596" t="s">
        <v>32</v>
      </c>
      <c r="D596" t="s">
        <v>326</v>
      </c>
      <c r="E596" t="s">
        <v>19</v>
      </c>
      <c r="F596">
        <v>3</v>
      </c>
      <c r="G596" t="s">
        <v>42</v>
      </c>
      <c r="H596" s="1">
        <v>45942.31527777778</v>
      </c>
      <c r="I596" s="5">
        <f>INT(TB[[#This Row],[时间戳]])</f>
        <v>45942</v>
      </c>
      <c r="J596" s="2">
        <f>HOUR(TB[[#This Row],[时间戳]])</f>
        <v>7</v>
      </c>
      <c r="K596">
        <v>5249</v>
      </c>
      <c r="L596">
        <v>0</v>
      </c>
      <c r="M596">
        <f>TB[[#This Row],[售价]]*TB[[#This Row],[销量]]</f>
        <v>0</v>
      </c>
      <c r="N596" t="str">
        <f>IF(TB[[#This Row],[售价]]&lt;1000,"低价商品",IF(TB[[#This Row],[售价]]&lt;5000,"中价商品",IF(TB[[#This Row],[售价]]&lt;10000,"高价商品","超高价商品")))</f>
        <v>高价商品</v>
      </c>
    </row>
    <row r="597" spans="1:14" x14ac:dyDescent="0.2">
      <c r="A597">
        <v>141</v>
      </c>
      <c r="B597">
        <v>196</v>
      </c>
      <c r="C597" t="s">
        <v>34</v>
      </c>
      <c r="D597" t="s">
        <v>86</v>
      </c>
      <c r="E597" t="s">
        <v>12</v>
      </c>
      <c r="F597">
        <v>2</v>
      </c>
      <c r="G597" t="s">
        <v>13</v>
      </c>
      <c r="H597" s="1">
        <v>45942.32708333333</v>
      </c>
      <c r="I597" s="5">
        <f>INT(TB[[#This Row],[时间戳]])</f>
        <v>45942</v>
      </c>
      <c r="J597" s="2">
        <f>HOUR(TB[[#This Row],[时间戳]])</f>
        <v>7</v>
      </c>
      <c r="K597">
        <v>5650</v>
      </c>
      <c r="L597">
        <v>3</v>
      </c>
      <c r="M597">
        <f>TB[[#This Row],[售价]]*TB[[#This Row],[销量]]</f>
        <v>16950</v>
      </c>
      <c r="N597" t="str">
        <f>IF(TB[[#This Row],[售价]]&lt;1000,"低价商品",IF(TB[[#This Row],[售价]]&lt;5000,"中价商品",IF(TB[[#This Row],[售价]]&lt;10000,"高价商品","超高价商品")))</f>
        <v>高价商品</v>
      </c>
    </row>
    <row r="598" spans="1:14" x14ac:dyDescent="0.2">
      <c r="A598">
        <v>694</v>
      </c>
      <c r="B598">
        <v>74</v>
      </c>
      <c r="C598" t="s">
        <v>26</v>
      </c>
      <c r="D598" t="s">
        <v>65</v>
      </c>
      <c r="E598" t="s">
        <v>22</v>
      </c>
      <c r="F598">
        <v>1</v>
      </c>
      <c r="G598" t="s">
        <v>13</v>
      </c>
      <c r="H598" s="1">
        <v>45942.347222222219</v>
      </c>
      <c r="I598" s="5">
        <f>INT(TB[[#This Row],[时间戳]])</f>
        <v>45942</v>
      </c>
      <c r="J598" s="2">
        <f>HOUR(TB[[#This Row],[时间戳]])</f>
        <v>8</v>
      </c>
      <c r="K598">
        <v>7521</v>
      </c>
      <c r="L598">
        <v>2</v>
      </c>
      <c r="M598">
        <f>TB[[#This Row],[售价]]*TB[[#This Row],[销量]]</f>
        <v>15042</v>
      </c>
      <c r="N598" t="str">
        <f>IF(TB[[#This Row],[售价]]&lt;1000,"低价商品",IF(TB[[#This Row],[售价]]&lt;5000,"中价商品",IF(TB[[#This Row],[售价]]&lt;10000,"高价商品","超高价商品")))</f>
        <v>高价商品</v>
      </c>
    </row>
    <row r="599" spans="1:14" x14ac:dyDescent="0.2">
      <c r="A599">
        <v>625</v>
      </c>
      <c r="B599">
        <v>85</v>
      </c>
      <c r="C599" t="s">
        <v>46</v>
      </c>
      <c r="D599" t="s">
        <v>180</v>
      </c>
      <c r="E599" t="s">
        <v>31</v>
      </c>
      <c r="F599">
        <v>4</v>
      </c>
      <c r="G599" t="s">
        <v>13</v>
      </c>
      <c r="H599" s="1">
        <v>45942.350694444445</v>
      </c>
      <c r="I599" s="5">
        <f>INT(TB[[#This Row],[时间戳]])</f>
        <v>45942</v>
      </c>
      <c r="J599" s="2">
        <f>HOUR(TB[[#This Row],[时间戳]])</f>
        <v>8</v>
      </c>
      <c r="K599">
        <v>261</v>
      </c>
      <c r="L599">
        <v>1</v>
      </c>
      <c r="M599">
        <f>TB[[#This Row],[售价]]*TB[[#This Row],[销量]]</f>
        <v>261</v>
      </c>
      <c r="N599" t="str">
        <f>IF(TB[[#This Row],[售价]]&lt;1000,"低价商品",IF(TB[[#This Row],[售价]]&lt;5000,"中价商品",IF(TB[[#This Row],[售价]]&lt;10000,"高价商品","超高价商品")))</f>
        <v>低价商品</v>
      </c>
    </row>
    <row r="600" spans="1:14" x14ac:dyDescent="0.2">
      <c r="A600">
        <v>767</v>
      </c>
      <c r="B600">
        <v>78</v>
      </c>
      <c r="C600" t="s">
        <v>32</v>
      </c>
      <c r="D600" t="s">
        <v>327</v>
      </c>
      <c r="E600" t="s">
        <v>25</v>
      </c>
      <c r="F600">
        <v>7</v>
      </c>
      <c r="G600" t="s">
        <v>13</v>
      </c>
      <c r="H600" s="1">
        <v>45942.354861111111</v>
      </c>
      <c r="I600" s="5">
        <f>INT(TB[[#This Row],[时间戳]])</f>
        <v>45942</v>
      </c>
      <c r="J600" s="2">
        <f>HOUR(TB[[#This Row],[时间戳]])</f>
        <v>8</v>
      </c>
      <c r="K600">
        <v>5084</v>
      </c>
      <c r="L600">
        <v>2</v>
      </c>
      <c r="M600">
        <f>TB[[#This Row],[售价]]*TB[[#This Row],[销量]]</f>
        <v>10168</v>
      </c>
      <c r="N600" t="str">
        <f>IF(TB[[#This Row],[售价]]&lt;1000,"低价商品",IF(TB[[#This Row],[售价]]&lt;5000,"中价商品",IF(TB[[#This Row],[售价]]&lt;10000,"高价商品","超高价商品")))</f>
        <v>高价商品</v>
      </c>
    </row>
    <row r="601" spans="1:14" x14ac:dyDescent="0.2">
      <c r="A601">
        <v>89</v>
      </c>
      <c r="B601">
        <v>52</v>
      </c>
      <c r="C601" t="s">
        <v>44</v>
      </c>
      <c r="D601" t="s">
        <v>195</v>
      </c>
      <c r="E601" t="s">
        <v>22</v>
      </c>
      <c r="F601">
        <v>1</v>
      </c>
      <c r="G601" t="s">
        <v>13</v>
      </c>
      <c r="H601" s="1">
        <v>45942.355555555558</v>
      </c>
      <c r="I601" s="5">
        <f>INT(TB[[#This Row],[时间戳]])</f>
        <v>45942</v>
      </c>
      <c r="J601" s="2">
        <f>HOUR(TB[[#This Row],[时间戳]])</f>
        <v>8</v>
      </c>
      <c r="K601">
        <v>4487</v>
      </c>
      <c r="L601">
        <v>1</v>
      </c>
      <c r="M601">
        <f>TB[[#This Row],[售价]]*TB[[#This Row],[销量]]</f>
        <v>4487</v>
      </c>
      <c r="N601" t="str">
        <f>IF(TB[[#This Row],[售价]]&lt;1000,"低价商品",IF(TB[[#This Row],[售价]]&lt;5000,"中价商品",IF(TB[[#This Row],[售价]]&lt;10000,"高价商品","超高价商品")))</f>
        <v>中价商品</v>
      </c>
    </row>
    <row r="602" spans="1:14" x14ac:dyDescent="0.2">
      <c r="A602">
        <v>748</v>
      </c>
      <c r="B602">
        <v>197</v>
      </c>
      <c r="C602" t="s">
        <v>14</v>
      </c>
      <c r="D602" t="s">
        <v>249</v>
      </c>
      <c r="E602" t="s">
        <v>25</v>
      </c>
      <c r="F602">
        <v>7</v>
      </c>
      <c r="G602" t="s">
        <v>13</v>
      </c>
      <c r="H602" s="1">
        <v>45942.359027777777</v>
      </c>
      <c r="I602" s="5">
        <f>INT(TB[[#This Row],[时间戳]])</f>
        <v>45942</v>
      </c>
      <c r="J602" s="2">
        <f>HOUR(TB[[#This Row],[时间戳]])</f>
        <v>8</v>
      </c>
      <c r="K602">
        <v>2831</v>
      </c>
      <c r="L602">
        <v>2</v>
      </c>
      <c r="M602">
        <f>TB[[#This Row],[售价]]*TB[[#This Row],[销量]]</f>
        <v>5662</v>
      </c>
      <c r="N602" t="str">
        <f>IF(TB[[#This Row],[售价]]&lt;1000,"低价商品",IF(TB[[#This Row],[售价]]&lt;5000,"中价商品",IF(TB[[#This Row],[售价]]&lt;10000,"高价商品","超高价商品")))</f>
        <v>中价商品</v>
      </c>
    </row>
    <row r="603" spans="1:14" x14ac:dyDescent="0.2">
      <c r="A603">
        <v>254</v>
      </c>
      <c r="B603">
        <v>142</v>
      </c>
      <c r="C603" t="s">
        <v>34</v>
      </c>
      <c r="D603" t="s">
        <v>82</v>
      </c>
      <c r="E603" t="s">
        <v>31</v>
      </c>
      <c r="F603">
        <v>4</v>
      </c>
      <c r="G603" t="s">
        <v>13</v>
      </c>
      <c r="H603" s="1">
        <v>45942.365277777775</v>
      </c>
      <c r="I603" s="5">
        <f>INT(TB[[#This Row],[时间戳]])</f>
        <v>45942</v>
      </c>
      <c r="J603" s="2">
        <f>HOUR(TB[[#This Row],[时间戳]])</f>
        <v>8</v>
      </c>
      <c r="K603">
        <v>788</v>
      </c>
      <c r="L603">
        <v>2</v>
      </c>
      <c r="M603">
        <f>TB[[#This Row],[售价]]*TB[[#This Row],[销量]]</f>
        <v>1576</v>
      </c>
      <c r="N603" t="str">
        <f>IF(TB[[#This Row],[售价]]&lt;1000,"低价商品",IF(TB[[#This Row],[售价]]&lt;5000,"中价商品",IF(TB[[#This Row],[售价]]&lt;10000,"高价商品","超高价商品")))</f>
        <v>低价商品</v>
      </c>
    </row>
    <row r="604" spans="1:14" x14ac:dyDescent="0.2">
      <c r="A604">
        <v>615</v>
      </c>
      <c r="B604">
        <v>146</v>
      </c>
      <c r="C604" t="s">
        <v>20</v>
      </c>
      <c r="D604" t="s">
        <v>328</v>
      </c>
      <c r="E604" t="s">
        <v>16</v>
      </c>
      <c r="F604">
        <v>6</v>
      </c>
      <c r="G604" t="s">
        <v>13</v>
      </c>
      <c r="H604" s="1">
        <v>45942.368750000001</v>
      </c>
      <c r="I604" s="5">
        <f>INT(TB[[#This Row],[时间戳]])</f>
        <v>45942</v>
      </c>
      <c r="J604" s="2">
        <f>HOUR(TB[[#This Row],[时间戳]])</f>
        <v>8</v>
      </c>
      <c r="K604">
        <v>3307</v>
      </c>
      <c r="L604">
        <v>3</v>
      </c>
      <c r="M604">
        <f>TB[[#This Row],[售价]]*TB[[#This Row],[销量]]</f>
        <v>9921</v>
      </c>
      <c r="N604" t="str">
        <f>IF(TB[[#This Row],[售价]]&lt;1000,"低价商品",IF(TB[[#This Row],[售价]]&lt;5000,"中价商品",IF(TB[[#This Row],[售价]]&lt;10000,"高价商品","超高价商品")))</f>
        <v>中价商品</v>
      </c>
    </row>
    <row r="605" spans="1:14" x14ac:dyDescent="0.2">
      <c r="A605">
        <v>211</v>
      </c>
      <c r="B605">
        <v>266</v>
      </c>
      <c r="C605" t="s">
        <v>10</v>
      </c>
      <c r="D605" t="s">
        <v>329</v>
      </c>
      <c r="E605" t="s">
        <v>39</v>
      </c>
      <c r="F605">
        <v>5</v>
      </c>
      <c r="G605" t="s">
        <v>13</v>
      </c>
      <c r="H605" s="1">
        <v>45942.370138888888</v>
      </c>
      <c r="I605" s="5">
        <f>INT(TB[[#This Row],[时间戳]])</f>
        <v>45942</v>
      </c>
      <c r="J605" s="2">
        <f>HOUR(TB[[#This Row],[时间戳]])</f>
        <v>8</v>
      </c>
      <c r="K605">
        <v>4000</v>
      </c>
      <c r="L605">
        <v>3</v>
      </c>
      <c r="M605">
        <f>TB[[#This Row],[售价]]*TB[[#This Row],[销量]]</f>
        <v>12000</v>
      </c>
      <c r="N605" t="str">
        <f>IF(TB[[#This Row],[售价]]&lt;1000,"低价商品",IF(TB[[#This Row],[售价]]&lt;5000,"中价商品",IF(TB[[#This Row],[售价]]&lt;10000,"高价商品","超高价商品")))</f>
        <v>中价商品</v>
      </c>
    </row>
    <row r="606" spans="1:14" x14ac:dyDescent="0.2">
      <c r="A606">
        <v>402</v>
      </c>
      <c r="B606">
        <v>152</v>
      </c>
      <c r="C606" t="s">
        <v>32</v>
      </c>
      <c r="D606" t="s">
        <v>251</v>
      </c>
      <c r="E606" t="s">
        <v>12</v>
      </c>
      <c r="F606">
        <v>2</v>
      </c>
      <c r="G606" t="s">
        <v>13</v>
      </c>
      <c r="H606" s="1">
        <v>45942.372916666667</v>
      </c>
      <c r="I606" s="5">
        <f>INT(TB[[#This Row],[时间戳]])</f>
        <v>45942</v>
      </c>
      <c r="J606" s="2">
        <f>HOUR(TB[[#This Row],[时间戳]])</f>
        <v>8</v>
      </c>
      <c r="K606">
        <v>14003</v>
      </c>
      <c r="L606">
        <v>2</v>
      </c>
      <c r="M606">
        <f>TB[[#This Row],[售价]]*TB[[#This Row],[销量]]</f>
        <v>28006</v>
      </c>
      <c r="N606" t="str">
        <f>IF(TB[[#This Row],[售价]]&lt;1000,"低价商品",IF(TB[[#This Row],[售价]]&lt;5000,"中价商品",IF(TB[[#This Row],[售价]]&lt;10000,"高价商品","超高价商品")))</f>
        <v>超高价商品</v>
      </c>
    </row>
    <row r="607" spans="1:14" x14ac:dyDescent="0.2">
      <c r="A607">
        <v>396</v>
      </c>
      <c r="B607">
        <v>58</v>
      </c>
      <c r="C607" t="s">
        <v>32</v>
      </c>
      <c r="D607" t="s">
        <v>79</v>
      </c>
      <c r="E607" t="s">
        <v>31</v>
      </c>
      <c r="F607">
        <v>4</v>
      </c>
      <c r="G607" t="s">
        <v>13</v>
      </c>
      <c r="H607" s="1">
        <v>45942.384027777778</v>
      </c>
      <c r="I607" s="5">
        <f>INT(TB[[#This Row],[时间戳]])</f>
        <v>45942</v>
      </c>
      <c r="J607" s="2">
        <f>HOUR(TB[[#This Row],[时间戳]])</f>
        <v>9</v>
      </c>
      <c r="K607">
        <v>1200</v>
      </c>
      <c r="L607">
        <v>2</v>
      </c>
      <c r="M607">
        <f>TB[[#This Row],[售价]]*TB[[#This Row],[销量]]</f>
        <v>2400</v>
      </c>
      <c r="N607" t="str">
        <f>IF(TB[[#This Row],[售价]]&lt;1000,"低价商品",IF(TB[[#This Row],[售价]]&lt;5000,"中价商品",IF(TB[[#This Row],[售价]]&lt;10000,"高价商品","超高价商品")))</f>
        <v>中价商品</v>
      </c>
    </row>
    <row r="608" spans="1:14" x14ac:dyDescent="0.2">
      <c r="A608">
        <v>541</v>
      </c>
      <c r="B608">
        <v>7</v>
      </c>
      <c r="C608" t="s">
        <v>46</v>
      </c>
      <c r="D608" t="s">
        <v>180</v>
      </c>
      <c r="E608" t="s">
        <v>31</v>
      </c>
      <c r="F608">
        <v>4</v>
      </c>
      <c r="G608" t="s">
        <v>13</v>
      </c>
      <c r="H608" s="1">
        <v>45942.388194444444</v>
      </c>
      <c r="I608" s="5">
        <f>INT(TB[[#This Row],[时间戳]])</f>
        <v>45942</v>
      </c>
      <c r="J608" s="2">
        <f>HOUR(TB[[#This Row],[时间戳]])</f>
        <v>9</v>
      </c>
      <c r="K608">
        <v>598</v>
      </c>
      <c r="L608">
        <v>2</v>
      </c>
      <c r="M608">
        <f>TB[[#This Row],[售价]]*TB[[#This Row],[销量]]</f>
        <v>1196</v>
      </c>
      <c r="N608" t="str">
        <f>IF(TB[[#This Row],[售价]]&lt;1000,"低价商品",IF(TB[[#This Row],[售价]]&lt;5000,"中价商品",IF(TB[[#This Row],[售价]]&lt;10000,"高价商品","超高价商品")))</f>
        <v>低价商品</v>
      </c>
    </row>
    <row r="609" spans="1:14" x14ac:dyDescent="0.2">
      <c r="A609">
        <v>583</v>
      </c>
      <c r="B609">
        <v>216</v>
      </c>
      <c r="C609" t="s">
        <v>26</v>
      </c>
      <c r="D609" t="s">
        <v>95</v>
      </c>
      <c r="E609" t="s">
        <v>22</v>
      </c>
      <c r="F609">
        <v>1</v>
      </c>
      <c r="G609" t="s">
        <v>13</v>
      </c>
      <c r="H609" s="1">
        <v>45942.396527777775</v>
      </c>
      <c r="I609" s="5">
        <f>INT(TB[[#This Row],[时间戳]])</f>
        <v>45942</v>
      </c>
      <c r="J609" s="2">
        <f>HOUR(TB[[#This Row],[时间戳]])</f>
        <v>9</v>
      </c>
      <c r="K609">
        <v>3920</v>
      </c>
      <c r="L609">
        <v>2</v>
      </c>
      <c r="M609">
        <f>TB[[#This Row],[售价]]*TB[[#This Row],[销量]]</f>
        <v>7840</v>
      </c>
      <c r="N609" t="str">
        <f>IF(TB[[#This Row],[售价]]&lt;1000,"低价商品",IF(TB[[#This Row],[售价]]&lt;5000,"中价商品",IF(TB[[#This Row],[售价]]&lt;10000,"高价商品","超高价商品")))</f>
        <v>中价商品</v>
      </c>
    </row>
    <row r="610" spans="1:14" x14ac:dyDescent="0.2">
      <c r="A610">
        <v>789</v>
      </c>
      <c r="B610">
        <v>38</v>
      </c>
      <c r="C610" t="s">
        <v>26</v>
      </c>
      <c r="D610" t="s">
        <v>122</v>
      </c>
      <c r="E610" t="s">
        <v>31</v>
      </c>
      <c r="F610">
        <v>4</v>
      </c>
      <c r="G610" t="s">
        <v>13</v>
      </c>
      <c r="H610" s="1">
        <v>45942.409722222219</v>
      </c>
      <c r="I610" s="5">
        <f>INT(TB[[#This Row],[时间戳]])</f>
        <v>45942</v>
      </c>
      <c r="J610" s="2">
        <f>HOUR(TB[[#This Row],[时间戳]])</f>
        <v>9</v>
      </c>
      <c r="K610">
        <v>877</v>
      </c>
      <c r="L610">
        <v>4</v>
      </c>
      <c r="M610">
        <f>TB[[#This Row],[售价]]*TB[[#This Row],[销量]]</f>
        <v>3508</v>
      </c>
      <c r="N610" t="str">
        <f>IF(TB[[#This Row],[售价]]&lt;1000,"低价商品",IF(TB[[#This Row],[售价]]&lt;5000,"中价商品",IF(TB[[#This Row],[售价]]&lt;10000,"高价商品","超高价商品")))</f>
        <v>低价商品</v>
      </c>
    </row>
    <row r="611" spans="1:14" x14ac:dyDescent="0.2">
      <c r="A611">
        <v>269</v>
      </c>
      <c r="B611">
        <v>111</v>
      </c>
      <c r="C611" t="s">
        <v>14</v>
      </c>
      <c r="D611" t="s">
        <v>89</v>
      </c>
      <c r="E611" t="s">
        <v>22</v>
      </c>
      <c r="F611">
        <v>1</v>
      </c>
      <c r="G611" t="s">
        <v>13</v>
      </c>
      <c r="H611" s="1">
        <v>45942.431250000001</v>
      </c>
      <c r="I611" s="5">
        <f>INT(TB[[#This Row],[时间戳]])</f>
        <v>45942</v>
      </c>
      <c r="J611" s="2">
        <f>HOUR(TB[[#This Row],[时间戳]])</f>
        <v>10</v>
      </c>
      <c r="K611">
        <v>1236</v>
      </c>
      <c r="L611">
        <v>1</v>
      </c>
      <c r="M611">
        <f>TB[[#This Row],[售价]]*TB[[#This Row],[销量]]</f>
        <v>1236</v>
      </c>
      <c r="N611" t="str">
        <f>IF(TB[[#This Row],[售价]]&lt;1000,"低价商品",IF(TB[[#This Row],[售价]]&lt;5000,"中价商品",IF(TB[[#This Row],[售价]]&lt;10000,"高价商品","超高价商品")))</f>
        <v>中价商品</v>
      </c>
    </row>
    <row r="612" spans="1:14" x14ac:dyDescent="0.2">
      <c r="A612">
        <v>294</v>
      </c>
      <c r="B612">
        <v>257</v>
      </c>
      <c r="C612" t="s">
        <v>17</v>
      </c>
      <c r="D612" t="s">
        <v>255</v>
      </c>
      <c r="E612" t="s">
        <v>31</v>
      </c>
      <c r="F612">
        <v>4</v>
      </c>
      <c r="G612" t="s">
        <v>13</v>
      </c>
      <c r="H612" s="1">
        <v>45942.431944444441</v>
      </c>
      <c r="I612" s="5">
        <f>INT(TB[[#This Row],[时间戳]])</f>
        <v>45942</v>
      </c>
      <c r="J612" s="2">
        <f>HOUR(TB[[#This Row],[时间戳]])</f>
        <v>10</v>
      </c>
      <c r="K612">
        <v>50</v>
      </c>
      <c r="L612">
        <v>3</v>
      </c>
      <c r="M612">
        <f>TB[[#This Row],[售价]]*TB[[#This Row],[销量]]</f>
        <v>150</v>
      </c>
      <c r="N612" t="str">
        <f>IF(TB[[#This Row],[售价]]&lt;1000,"低价商品",IF(TB[[#This Row],[售价]]&lt;5000,"中价商品",IF(TB[[#This Row],[售价]]&lt;10000,"高价商品","超高价商品")))</f>
        <v>低价商品</v>
      </c>
    </row>
    <row r="613" spans="1:14" x14ac:dyDescent="0.2">
      <c r="A613">
        <v>656</v>
      </c>
      <c r="B613">
        <v>275</v>
      </c>
      <c r="C613" t="s">
        <v>17</v>
      </c>
      <c r="D613" t="s">
        <v>18</v>
      </c>
      <c r="E613" t="s">
        <v>19</v>
      </c>
      <c r="F613">
        <v>3</v>
      </c>
      <c r="G613" t="s">
        <v>13</v>
      </c>
      <c r="H613" s="1">
        <v>45942.461111111108</v>
      </c>
      <c r="I613" s="5">
        <f>INT(TB[[#This Row],[时间戳]])</f>
        <v>45942</v>
      </c>
      <c r="J613" s="2">
        <f>HOUR(TB[[#This Row],[时间戳]])</f>
        <v>11</v>
      </c>
      <c r="K613">
        <v>4919</v>
      </c>
      <c r="L613">
        <v>1</v>
      </c>
      <c r="M613">
        <f>TB[[#This Row],[售价]]*TB[[#This Row],[销量]]</f>
        <v>4919</v>
      </c>
      <c r="N613" t="str">
        <f>IF(TB[[#This Row],[售价]]&lt;1000,"低价商品",IF(TB[[#This Row],[售价]]&lt;5000,"中价商品",IF(TB[[#This Row],[售价]]&lt;10000,"高价商品","超高价商品")))</f>
        <v>中价商品</v>
      </c>
    </row>
    <row r="614" spans="1:14" x14ac:dyDescent="0.2">
      <c r="A614">
        <v>86</v>
      </c>
      <c r="B614">
        <v>159</v>
      </c>
      <c r="C614" t="s">
        <v>26</v>
      </c>
      <c r="D614" t="s">
        <v>92</v>
      </c>
      <c r="E614" t="s">
        <v>19</v>
      </c>
      <c r="F614">
        <v>3</v>
      </c>
      <c r="G614" t="s">
        <v>13</v>
      </c>
      <c r="H614" s="1">
        <v>45942.479861111111</v>
      </c>
      <c r="I614" s="5">
        <f>INT(TB[[#This Row],[时间戳]])</f>
        <v>45942</v>
      </c>
      <c r="J614" s="2">
        <f>HOUR(TB[[#This Row],[时间戳]])</f>
        <v>11</v>
      </c>
      <c r="K614">
        <v>6000</v>
      </c>
      <c r="L614">
        <v>3</v>
      </c>
      <c r="M614">
        <f>TB[[#This Row],[售价]]*TB[[#This Row],[销量]]</f>
        <v>18000</v>
      </c>
      <c r="N614" t="str">
        <f>IF(TB[[#This Row],[售价]]&lt;1000,"低价商品",IF(TB[[#This Row],[售价]]&lt;5000,"中价商品",IF(TB[[#This Row],[售价]]&lt;10000,"高价商品","超高价商品")))</f>
        <v>高价商品</v>
      </c>
    </row>
    <row r="615" spans="1:14" x14ac:dyDescent="0.2">
      <c r="A615">
        <v>550</v>
      </c>
      <c r="B615">
        <v>168</v>
      </c>
      <c r="C615" t="s">
        <v>32</v>
      </c>
      <c r="D615" t="s">
        <v>275</v>
      </c>
      <c r="E615" t="s">
        <v>22</v>
      </c>
      <c r="F615">
        <v>1</v>
      </c>
      <c r="G615" t="s">
        <v>13</v>
      </c>
      <c r="H615" s="1">
        <v>45942.481249999997</v>
      </c>
      <c r="I615" s="5">
        <f>INT(TB[[#This Row],[时间戳]])</f>
        <v>45942</v>
      </c>
      <c r="J615" s="2">
        <f>HOUR(TB[[#This Row],[时间戳]])</f>
        <v>11</v>
      </c>
      <c r="K615">
        <v>1708</v>
      </c>
      <c r="L615">
        <v>2</v>
      </c>
      <c r="M615">
        <f>TB[[#This Row],[售价]]*TB[[#This Row],[销量]]</f>
        <v>3416</v>
      </c>
      <c r="N615" t="str">
        <f>IF(TB[[#This Row],[售价]]&lt;1000,"低价商品",IF(TB[[#This Row],[售价]]&lt;5000,"中价商品",IF(TB[[#This Row],[售价]]&lt;10000,"高价商品","超高价商品")))</f>
        <v>中价商品</v>
      </c>
    </row>
    <row r="616" spans="1:14" x14ac:dyDescent="0.2">
      <c r="A616">
        <v>716</v>
      </c>
      <c r="B616">
        <v>224</v>
      </c>
      <c r="C616" t="s">
        <v>14</v>
      </c>
      <c r="D616" t="s">
        <v>235</v>
      </c>
      <c r="E616" t="s">
        <v>39</v>
      </c>
      <c r="F616">
        <v>5</v>
      </c>
      <c r="G616" t="s">
        <v>42</v>
      </c>
      <c r="H616" s="1">
        <v>45942.519444444442</v>
      </c>
      <c r="I616" s="5">
        <f>INT(TB[[#This Row],[时间戳]])</f>
        <v>45942</v>
      </c>
      <c r="J616" s="2">
        <f>HOUR(TB[[#This Row],[时间戳]])</f>
        <v>12</v>
      </c>
      <c r="K616">
        <v>2500</v>
      </c>
      <c r="L616">
        <v>0</v>
      </c>
      <c r="M616">
        <f>TB[[#This Row],[售价]]*TB[[#This Row],[销量]]</f>
        <v>0</v>
      </c>
      <c r="N616" t="str">
        <f>IF(TB[[#This Row],[售价]]&lt;1000,"低价商品",IF(TB[[#This Row],[售价]]&lt;5000,"中价商品",IF(TB[[#This Row],[售价]]&lt;10000,"高价商品","超高价商品")))</f>
        <v>中价商品</v>
      </c>
    </row>
    <row r="617" spans="1:14" x14ac:dyDescent="0.2">
      <c r="A617">
        <v>89</v>
      </c>
      <c r="B617">
        <v>223</v>
      </c>
      <c r="C617" t="s">
        <v>10</v>
      </c>
      <c r="D617" t="s">
        <v>24</v>
      </c>
      <c r="E617" t="s">
        <v>25</v>
      </c>
      <c r="F617">
        <v>7</v>
      </c>
      <c r="G617" t="s">
        <v>13</v>
      </c>
      <c r="H617" s="1">
        <v>45942.565972222219</v>
      </c>
      <c r="I617" s="5">
        <f>INT(TB[[#This Row],[时间戳]])</f>
        <v>45942</v>
      </c>
      <c r="J617" s="2">
        <f>HOUR(TB[[#This Row],[时间戳]])</f>
        <v>13</v>
      </c>
      <c r="K617">
        <v>7401</v>
      </c>
      <c r="L617">
        <v>3</v>
      </c>
      <c r="M617">
        <f>TB[[#This Row],[售价]]*TB[[#This Row],[销量]]</f>
        <v>22203</v>
      </c>
      <c r="N617" t="str">
        <f>IF(TB[[#This Row],[售价]]&lt;1000,"低价商品",IF(TB[[#This Row],[售价]]&lt;5000,"中价商品",IF(TB[[#This Row],[售价]]&lt;10000,"高价商品","超高价商品")))</f>
        <v>高价商品</v>
      </c>
    </row>
    <row r="618" spans="1:14" x14ac:dyDescent="0.2">
      <c r="A618">
        <v>57</v>
      </c>
      <c r="B618">
        <v>159</v>
      </c>
      <c r="C618" t="s">
        <v>46</v>
      </c>
      <c r="D618" t="s">
        <v>129</v>
      </c>
      <c r="E618" t="s">
        <v>31</v>
      </c>
      <c r="F618">
        <v>4</v>
      </c>
      <c r="G618" t="s">
        <v>13</v>
      </c>
      <c r="H618" s="1">
        <v>45942.566666666666</v>
      </c>
      <c r="I618" s="5">
        <f>INT(TB[[#This Row],[时间戳]])</f>
        <v>45942</v>
      </c>
      <c r="J618" s="2">
        <f>HOUR(TB[[#This Row],[时间戳]])</f>
        <v>13</v>
      </c>
      <c r="K618">
        <v>319</v>
      </c>
      <c r="L618">
        <v>2</v>
      </c>
      <c r="M618">
        <f>TB[[#This Row],[售价]]*TB[[#This Row],[销量]]</f>
        <v>638</v>
      </c>
      <c r="N618" t="str">
        <f>IF(TB[[#This Row],[售价]]&lt;1000,"低价商品",IF(TB[[#This Row],[售价]]&lt;5000,"中价商品",IF(TB[[#This Row],[售价]]&lt;10000,"高价商品","超高价商品")))</f>
        <v>低价商品</v>
      </c>
    </row>
    <row r="619" spans="1:14" x14ac:dyDescent="0.2">
      <c r="A619">
        <v>719</v>
      </c>
      <c r="B619">
        <v>6</v>
      </c>
      <c r="C619" t="s">
        <v>10</v>
      </c>
      <c r="D619" t="s">
        <v>330</v>
      </c>
      <c r="E619" t="s">
        <v>19</v>
      </c>
      <c r="F619">
        <v>3</v>
      </c>
      <c r="G619" t="s">
        <v>13</v>
      </c>
      <c r="H619" s="1">
        <v>45942.572916666664</v>
      </c>
      <c r="I619" s="5">
        <f>INT(TB[[#This Row],[时间戳]])</f>
        <v>45942</v>
      </c>
      <c r="J619" s="2">
        <f>HOUR(TB[[#This Row],[时间戳]])</f>
        <v>13</v>
      </c>
      <c r="K619">
        <v>2799</v>
      </c>
      <c r="L619">
        <v>1</v>
      </c>
      <c r="M619">
        <f>TB[[#This Row],[售价]]*TB[[#This Row],[销量]]</f>
        <v>2799</v>
      </c>
      <c r="N619" t="str">
        <f>IF(TB[[#This Row],[售价]]&lt;1000,"低价商品",IF(TB[[#This Row],[售价]]&lt;5000,"中价商品",IF(TB[[#This Row],[售价]]&lt;10000,"高价商品","超高价商品")))</f>
        <v>中价商品</v>
      </c>
    </row>
    <row r="620" spans="1:14" x14ac:dyDescent="0.2">
      <c r="A620">
        <v>530</v>
      </c>
      <c r="B620">
        <v>133</v>
      </c>
      <c r="C620" t="s">
        <v>34</v>
      </c>
      <c r="D620" t="s">
        <v>331</v>
      </c>
      <c r="E620" t="s">
        <v>25</v>
      </c>
      <c r="F620">
        <v>7</v>
      </c>
      <c r="G620" t="s">
        <v>13</v>
      </c>
      <c r="H620" s="1">
        <v>45942.603472222225</v>
      </c>
      <c r="I620" s="5">
        <f>INT(TB[[#This Row],[时间戳]])</f>
        <v>45942</v>
      </c>
      <c r="J620" s="2">
        <f>HOUR(TB[[#This Row],[时间戳]])</f>
        <v>14</v>
      </c>
      <c r="K620">
        <v>2896</v>
      </c>
      <c r="L620">
        <v>2</v>
      </c>
      <c r="M620">
        <f>TB[[#This Row],[售价]]*TB[[#This Row],[销量]]</f>
        <v>5792</v>
      </c>
      <c r="N620" t="str">
        <f>IF(TB[[#This Row],[售价]]&lt;1000,"低价商品",IF(TB[[#This Row],[售价]]&lt;5000,"中价商品",IF(TB[[#This Row],[售价]]&lt;10000,"高价商品","超高价商品")))</f>
        <v>中价商品</v>
      </c>
    </row>
    <row r="621" spans="1:14" x14ac:dyDescent="0.2">
      <c r="A621">
        <v>751</v>
      </c>
      <c r="B621">
        <v>61</v>
      </c>
      <c r="C621" t="s">
        <v>26</v>
      </c>
      <c r="D621" t="s">
        <v>306</v>
      </c>
      <c r="E621" t="s">
        <v>31</v>
      </c>
      <c r="F621">
        <v>4</v>
      </c>
      <c r="G621" t="s">
        <v>13</v>
      </c>
      <c r="H621" s="1">
        <v>45942.628472222219</v>
      </c>
      <c r="I621" s="5">
        <f>INT(TB[[#This Row],[时间戳]])</f>
        <v>45942</v>
      </c>
      <c r="J621" s="2">
        <f>HOUR(TB[[#This Row],[时间戳]])</f>
        <v>15</v>
      </c>
      <c r="K621">
        <v>381</v>
      </c>
      <c r="L621">
        <v>1</v>
      </c>
      <c r="M621">
        <f>TB[[#This Row],[售价]]*TB[[#This Row],[销量]]</f>
        <v>381</v>
      </c>
      <c r="N621" t="str">
        <f>IF(TB[[#This Row],[售价]]&lt;1000,"低价商品",IF(TB[[#This Row],[售价]]&lt;5000,"中价商品",IF(TB[[#This Row],[售价]]&lt;10000,"高价商品","超高价商品")))</f>
        <v>低价商品</v>
      </c>
    </row>
    <row r="622" spans="1:14" x14ac:dyDescent="0.2">
      <c r="A622">
        <v>537</v>
      </c>
      <c r="B622">
        <v>33</v>
      </c>
      <c r="C622" t="s">
        <v>17</v>
      </c>
      <c r="D622" t="s">
        <v>133</v>
      </c>
      <c r="E622" t="s">
        <v>31</v>
      </c>
      <c r="F622">
        <v>4</v>
      </c>
      <c r="G622" t="s">
        <v>13</v>
      </c>
      <c r="H622" s="1">
        <v>45942.631944444445</v>
      </c>
      <c r="I622" s="5">
        <f>INT(TB[[#This Row],[时间戳]])</f>
        <v>45942</v>
      </c>
      <c r="J622" s="2">
        <f>HOUR(TB[[#This Row],[时间戳]])</f>
        <v>15</v>
      </c>
      <c r="K622">
        <v>81</v>
      </c>
      <c r="L622">
        <v>2</v>
      </c>
      <c r="M622">
        <f>TB[[#This Row],[售价]]*TB[[#This Row],[销量]]</f>
        <v>162</v>
      </c>
      <c r="N622" t="str">
        <f>IF(TB[[#This Row],[售价]]&lt;1000,"低价商品",IF(TB[[#This Row],[售价]]&lt;5000,"中价商品",IF(TB[[#This Row],[售价]]&lt;10000,"高价商品","超高价商品")))</f>
        <v>低价商品</v>
      </c>
    </row>
    <row r="623" spans="1:14" x14ac:dyDescent="0.2">
      <c r="A623">
        <v>509</v>
      </c>
      <c r="B623">
        <v>234</v>
      </c>
      <c r="C623" t="s">
        <v>46</v>
      </c>
      <c r="D623" t="s">
        <v>332</v>
      </c>
      <c r="E623" t="s">
        <v>19</v>
      </c>
      <c r="F623">
        <v>3</v>
      </c>
      <c r="G623" t="s">
        <v>13</v>
      </c>
      <c r="H623" s="1">
        <v>45942.636805555558</v>
      </c>
      <c r="I623" s="5">
        <f>INT(TB[[#This Row],[时间戳]])</f>
        <v>45942</v>
      </c>
      <c r="J623" s="2">
        <f>HOUR(TB[[#This Row],[时间戳]])</f>
        <v>15</v>
      </c>
      <c r="K623">
        <v>3818</v>
      </c>
      <c r="L623">
        <v>4</v>
      </c>
      <c r="M623">
        <f>TB[[#This Row],[售价]]*TB[[#This Row],[销量]]</f>
        <v>15272</v>
      </c>
      <c r="N623" t="str">
        <f>IF(TB[[#This Row],[售价]]&lt;1000,"低价商品",IF(TB[[#This Row],[售价]]&lt;5000,"中价商品",IF(TB[[#This Row],[售价]]&lt;10000,"高价商品","超高价商品")))</f>
        <v>中价商品</v>
      </c>
    </row>
    <row r="624" spans="1:14" x14ac:dyDescent="0.2">
      <c r="A624">
        <v>581</v>
      </c>
      <c r="B624">
        <v>86</v>
      </c>
      <c r="C624" t="s">
        <v>10</v>
      </c>
      <c r="D624" t="s">
        <v>183</v>
      </c>
      <c r="E624" t="s">
        <v>22</v>
      </c>
      <c r="F624">
        <v>1</v>
      </c>
      <c r="G624" t="s">
        <v>42</v>
      </c>
      <c r="H624" s="1">
        <v>45942.645138888889</v>
      </c>
      <c r="I624" s="5">
        <f>INT(TB[[#This Row],[时间戳]])</f>
        <v>45942</v>
      </c>
      <c r="J624" s="2">
        <f>HOUR(TB[[#This Row],[时间戳]])</f>
        <v>15</v>
      </c>
      <c r="K624">
        <v>5168</v>
      </c>
      <c r="L624">
        <v>0</v>
      </c>
      <c r="M624">
        <f>TB[[#This Row],[售价]]*TB[[#This Row],[销量]]</f>
        <v>0</v>
      </c>
      <c r="N624" t="str">
        <f>IF(TB[[#This Row],[售价]]&lt;1000,"低价商品",IF(TB[[#This Row],[售价]]&lt;5000,"中价商品",IF(TB[[#This Row],[售价]]&lt;10000,"高价商品","超高价商品")))</f>
        <v>高价商品</v>
      </c>
    </row>
    <row r="625" spans="1:14" x14ac:dyDescent="0.2">
      <c r="A625">
        <v>588</v>
      </c>
      <c r="B625">
        <v>60</v>
      </c>
      <c r="C625" t="s">
        <v>36</v>
      </c>
      <c r="D625" t="s">
        <v>187</v>
      </c>
      <c r="E625" t="s">
        <v>12</v>
      </c>
      <c r="F625">
        <v>2</v>
      </c>
      <c r="G625" t="s">
        <v>13</v>
      </c>
      <c r="H625" s="1">
        <v>45942.657638888886</v>
      </c>
      <c r="I625" s="5">
        <f>INT(TB[[#This Row],[时间戳]])</f>
        <v>45942</v>
      </c>
      <c r="J625" s="2">
        <f>HOUR(TB[[#This Row],[时间戳]])</f>
        <v>15</v>
      </c>
      <c r="K625">
        <v>9904</v>
      </c>
      <c r="L625">
        <v>2</v>
      </c>
      <c r="M625">
        <f>TB[[#This Row],[售价]]*TB[[#This Row],[销量]]</f>
        <v>19808</v>
      </c>
      <c r="N625" t="str">
        <f>IF(TB[[#This Row],[售价]]&lt;1000,"低价商品",IF(TB[[#This Row],[售价]]&lt;5000,"中价商品",IF(TB[[#This Row],[售价]]&lt;10000,"高价商品","超高价商品")))</f>
        <v>高价商品</v>
      </c>
    </row>
    <row r="626" spans="1:14" x14ac:dyDescent="0.2">
      <c r="A626">
        <v>46</v>
      </c>
      <c r="B626">
        <v>7</v>
      </c>
      <c r="C626" t="s">
        <v>20</v>
      </c>
      <c r="D626" t="s">
        <v>333</v>
      </c>
      <c r="E626" t="s">
        <v>16</v>
      </c>
      <c r="F626">
        <v>6</v>
      </c>
      <c r="G626" t="s">
        <v>13</v>
      </c>
      <c r="H626" s="1">
        <v>45942.675000000003</v>
      </c>
      <c r="I626" s="5">
        <f>INT(TB[[#This Row],[时间戳]])</f>
        <v>45942</v>
      </c>
      <c r="J626" s="2">
        <f>HOUR(TB[[#This Row],[时间戳]])</f>
        <v>16</v>
      </c>
      <c r="K626">
        <v>5921</v>
      </c>
      <c r="L626">
        <v>1</v>
      </c>
      <c r="M626">
        <f>TB[[#This Row],[售价]]*TB[[#This Row],[销量]]</f>
        <v>5921</v>
      </c>
      <c r="N626" t="str">
        <f>IF(TB[[#This Row],[售价]]&lt;1000,"低价商品",IF(TB[[#This Row],[售价]]&lt;5000,"中价商品",IF(TB[[#This Row],[售价]]&lt;10000,"高价商品","超高价商品")))</f>
        <v>高价商品</v>
      </c>
    </row>
    <row r="627" spans="1:14" x14ac:dyDescent="0.2">
      <c r="A627">
        <v>393</v>
      </c>
      <c r="B627">
        <v>77</v>
      </c>
      <c r="C627" t="s">
        <v>44</v>
      </c>
      <c r="D627" t="s">
        <v>132</v>
      </c>
      <c r="E627" t="s">
        <v>22</v>
      </c>
      <c r="F627">
        <v>1</v>
      </c>
      <c r="G627" t="s">
        <v>13</v>
      </c>
      <c r="H627" s="1">
        <v>45942.683333333334</v>
      </c>
      <c r="I627" s="5">
        <f>INT(TB[[#This Row],[时间戳]])</f>
        <v>45942</v>
      </c>
      <c r="J627" s="2">
        <f>HOUR(TB[[#This Row],[时间戳]])</f>
        <v>16</v>
      </c>
      <c r="K627">
        <v>2826</v>
      </c>
      <c r="L627">
        <v>3</v>
      </c>
      <c r="M627">
        <f>TB[[#This Row],[售价]]*TB[[#This Row],[销量]]</f>
        <v>8478</v>
      </c>
      <c r="N627" t="str">
        <f>IF(TB[[#This Row],[售价]]&lt;1000,"低价商品",IF(TB[[#This Row],[售价]]&lt;5000,"中价商品",IF(TB[[#This Row],[售价]]&lt;10000,"高价商品","超高价商品")))</f>
        <v>中价商品</v>
      </c>
    </row>
    <row r="628" spans="1:14" x14ac:dyDescent="0.2">
      <c r="A628">
        <v>759</v>
      </c>
      <c r="B628">
        <v>215</v>
      </c>
      <c r="C628" t="s">
        <v>20</v>
      </c>
      <c r="D628" t="s">
        <v>334</v>
      </c>
      <c r="E628" t="s">
        <v>22</v>
      </c>
      <c r="F628">
        <v>1</v>
      </c>
      <c r="G628" t="s">
        <v>13</v>
      </c>
      <c r="H628" s="1">
        <v>45942.695138888892</v>
      </c>
      <c r="I628" s="5">
        <f>INT(TB[[#This Row],[时间戳]])</f>
        <v>45942</v>
      </c>
      <c r="J628" s="2">
        <f>HOUR(TB[[#This Row],[时间戳]])</f>
        <v>16</v>
      </c>
      <c r="K628">
        <v>2284</v>
      </c>
      <c r="L628">
        <v>2</v>
      </c>
      <c r="M628">
        <f>TB[[#This Row],[售价]]*TB[[#This Row],[销量]]</f>
        <v>4568</v>
      </c>
      <c r="N628" t="str">
        <f>IF(TB[[#This Row],[售价]]&lt;1000,"低价商品",IF(TB[[#This Row],[售价]]&lt;5000,"中价商品",IF(TB[[#This Row],[售价]]&lt;10000,"高价商品","超高价商品")))</f>
        <v>中价商品</v>
      </c>
    </row>
    <row r="629" spans="1:14" x14ac:dyDescent="0.2">
      <c r="A629">
        <v>738</v>
      </c>
      <c r="B629">
        <v>164</v>
      </c>
      <c r="C629" t="s">
        <v>32</v>
      </c>
      <c r="D629" t="s">
        <v>335</v>
      </c>
      <c r="E629" t="s">
        <v>12</v>
      </c>
      <c r="F629">
        <v>2</v>
      </c>
      <c r="G629" t="s">
        <v>13</v>
      </c>
      <c r="H629" s="1">
        <v>45942.720138888886</v>
      </c>
      <c r="I629" s="5">
        <f>INT(TB[[#This Row],[时间戳]])</f>
        <v>45942</v>
      </c>
      <c r="J629" s="2">
        <f>HOUR(TB[[#This Row],[时间戳]])</f>
        <v>17</v>
      </c>
      <c r="K629">
        <v>7642</v>
      </c>
      <c r="L629">
        <v>3</v>
      </c>
      <c r="M629">
        <f>TB[[#This Row],[售价]]*TB[[#This Row],[销量]]</f>
        <v>22926</v>
      </c>
      <c r="N629" t="str">
        <f>IF(TB[[#This Row],[售价]]&lt;1000,"低价商品",IF(TB[[#This Row],[售价]]&lt;5000,"中价商品",IF(TB[[#This Row],[售价]]&lt;10000,"高价商品","超高价商品")))</f>
        <v>高价商品</v>
      </c>
    </row>
    <row r="630" spans="1:14" x14ac:dyDescent="0.2">
      <c r="A630">
        <v>123</v>
      </c>
      <c r="B630">
        <v>258</v>
      </c>
      <c r="C630" t="s">
        <v>46</v>
      </c>
      <c r="D630" t="s">
        <v>142</v>
      </c>
      <c r="E630" t="s">
        <v>31</v>
      </c>
      <c r="F630">
        <v>4</v>
      </c>
      <c r="G630" t="s">
        <v>13</v>
      </c>
      <c r="H630" s="1">
        <v>45942.720833333333</v>
      </c>
      <c r="I630" s="5">
        <f>INT(TB[[#This Row],[时间戳]])</f>
        <v>45942</v>
      </c>
      <c r="J630" s="2">
        <f>HOUR(TB[[#This Row],[时间戳]])</f>
        <v>17</v>
      </c>
      <c r="K630">
        <v>444</v>
      </c>
      <c r="L630">
        <v>2</v>
      </c>
      <c r="M630">
        <f>TB[[#This Row],[售价]]*TB[[#This Row],[销量]]</f>
        <v>888</v>
      </c>
      <c r="N630" t="str">
        <f>IF(TB[[#This Row],[售价]]&lt;1000,"低价商品",IF(TB[[#This Row],[售价]]&lt;5000,"中价商品",IF(TB[[#This Row],[售价]]&lt;10000,"高价商品","超高价商品")))</f>
        <v>低价商品</v>
      </c>
    </row>
    <row r="631" spans="1:14" x14ac:dyDescent="0.2">
      <c r="A631">
        <v>48</v>
      </c>
      <c r="B631">
        <v>206</v>
      </c>
      <c r="C631" t="s">
        <v>32</v>
      </c>
      <c r="D631" t="s">
        <v>336</v>
      </c>
      <c r="E631" t="s">
        <v>16</v>
      </c>
      <c r="F631">
        <v>6</v>
      </c>
      <c r="G631" t="s">
        <v>13</v>
      </c>
      <c r="H631" s="1">
        <v>45942.726388888892</v>
      </c>
      <c r="I631" s="5">
        <f>INT(TB[[#This Row],[时间戳]])</f>
        <v>45942</v>
      </c>
      <c r="J631" s="2">
        <f>HOUR(TB[[#This Row],[时间戳]])</f>
        <v>17</v>
      </c>
      <c r="K631">
        <v>2753</v>
      </c>
      <c r="L631">
        <v>2</v>
      </c>
      <c r="M631">
        <f>TB[[#This Row],[售价]]*TB[[#This Row],[销量]]</f>
        <v>5506</v>
      </c>
      <c r="N631" t="str">
        <f>IF(TB[[#This Row],[售价]]&lt;1000,"低价商品",IF(TB[[#This Row],[售价]]&lt;5000,"中价商品",IF(TB[[#This Row],[售价]]&lt;10000,"高价商品","超高价商品")))</f>
        <v>中价商品</v>
      </c>
    </row>
    <row r="632" spans="1:14" x14ac:dyDescent="0.2">
      <c r="A632">
        <v>336</v>
      </c>
      <c r="B632">
        <v>45</v>
      </c>
      <c r="C632" t="s">
        <v>36</v>
      </c>
      <c r="D632" t="s">
        <v>112</v>
      </c>
      <c r="E632" t="s">
        <v>22</v>
      </c>
      <c r="F632">
        <v>1</v>
      </c>
      <c r="G632" t="s">
        <v>13</v>
      </c>
      <c r="H632" s="1">
        <v>45942.749305555553</v>
      </c>
      <c r="I632" s="5">
        <f>INT(TB[[#This Row],[时间戳]])</f>
        <v>45942</v>
      </c>
      <c r="J632" s="2">
        <f>HOUR(TB[[#This Row],[时间戳]])</f>
        <v>17</v>
      </c>
      <c r="K632">
        <v>1602</v>
      </c>
      <c r="L632">
        <v>2</v>
      </c>
      <c r="M632">
        <f>TB[[#This Row],[售价]]*TB[[#This Row],[销量]]</f>
        <v>3204</v>
      </c>
      <c r="N632" t="str">
        <f>IF(TB[[#This Row],[售价]]&lt;1000,"低价商品",IF(TB[[#This Row],[售价]]&lt;5000,"中价商品",IF(TB[[#This Row],[售价]]&lt;10000,"高价商品","超高价商品")))</f>
        <v>中价商品</v>
      </c>
    </row>
    <row r="633" spans="1:14" x14ac:dyDescent="0.2">
      <c r="A633">
        <v>206</v>
      </c>
      <c r="B633">
        <v>150</v>
      </c>
      <c r="C633" t="s">
        <v>10</v>
      </c>
      <c r="D633" t="s">
        <v>247</v>
      </c>
      <c r="E633" t="s">
        <v>31</v>
      </c>
      <c r="F633">
        <v>4</v>
      </c>
      <c r="G633" t="s">
        <v>13</v>
      </c>
      <c r="H633" s="1">
        <v>45942.790972222225</v>
      </c>
      <c r="I633" s="5">
        <f>INT(TB[[#This Row],[时间戳]])</f>
        <v>45942</v>
      </c>
      <c r="J633" s="2">
        <f>HOUR(TB[[#This Row],[时间戳]])</f>
        <v>18</v>
      </c>
      <c r="K633">
        <v>1215</v>
      </c>
      <c r="L633">
        <v>2</v>
      </c>
      <c r="M633">
        <f>TB[[#This Row],[售价]]*TB[[#This Row],[销量]]</f>
        <v>2430</v>
      </c>
      <c r="N633" t="str">
        <f>IF(TB[[#This Row],[售价]]&lt;1000,"低价商品",IF(TB[[#This Row],[售价]]&lt;5000,"中价商品",IF(TB[[#This Row],[售价]]&lt;10000,"高价商品","超高价商品")))</f>
        <v>中价商品</v>
      </c>
    </row>
    <row r="634" spans="1:14" x14ac:dyDescent="0.2">
      <c r="A634">
        <v>476</v>
      </c>
      <c r="B634">
        <v>189</v>
      </c>
      <c r="C634" t="s">
        <v>46</v>
      </c>
      <c r="D634" t="s">
        <v>157</v>
      </c>
      <c r="E634" t="s">
        <v>12</v>
      </c>
      <c r="F634">
        <v>2</v>
      </c>
      <c r="G634" t="s">
        <v>13</v>
      </c>
      <c r="H634" s="1">
        <v>45942.804166666669</v>
      </c>
      <c r="I634" s="5">
        <f>INT(TB[[#This Row],[时间戳]])</f>
        <v>45942</v>
      </c>
      <c r="J634" s="2">
        <f>HOUR(TB[[#This Row],[时间戳]])</f>
        <v>19</v>
      </c>
      <c r="K634">
        <v>13192</v>
      </c>
      <c r="L634">
        <v>2</v>
      </c>
      <c r="M634">
        <f>TB[[#This Row],[售价]]*TB[[#This Row],[销量]]</f>
        <v>26384</v>
      </c>
      <c r="N634" t="str">
        <f>IF(TB[[#This Row],[售价]]&lt;1000,"低价商品",IF(TB[[#This Row],[售价]]&lt;5000,"中价商品",IF(TB[[#This Row],[售价]]&lt;10000,"高价商品","超高价商品")))</f>
        <v>超高价商品</v>
      </c>
    </row>
    <row r="635" spans="1:14" x14ac:dyDescent="0.2">
      <c r="A635">
        <v>779</v>
      </c>
      <c r="B635">
        <v>126</v>
      </c>
      <c r="C635" t="s">
        <v>32</v>
      </c>
      <c r="D635" t="s">
        <v>215</v>
      </c>
      <c r="E635" t="s">
        <v>31</v>
      </c>
      <c r="F635">
        <v>4</v>
      </c>
      <c r="G635" t="s">
        <v>13</v>
      </c>
      <c r="H635" s="1">
        <v>45942.818055555559</v>
      </c>
      <c r="I635" s="5">
        <f>INT(TB[[#This Row],[时间戳]])</f>
        <v>45942</v>
      </c>
      <c r="J635" s="2">
        <f>HOUR(TB[[#This Row],[时间戳]])</f>
        <v>19</v>
      </c>
      <c r="K635">
        <v>1313</v>
      </c>
      <c r="L635">
        <v>2</v>
      </c>
      <c r="M635">
        <f>TB[[#This Row],[售价]]*TB[[#This Row],[销量]]</f>
        <v>2626</v>
      </c>
      <c r="N635" t="str">
        <f>IF(TB[[#This Row],[售价]]&lt;1000,"低价商品",IF(TB[[#This Row],[售价]]&lt;5000,"中价商品",IF(TB[[#This Row],[售价]]&lt;10000,"高价商品","超高价商品")))</f>
        <v>中价商品</v>
      </c>
    </row>
    <row r="636" spans="1:14" x14ac:dyDescent="0.2">
      <c r="A636">
        <v>239</v>
      </c>
      <c r="B636">
        <v>278</v>
      </c>
      <c r="C636" t="s">
        <v>17</v>
      </c>
      <c r="D636" t="s">
        <v>74</v>
      </c>
      <c r="E636" t="s">
        <v>22</v>
      </c>
      <c r="F636">
        <v>1</v>
      </c>
      <c r="G636" t="s">
        <v>13</v>
      </c>
      <c r="H636" s="1">
        <v>45942.820138888892</v>
      </c>
      <c r="I636" s="5">
        <f>INT(TB[[#This Row],[时间戳]])</f>
        <v>45942</v>
      </c>
      <c r="J636" s="2">
        <f>HOUR(TB[[#This Row],[时间戳]])</f>
        <v>19</v>
      </c>
      <c r="K636">
        <v>2036</v>
      </c>
      <c r="L636">
        <v>2</v>
      </c>
      <c r="M636">
        <f>TB[[#This Row],[售价]]*TB[[#This Row],[销量]]</f>
        <v>4072</v>
      </c>
      <c r="N636" t="str">
        <f>IF(TB[[#This Row],[售价]]&lt;1000,"低价商品",IF(TB[[#This Row],[售价]]&lt;5000,"中价商品",IF(TB[[#This Row],[售价]]&lt;10000,"高价商品","超高价商品")))</f>
        <v>中价商品</v>
      </c>
    </row>
    <row r="637" spans="1:14" x14ac:dyDescent="0.2">
      <c r="A637">
        <v>2</v>
      </c>
      <c r="B637">
        <v>193</v>
      </c>
      <c r="C637" t="s">
        <v>10</v>
      </c>
      <c r="D637" t="s">
        <v>96</v>
      </c>
      <c r="E637" t="s">
        <v>22</v>
      </c>
      <c r="F637">
        <v>1</v>
      </c>
      <c r="G637" t="s">
        <v>13</v>
      </c>
      <c r="H637" s="1">
        <v>45942.831250000003</v>
      </c>
      <c r="I637" s="5">
        <f>INT(TB[[#This Row],[时间戳]])</f>
        <v>45942</v>
      </c>
      <c r="J637" s="2">
        <f>HOUR(TB[[#This Row],[时间戳]])</f>
        <v>19</v>
      </c>
      <c r="K637">
        <v>3962</v>
      </c>
      <c r="L637">
        <v>1</v>
      </c>
      <c r="M637">
        <f>TB[[#This Row],[售价]]*TB[[#This Row],[销量]]</f>
        <v>3962</v>
      </c>
      <c r="N637" t="str">
        <f>IF(TB[[#This Row],[售价]]&lt;1000,"低价商品",IF(TB[[#This Row],[售价]]&lt;5000,"中价商品",IF(TB[[#This Row],[售价]]&lt;10000,"高价商品","超高价商品")))</f>
        <v>中价商品</v>
      </c>
    </row>
    <row r="638" spans="1:14" x14ac:dyDescent="0.2">
      <c r="A638">
        <v>244</v>
      </c>
      <c r="B638">
        <v>215</v>
      </c>
      <c r="C638" t="s">
        <v>32</v>
      </c>
      <c r="D638" t="s">
        <v>215</v>
      </c>
      <c r="E638" t="s">
        <v>31</v>
      </c>
      <c r="F638">
        <v>4</v>
      </c>
      <c r="G638" t="s">
        <v>13</v>
      </c>
      <c r="H638" s="1">
        <v>45942.845138888886</v>
      </c>
      <c r="I638" s="5">
        <f>INT(TB[[#This Row],[时间戳]])</f>
        <v>45942</v>
      </c>
      <c r="J638" s="2">
        <f>HOUR(TB[[#This Row],[时间戳]])</f>
        <v>20</v>
      </c>
      <c r="K638">
        <v>532</v>
      </c>
      <c r="L638">
        <v>1</v>
      </c>
      <c r="M638">
        <f>TB[[#This Row],[售价]]*TB[[#This Row],[销量]]</f>
        <v>532</v>
      </c>
      <c r="N638" t="str">
        <f>IF(TB[[#This Row],[售价]]&lt;1000,"低价商品",IF(TB[[#This Row],[售价]]&lt;5000,"中价商品",IF(TB[[#This Row],[售价]]&lt;10000,"高价商品","超高价商品")))</f>
        <v>低价商品</v>
      </c>
    </row>
    <row r="639" spans="1:14" x14ac:dyDescent="0.2">
      <c r="A639">
        <v>96</v>
      </c>
      <c r="B639">
        <v>23</v>
      </c>
      <c r="C639" t="s">
        <v>26</v>
      </c>
      <c r="D639" t="s">
        <v>306</v>
      </c>
      <c r="E639" t="s">
        <v>31</v>
      </c>
      <c r="F639">
        <v>4</v>
      </c>
      <c r="G639" t="s">
        <v>13</v>
      </c>
      <c r="H639" s="1">
        <v>45942.85</v>
      </c>
      <c r="I639" s="5">
        <f>INT(TB[[#This Row],[时间戳]])</f>
        <v>45942</v>
      </c>
      <c r="J639" s="2">
        <f>HOUR(TB[[#This Row],[时间戳]])</f>
        <v>20</v>
      </c>
      <c r="K639">
        <v>887</v>
      </c>
      <c r="L639">
        <v>3</v>
      </c>
      <c r="M639">
        <f>TB[[#This Row],[售价]]*TB[[#This Row],[销量]]</f>
        <v>2661</v>
      </c>
      <c r="N639" t="str">
        <f>IF(TB[[#This Row],[售价]]&lt;1000,"低价商品",IF(TB[[#This Row],[售价]]&lt;5000,"中价商品",IF(TB[[#This Row],[售价]]&lt;10000,"高价商品","超高价商品")))</f>
        <v>低价商品</v>
      </c>
    </row>
    <row r="640" spans="1:14" x14ac:dyDescent="0.2">
      <c r="A640">
        <v>470</v>
      </c>
      <c r="B640">
        <v>44</v>
      </c>
      <c r="C640" t="s">
        <v>17</v>
      </c>
      <c r="D640" t="s">
        <v>133</v>
      </c>
      <c r="E640" t="s">
        <v>31</v>
      </c>
      <c r="F640">
        <v>4</v>
      </c>
      <c r="G640" t="s">
        <v>13</v>
      </c>
      <c r="H640" s="1">
        <v>45942.855555555558</v>
      </c>
      <c r="I640" s="5">
        <f>INT(TB[[#This Row],[时间戳]])</f>
        <v>45942</v>
      </c>
      <c r="J640" s="2">
        <f>HOUR(TB[[#This Row],[时间戳]])</f>
        <v>20</v>
      </c>
      <c r="K640">
        <v>590</v>
      </c>
      <c r="L640">
        <v>2</v>
      </c>
      <c r="M640">
        <f>TB[[#This Row],[售价]]*TB[[#This Row],[销量]]</f>
        <v>1180</v>
      </c>
      <c r="N640" t="str">
        <f>IF(TB[[#This Row],[售价]]&lt;1000,"低价商品",IF(TB[[#This Row],[售价]]&lt;5000,"中价商品",IF(TB[[#This Row],[售价]]&lt;10000,"高价商品","超高价商品")))</f>
        <v>低价商品</v>
      </c>
    </row>
    <row r="641" spans="1:14" x14ac:dyDescent="0.2">
      <c r="A641">
        <v>653</v>
      </c>
      <c r="B641">
        <v>202</v>
      </c>
      <c r="C641" t="s">
        <v>20</v>
      </c>
      <c r="D641" t="s">
        <v>277</v>
      </c>
      <c r="E641" t="s">
        <v>12</v>
      </c>
      <c r="F641">
        <v>2</v>
      </c>
      <c r="G641" t="s">
        <v>13</v>
      </c>
      <c r="H641" s="1">
        <v>45942.864583333336</v>
      </c>
      <c r="I641" s="5">
        <f>INT(TB[[#This Row],[时间戳]])</f>
        <v>45942</v>
      </c>
      <c r="J641" s="2">
        <f>HOUR(TB[[#This Row],[时间戳]])</f>
        <v>20</v>
      </c>
      <c r="K641">
        <v>13363</v>
      </c>
      <c r="L641">
        <v>4</v>
      </c>
      <c r="M641">
        <f>TB[[#This Row],[售价]]*TB[[#This Row],[销量]]</f>
        <v>53452</v>
      </c>
      <c r="N641" t="str">
        <f>IF(TB[[#This Row],[售价]]&lt;1000,"低价商品",IF(TB[[#This Row],[售价]]&lt;5000,"中价商品",IF(TB[[#This Row],[售价]]&lt;10000,"高价商品","超高价商品")))</f>
        <v>超高价商品</v>
      </c>
    </row>
    <row r="642" spans="1:14" x14ac:dyDescent="0.2">
      <c r="A642">
        <v>446</v>
      </c>
      <c r="B642">
        <v>67</v>
      </c>
      <c r="C642" t="s">
        <v>46</v>
      </c>
      <c r="D642" t="s">
        <v>80</v>
      </c>
      <c r="E642" t="s">
        <v>22</v>
      </c>
      <c r="F642">
        <v>1</v>
      </c>
      <c r="G642" t="s">
        <v>13</v>
      </c>
      <c r="H642" s="1">
        <v>45942.864583333336</v>
      </c>
      <c r="I642" s="5">
        <f>INT(TB[[#This Row],[时间戳]])</f>
        <v>45942</v>
      </c>
      <c r="J642" s="2">
        <f>HOUR(TB[[#This Row],[时间戳]])</f>
        <v>20</v>
      </c>
      <c r="K642">
        <v>1716</v>
      </c>
      <c r="L642">
        <v>2</v>
      </c>
      <c r="M642">
        <f>TB[[#This Row],[售价]]*TB[[#This Row],[销量]]</f>
        <v>3432</v>
      </c>
      <c r="N642" t="str">
        <f>IF(TB[[#This Row],[售价]]&lt;1000,"低价商品",IF(TB[[#This Row],[售价]]&lt;5000,"中价商品",IF(TB[[#This Row],[售价]]&lt;10000,"高价商品","超高价商品")))</f>
        <v>中价商品</v>
      </c>
    </row>
    <row r="643" spans="1:14" x14ac:dyDescent="0.2">
      <c r="A643">
        <v>403</v>
      </c>
      <c r="B643">
        <v>168</v>
      </c>
      <c r="C643" t="s">
        <v>36</v>
      </c>
      <c r="D643" t="s">
        <v>337</v>
      </c>
      <c r="E643" t="s">
        <v>25</v>
      </c>
      <c r="F643">
        <v>7</v>
      </c>
      <c r="G643" t="s">
        <v>13</v>
      </c>
      <c r="H643" s="1">
        <v>45942.87222222222</v>
      </c>
      <c r="I643" s="5">
        <f>INT(TB[[#This Row],[时间戳]])</f>
        <v>45942</v>
      </c>
      <c r="J643" s="2">
        <f>HOUR(TB[[#This Row],[时间戳]])</f>
        <v>20</v>
      </c>
      <c r="K643">
        <v>3388</v>
      </c>
      <c r="L643">
        <v>2</v>
      </c>
      <c r="M643">
        <f>TB[[#This Row],[售价]]*TB[[#This Row],[销量]]</f>
        <v>6776</v>
      </c>
      <c r="N643" t="str">
        <f>IF(TB[[#This Row],[售价]]&lt;1000,"低价商品",IF(TB[[#This Row],[售价]]&lt;5000,"中价商品",IF(TB[[#This Row],[售价]]&lt;10000,"高价商品","超高价商品")))</f>
        <v>中价商品</v>
      </c>
    </row>
    <row r="644" spans="1:14" x14ac:dyDescent="0.2">
      <c r="A644">
        <v>77</v>
      </c>
      <c r="B644">
        <v>104</v>
      </c>
      <c r="C644" t="s">
        <v>36</v>
      </c>
      <c r="D644" t="s">
        <v>318</v>
      </c>
      <c r="E644" t="s">
        <v>16</v>
      </c>
      <c r="F644">
        <v>6</v>
      </c>
      <c r="G644" t="s">
        <v>13</v>
      </c>
      <c r="H644" s="1">
        <v>45942.876388888886</v>
      </c>
      <c r="I644" s="5">
        <f>INT(TB[[#This Row],[时间戳]])</f>
        <v>45942</v>
      </c>
      <c r="J644" s="2">
        <f>HOUR(TB[[#This Row],[时间戳]])</f>
        <v>21</v>
      </c>
      <c r="K644">
        <v>7242</v>
      </c>
      <c r="L644">
        <v>2</v>
      </c>
      <c r="M644">
        <f>TB[[#This Row],[售价]]*TB[[#This Row],[销量]]</f>
        <v>14484</v>
      </c>
      <c r="N644" t="str">
        <f>IF(TB[[#This Row],[售价]]&lt;1000,"低价商品",IF(TB[[#This Row],[售价]]&lt;5000,"中价商品",IF(TB[[#This Row],[售价]]&lt;10000,"高价商品","超高价商品")))</f>
        <v>高价商品</v>
      </c>
    </row>
    <row r="645" spans="1:14" x14ac:dyDescent="0.2">
      <c r="A645">
        <v>160</v>
      </c>
      <c r="B645">
        <v>55</v>
      </c>
      <c r="C645" t="s">
        <v>46</v>
      </c>
      <c r="D645" t="s">
        <v>159</v>
      </c>
      <c r="E645" t="s">
        <v>16</v>
      </c>
      <c r="F645">
        <v>6</v>
      </c>
      <c r="G645" t="s">
        <v>13</v>
      </c>
      <c r="H645" s="1">
        <v>45942.884027777778</v>
      </c>
      <c r="I645" s="5">
        <f>INT(TB[[#This Row],[时间戳]])</f>
        <v>45942</v>
      </c>
      <c r="J645" s="2">
        <f>HOUR(TB[[#This Row],[时间戳]])</f>
        <v>21</v>
      </c>
      <c r="K645">
        <v>4429</v>
      </c>
      <c r="L645">
        <v>3</v>
      </c>
      <c r="M645">
        <f>TB[[#This Row],[售价]]*TB[[#This Row],[销量]]</f>
        <v>13287</v>
      </c>
      <c r="N645" t="str">
        <f>IF(TB[[#This Row],[售价]]&lt;1000,"低价商品",IF(TB[[#This Row],[售价]]&lt;5000,"中价商品",IF(TB[[#This Row],[售价]]&lt;10000,"高价商品","超高价商品")))</f>
        <v>中价商品</v>
      </c>
    </row>
    <row r="646" spans="1:14" x14ac:dyDescent="0.2">
      <c r="A646">
        <v>417</v>
      </c>
      <c r="B646">
        <v>62</v>
      </c>
      <c r="C646" t="s">
        <v>44</v>
      </c>
      <c r="D646" t="s">
        <v>100</v>
      </c>
      <c r="E646" t="s">
        <v>19</v>
      </c>
      <c r="F646">
        <v>3</v>
      </c>
      <c r="G646" t="s">
        <v>13</v>
      </c>
      <c r="H646" s="1">
        <v>45942.886111111111</v>
      </c>
      <c r="I646" s="5">
        <f>INT(TB[[#This Row],[时间戳]])</f>
        <v>45942</v>
      </c>
      <c r="J646" s="2">
        <f>HOUR(TB[[#This Row],[时间戳]])</f>
        <v>21</v>
      </c>
      <c r="K646">
        <v>2876</v>
      </c>
      <c r="L646">
        <v>1</v>
      </c>
      <c r="M646">
        <f>TB[[#This Row],[售价]]*TB[[#This Row],[销量]]</f>
        <v>2876</v>
      </c>
      <c r="N646" t="str">
        <f>IF(TB[[#This Row],[售价]]&lt;1000,"低价商品",IF(TB[[#This Row],[售价]]&lt;5000,"中价商品",IF(TB[[#This Row],[售价]]&lt;10000,"高价商品","超高价商品")))</f>
        <v>中价商品</v>
      </c>
    </row>
    <row r="647" spans="1:14" x14ac:dyDescent="0.2">
      <c r="A647">
        <v>316</v>
      </c>
      <c r="B647">
        <v>238</v>
      </c>
      <c r="C647" t="s">
        <v>32</v>
      </c>
      <c r="D647" t="s">
        <v>273</v>
      </c>
      <c r="E647" t="s">
        <v>16</v>
      </c>
      <c r="F647">
        <v>6</v>
      </c>
      <c r="G647" t="s">
        <v>13</v>
      </c>
      <c r="H647" s="1">
        <v>45942.927083333336</v>
      </c>
      <c r="I647" s="5">
        <f>INT(TB[[#This Row],[时间戳]])</f>
        <v>45942</v>
      </c>
      <c r="J647" s="2">
        <f>HOUR(TB[[#This Row],[时间戳]])</f>
        <v>22</v>
      </c>
      <c r="K647">
        <v>10763</v>
      </c>
      <c r="L647">
        <v>2</v>
      </c>
      <c r="M647">
        <f>TB[[#This Row],[售价]]*TB[[#This Row],[销量]]</f>
        <v>21526</v>
      </c>
      <c r="N647" t="str">
        <f>IF(TB[[#This Row],[售价]]&lt;1000,"低价商品",IF(TB[[#This Row],[售价]]&lt;5000,"中价商品",IF(TB[[#This Row],[售价]]&lt;10000,"高价商品","超高价商品")))</f>
        <v>超高价商品</v>
      </c>
    </row>
    <row r="648" spans="1:14" x14ac:dyDescent="0.2">
      <c r="A648">
        <v>703</v>
      </c>
      <c r="B648">
        <v>156</v>
      </c>
      <c r="C648" t="s">
        <v>14</v>
      </c>
      <c r="D648" t="s">
        <v>144</v>
      </c>
      <c r="E648" t="s">
        <v>19</v>
      </c>
      <c r="F648">
        <v>3</v>
      </c>
      <c r="G648" t="s">
        <v>13</v>
      </c>
      <c r="H648" s="1">
        <v>45942.943055555559</v>
      </c>
      <c r="I648" s="5">
        <f>INT(TB[[#This Row],[时间戳]])</f>
        <v>45942</v>
      </c>
      <c r="J648" s="2">
        <f>HOUR(TB[[#This Row],[时间戳]])</f>
        <v>22</v>
      </c>
      <c r="K648">
        <v>3531</v>
      </c>
      <c r="L648">
        <v>2</v>
      </c>
      <c r="M648">
        <f>TB[[#This Row],[售价]]*TB[[#This Row],[销量]]</f>
        <v>7062</v>
      </c>
      <c r="N648" t="str">
        <f>IF(TB[[#This Row],[售价]]&lt;1000,"低价商品",IF(TB[[#This Row],[售价]]&lt;5000,"中价商品",IF(TB[[#This Row],[售价]]&lt;10000,"高价商品","超高价商品")))</f>
        <v>中价商品</v>
      </c>
    </row>
    <row r="649" spans="1:14" x14ac:dyDescent="0.2">
      <c r="A649">
        <v>94</v>
      </c>
      <c r="B649">
        <v>128</v>
      </c>
      <c r="C649" t="s">
        <v>34</v>
      </c>
      <c r="D649" t="s">
        <v>35</v>
      </c>
      <c r="E649" t="s">
        <v>19</v>
      </c>
      <c r="F649">
        <v>3</v>
      </c>
      <c r="G649" t="s">
        <v>42</v>
      </c>
      <c r="H649" s="1">
        <v>45942.964583333334</v>
      </c>
      <c r="I649" s="5">
        <f>INT(TB[[#This Row],[时间戳]])</f>
        <v>45942</v>
      </c>
      <c r="J649" s="2">
        <f>HOUR(TB[[#This Row],[时间戳]])</f>
        <v>23</v>
      </c>
      <c r="K649">
        <v>1740</v>
      </c>
      <c r="L649">
        <v>0</v>
      </c>
      <c r="M649">
        <f>TB[[#This Row],[售价]]*TB[[#This Row],[销量]]</f>
        <v>0</v>
      </c>
      <c r="N649" t="str">
        <f>IF(TB[[#This Row],[售价]]&lt;1000,"低价商品",IF(TB[[#This Row],[售价]]&lt;5000,"中价商品",IF(TB[[#This Row],[售价]]&lt;10000,"高价商品","超高价商品")))</f>
        <v>中价商品</v>
      </c>
    </row>
    <row r="650" spans="1:14" x14ac:dyDescent="0.2">
      <c r="A650">
        <v>694</v>
      </c>
      <c r="B650">
        <v>154</v>
      </c>
      <c r="C650" t="s">
        <v>20</v>
      </c>
      <c r="D650" t="s">
        <v>319</v>
      </c>
      <c r="E650" t="s">
        <v>31</v>
      </c>
      <c r="F650">
        <v>4</v>
      </c>
      <c r="G650" t="s">
        <v>13</v>
      </c>
      <c r="H650" s="1">
        <v>45942.993055555555</v>
      </c>
      <c r="I650" s="5">
        <f>INT(TB[[#This Row],[时间戳]])</f>
        <v>45942</v>
      </c>
      <c r="J650" s="2">
        <f>HOUR(TB[[#This Row],[时间戳]])</f>
        <v>23</v>
      </c>
      <c r="K650">
        <v>780</v>
      </c>
      <c r="L650">
        <v>1</v>
      </c>
      <c r="M650">
        <f>TB[[#This Row],[售价]]*TB[[#This Row],[销量]]</f>
        <v>780</v>
      </c>
      <c r="N650" t="str">
        <f>IF(TB[[#This Row],[售价]]&lt;1000,"低价商品",IF(TB[[#This Row],[售价]]&lt;5000,"中价商品",IF(TB[[#This Row],[售价]]&lt;10000,"高价商品","超高价商品")))</f>
        <v>低价商品</v>
      </c>
    </row>
    <row r="651" spans="1:14" x14ac:dyDescent="0.2">
      <c r="A651">
        <v>464</v>
      </c>
      <c r="B651">
        <v>285</v>
      </c>
      <c r="C651" t="s">
        <v>10</v>
      </c>
      <c r="D651" t="s">
        <v>312</v>
      </c>
      <c r="E651" t="s">
        <v>12</v>
      </c>
      <c r="F651">
        <v>2</v>
      </c>
      <c r="G651" t="s">
        <v>13</v>
      </c>
      <c r="H651" s="1">
        <v>45943.005555555559</v>
      </c>
      <c r="I651" s="5">
        <f>INT(TB[[#This Row],[时间戳]])</f>
        <v>45943</v>
      </c>
      <c r="J651" s="2">
        <f>HOUR(TB[[#This Row],[时间戳]])</f>
        <v>0</v>
      </c>
      <c r="K651">
        <v>8151</v>
      </c>
      <c r="L651">
        <v>3</v>
      </c>
      <c r="M651">
        <f>TB[[#This Row],[售价]]*TB[[#This Row],[销量]]</f>
        <v>24453</v>
      </c>
      <c r="N651" t="str">
        <f>IF(TB[[#This Row],[售价]]&lt;1000,"低价商品",IF(TB[[#This Row],[售价]]&lt;5000,"中价商品",IF(TB[[#This Row],[售价]]&lt;10000,"高价商品","超高价商品")))</f>
        <v>高价商品</v>
      </c>
    </row>
    <row r="652" spans="1:14" x14ac:dyDescent="0.2">
      <c r="A652">
        <v>474</v>
      </c>
      <c r="B652">
        <v>53</v>
      </c>
      <c r="C652" t="s">
        <v>32</v>
      </c>
      <c r="D652" t="s">
        <v>286</v>
      </c>
      <c r="E652" t="s">
        <v>22</v>
      </c>
      <c r="F652">
        <v>1</v>
      </c>
      <c r="G652" t="s">
        <v>42</v>
      </c>
      <c r="H652" s="1">
        <v>45943.006944444445</v>
      </c>
      <c r="I652" s="5">
        <f>INT(TB[[#This Row],[时间戳]])</f>
        <v>45943</v>
      </c>
      <c r="J652" s="2">
        <f>HOUR(TB[[#This Row],[时间戳]])</f>
        <v>0</v>
      </c>
      <c r="K652">
        <v>7209</v>
      </c>
      <c r="L652">
        <v>0</v>
      </c>
      <c r="M652">
        <f>TB[[#This Row],[售价]]*TB[[#This Row],[销量]]</f>
        <v>0</v>
      </c>
      <c r="N652" t="str">
        <f>IF(TB[[#This Row],[售价]]&lt;1000,"低价商品",IF(TB[[#This Row],[售价]]&lt;5000,"中价商品",IF(TB[[#This Row],[售价]]&lt;10000,"高价商品","超高价商品")))</f>
        <v>高价商品</v>
      </c>
    </row>
    <row r="653" spans="1:14" x14ac:dyDescent="0.2">
      <c r="A653">
        <v>64</v>
      </c>
      <c r="B653">
        <v>114</v>
      </c>
      <c r="C653" t="s">
        <v>14</v>
      </c>
      <c r="D653" t="s">
        <v>89</v>
      </c>
      <c r="E653" t="s">
        <v>22</v>
      </c>
      <c r="F653">
        <v>1</v>
      </c>
      <c r="G653" t="s">
        <v>13</v>
      </c>
      <c r="H653" s="1">
        <v>45943.021527777775</v>
      </c>
      <c r="I653" s="5">
        <f>INT(TB[[#This Row],[时间戳]])</f>
        <v>45943</v>
      </c>
      <c r="J653" s="2">
        <f>HOUR(TB[[#This Row],[时间戳]])</f>
        <v>0</v>
      </c>
      <c r="K653">
        <v>7456</v>
      </c>
      <c r="L653">
        <v>3</v>
      </c>
      <c r="M653">
        <f>TB[[#This Row],[售价]]*TB[[#This Row],[销量]]</f>
        <v>22368</v>
      </c>
      <c r="N653" t="str">
        <f>IF(TB[[#This Row],[售价]]&lt;1000,"低价商品",IF(TB[[#This Row],[售价]]&lt;5000,"中价商品",IF(TB[[#This Row],[售价]]&lt;10000,"高价商品","超高价商品")))</f>
        <v>高价商品</v>
      </c>
    </row>
    <row r="654" spans="1:14" x14ac:dyDescent="0.2">
      <c r="A654">
        <v>703</v>
      </c>
      <c r="B654">
        <v>44</v>
      </c>
      <c r="C654" t="s">
        <v>17</v>
      </c>
      <c r="D654" t="s">
        <v>279</v>
      </c>
      <c r="E654" t="s">
        <v>22</v>
      </c>
      <c r="F654">
        <v>1</v>
      </c>
      <c r="G654" t="s">
        <v>13</v>
      </c>
      <c r="H654" s="1">
        <v>45943.037499999999</v>
      </c>
      <c r="I654" s="5">
        <f>INT(TB[[#This Row],[时间戳]])</f>
        <v>45943</v>
      </c>
      <c r="J654" s="2">
        <f>HOUR(TB[[#This Row],[时间戳]])</f>
        <v>0</v>
      </c>
      <c r="K654">
        <v>1971</v>
      </c>
      <c r="L654">
        <v>3</v>
      </c>
      <c r="M654">
        <f>TB[[#This Row],[售价]]*TB[[#This Row],[销量]]</f>
        <v>5913</v>
      </c>
      <c r="N654" t="str">
        <f>IF(TB[[#This Row],[售价]]&lt;1000,"低价商品",IF(TB[[#This Row],[售价]]&lt;5000,"中价商品",IF(TB[[#This Row],[售价]]&lt;10000,"高价商品","超高价商品")))</f>
        <v>中价商品</v>
      </c>
    </row>
    <row r="655" spans="1:14" x14ac:dyDescent="0.2">
      <c r="A655">
        <v>23</v>
      </c>
      <c r="B655">
        <v>34</v>
      </c>
      <c r="C655" t="s">
        <v>36</v>
      </c>
      <c r="D655" t="s">
        <v>37</v>
      </c>
      <c r="E655" t="s">
        <v>31</v>
      </c>
      <c r="F655">
        <v>4</v>
      </c>
      <c r="G655" t="s">
        <v>42</v>
      </c>
      <c r="H655" s="1">
        <v>45943.063194444447</v>
      </c>
      <c r="I655" s="5">
        <f>INT(TB[[#This Row],[时间戳]])</f>
        <v>45943</v>
      </c>
      <c r="J655" s="2">
        <f>HOUR(TB[[#This Row],[时间戳]])</f>
        <v>1</v>
      </c>
      <c r="K655">
        <v>1342</v>
      </c>
      <c r="L655">
        <v>0</v>
      </c>
      <c r="M655">
        <f>TB[[#This Row],[售价]]*TB[[#This Row],[销量]]</f>
        <v>0</v>
      </c>
      <c r="N655" t="str">
        <f>IF(TB[[#This Row],[售价]]&lt;1000,"低价商品",IF(TB[[#This Row],[售价]]&lt;5000,"中价商品",IF(TB[[#This Row],[售价]]&lt;10000,"高价商品","超高价商品")))</f>
        <v>中价商品</v>
      </c>
    </row>
    <row r="656" spans="1:14" x14ac:dyDescent="0.2">
      <c r="A656">
        <v>95</v>
      </c>
      <c r="B656">
        <v>170</v>
      </c>
      <c r="C656" t="s">
        <v>44</v>
      </c>
      <c r="D656" t="s">
        <v>338</v>
      </c>
      <c r="E656" t="s">
        <v>16</v>
      </c>
      <c r="F656">
        <v>6</v>
      </c>
      <c r="G656" t="s">
        <v>42</v>
      </c>
      <c r="H656" s="1">
        <v>45943.073611111111</v>
      </c>
      <c r="I656" s="5">
        <f>INT(TB[[#This Row],[时间戳]])</f>
        <v>45943</v>
      </c>
      <c r="J656" s="2">
        <f>HOUR(TB[[#This Row],[时间戳]])</f>
        <v>1</v>
      </c>
      <c r="K656">
        <v>5369</v>
      </c>
      <c r="L656">
        <v>0</v>
      </c>
      <c r="M656">
        <f>TB[[#This Row],[售价]]*TB[[#This Row],[销量]]</f>
        <v>0</v>
      </c>
      <c r="N656" t="str">
        <f>IF(TB[[#This Row],[售价]]&lt;1000,"低价商品",IF(TB[[#This Row],[售价]]&lt;5000,"中价商品",IF(TB[[#This Row],[售价]]&lt;10000,"高价商品","超高价商品")))</f>
        <v>高价商品</v>
      </c>
    </row>
    <row r="657" spans="1:14" x14ac:dyDescent="0.2">
      <c r="A657">
        <v>173</v>
      </c>
      <c r="B657">
        <v>294</v>
      </c>
      <c r="C657" t="s">
        <v>44</v>
      </c>
      <c r="D657" t="s">
        <v>59</v>
      </c>
      <c r="E657" t="s">
        <v>22</v>
      </c>
      <c r="F657">
        <v>1</v>
      </c>
      <c r="G657" t="s">
        <v>13</v>
      </c>
      <c r="H657" s="1">
        <v>45943.075694444444</v>
      </c>
      <c r="I657" s="5">
        <f>INT(TB[[#This Row],[时间戳]])</f>
        <v>45943</v>
      </c>
      <c r="J657" s="2">
        <f>HOUR(TB[[#This Row],[时间戳]])</f>
        <v>1</v>
      </c>
      <c r="K657">
        <v>1824</v>
      </c>
      <c r="L657">
        <v>3</v>
      </c>
      <c r="M657">
        <f>TB[[#This Row],[售价]]*TB[[#This Row],[销量]]</f>
        <v>5472</v>
      </c>
      <c r="N657" t="str">
        <f>IF(TB[[#This Row],[售价]]&lt;1000,"低价商品",IF(TB[[#This Row],[售价]]&lt;5000,"中价商品",IF(TB[[#This Row],[售价]]&lt;10000,"高价商品","超高价商品")))</f>
        <v>中价商品</v>
      </c>
    </row>
    <row r="658" spans="1:14" x14ac:dyDescent="0.2">
      <c r="A658">
        <v>31</v>
      </c>
      <c r="B658">
        <v>196</v>
      </c>
      <c r="C658" t="s">
        <v>17</v>
      </c>
      <c r="D658" t="s">
        <v>177</v>
      </c>
      <c r="E658" t="s">
        <v>22</v>
      </c>
      <c r="F658">
        <v>1</v>
      </c>
      <c r="G658" t="s">
        <v>13</v>
      </c>
      <c r="H658" s="1">
        <v>45943.081944444442</v>
      </c>
      <c r="I658" s="5">
        <f>INT(TB[[#This Row],[时间戳]])</f>
        <v>45943</v>
      </c>
      <c r="J658" s="2">
        <f>HOUR(TB[[#This Row],[时间戳]])</f>
        <v>1</v>
      </c>
      <c r="K658">
        <v>4718</v>
      </c>
      <c r="L658">
        <v>1</v>
      </c>
      <c r="M658">
        <f>TB[[#This Row],[售价]]*TB[[#This Row],[销量]]</f>
        <v>4718</v>
      </c>
      <c r="N658" t="str">
        <f>IF(TB[[#This Row],[售价]]&lt;1000,"低价商品",IF(TB[[#This Row],[售价]]&lt;5000,"中价商品",IF(TB[[#This Row],[售价]]&lt;10000,"高价商品","超高价商品")))</f>
        <v>中价商品</v>
      </c>
    </row>
    <row r="659" spans="1:14" x14ac:dyDescent="0.2">
      <c r="A659">
        <v>192</v>
      </c>
      <c r="B659">
        <v>141</v>
      </c>
      <c r="C659" t="s">
        <v>34</v>
      </c>
      <c r="D659" t="s">
        <v>339</v>
      </c>
      <c r="E659" t="s">
        <v>12</v>
      </c>
      <c r="F659">
        <v>2</v>
      </c>
      <c r="G659" t="s">
        <v>13</v>
      </c>
      <c r="H659" s="1">
        <v>45943.090277777781</v>
      </c>
      <c r="I659" s="5">
        <f>INT(TB[[#This Row],[时间戳]])</f>
        <v>45943</v>
      </c>
      <c r="J659" s="2">
        <f>HOUR(TB[[#This Row],[时间戳]])</f>
        <v>2</v>
      </c>
      <c r="K659">
        <v>10878</v>
      </c>
      <c r="L659">
        <v>3</v>
      </c>
      <c r="M659">
        <f>TB[[#This Row],[售价]]*TB[[#This Row],[销量]]</f>
        <v>32634</v>
      </c>
      <c r="N659" t="str">
        <f>IF(TB[[#This Row],[售价]]&lt;1000,"低价商品",IF(TB[[#This Row],[售价]]&lt;5000,"中价商品",IF(TB[[#This Row],[售价]]&lt;10000,"高价商品","超高价商品")))</f>
        <v>超高价商品</v>
      </c>
    </row>
    <row r="660" spans="1:14" x14ac:dyDescent="0.2">
      <c r="A660">
        <v>629</v>
      </c>
      <c r="B660">
        <v>126</v>
      </c>
      <c r="C660" t="s">
        <v>26</v>
      </c>
      <c r="D660" t="s">
        <v>225</v>
      </c>
      <c r="E660" t="s">
        <v>31</v>
      </c>
      <c r="F660">
        <v>4</v>
      </c>
      <c r="G660" t="s">
        <v>13</v>
      </c>
      <c r="H660" s="1">
        <v>45943.109027777777</v>
      </c>
      <c r="I660" s="5">
        <f>INT(TB[[#This Row],[时间戳]])</f>
        <v>45943</v>
      </c>
      <c r="J660" s="2">
        <f>HOUR(TB[[#This Row],[时间戳]])</f>
        <v>2</v>
      </c>
      <c r="K660">
        <v>651</v>
      </c>
      <c r="L660">
        <v>3</v>
      </c>
      <c r="M660">
        <f>TB[[#This Row],[售价]]*TB[[#This Row],[销量]]</f>
        <v>1953</v>
      </c>
      <c r="N660" t="str">
        <f>IF(TB[[#This Row],[售价]]&lt;1000,"低价商品",IF(TB[[#This Row],[售价]]&lt;5000,"中价商品",IF(TB[[#This Row],[售价]]&lt;10000,"高价商品","超高价商品")))</f>
        <v>低价商品</v>
      </c>
    </row>
    <row r="661" spans="1:14" x14ac:dyDescent="0.2">
      <c r="A661">
        <v>564</v>
      </c>
      <c r="B661">
        <v>246</v>
      </c>
      <c r="C661" t="s">
        <v>44</v>
      </c>
      <c r="D661" t="s">
        <v>66</v>
      </c>
      <c r="E661" t="s">
        <v>22</v>
      </c>
      <c r="F661">
        <v>1</v>
      </c>
      <c r="G661" t="s">
        <v>13</v>
      </c>
      <c r="H661" s="1">
        <v>45943.125</v>
      </c>
      <c r="I661" s="5">
        <f>INT(TB[[#This Row],[时间戳]])</f>
        <v>45943</v>
      </c>
      <c r="J661" s="2">
        <f>HOUR(TB[[#This Row],[时间戳]])</f>
        <v>3</v>
      </c>
      <c r="K661">
        <v>6253</v>
      </c>
      <c r="L661">
        <v>1</v>
      </c>
      <c r="M661">
        <f>TB[[#This Row],[售价]]*TB[[#This Row],[销量]]</f>
        <v>6253</v>
      </c>
      <c r="N661" t="str">
        <f>IF(TB[[#This Row],[售价]]&lt;1000,"低价商品",IF(TB[[#This Row],[售价]]&lt;5000,"中价商品",IF(TB[[#This Row],[售价]]&lt;10000,"高价商品","超高价商品")))</f>
        <v>高价商品</v>
      </c>
    </row>
    <row r="662" spans="1:14" x14ac:dyDescent="0.2">
      <c r="A662">
        <v>141</v>
      </c>
      <c r="B662">
        <v>215</v>
      </c>
      <c r="C662" t="s">
        <v>36</v>
      </c>
      <c r="D662" t="s">
        <v>265</v>
      </c>
      <c r="E662" t="s">
        <v>31</v>
      </c>
      <c r="F662">
        <v>4</v>
      </c>
      <c r="G662" t="s">
        <v>13</v>
      </c>
      <c r="H662" s="1">
        <v>45943.133333333331</v>
      </c>
      <c r="I662" s="5">
        <f>INT(TB[[#This Row],[时间戳]])</f>
        <v>45943</v>
      </c>
      <c r="J662" s="2">
        <f>HOUR(TB[[#This Row],[时间戳]])</f>
        <v>3</v>
      </c>
      <c r="K662">
        <v>50</v>
      </c>
      <c r="L662">
        <v>3</v>
      </c>
      <c r="M662">
        <f>TB[[#This Row],[售价]]*TB[[#This Row],[销量]]</f>
        <v>150</v>
      </c>
      <c r="N662" t="str">
        <f>IF(TB[[#This Row],[售价]]&lt;1000,"低价商品",IF(TB[[#This Row],[售价]]&lt;5000,"中价商品",IF(TB[[#This Row],[售价]]&lt;10000,"高价商品","超高价商品")))</f>
        <v>低价商品</v>
      </c>
    </row>
    <row r="663" spans="1:14" x14ac:dyDescent="0.2">
      <c r="A663">
        <v>646</v>
      </c>
      <c r="B663">
        <v>279</v>
      </c>
      <c r="C663" t="s">
        <v>20</v>
      </c>
      <c r="D663" t="s">
        <v>340</v>
      </c>
      <c r="E663" t="s">
        <v>19</v>
      </c>
      <c r="F663">
        <v>3</v>
      </c>
      <c r="G663" t="s">
        <v>13</v>
      </c>
      <c r="H663" s="1">
        <v>45943.212500000001</v>
      </c>
      <c r="I663" s="5">
        <f>INT(TB[[#This Row],[时间戳]])</f>
        <v>45943</v>
      </c>
      <c r="J663" s="2">
        <f>HOUR(TB[[#This Row],[时间戳]])</f>
        <v>5</v>
      </c>
      <c r="K663">
        <v>3262</v>
      </c>
      <c r="L663">
        <v>1</v>
      </c>
      <c r="M663">
        <f>TB[[#This Row],[售价]]*TB[[#This Row],[销量]]</f>
        <v>3262</v>
      </c>
      <c r="N663" t="str">
        <f>IF(TB[[#This Row],[售价]]&lt;1000,"低价商品",IF(TB[[#This Row],[售价]]&lt;5000,"中价商品",IF(TB[[#This Row],[售价]]&lt;10000,"高价商品","超高价商品")))</f>
        <v>中价商品</v>
      </c>
    </row>
    <row r="664" spans="1:14" x14ac:dyDescent="0.2">
      <c r="A664">
        <v>368</v>
      </c>
      <c r="B664">
        <v>246</v>
      </c>
      <c r="C664" t="s">
        <v>17</v>
      </c>
      <c r="D664" t="s">
        <v>98</v>
      </c>
      <c r="E664" t="s">
        <v>22</v>
      </c>
      <c r="F664">
        <v>1</v>
      </c>
      <c r="G664" t="s">
        <v>13</v>
      </c>
      <c r="H664" s="1">
        <v>45943.229166666664</v>
      </c>
      <c r="I664" s="5">
        <f>INT(TB[[#This Row],[时间戳]])</f>
        <v>45943</v>
      </c>
      <c r="J664" s="2">
        <f>HOUR(TB[[#This Row],[时间戳]])</f>
        <v>5</v>
      </c>
      <c r="K664">
        <v>7320</v>
      </c>
      <c r="L664">
        <v>2</v>
      </c>
      <c r="M664">
        <f>TB[[#This Row],[售价]]*TB[[#This Row],[销量]]</f>
        <v>14640</v>
      </c>
      <c r="N664" t="str">
        <f>IF(TB[[#This Row],[售价]]&lt;1000,"低价商品",IF(TB[[#This Row],[售价]]&lt;5000,"中价商品",IF(TB[[#This Row],[售价]]&lt;10000,"高价商品","超高价商品")))</f>
        <v>高价商品</v>
      </c>
    </row>
    <row r="665" spans="1:14" x14ac:dyDescent="0.2">
      <c r="A665">
        <v>580</v>
      </c>
      <c r="B665">
        <v>258</v>
      </c>
      <c r="C665" t="s">
        <v>44</v>
      </c>
      <c r="D665" t="s">
        <v>132</v>
      </c>
      <c r="E665" t="s">
        <v>22</v>
      </c>
      <c r="F665">
        <v>1</v>
      </c>
      <c r="G665" t="s">
        <v>13</v>
      </c>
      <c r="H665" s="1">
        <v>45943.234027777777</v>
      </c>
      <c r="I665" s="5">
        <f>INT(TB[[#This Row],[时间戳]])</f>
        <v>45943</v>
      </c>
      <c r="J665" s="2">
        <f>HOUR(TB[[#This Row],[时间戳]])</f>
        <v>5</v>
      </c>
      <c r="K665">
        <v>5660</v>
      </c>
      <c r="L665">
        <v>1</v>
      </c>
      <c r="M665">
        <f>TB[[#This Row],[售价]]*TB[[#This Row],[销量]]</f>
        <v>5660</v>
      </c>
      <c r="N665" t="str">
        <f>IF(TB[[#This Row],[售价]]&lt;1000,"低价商品",IF(TB[[#This Row],[售价]]&lt;5000,"中价商品",IF(TB[[#This Row],[售价]]&lt;10000,"高价商品","超高价商品")))</f>
        <v>高价商品</v>
      </c>
    </row>
    <row r="666" spans="1:14" x14ac:dyDescent="0.2">
      <c r="A666">
        <v>27</v>
      </c>
      <c r="B666">
        <v>164</v>
      </c>
      <c r="C666" t="s">
        <v>36</v>
      </c>
      <c r="D666" t="s">
        <v>318</v>
      </c>
      <c r="E666" t="s">
        <v>16</v>
      </c>
      <c r="F666">
        <v>6</v>
      </c>
      <c r="G666" t="s">
        <v>13</v>
      </c>
      <c r="H666" s="1">
        <v>45943.236111111109</v>
      </c>
      <c r="I666" s="5">
        <f>INT(TB[[#This Row],[时间戳]])</f>
        <v>45943</v>
      </c>
      <c r="J666" s="2">
        <f>HOUR(TB[[#This Row],[时间戳]])</f>
        <v>5</v>
      </c>
      <c r="K666">
        <v>7267</v>
      </c>
      <c r="L666">
        <v>3</v>
      </c>
      <c r="M666">
        <f>TB[[#This Row],[售价]]*TB[[#This Row],[销量]]</f>
        <v>21801</v>
      </c>
      <c r="N666" t="str">
        <f>IF(TB[[#This Row],[售价]]&lt;1000,"低价商品",IF(TB[[#This Row],[售价]]&lt;5000,"中价商品",IF(TB[[#This Row],[售价]]&lt;10000,"高价商品","超高价商品")))</f>
        <v>高价商品</v>
      </c>
    </row>
    <row r="667" spans="1:14" x14ac:dyDescent="0.2">
      <c r="A667">
        <v>484</v>
      </c>
      <c r="B667">
        <v>272</v>
      </c>
      <c r="C667" t="s">
        <v>36</v>
      </c>
      <c r="D667" t="s">
        <v>173</v>
      </c>
      <c r="E667" t="s">
        <v>19</v>
      </c>
      <c r="F667">
        <v>3</v>
      </c>
      <c r="G667" t="s">
        <v>13</v>
      </c>
      <c r="H667" s="1">
        <v>45943.239583333336</v>
      </c>
      <c r="I667" s="5">
        <f>INT(TB[[#This Row],[时间戳]])</f>
        <v>45943</v>
      </c>
      <c r="J667" s="2">
        <f>HOUR(TB[[#This Row],[时间戳]])</f>
        <v>5</v>
      </c>
      <c r="K667">
        <v>3109</v>
      </c>
      <c r="L667">
        <v>2</v>
      </c>
      <c r="M667">
        <f>TB[[#This Row],[售价]]*TB[[#This Row],[销量]]</f>
        <v>6218</v>
      </c>
      <c r="N667" t="str">
        <f>IF(TB[[#This Row],[售价]]&lt;1000,"低价商品",IF(TB[[#This Row],[售价]]&lt;5000,"中价商品",IF(TB[[#This Row],[售价]]&lt;10000,"高价商品","超高价商品")))</f>
        <v>中价商品</v>
      </c>
    </row>
    <row r="668" spans="1:14" x14ac:dyDescent="0.2">
      <c r="A668">
        <v>164</v>
      </c>
      <c r="B668">
        <v>52</v>
      </c>
      <c r="C668" t="s">
        <v>46</v>
      </c>
      <c r="D668" t="s">
        <v>341</v>
      </c>
      <c r="E668" t="s">
        <v>31</v>
      </c>
      <c r="F668">
        <v>4</v>
      </c>
      <c r="G668" t="s">
        <v>13</v>
      </c>
      <c r="H668" s="1">
        <v>45943.244444444441</v>
      </c>
      <c r="I668" s="5">
        <f>INT(TB[[#This Row],[时间戳]])</f>
        <v>45943</v>
      </c>
      <c r="J668" s="2">
        <f>HOUR(TB[[#This Row],[时间戳]])</f>
        <v>5</v>
      </c>
      <c r="K668">
        <v>974</v>
      </c>
      <c r="L668">
        <v>4</v>
      </c>
      <c r="M668">
        <f>TB[[#This Row],[售价]]*TB[[#This Row],[销量]]</f>
        <v>3896</v>
      </c>
      <c r="N668" t="str">
        <f>IF(TB[[#This Row],[售价]]&lt;1000,"低价商品",IF(TB[[#This Row],[售价]]&lt;5000,"中价商品",IF(TB[[#This Row],[售价]]&lt;10000,"高价商品","超高价商品")))</f>
        <v>低价商品</v>
      </c>
    </row>
    <row r="669" spans="1:14" x14ac:dyDescent="0.2">
      <c r="A669">
        <v>547</v>
      </c>
      <c r="B669">
        <v>29</v>
      </c>
      <c r="C669" t="s">
        <v>32</v>
      </c>
      <c r="D669" t="s">
        <v>342</v>
      </c>
      <c r="E669" t="s">
        <v>39</v>
      </c>
      <c r="F669">
        <v>5</v>
      </c>
      <c r="G669" t="s">
        <v>13</v>
      </c>
      <c r="H669" s="1">
        <v>45943.247916666667</v>
      </c>
      <c r="I669" s="5">
        <f>INT(TB[[#This Row],[时间戳]])</f>
        <v>45943</v>
      </c>
      <c r="J669" s="2">
        <f>HOUR(TB[[#This Row],[时间戳]])</f>
        <v>5</v>
      </c>
      <c r="K669">
        <v>1951</v>
      </c>
      <c r="L669">
        <v>3</v>
      </c>
      <c r="M669">
        <f>TB[[#This Row],[售价]]*TB[[#This Row],[销量]]</f>
        <v>5853</v>
      </c>
      <c r="N669" t="str">
        <f>IF(TB[[#This Row],[售价]]&lt;1000,"低价商品",IF(TB[[#This Row],[售价]]&lt;5000,"中价商品",IF(TB[[#This Row],[售价]]&lt;10000,"高价商品","超高价商品")))</f>
        <v>中价商品</v>
      </c>
    </row>
    <row r="670" spans="1:14" x14ac:dyDescent="0.2">
      <c r="A670">
        <v>178</v>
      </c>
      <c r="B670">
        <v>91</v>
      </c>
      <c r="C670" t="s">
        <v>17</v>
      </c>
      <c r="D670" t="s">
        <v>309</v>
      </c>
      <c r="E670" t="s">
        <v>16</v>
      </c>
      <c r="F670">
        <v>6</v>
      </c>
      <c r="G670" t="s">
        <v>13</v>
      </c>
      <c r="H670" s="1">
        <v>45943.251388888886</v>
      </c>
      <c r="I670" s="5">
        <f>INT(TB[[#This Row],[时间戳]])</f>
        <v>45943</v>
      </c>
      <c r="J670" s="2">
        <f>HOUR(TB[[#This Row],[时间戳]])</f>
        <v>6</v>
      </c>
      <c r="K670">
        <v>5688</v>
      </c>
      <c r="L670">
        <v>2</v>
      </c>
      <c r="M670">
        <f>TB[[#This Row],[售价]]*TB[[#This Row],[销量]]</f>
        <v>11376</v>
      </c>
      <c r="N670" t="str">
        <f>IF(TB[[#This Row],[售价]]&lt;1000,"低价商品",IF(TB[[#This Row],[售价]]&lt;5000,"中价商品",IF(TB[[#This Row],[售价]]&lt;10000,"高价商品","超高价商品")))</f>
        <v>高价商品</v>
      </c>
    </row>
    <row r="671" spans="1:14" x14ac:dyDescent="0.2">
      <c r="A671">
        <v>715</v>
      </c>
      <c r="B671">
        <v>184</v>
      </c>
      <c r="C671" t="s">
        <v>34</v>
      </c>
      <c r="D671" t="s">
        <v>232</v>
      </c>
      <c r="E671" t="s">
        <v>22</v>
      </c>
      <c r="F671">
        <v>1</v>
      </c>
      <c r="G671" t="s">
        <v>13</v>
      </c>
      <c r="H671" s="1">
        <v>45943.257638888892</v>
      </c>
      <c r="I671" s="5">
        <f>INT(TB[[#This Row],[时间戳]])</f>
        <v>45943</v>
      </c>
      <c r="J671" s="2">
        <f>HOUR(TB[[#This Row],[时间戳]])</f>
        <v>6</v>
      </c>
      <c r="K671">
        <v>3040</v>
      </c>
      <c r="L671">
        <v>1</v>
      </c>
      <c r="M671">
        <f>TB[[#This Row],[售价]]*TB[[#This Row],[销量]]</f>
        <v>3040</v>
      </c>
      <c r="N671" t="str">
        <f>IF(TB[[#This Row],[售价]]&lt;1000,"低价商品",IF(TB[[#This Row],[售价]]&lt;5000,"中价商品",IF(TB[[#This Row],[售价]]&lt;10000,"高价商品","超高价商品")))</f>
        <v>中价商品</v>
      </c>
    </row>
    <row r="672" spans="1:14" x14ac:dyDescent="0.2">
      <c r="A672">
        <v>578</v>
      </c>
      <c r="B672">
        <v>73</v>
      </c>
      <c r="C672" t="s">
        <v>34</v>
      </c>
      <c r="D672" t="s">
        <v>164</v>
      </c>
      <c r="E672" t="s">
        <v>22</v>
      </c>
      <c r="F672">
        <v>1</v>
      </c>
      <c r="G672" t="s">
        <v>13</v>
      </c>
      <c r="H672" s="1">
        <v>45943.261111111111</v>
      </c>
      <c r="I672" s="5">
        <f>INT(TB[[#This Row],[时间戳]])</f>
        <v>45943</v>
      </c>
      <c r="J672" s="2">
        <f>HOUR(TB[[#This Row],[时间戳]])</f>
        <v>6</v>
      </c>
      <c r="K672">
        <v>5660</v>
      </c>
      <c r="L672">
        <v>5</v>
      </c>
      <c r="M672">
        <f>TB[[#This Row],[售价]]*TB[[#This Row],[销量]]</f>
        <v>28300</v>
      </c>
      <c r="N672" t="str">
        <f>IF(TB[[#This Row],[售价]]&lt;1000,"低价商品",IF(TB[[#This Row],[售价]]&lt;5000,"中价商品",IF(TB[[#This Row],[售价]]&lt;10000,"高价商品","超高价商品")))</f>
        <v>高价商品</v>
      </c>
    </row>
    <row r="673" spans="1:14" x14ac:dyDescent="0.2">
      <c r="A673">
        <v>317</v>
      </c>
      <c r="B673">
        <v>90</v>
      </c>
      <c r="C673" t="s">
        <v>44</v>
      </c>
      <c r="D673" t="s">
        <v>301</v>
      </c>
      <c r="E673" t="s">
        <v>22</v>
      </c>
      <c r="F673">
        <v>1</v>
      </c>
      <c r="G673" t="s">
        <v>13</v>
      </c>
      <c r="H673" s="1">
        <v>45943.302777777775</v>
      </c>
      <c r="I673" s="5">
        <f>INT(TB[[#This Row],[时间戳]])</f>
        <v>45943</v>
      </c>
      <c r="J673" s="2">
        <f>HOUR(TB[[#This Row],[时间戳]])</f>
        <v>7</v>
      </c>
      <c r="K673">
        <v>5508</v>
      </c>
      <c r="L673">
        <v>3</v>
      </c>
      <c r="M673">
        <f>TB[[#This Row],[售价]]*TB[[#This Row],[销量]]</f>
        <v>16524</v>
      </c>
      <c r="N673" t="str">
        <f>IF(TB[[#This Row],[售价]]&lt;1000,"低价商品",IF(TB[[#This Row],[售价]]&lt;5000,"中价商品",IF(TB[[#This Row],[售价]]&lt;10000,"高价商品","超高价商品")))</f>
        <v>高价商品</v>
      </c>
    </row>
    <row r="674" spans="1:14" x14ac:dyDescent="0.2">
      <c r="A674">
        <v>239</v>
      </c>
      <c r="B674">
        <v>113</v>
      </c>
      <c r="C674" t="s">
        <v>14</v>
      </c>
      <c r="D674" t="s">
        <v>343</v>
      </c>
      <c r="E674" t="s">
        <v>39</v>
      </c>
      <c r="F674">
        <v>5</v>
      </c>
      <c r="G674" t="s">
        <v>13</v>
      </c>
      <c r="H674" s="1">
        <v>45943.304861111108</v>
      </c>
      <c r="I674" s="5">
        <f>INT(TB[[#This Row],[时间戳]])</f>
        <v>45943</v>
      </c>
      <c r="J674" s="2">
        <f>HOUR(TB[[#This Row],[时间戳]])</f>
        <v>7</v>
      </c>
      <c r="K674">
        <v>2627</v>
      </c>
      <c r="L674">
        <v>1</v>
      </c>
      <c r="M674">
        <f>TB[[#This Row],[售价]]*TB[[#This Row],[销量]]</f>
        <v>2627</v>
      </c>
      <c r="N674" t="str">
        <f>IF(TB[[#This Row],[售价]]&lt;1000,"低价商品",IF(TB[[#This Row],[售价]]&lt;5000,"中价商品",IF(TB[[#This Row],[售价]]&lt;10000,"高价商品","超高价商品")))</f>
        <v>中价商品</v>
      </c>
    </row>
    <row r="675" spans="1:14" x14ac:dyDescent="0.2">
      <c r="A675">
        <v>340</v>
      </c>
      <c r="B675">
        <v>104</v>
      </c>
      <c r="C675" t="s">
        <v>44</v>
      </c>
      <c r="D675" t="s">
        <v>59</v>
      </c>
      <c r="E675" t="s">
        <v>22</v>
      </c>
      <c r="F675">
        <v>1</v>
      </c>
      <c r="G675" t="s">
        <v>13</v>
      </c>
      <c r="H675" s="1">
        <v>45943.318055555559</v>
      </c>
      <c r="I675" s="5">
        <f>INT(TB[[#This Row],[时间戳]])</f>
        <v>45943</v>
      </c>
      <c r="J675" s="2">
        <f>HOUR(TB[[#This Row],[时间戳]])</f>
        <v>7</v>
      </c>
      <c r="K675">
        <v>1232</v>
      </c>
      <c r="L675">
        <v>3</v>
      </c>
      <c r="M675">
        <f>TB[[#This Row],[售价]]*TB[[#This Row],[销量]]</f>
        <v>3696</v>
      </c>
      <c r="N675" t="str">
        <f>IF(TB[[#This Row],[售价]]&lt;1000,"低价商品",IF(TB[[#This Row],[售价]]&lt;5000,"中价商品",IF(TB[[#This Row],[售价]]&lt;10000,"高价商品","超高价商品")))</f>
        <v>中价商品</v>
      </c>
    </row>
    <row r="676" spans="1:14" x14ac:dyDescent="0.2">
      <c r="A676">
        <v>61</v>
      </c>
      <c r="B676">
        <v>12</v>
      </c>
      <c r="C676" t="s">
        <v>26</v>
      </c>
      <c r="D676" t="s">
        <v>344</v>
      </c>
      <c r="E676" t="s">
        <v>25</v>
      </c>
      <c r="F676">
        <v>7</v>
      </c>
      <c r="G676" t="s">
        <v>13</v>
      </c>
      <c r="H676" s="1">
        <v>45943.327777777777</v>
      </c>
      <c r="I676" s="5">
        <f>INT(TB[[#This Row],[时间戳]])</f>
        <v>45943</v>
      </c>
      <c r="J676" s="2">
        <f>HOUR(TB[[#This Row],[时间戳]])</f>
        <v>7</v>
      </c>
      <c r="K676">
        <v>2542</v>
      </c>
      <c r="L676">
        <v>1</v>
      </c>
      <c r="M676">
        <f>TB[[#This Row],[售价]]*TB[[#This Row],[销量]]</f>
        <v>2542</v>
      </c>
      <c r="N676" t="str">
        <f>IF(TB[[#This Row],[售价]]&lt;1000,"低价商品",IF(TB[[#This Row],[售价]]&lt;5000,"中价商品",IF(TB[[#This Row],[售价]]&lt;10000,"高价商品","超高价商品")))</f>
        <v>中价商品</v>
      </c>
    </row>
    <row r="677" spans="1:14" x14ac:dyDescent="0.2">
      <c r="A677">
        <v>539</v>
      </c>
      <c r="B677">
        <v>187</v>
      </c>
      <c r="C677" t="s">
        <v>26</v>
      </c>
      <c r="D677" t="s">
        <v>271</v>
      </c>
      <c r="E677" t="s">
        <v>25</v>
      </c>
      <c r="F677">
        <v>7</v>
      </c>
      <c r="G677" t="s">
        <v>13</v>
      </c>
      <c r="H677" s="1">
        <v>45943.402083333334</v>
      </c>
      <c r="I677" s="5">
        <f>INT(TB[[#This Row],[时间戳]])</f>
        <v>45943</v>
      </c>
      <c r="J677" s="2">
        <f>HOUR(TB[[#This Row],[时间戳]])</f>
        <v>9</v>
      </c>
      <c r="K677">
        <v>2810</v>
      </c>
      <c r="L677">
        <v>2</v>
      </c>
      <c r="M677">
        <f>TB[[#This Row],[售价]]*TB[[#This Row],[销量]]</f>
        <v>5620</v>
      </c>
      <c r="N677" t="str">
        <f>IF(TB[[#This Row],[售价]]&lt;1000,"低价商品",IF(TB[[#This Row],[售价]]&lt;5000,"中价商品",IF(TB[[#This Row],[售价]]&lt;10000,"高价商品","超高价商品")))</f>
        <v>中价商品</v>
      </c>
    </row>
    <row r="678" spans="1:14" x14ac:dyDescent="0.2">
      <c r="A678">
        <v>104</v>
      </c>
      <c r="B678">
        <v>173</v>
      </c>
      <c r="C678" t="s">
        <v>17</v>
      </c>
      <c r="D678" t="s">
        <v>255</v>
      </c>
      <c r="E678" t="s">
        <v>31</v>
      </c>
      <c r="F678">
        <v>4</v>
      </c>
      <c r="G678" t="s">
        <v>42</v>
      </c>
      <c r="H678" s="1">
        <v>45943.404166666667</v>
      </c>
      <c r="I678" s="5">
        <f>INT(TB[[#This Row],[时间戳]])</f>
        <v>45943</v>
      </c>
      <c r="J678" s="2">
        <f>HOUR(TB[[#This Row],[时间戳]])</f>
        <v>9</v>
      </c>
      <c r="K678">
        <v>189</v>
      </c>
      <c r="L678">
        <v>0</v>
      </c>
      <c r="M678">
        <f>TB[[#This Row],[售价]]*TB[[#This Row],[销量]]</f>
        <v>0</v>
      </c>
      <c r="N678" t="str">
        <f>IF(TB[[#This Row],[售价]]&lt;1000,"低价商品",IF(TB[[#This Row],[售价]]&lt;5000,"中价商品",IF(TB[[#This Row],[售价]]&lt;10000,"高价商品","超高价商品")))</f>
        <v>低价商品</v>
      </c>
    </row>
    <row r="679" spans="1:14" x14ac:dyDescent="0.2">
      <c r="A679">
        <v>750</v>
      </c>
      <c r="B679">
        <v>224</v>
      </c>
      <c r="C679" t="s">
        <v>26</v>
      </c>
      <c r="D679" t="s">
        <v>345</v>
      </c>
      <c r="E679" t="s">
        <v>12</v>
      </c>
      <c r="F679">
        <v>2</v>
      </c>
      <c r="G679" t="s">
        <v>13</v>
      </c>
      <c r="H679" s="1">
        <v>45943.413888888892</v>
      </c>
      <c r="I679" s="5">
        <f>INT(TB[[#This Row],[时间戳]])</f>
        <v>45943</v>
      </c>
      <c r="J679" s="2">
        <f>HOUR(TB[[#This Row],[时间戳]])</f>
        <v>9</v>
      </c>
      <c r="K679">
        <v>8909</v>
      </c>
      <c r="L679">
        <v>1</v>
      </c>
      <c r="M679">
        <f>TB[[#This Row],[售价]]*TB[[#This Row],[销量]]</f>
        <v>8909</v>
      </c>
      <c r="N679" t="str">
        <f>IF(TB[[#This Row],[售价]]&lt;1000,"低价商品",IF(TB[[#This Row],[售价]]&lt;5000,"中价商品",IF(TB[[#This Row],[售价]]&lt;10000,"高价商品","超高价商品")))</f>
        <v>高价商品</v>
      </c>
    </row>
    <row r="680" spans="1:14" x14ac:dyDescent="0.2">
      <c r="A680">
        <v>725</v>
      </c>
      <c r="B680">
        <v>288</v>
      </c>
      <c r="C680" t="s">
        <v>34</v>
      </c>
      <c r="D680" t="s">
        <v>82</v>
      </c>
      <c r="E680" t="s">
        <v>31</v>
      </c>
      <c r="F680">
        <v>4</v>
      </c>
      <c r="G680" t="s">
        <v>13</v>
      </c>
      <c r="H680" s="1">
        <v>45943.477777777778</v>
      </c>
      <c r="I680" s="5">
        <f>INT(TB[[#This Row],[时间戳]])</f>
        <v>45943</v>
      </c>
      <c r="J680" s="2">
        <f>HOUR(TB[[#This Row],[时间戳]])</f>
        <v>11</v>
      </c>
      <c r="K680">
        <v>1408</v>
      </c>
      <c r="L680">
        <v>1</v>
      </c>
      <c r="M680">
        <f>TB[[#This Row],[售价]]*TB[[#This Row],[销量]]</f>
        <v>1408</v>
      </c>
      <c r="N680" t="str">
        <f>IF(TB[[#This Row],[售价]]&lt;1000,"低价商品",IF(TB[[#This Row],[售价]]&lt;5000,"中价商品",IF(TB[[#This Row],[售价]]&lt;10000,"高价商品","超高价商品")))</f>
        <v>中价商品</v>
      </c>
    </row>
    <row r="681" spans="1:14" x14ac:dyDescent="0.2">
      <c r="A681">
        <v>604</v>
      </c>
      <c r="B681">
        <v>90</v>
      </c>
      <c r="C681" t="s">
        <v>32</v>
      </c>
      <c r="D681" t="s">
        <v>251</v>
      </c>
      <c r="E681" t="s">
        <v>12</v>
      </c>
      <c r="F681">
        <v>2</v>
      </c>
      <c r="G681" t="s">
        <v>13</v>
      </c>
      <c r="H681" s="1">
        <v>45943.515277777777</v>
      </c>
      <c r="I681" s="5">
        <f>INT(TB[[#This Row],[时间戳]])</f>
        <v>45943</v>
      </c>
      <c r="J681" s="2">
        <f>HOUR(TB[[#This Row],[时间戳]])</f>
        <v>12</v>
      </c>
      <c r="K681">
        <v>14037</v>
      </c>
      <c r="L681">
        <v>3</v>
      </c>
      <c r="M681">
        <f>TB[[#This Row],[售价]]*TB[[#This Row],[销量]]</f>
        <v>42111</v>
      </c>
      <c r="N681" t="str">
        <f>IF(TB[[#This Row],[售价]]&lt;1000,"低价商品",IF(TB[[#This Row],[售价]]&lt;5000,"中价商品",IF(TB[[#This Row],[售价]]&lt;10000,"高价商品","超高价商品")))</f>
        <v>超高价商品</v>
      </c>
    </row>
    <row r="682" spans="1:14" x14ac:dyDescent="0.2">
      <c r="A682">
        <v>182</v>
      </c>
      <c r="B682">
        <v>1</v>
      </c>
      <c r="C682" t="s">
        <v>36</v>
      </c>
      <c r="D682" t="s">
        <v>317</v>
      </c>
      <c r="E682" t="s">
        <v>19</v>
      </c>
      <c r="F682">
        <v>3</v>
      </c>
      <c r="G682" t="s">
        <v>13</v>
      </c>
      <c r="H682" s="1">
        <v>45943.546527777777</v>
      </c>
      <c r="I682" s="5">
        <f>INT(TB[[#This Row],[时间戳]])</f>
        <v>45943</v>
      </c>
      <c r="J682" s="2">
        <f>HOUR(TB[[#This Row],[时间戳]])</f>
        <v>13</v>
      </c>
      <c r="K682">
        <v>4556</v>
      </c>
      <c r="L682">
        <v>4</v>
      </c>
      <c r="M682">
        <f>TB[[#This Row],[售价]]*TB[[#This Row],[销量]]</f>
        <v>18224</v>
      </c>
      <c r="N682" t="str">
        <f>IF(TB[[#This Row],[售价]]&lt;1000,"低价商品",IF(TB[[#This Row],[售价]]&lt;5000,"中价商品",IF(TB[[#This Row],[售价]]&lt;10000,"高价商品","超高价商品")))</f>
        <v>中价商品</v>
      </c>
    </row>
    <row r="683" spans="1:14" x14ac:dyDescent="0.2">
      <c r="A683">
        <v>34</v>
      </c>
      <c r="B683">
        <v>94</v>
      </c>
      <c r="C683" t="s">
        <v>17</v>
      </c>
      <c r="D683" t="s">
        <v>255</v>
      </c>
      <c r="E683" t="s">
        <v>31</v>
      </c>
      <c r="F683">
        <v>4</v>
      </c>
      <c r="G683" t="s">
        <v>13</v>
      </c>
      <c r="H683" s="1">
        <v>45943.551388888889</v>
      </c>
      <c r="I683" s="5">
        <f>INT(TB[[#This Row],[时间戳]])</f>
        <v>45943</v>
      </c>
      <c r="J683" s="2">
        <f>HOUR(TB[[#This Row],[时间戳]])</f>
        <v>13</v>
      </c>
      <c r="K683">
        <v>1500</v>
      </c>
      <c r="L683">
        <v>3</v>
      </c>
      <c r="M683">
        <f>TB[[#This Row],[售价]]*TB[[#This Row],[销量]]</f>
        <v>4500</v>
      </c>
      <c r="N683" t="str">
        <f>IF(TB[[#This Row],[售价]]&lt;1000,"低价商品",IF(TB[[#This Row],[售价]]&lt;5000,"中价商品",IF(TB[[#This Row],[售价]]&lt;10000,"高价商品","超高价商品")))</f>
        <v>中价商品</v>
      </c>
    </row>
    <row r="684" spans="1:14" x14ac:dyDescent="0.2">
      <c r="A684">
        <v>655</v>
      </c>
      <c r="B684">
        <v>290</v>
      </c>
      <c r="C684" t="s">
        <v>46</v>
      </c>
      <c r="D684" t="s">
        <v>231</v>
      </c>
      <c r="E684" t="s">
        <v>16</v>
      </c>
      <c r="F684">
        <v>6</v>
      </c>
      <c r="G684" t="s">
        <v>13</v>
      </c>
      <c r="H684" s="1">
        <v>45943.554861111108</v>
      </c>
      <c r="I684" s="5">
        <f>INT(TB[[#This Row],[时间戳]])</f>
        <v>45943</v>
      </c>
      <c r="J684" s="2">
        <f>HOUR(TB[[#This Row],[时间戳]])</f>
        <v>13</v>
      </c>
      <c r="K684">
        <v>11831</v>
      </c>
      <c r="L684">
        <v>4</v>
      </c>
      <c r="M684">
        <f>TB[[#This Row],[售价]]*TB[[#This Row],[销量]]</f>
        <v>47324</v>
      </c>
      <c r="N684" t="str">
        <f>IF(TB[[#This Row],[售价]]&lt;1000,"低价商品",IF(TB[[#This Row],[售价]]&lt;5000,"中价商品",IF(TB[[#This Row],[售价]]&lt;10000,"高价商品","超高价商品")))</f>
        <v>超高价商品</v>
      </c>
    </row>
    <row r="685" spans="1:14" x14ac:dyDescent="0.2">
      <c r="A685">
        <v>764</v>
      </c>
      <c r="B685">
        <v>40</v>
      </c>
      <c r="C685" t="s">
        <v>26</v>
      </c>
      <c r="D685" t="s">
        <v>227</v>
      </c>
      <c r="E685" t="s">
        <v>12</v>
      </c>
      <c r="F685">
        <v>2</v>
      </c>
      <c r="G685" t="s">
        <v>42</v>
      </c>
      <c r="H685" s="1">
        <v>45943.575694444444</v>
      </c>
      <c r="I685" s="5">
        <f>INT(TB[[#This Row],[时间戳]])</f>
        <v>45943</v>
      </c>
      <c r="J685" s="2">
        <f>HOUR(TB[[#This Row],[时间戳]])</f>
        <v>13</v>
      </c>
      <c r="K685">
        <v>5759</v>
      </c>
      <c r="L685">
        <v>0</v>
      </c>
      <c r="M685">
        <f>TB[[#This Row],[售价]]*TB[[#This Row],[销量]]</f>
        <v>0</v>
      </c>
      <c r="N685" t="str">
        <f>IF(TB[[#This Row],[售价]]&lt;1000,"低价商品",IF(TB[[#This Row],[售价]]&lt;5000,"中价商品",IF(TB[[#This Row],[售价]]&lt;10000,"高价商品","超高价商品")))</f>
        <v>高价商品</v>
      </c>
    </row>
    <row r="686" spans="1:14" x14ac:dyDescent="0.2">
      <c r="A686">
        <v>652</v>
      </c>
      <c r="B686">
        <v>46</v>
      </c>
      <c r="C686" t="s">
        <v>34</v>
      </c>
      <c r="D686" t="s">
        <v>82</v>
      </c>
      <c r="E686" t="s">
        <v>31</v>
      </c>
      <c r="F686">
        <v>4</v>
      </c>
      <c r="G686" t="s">
        <v>13</v>
      </c>
      <c r="H686" s="1">
        <v>45943.624305555553</v>
      </c>
      <c r="I686" s="5">
        <f>INT(TB[[#This Row],[时间戳]])</f>
        <v>45943</v>
      </c>
      <c r="J686" s="2">
        <f>HOUR(TB[[#This Row],[时间戳]])</f>
        <v>14</v>
      </c>
      <c r="K686">
        <v>514</v>
      </c>
      <c r="L686">
        <v>2</v>
      </c>
      <c r="M686">
        <f>TB[[#This Row],[售价]]*TB[[#This Row],[销量]]</f>
        <v>1028</v>
      </c>
      <c r="N686" t="str">
        <f>IF(TB[[#This Row],[售价]]&lt;1000,"低价商品",IF(TB[[#This Row],[售价]]&lt;5000,"中价商品",IF(TB[[#This Row],[售价]]&lt;10000,"高价商品","超高价商品")))</f>
        <v>低价商品</v>
      </c>
    </row>
    <row r="687" spans="1:14" x14ac:dyDescent="0.2">
      <c r="A687">
        <v>12</v>
      </c>
      <c r="B687">
        <v>136</v>
      </c>
      <c r="C687" t="s">
        <v>34</v>
      </c>
      <c r="D687" t="s">
        <v>346</v>
      </c>
      <c r="E687" t="s">
        <v>22</v>
      </c>
      <c r="F687">
        <v>1</v>
      </c>
      <c r="G687" t="s">
        <v>13</v>
      </c>
      <c r="H687" s="1">
        <v>45943.638888888891</v>
      </c>
      <c r="I687" s="5">
        <f>INT(TB[[#This Row],[时间戳]])</f>
        <v>45943</v>
      </c>
      <c r="J687" s="2">
        <f>HOUR(TB[[#This Row],[时间戳]])</f>
        <v>15</v>
      </c>
      <c r="K687">
        <v>7893</v>
      </c>
      <c r="L687">
        <v>2</v>
      </c>
      <c r="M687">
        <f>TB[[#This Row],[售价]]*TB[[#This Row],[销量]]</f>
        <v>15786</v>
      </c>
      <c r="N687" t="str">
        <f>IF(TB[[#This Row],[售价]]&lt;1000,"低价商品",IF(TB[[#This Row],[售价]]&lt;5000,"中价商品",IF(TB[[#This Row],[售价]]&lt;10000,"高价商品","超高价商品")))</f>
        <v>高价商品</v>
      </c>
    </row>
    <row r="688" spans="1:14" x14ac:dyDescent="0.2">
      <c r="A688">
        <v>263</v>
      </c>
      <c r="B688">
        <v>56</v>
      </c>
      <c r="C688" t="s">
        <v>14</v>
      </c>
      <c r="D688" t="s">
        <v>124</v>
      </c>
      <c r="E688" t="s">
        <v>19</v>
      </c>
      <c r="F688">
        <v>3</v>
      </c>
      <c r="G688" t="s">
        <v>13</v>
      </c>
      <c r="H688" s="1">
        <v>45943.654861111114</v>
      </c>
      <c r="I688" s="5">
        <f>INT(TB[[#This Row],[时间戳]])</f>
        <v>45943</v>
      </c>
      <c r="J688" s="2">
        <f>HOUR(TB[[#This Row],[时间戳]])</f>
        <v>15</v>
      </c>
      <c r="K688">
        <v>3144</v>
      </c>
      <c r="L688">
        <v>1</v>
      </c>
      <c r="M688">
        <f>TB[[#This Row],[售价]]*TB[[#This Row],[销量]]</f>
        <v>3144</v>
      </c>
      <c r="N688" t="str">
        <f>IF(TB[[#This Row],[售价]]&lt;1000,"低价商品",IF(TB[[#This Row],[售价]]&lt;5000,"中价商品",IF(TB[[#This Row],[售价]]&lt;10000,"高价商品","超高价商品")))</f>
        <v>中价商品</v>
      </c>
    </row>
    <row r="689" spans="1:14" x14ac:dyDescent="0.2">
      <c r="A689">
        <v>751</v>
      </c>
      <c r="B689">
        <v>215</v>
      </c>
      <c r="C689" t="s">
        <v>17</v>
      </c>
      <c r="D689" t="s">
        <v>137</v>
      </c>
      <c r="E689" t="s">
        <v>31</v>
      </c>
      <c r="F689">
        <v>4</v>
      </c>
      <c r="G689" t="s">
        <v>13</v>
      </c>
      <c r="H689" s="1">
        <v>45943.661111111112</v>
      </c>
      <c r="I689" s="5">
        <f>INT(TB[[#This Row],[时间戳]])</f>
        <v>45943</v>
      </c>
      <c r="J689" s="2">
        <f>HOUR(TB[[#This Row],[时间戳]])</f>
        <v>15</v>
      </c>
      <c r="K689">
        <v>50</v>
      </c>
      <c r="L689">
        <v>1</v>
      </c>
      <c r="M689">
        <f>TB[[#This Row],[售价]]*TB[[#This Row],[销量]]</f>
        <v>50</v>
      </c>
      <c r="N689" t="str">
        <f>IF(TB[[#This Row],[售价]]&lt;1000,"低价商品",IF(TB[[#This Row],[售价]]&lt;5000,"中价商品",IF(TB[[#This Row],[售价]]&lt;10000,"高价商品","超高价商品")))</f>
        <v>低价商品</v>
      </c>
    </row>
    <row r="690" spans="1:14" x14ac:dyDescent="0.2">
      <c r="A690">
        <v>360</v>
      </c>
      <c r="B690">
        <v>280</v>
      </c>
      <c r="C690" t="s">
        <v>44</v>
      </c>
      <c r="D690" t="s">
        <v>163</v>
      </c>
      <c r="E690" t="s">
        <v>12</v>
      </c>
      <c r="F690">
        <v>2</v>
      </c>
      <c r="G690" t="s">
        <v>13</v>
      </c>
      <c r="H690" s="1">
        <v>45943.6875</v>
      </c>
      <c r="I690" s="5">
        <f>INT(TB[[#This Row],[时间戳]])</f>
        <v>45943</v>
      </c>
      <c r="J690" s="2">
        <f>HOUR(TB[[#This Row],[时间戳]])</f>
        <v>16</v>
      </c>
      <c r="K690">
        <v>6736</v>
      </c>
      <c r="L690">
        <v>1</v>
      </c>
      <c r="M690">
        <f>TB[[#This Row],[售价]]*TB[[#This Row],[销量]]</f>
        <v>6736</v>
      </c>
      <c r="N690" t="str">
        <f>IF(TB[[#This Row],[售价]]&lt;1000,"低价商品",IF(TB[[#This Row],[售价]]&lt;5000,"中价商品",IF(TB[[#This Row],[售价]]&lt;10000,"高价商品","超高价商品")))</f>
        <v>高价商品</v>
      </c>
    </row>
    <row r="691" spans="1:14" x14ac:dyDescent="0.2">
      <c r="A691">
        <v>667</v>
      </c>
      <c r="B691">
        <v>116</v>
      </c>
      <c r="C691" t="s">
        <v>44</v>
      </c>
      <c r="D691" t="s">
        <v>301</v>
      </c>
      <c r="E691" t="s">
        <v>22</v>
      </c>
      <c r="F691">
        <v>1</v>
      </c>
      <c r="G691" t="s">
        <v>13</v>
      </c>
      <c r="H691" s="1">
        <v>45943.691666666666</v>
      </c>
      <c r="I691" s="5">
        <f>INT(TB[[#This Row],[时间戳]])</f>
        <v>45943</v>
      </c>
      <c r="J691" s="2">
        <f>HOUR(TB[[#This Row],[时间戳]])</f>
        <v>16</v>
      </c>
      <c r="K691">
        <v>3925</v>
      </c>
      <c r="L691">
        <v>5</v>
      </c>
      <c r="M691">
        <f>TB[[#This Row],[售价]]*TB[[#This Row],[销量]]</f>
        <v>19625</v>
      </c>
      <c r="N691" t="str">
        <f>IF(TB[[#This Row],[售价]]&lt;1000,"低价商品",IF(TB[[#This Row],[售价]]&lt;5000,"中价商品",IF(TB[[#This Row],[售价]]&lt;10000,"高价商品","超高价商品")))</f>
        <v>中价商品</v>
      </c>
    </row>
    <row r="692" spans="1:14" x14ac:dyDescent="0.2">
      <c r="A692">
        <v>302</v>
      </c>
      <c r="B692">
        <v>11</v>
      </c>
      <c r="C692" t="s">
        <v>14</v>
      </c>
      <c r="D692" t="s">
        <v>282</v>
      </c>
      <c r="E692" t="s">
        <v>19</v>
      </c>
      <c r="F692">
        <v>3</v>
      </c>
      <c r="G692" t="s">
        <v>13</v>
      </c>
      <c r="H692" s="1">
        <v>45943.698611111111</v>
      </c>
      <c r="I692" s="5">
        <f>INT(TB[[#This Row],[时间戳]])</f>
        <v>45943</v>
      </c>
      <c r="J692" s="2">
        <f>HOUR(TB[[#This Row],[时间戳]])</f>
        <v>16</v>
      </c>
      <c r="K692">
        <v>2863</v>
      </c>
      <c r="L692">
        <v>1</v>
      </c>
      <c r="M692">
        <f>TB[[#This Row],[售价]]*TB[[#This Row],[销量]]</f>
        <v>2863</v>
      </c>
      <c r="N692" t="str">
        <f>IF(TB[[#This Row],[售价]]&lt;1000,"低价商品",IF(TB[[#This Row],[售价]]&lt;5000,"中价商品",IF(TB[[#This Row],[售价]]&lt;10000,"高价商品","超高价商品")))</f>
        <v>中价商品</v>
      </c>
    </row>
    <row r="693" spans="1:14" x14ac:dyDescent="0.2">
      <c r="A693">
        <v>351</v>
      </c>
      <c r="B693">
        <v>88</v>
      </c>
      <c r="C693" t="s">
        <v>14</v>
      </c>
      <c r="D693" t="s">
        <v>30</v>
      </c>
      <c r="E693" t="s">
        <v>31</v>
      </c>
      <c r="F693">
        <v>4</v>
      </c>
      <c r="G693" t="s">
        <v>13</v>
      </c>
      <c r="H693" s="1">
        <v>45943.709027777775</v>
      </c>
      <c r="I693" s="5">
        <f>INT(TB[[#This Row],[时间戳]])</f>
        <v>45943</v>
      </c>
      <c r="J693" s="2">
        <f>HOUR(TB[[#This Row],[时间戳]])</f>
        <v>17</v>
      </c>
      <c r="K693">
        <v>635</v>
      </c>
      <c r="L693">
        <v>2</v>
      </c>
      <c r="M693">
        <f>TB[[#This Row],[售价]]*TB[[#This Row],[销量]]</f>
        <v>1270</v>
      </c>
      <c r="N693" t="str">
        <f>IF(TB[[#This Row],[售价]]&lt;1000,"低价商品",IF(TB[[#This Row],[售价]]&lt;5000,"中价商品",IF(TB[[#This Row],[售价]]&lt;10000,"高价商品","超高价商品")))</f>
        <v>低价商品</v>
      </c>
    </row>
    <row r="694" spans="1:14" x14ac:dyDescent="0.2">
      <c r="A694">
        <v>96</v>
      </c>
      <c r="B694">
        <v>174</v>
      </c>
      <c r="C694" t="s">
        <v>14</v>
      </c>
      <c r="D694" t="s">
        <v>178</v>
      </c>
      <c r="E694" t="s">
        <v>12</v>
      </c>
      <c r="F694">
        <v>2</v>
      </c>
      <c r="G694" t="s">
        <v>13</v>
      </c>
      <c r="H694" s="1">
        <v>45943.722222222219</v>
      </c>
      <c r="I694" s="5">
        <f>INT(TB[[#This Row],[时间戳]])</f>
        <v>45943</v>
      </c>
      <c r="J694" s="2">
        <f>HOUR(TB[[#This Row],[时间戳]])</f>
        <v>17</v>
      </c>
      <c r="K694">
        <v>10033</v>
      </c>
      <c r="L694">
        <v>3</v>
      </c>
      <c r="M694">
        <f>TB[[#This Row],[售价]]*TB[[#This Row],[销量]]</f>
        <v>30099</v>
      </c>
      <c r="N694" t="str">
        <f>IF(TB[[#This Row],[售价]]&lt;1000,"低价商品",IF(TB[[#This Row],[售价]]&lt;5000,"中价商品",IF(TB[[#This Row],[售价]]&lt;10000,"高价商品","超高价商品")))</f>
        <v>超高价商品</v>
      </c>
    </row>
    <row r="695" spans="1:14" x14ac:dyDescent="0.2">
      <c r="A695">
        <v>442</v>
      </c>
      <c r="B695">
        <v>85</v>
      </c>
      <c r="C695" t="s">
        <v>44</v>
      </c>
      <c r="D695" t="s">
        <v>347</v>
      </c>
      <c r="E695" t="s">
        <v>39</v>
      </c>
      <c r="F695">
        <v>5</v>
      </c>
      <c r="G695" t="s">
        <v>13</v>
      </c>
      <c r="H695" s="1">
        <v>45943.727083333331</v>
      </c>
      <c r="I695" s="5">
        <f>INT(TB[[#This Row],[时间戳]])</f>
        <v>45943</v>
      </c>
      <c r="J695" s="2">
        <f>HOUR(TB[[#This Row],[时间戳]])</f>
        <v>17</v>
      </c>
      <c r="K695">
        <v>3347</v>
      </c>
      <c r="L695">
        <v>3</v>
      </c>
      <c r="M695">
        <f>TB[[#This Row],[售价]]*TB[[#This Row],[销量]]</f>
        <v>10041</v>
      </c>
      <c r="N695" t="str">
        <f>IF(TB[[#This Row],[售价]]&lt;1000,"低价商品",IF(TB[[#This Row],[售价]]&lt;5000,"中价商品",IF(TB[[#This Row],[售价]]&lt;10000,"高价商品","超高价商品")))</f>
        <v>中价商品</v>
      </c>
    </row>
    <row r="696" spans="1:14" x14ac:dyDescent="0.2">
      <c r="A696">
        <v>104</v>
      </c>
      <c r="B696">
        <v>170</v>
      </c>
      <c r="C696" t="s">
        <v>26</v>
      </c>
      <c r="D696" t="s">
        <v>225</v>
      </c>
      <c r="E696" t="s">
        <v>31</v>
      </c>
      <c r="F696">
        <v>4</v>
      </c>
      <c r="G696" t="s">
        <v>13</v>
      </c>
      <c r="H696" s="1">
        <v>45943.729166666664</v>
      </c>
      <c r="I696" s="5">
        <f>INT(TB[[#This Row],[时间戳]])</f>
        <v>45943</v>
      </c>
      <c r="J696" s="2">
        <f>HOUR(TB[[#This Row],[时间戳]])</f>
        <v>17</v>
      </c>
      <c r="K696">
        <v>1315</v>
      </c>
      <c r="L696">
        <v>2</v>
      </c>
      <c r="M696">
        <f>TB[[#This Row],[售价]]*TB[[#This Row],[销量]]</f>
        <v>2630</v>
      </c>
      <c r="N696" t="str">
        <f>IF(TB[[#This Row],[售价]]&lt;1000,"低价商品",IF(TB[[#This Row],[售价]]&lt;5000,"中价商品",IF(TB[[#This Row],[售价]]&lt;10000,"高价商品","超高价商品")))</f>
        <v>中价商品</v>
      </c>
    </row>
    <row r="697" spans="1:14" x14ac:dyDescent="0.2">
      <c r="A697">
        <v>568</v>
      </c>
      <c r="B697">
        <v>277</v>
      </c>
      <c r="C697" t="s">
        <v>17</v>
      </c>
      <c r="D697" t="s">
        <v>98</v>
      </c>
      <c r="E697" t="s">
        <v>22</v>
      </c>
      <c r="F697">
        <v>1</v>
      </c>
      <c r="G697" t="s">
        <v>42</v>
      </c>
      <c r="H697" s="1">
        <v>45943.746527777781</v>
      </c>
      <c r="I697" s="5">
        <f>INT(TB[[#This Row],[时间戳]])</f>
        <v>45943</v>
      </c>
      <c r="J697" s="2">
        <f>HOUR(TB[[#This Row],[时间戳]])</f>
        <v>17</v>
      </c>
      <c r="K697">
        <v>2580</v>
      </c>
      <c r="L697">
        <v>0</v>
      </c>
      <c r="M697">
        <f>TB[[#This Row],[售价]]*TB[[#This Row],[销量]]</f>
        <v>0</v>
      </c>
      <c r="N697" t="str">
        <f>IF(TB[[#This Row],[售价]]&lt;1000,"低价商品",IF(TB[[#This Row],[售价]]&lt;5000,"中价商品",IF(TB[[#This Row],[售价]]&lt;10000,"高价商品","超高价商品")))</f>
        <v>中价商品</v>
      </c>
    </row>
    <row r="698" spans="1:14" x14ac:dyDescent="0.2">
      <c r="A698">
        <v>244</v>
      </c>
      <c r="B698">
        <v>50</v>
      </c>
      <c r="C698" t="s">
        <v>36</v>
      </c>
      <c r="D698" t="s">
        <v>210</v>
      </c>
      <c r="E698" t="s">
        <v>31</v>
      </c>
      <c r="F698">
        <v>4</v>
      </c>
      <c r="G698" t="s">
        <v>13</v>
      </c>
      <c r="H698" s="1">
        <v>45943.75277777778</v>
      </c>
      <c r="I698" s="5">
        <f>INT(TB[[#This Row],[时间戳]])</f>
        <v>45943</v>
      </c>
      <c r="J698" s="2">
        <f>HOUR(TB[[#This Row],[时间戳]])</f>
        <v>18</v>
      </c>
      <c r="K698">
        <v>731</v>
      </c>
      <c r="L698">
        <v>2</v>
      </c>
      <c r="M698">
        <f>TB[[#This Row],[售价]]*TB[[#This Row],[销量]]</f>
        <v>1462</v>
      </c>
      <c r="N698" t="str">
        <f>IF(TB[[#This Row],[售价]]&lt;1000,"低价商品",IF(TB[[#This Row],[售价]]&lt;5000,"中价商品",IF(TB[[#This Row],[售价]]&lt;10000,"高价商品","超高价商品")))</f>
        <v>低价商品</v>
      </c>
    </row>
    <row r="699" spans="1:14" x14ac:dyDescent="0.2">
      <c r="A699">
        <v>503</v>
      </c>
      <c r="B699">
        <v>79</v>
      </c>
      <c r="C699" t="s">
        <v>46</v>
      </c>
      <c r="D699" t="s">
        <v>84</v>
      </c>
      <c r="E699" t="s">
        <v>39</v>
      </c>
      <c r="F699">
        <v>5</v>
      </c>
      <c r="G699" t="s">
        <v>13</v>
      </c>
      <c r="H699" s="1">
        <v>45943.768750000003</v>
      </c>
      <c r="I699" s="5">
        <f>INT(TB[[#This Row],[时间戳]])</f>
        <v>45943</v>
      </c>
      <c r="J699" s="2">
        <f>HOUR(TB[[#This Row],[时间戳]])</f>
        <v>18</v>
      </c>
      <c r="K699">
        <v>1004</v>
      </c>
      <c r="L699">
        <v>2</v>
      </c>
      <c r="M699">
        <f>TB[[#This Row],[售价]]*TB[[#This Row],[销量]]</f>
        <v>2008</v>
      </c>
      <c r="N699" t="str">
        <f>IF(TB[[#This Row],[售价]]&lt;1000,"低价商品",IF(TB[[#This Row],[售价]]&lt;5000,"中价商品",IF(TB[[#This Row],[售价]]&lt;10000,"高价商品","超高价商品")))</f>
        <v>中价商品</v>
      </c>
    </row>
    <row r="700" spans="1:14" x14ac:dyDescent="0.2">
      <c r="A700">
        <v>90</v>
      </c>
      <c r="B700">
        <v>151</v>
      </c>
      <c r="C700" t="s">
        <v>10</v>
      </c>
      <c r="D700" t="s">
        <v>348</v>
      </c>
      <c r="E700" t="s">
        <v>16</v>
      </c>
      <c r="F700">
        <v>6</v>
      </c>
      <c r="G700" t="s">
        <v>13</v>
      </c>
      <c r="H700" s="1">
        <v>45943.772222222222</v>
      </c>
      <c r="I700" s="5">
        <f>INT(TB[[#This Row],[时间戳]])</f>
        <v>45943</v>
      </c>
      <c r="J700" s="2">
        <f>HOUR(TB[[#This Row],[时间戳]])</f>
        <v>18</v>
      </c>
      <c r="K700">
        <v>2877</v>
      </c>
      <c r="L700">
        <v>2</v>
      </c>
      <c r="M700">
        <f>TB[[#This Row],[售价]]*TB[[#This Row],[销量]]</f>
        <v>5754</v>
      </c>
      <c r="N700" t="str">
        <f>IF(TB[[#This Row],[售价]]&lt;1000,"低价商品",IF(TB[[#This Row],[售价]]&lt;5000,"中价商品",IF(TB[[#This Row],[售价]]&lt;10000,"高价商品","超高价商品")))</f>
        <v>中价商品</v>
      </c>
    </row>
    <row r="701" spans="1:14" x14ac:dyDescent="0.2">
      <c r="A701">
        <v>205</v>
      </c>
      <c r="B701">
        <v>50</v>
      </c>
      <c r="C701" t="s">
        <v>46</v>
      </c>
      <c r="D701" t="s">
        <v>211</v>
      </c>
      <c r="E701" t="s">
        <v>31</v>
      </c>
      <c r="F701">
        <v>4</v>
      </c>
      <c r="G701" t="s">
        <v>42</v>
      </c>
      <c r="H701" s="1">
        <v>45943.78402777778</v>
      </c>
      <c r="I701" s="5">
        <f>INT(TB[[#This Row],[时间戳]])</f>
        <v>45943</v>
      </c>
      <c r="J701" s="2">
        <f>HOUR(TB[[#This Row],[时间戳]])</f>
        <v>18</v>
      </c>
      <c r="K701">
        <v>1500</v>
      </c>
      <c r="L701">
        <v>0</v>
      </c>
      <c r="M701">
        <f>TB[[#This Row],[售价]]*TB[[#This Row],[销量]]</f>
        <v>0</v>
      </c>
      <c r="N701" t="str">
        <f>IF(TB[[#This Row],[售价]]&lt;1000,"低价商品",IF(TB[[#This Row],[售价]]&lt;5000,"中价商品",IF(TB[[#This Row],[售价]]&lt;10000,"高价商品","超高价商品")))</f>
        <v>中价商品</v>
      </c>
    </row>
    <row r="702" spans="1:14" x14ac:dyDescent="0.2">
      <c r="A702">
        <v>84</v>
      </c>
      <c r="B702">
        <v>243</v>
      </c>
      <c r="C702" t="s">
        <v>26</v>
      </c>
      <c r="D702" t="s">
        <v>306</v>
      </c>
      <c r="E702" t="s">
        <v>31</v>
      </c>
      <c r="F702">
        <v>4</v>
      </c>
      <c r="G702" t="s">
        <v>13</v>
      </c>
      <c r="H702" s="1">
        <v>45943.79791666667</v>
      </c>
      <c r="I702" s="5">
        <f>INT(TB[[#This Row],[时间戳]])</f>
        <v>45943</v>
      </c>
      <c r="J702" s="2">
        <f>HOUR(TB[[#This Row],[时间戳]])</f>
        <v>19</v>
      </c>
      <c r="K702">
        <v>50</v>
      </c>
      <c r="L702">
        <v>2</v>
      </c>
      <c r="M702">
        <f>TB[[#This Row],[售价]]*TB[[#This Row],[销量]]</f>
        <v>100</v>
      </c>
      <c r="N702" t="str">
        <f>IF(TB[[#This Row],[售价]]&lt;1000,"低价商品",IF(TB[[#This Row],[售价]]&lt;5000,"中价商品",IF(TB[[#This Row],[售价]]&lt;10000,"高价商品","超高价商品")))</f>
        <v>低价商品</v>
      </c>
    </row>
    <row r="703" spans="1:14" x14ac:dyDescent="0.2">
      <c r="A703">
        <v>501</v>
      </c>
      <c r="B703">
        <v>136</v>
      </c>
      <c r="C703" t="s">
        <v>17</v>
      </c>
      <c r="D703" t="s">
        <v>128</v>
      </c>
      <c r="E703" t="s">
        <v>12</v>
      </c>
      <c r="F703">
        <v>2</v>
      </c>
      <c r="G703" t="s">
        <v>42</v>
      </c>
      <c r="H703" s="1">
        <v>45943.799305555556</v>
      </c>
      <c r="I703" s="5">
        <f>INT(TB[[#This Row],[时间戳]])</f>
        <v>45943</v>
      </c>
      <c r="J703" s="2">
        <f>HOUR(TB[[#This Row],[时间戳]])</f>
        <v>19</v>
      </c>
      <c r="K703">
        <v>5849</v>
      </c>
      <c r="L703">
        <v>0</v>
      </c>
      <c r="M703">
        <f>TB[[#This Row],[售价]]*TB[[#This Row],[销量]]</f>
        <v>0</v>
      </c>
      <c r="N703" t="str">
        <f>IF(TB[[#This Row],[售价]]&lt;1000,"低价商品",IF(TB[[#This Row],[售价]]&lt;5000,"中价商品",IF(TB[[#This Row],[售价]]&lt;10000,"高价商品","超高价商品")))</f>
        <v>高价商品</v>
      </c>
    </row>
    <row r="704" spans="1:14" x14ac:dyDescent="0.2">
      <c r="A704">
        <v>190</v>
      </c>
      <c r="B704">
        <v>190</v>
      </c>
      <c r="C704" t="s">
        <v>20</v>
      </c>
      <c r="D704" t="s">
        <v>167</v>
      </c>
      <c r="E704" t="s">
        <v>39</v>
      </c>
      <c r="F704">
        <v>5</v>
      </c>
      <c r="G704" t="s">
        <v>13</v>
      </c>
      <c r="H704" s="1">
        <v>45943.806944444441</v>
      </c>
      <c r="I704" s="5">
        <f>INT(TB[[#This Row],[时间戳]])</f>
        <v>45943</v>
      </c>
      <c r="J704" s="2">
        <f>HOUR(TB[[#This Row],[时间戳]])</f>
        <v>19</v>
      </c>
      <c r="K704">
        <v>1301</v>
      </c>
      <c r="L704">
        <v>2</v>
      </c>
      <c r="M704">
        <f>TB[[#This Row],[售价]]*TB[[#This Row],[销量]]</f>
        <v>2602</v>
      </c>
      <c r="N704" t="str">
        <f>IF(TB[[#This Row],[售价]]&lt;1000,"低价商品",IF(TB[[#This Row],[售价]]&lt;5000,"中价商品",IF(TB[[#This Row],[售价]]&lt;10000,"高价商品","超高价商品")))</f>
        <v>中价商品</v>
      </c>
    </row>
    <row r="705" spans="1:14" x14ac:dyDescent="0.2">
      <c r="A705">
        <v>46</v>
      </c>
      <c r="B705">
        <v>135</v>
      </c>
      <c r="C705" t="s">
        <v>26</v>
      </c>
      <c r="D705" t="s">
        <v>95</v>
      </c>
      <c r="E705" t="s">
        <v>22</v>
      </c>
      <c r="F705">
        <v>1</v>
      </c>
      <c r="G705" t="s">
        <v>13</v>
      </c>
      <c r="H705" s="1">
        <v>45943.80972222222</v>
      </c>
      <c r="I705" s="5">
        <f>INT(TB[[#This Row],[时间戳]])</f>
        <v>45943</v>
      </c>
      <c r="J705" s="2">
        <f>HOUR(TB[[#This Row],[时间戳]])</f>
        <v>19</v>
      </c>
      <c r="K705">
        <v>4113</v>
      </c>
      <c r="L705">
        <v>4</v>
      </c>
      <c r="M705">
        <f>TB[[#This Row],[售价]]*TB[[#This Row],[销量]]</f>
        <v>16452</v>
      </c>
      <c r="N705" t="str">
        <f>IF(TB[[#This Row],[售价]]&lt;1000,"低价商品",IF(TB[[#This Row],[售价]]&lt;5000,"中价商品",IF(TB[[#This Row],[售价]]&lt;10000,"高价商品","超高价商品")))</f>
        <v>中价商品</v>
      </c>
    </row>
    <row r="706" spans="1:14" x14ac:dyDescent="0.2">
      <c r="A706">
        <v>276</v>
      </c>
      <c r="B706">
        <v>289</v>
      </c>
      <c r="C706" t="s">
        <v>36</v>
      </c>
      <c r="D706" t="s">
        <v>238</v>
      </c>
      <c r="E706" t="s">
        <v>12</v>
      </c>
      <c r="F706">
        <v>2</v>
      </c>
      <c r="G706" t="s">
        <v>13</v>
      </c>
      <c r="H706" s="1">
        <v>45943.810416666667</v>
      </c>
      <c r="I706" s="5">
        <f>INT(TB[[#This Row],[时间戳]])</f>
        <v>45943</v>
      </c>
      <c r="J706" s="2">
        <f>HOUR(TB[[#This Row],[时间戳]])</f>
        <v>19</v>
      </c>
      <c r="K706">
        <v>11242</v>
      </c>
      <c r="L706">
        <v>2</v>
      </c>
      <c r="M706">
        <f>TB[[#This Row],[售价]]*TB[[#This Row],[销量]]</f>
        <v>22484</v>
      </c>
      <c r="N706" t="str">
        <f>IF(TB[[#This Row],[售价]]&lt;1000,"低价商品",IF(TB[[#This Row],[售价]]&lt;5000,"中价商品",IF(TB[[#This Row],[售价]]&lt;10000,"高价商品","超高价商品")))</f>
        <v>超高价商品</v>
      </c>
    </row>
    <row r="707" spans="1:14" x14ac:dyDescent="0.2">
      <c r="A707">
        <v>685</v>
      </c>
      <c r="B707">
        <v>177</v>
      </c>
      <c r="C707" t="s">
        <v>14</v>
      </c>
      <c r="D707" t="s">
        <v>349</v>
      </c>
      <c r="E707" t="s">
        <v>25</v>
      </c>
      <c r="F707">
        <v>7</v>
      </c>
      <c r="G707" t="s">
        <v>13</v>
      </c>
      <c r="H707" s="1">
        <v>45943.895138888889</v>
      </c>
      <c r="I707" s="5">
        <f>INT(TB[[#This Row],[时间戳]])</f>
        <v>45943</v>
      </c>
      <c r="J707" s="2">
        <f>HOUR(TB[[#This Row],[时间戳]])</f>
        <v>21</v>
      </c>
      <c r="K707">
        <v>1881</v>
      </c>
      <c r="L707">
        <v>4</v>
      </c>
      <c r="M707">
        <f>TB[[#This Row],[售价]]*TB[[#This Row],[销量]]</f>
        <v>7524</v>
      </c>
      <c r="N707" t="str">
        <f>IF(TB[[#This Row],[售价]]&lt;1000,"低价商品",IF(TB[[#This Row],[售价]]&lt;5000,"中价商品",IF(TB[[#This Row],[售价]]&lt;10000,"高价商品","超高价商品")))</f>
        <v>中价商品</v>
      </c>
    </row>
    <row r="708" spans="1:14" x14ac:dyDescent="0.2">
      <c r="A708">
        <v>567</v>
      </c>
      <c r="B708">
        <v>32</v>
      </c>
      <c r="C708" t="s">
        <v>46</v>
      </c>
      <c r="D708" t="s">
        <v>350</v>
      </c>
      <c r="E708" t="s">
        <v>25</v>
      </c>
      <c r="F708">
        <v>7</v>
      </c>
      <c r="G708" t="s">
        <v>13</v>
      </c>
      <c r="H708" s="1">
        <v>45943.902083333334</v>
      </c>
      <c r="I708" s="5">
        <f>INT(TB[[#This Row],[时间戳]])</f>
        <v>45943</v>
      </c>
      <c r="J708" s="2">
        <f>HOUR(TB[[#This Row],[时间戳]])</f>
        <v>21</v>
      </c>
      <c r="K708">
        <v>5946</v>
      </c>
      <c r="L708">
        <v>3</v>
      </c>
      <c r="M708">
        <f>TB[[#This Row],[售价]]*TB[[#This Row],[销量]]</f>
        <v>17838</v>
      </c>
      <c r="N708" t="str">
        <f>IF(TB[[#This Row],[售价]]&lt;1000,"低价商品",IF(TB[[#This Row],[售价]]&lt;5000,"中价商品",IF(TB[[#This Row],[售价]]&lt;10000,"高价商品","超高价商品")))</f>
        <v>高价商品</v>
      </c>
    </row>
    <row r="709" spans="1:14" x14ac:dyDescent="0.2">
      <c r="A709">
        <v>549</v>
      </c>
      <c r="B709">
        <v>244</v>
      </c>
      <c r="C709" t="s">
        <v>20</v>
      </c>
      <c r="D709" t="s">
        <v>261</v>
      </c>
      <c r="E709" t="s">
        <v>22</v>
      </c>
      <c r="F709">
        <v>1</v>
      </c>
      <c r="G709" t="s">
        <v>13</v>
      </c>
      <c r="H709" s="1">
        <v>45943.932638888888</v>
      </c>
      <c r="I709" s="5">
        <f>INT(TB[[#This Row],[时间戳]])</f>
        <v>45943</v>
      </c>
      <c r="J709" s="2">
        <f>HOUR(TB[[#This Row],[时间戳]])</f>
        <v>22</v>
      </c>
      <c r="K709">
        <v>7885</v>
      </c>
      <c r="L709">
        <v>3</v>
      </c>
      <c r="M709">
        <f>TB[[#This Row],[售价]]*TB[[#This Row],[销量]]</f>
        <v>23655</v>
      </c>
      <c r="N709" t="str">
        <f>IF(TB[[#This Row],[售价]]&lt;1000,"低价商品",IF(TB[[#This Row],[售价]]&lt;5000,"中价商品",IF(TB[[#This Row],[售价]]&lt;10000,"高价商品","超高价商品")))</f>
        <v>高价商品</v>
      </c>
    </row>
    <row r="710" spans="1:14" x14ac:dyDescent="0.2">
      <c r="A710">
        <v>81</v>
      </c>
      <c r="B710">
        <v>203</v>
      </c>
      <c r="C710" t="s">
        <v>44</v>
      </c>
      <c r="D710" t="s">
        <v>132</v>
      </c>
      <c r="E710" t="s">
        <v>22</v>
      </c>
      <c r="F710">
        <v>1</v>
      </c>
      <c r="G710" t="s">
        <v>13</v>
      </c>
      <c r="H710" s="1">
        <v>45943.938194444447</v>
      </c>
      <c r="I710" s="5">
        <f>INT(TB[[#This Row],[时间戳]])</f>
        <v>45943</v>
      </c>
      <c r="J710" s="2">
        <f>HOUR(TB[[#This Row],[时间戳]])</f>
        <v>22</v>
      </c>
      <c r="K710">
        <v>5611</v>
      </c>
      <c r="L710">
        <v>2</v>
      </c>
      <c r="M710">
        <f>TB[[#This Row],[售价]]*TB[[#This Row],[销量]]</f>
        <v>11222</v>
      </c>
      <c r="N710" t="str">
        <f>IF(TB[[#This Row],[售价]]&lt;1000,"低价商品",IF(TB[[#This Row],[售价]]&lt;5000,"中价商品",IF(TB[[#This Row],[售价]]&lt;10000,"高价商品","超高价商品")))</f>
        <v>高价商品</v>
      </c>
    </row>
    <row r="711" spans="1:14" x14ac:dyDescent="0.2">
      <c r="A711">
        <v>586</v>
      </c>
      <c r="B711">
        <v>76</v>
      </c>
      <c r="C711" t="s">
        <v>46</v>
      </c>
      <c r="D711" t="s">
        <v>129</v>
      </c>
      <c r="E711" t="s">
        <v>31</v>
      </c>
      <c r="F711">
        <v>4</v>
      </c>
      <c r="G711" t="s">
        <v>42</v>
      </c>
      <c r="H711" s="1">
        <v>45943.959722222222</v>
      </c>
      <c r="I711" s="5">
        <f>INT(TB[[#This Row],[时间戳]])</f>
        <v>45943</v>
      </c>
      <c r="J711" s="2">
        <f>HOUR(TB[[#This Row],[时间戳]])</f>
        <v>23</v>
      </c>
      <c r="K711">
        <v>178</v>
      </c>
      <c r="L711">
        <v>0</v>
      </c>
      <c r="M711">
        <f>TB[[#This Row],[售价]]*TB[[#This Row],[销量]]</f>
        <v>0</v>
      </c>
      <c r="N711" t="str">
        <f>IF(TB[[#This Row],[售价]]&lt;1000,"低价商品",IF(TB[[#This Row],[售价]]&lt;5000,"中价商品",IF(TB[[#This Row],[售价]]&lt;10000,"高价商品","超高价商品")))</f>
        <v>低价商品</v>
      </c>
    </row>
    <row r="712" spans="1:14" x14ac:dyDescent="0.2">
      <c r="A712">
        <v>172</v>
      </c>
      <c r="B712">
        <v>109</v>
      </c>
      <c r="C712" t="s">
        <v>44</v>
      </c>
      <c r="D712" t="s">
        <v>195</v>
      </c>
      <c r="E712" t="s">
        <v>22</v>
      </c>
      <c r="F712">
        <v>1</v>
      </c>
      <c r="G712" t="s">
        <v>13</v>
      </c>
      <c r="H712" s="1">
        <v>45943.98541666667</v>
      </c>
      <c r="I712" s="5">
        <f>INT(TB[[#This Row],[时间戳]])</f>
        <v>45943</v>
      </c>
      <c r="J712" s="2">
        <f>HOUR(TB[[#This Row],[时间戳]])</f>
        <v>23</v>
      </c>
      <c r="K712">
        <v>2172</v>
      </c>
      <c r="L712">
        <v>1</v>
      </c>
      <c r="M712">
        <f>TB[[#This Row],[售价]]*TB[[#This Row],[销量]]</f>
        <v>2172</v>
      </c>
      <c r="N712" t="str">
        <f>IF(TB[[#This Row],[售价]]&lt;1000,"低价商品",IF(TB[[#This Row],[售价]]&lt;5000,"中价商品",IF(TB[[#This Row],[售价]]&lt;10000,"高价商品","超高价商品")))</f>
        <v>中价商品</v>
      </c>
    </row>
    <row r="713" spans="1:14" x14ac:dyDescent="0.2">
      <c r="A713">
        <v>81</v>
      </c>
      <c r="B713">
        <v>223</v>
      </c>
      <c r="C713" t="s">
        <v>10</v>
      </c>
      <c r="D713" t="s">
        <v>351</v>
      </c>
      <c r="E713" t="s">
        <v>31</v>
      </c>
      <c r="F713">
        <v>4</v>
      </c>
      <c r="G713" t="s">
        <v>13</v>
      </c>
      <c r="H713" s="1">
        <v>45944.002083333333</v>
      </c>
      <c r="I713" s="5">
        <f>INT(TB[[#This Row],[时间戳]])</f>
        <v>45944</v>
      </c>
      <c r="J713" s="2">
        <f>HOUR(TB[[#This Row],[时间戳]])</f>
        <v>0</v>
      </c>
      <c r="K713">
        <v>308</v>
      </c>
      <c r="L713">
        <v>2</v>
      </c>
      <c r="M713">
        <f>TB[[#This Row],[售价]]*TB[[#This Row],[销量]]</f>
        <v>616</v>
      </c>
      <c r="N713" t="str">
        <f>IF(TB[[#This Row],[售价]]&lt;1000,"低价商品",IF(TB[[#This Row],[售价]]&lt;5000,"中价商品",IF(TB[[#This Row],[售价]]&lt;10000,"高价商品","超高价商品")))</f>
        <v>低价商品</v>
      </c>
    </row>
    <row r="714" spans="1:14" x14ac:dyDescent="0.2">
      <c r="A714">
        <v>265</v>
      </c>
      <c r="B714">
        <v>164</v>
      </c>
      <c r="C714" t="s">
        <v>26</v>
      </c>
      <c r="D714" t="s">
        <v>160</v>
      </c>
      <c r="E714" t="s">
        <v>19</v>
      </c>
      <c r="F714">
        <v>3</v>
      </c>
      <c r="G714" t="s">
        <v>13</v>
      </c>
      <c r="H714" s="1">
        <v>45944.013888888891</v>
      </c>
      <c r="I714" s="5">
        <f>INT(TB[[#This Row],[时间戳]])</f>
        <v>45944</v>
      </c>
      <c r="J714" s="2">
        <f>HOUR(TB[[#This Row],[时间戳]])</f>
        <v>0</v>
      </c>
      <c r="K714">
        <v>3275</v>
      </c>
      <c r="L714">
        <v>1</v>
      </c>
      <c r="M714">
        <f>TB[[#This Row],[售价]]*TB[[#This Row],[销量]]</f>
        <v>3275</v>
      </c>
      <c r="N714" t="str">
        <f>IF(TB[[#This Row],[售价]]&lt;1000,"低价商品",IF(TB[[#This Row],[售价]]&lt;5000,"中价商品",IF(TB[[#This Row],[售价]]&lt;10000,"高价商品","超高价商品")))</f>
        <v>中价商品</v>
      </c>
    </row>
    <row r="715" spans="1:14" x14ac:dyDescent="0.2">
      <c r="A715">
        <v>570</v>
      </c>
      <c r="B715">
        <v>204</v>
      </c>
      <c r="C715" t="s">
        <v>14</v>
      </c>
      <c r="D715" t="s">
        <v>99</v>
      </c>
      <c r="E715" t="s">
        <v>39</v>
      </c>
      <c r="F715">
        <v>5</v>
      </c>
      <c r="G715" t="s">
        <v>13</v>
      </c>
      <c r="H715" s="1">
        <v>45944.023611111108</v>
      </c>
      <c r="I715" s="5">
        <f>INT(TB[[#This Row],[时间戳]])</f>
        <v>45944</v>
      </c>
      <c r="J715" s="2">
        <f>HOUR(TB[[#This Row],[时间戳]])</f>
        <v>0</v>
      </c>
      <c r="K715">
        <v>3612</v>
      </c>
      <c r="L715">
        <v>2</v>
      </c>
      <c r="M715">
        <f>TB[[#This Row],[售价]]*TB[[#This Row],[销量]]</f>
        <v>7224</v>
      </c>
      <c r="N715" t="str">
        <f>IF(TB[[#This Row],[售价]]&lt;1000,"低价商品",IF(TB[[#This Row],[售价]]&lt;5000,"中价商品",IF(TB[[#This Row],[售价]]&lt;10000,"高价商品","超高价商品")))</f>
        <v>中价商品</v>
      </c>
    </row>
    <row r="716" spans="1:14" x14ac:dyDescent="0.2">
      <c r="A716">
        <v>470</v>
      </c>
      <c r="B716">
        <v>7</v>
      </c>
      <c r="C716" t="s">
        <v>36</v>
      </c>
      <c r="D716" t="s">
        <v>123</v>
      </c>
      <c r="E716" t="s">
        <v>31</v>
      </c>
      <c r="F716">
        <v>4</v>
      </c>
      <c r="G716" t="s">
        <v>13</v>
      </c>
      <c r="H716" s="1">
        <v>45944.031944444447</v>
      </c>
      <c r="I716" s="5">
        <f>INT(TB[[#This Row],[时间戳]])</f>
        <v>45944</v>
      </c>
      <c r="J716" s="2">
        <f>HOUR(TB[[#This Row],[时间戳]])</f>
        <v>0</v>
      </c>
      <c r="K716">
        <v>1146</v>
      </c>
      <c r="L716">
        <v>2</v>
      </c>
      <c r="M716">
        <f>TB[[#This Row],[售价]]*TB[[#This Row],[销量]]</f>
        <v>2292</v>
      </c>
      <c r="N716" t="str">
        <f>IF(TB[[#This Row],[售价]]&lt;1000,"低价商品",IF(TB[[#This Row],[售价]]&lt;5000,"中价商品",IF(TB[[#This Row],[售价]]&lt;10000,"高价商品","超高价商品")))</f>
        <v>中价商品</v>
      </c>
    </row>
    <row r="717" spans="1:14" x14ac:dyDescent="0.2">
      <c r="A717">
        <v>430</v>
      </c>
      <c r="B717">
        <v>58</v>
      </c>
      <c r="C717" t="s">
        <v>46</v>
      </c>
      <c r="D717" t="s">
        <v>84</v>
      </c>
      <c r="E717" t="s">
        <v>39</v>
      </c>
      <c r="F717">
        <v>5</v>
      </c>
      <c r="G717" t="s">
        <v>13</v>
      </c>
      <c r="H717" s="1">
        <v>45944.080555555556</v>
      </c>
      <c r="I717" s="5">
        <f>INT(TB[[#This Row],[时间戳]])</f>
        <v>45944</v>
      </c>
      <c r="J717" s="2">
        <f>HOUR(TB[[#This Row],[时间戳]])</f>
        <v>1</v>
      </c>
      <c r="K717">
        <v>3787</v>
      </c>
      <c r="L717">
        <v>3</v>
      </c>
      <c r="M717">
        <f>TB[[#This Row],[售价]]*TB[[#This Row],[销量]]</f>
        <v>11361</v>
      </c>
      <c r="N717" t="str">
        <f>IF(TB[[#This Row],[售价]]&lt;1000,"低价商品",IF(TB[[#This Row],[售价]]&lt;5000,"中价商品",IF(TB[[#This Row],[售价]]&lt;10000,"高价商品","超高价商品")))</f>
        <v>中价商品</v>
      </c>
    </row>
    <row r="718" spans="1:14" x14ac:dyDescent="0.2">
      <c r="A718">
        <v>603</v>
      </c>
      <c r="B718">
        <v>299</v>
      </c>
      <c r="C718" t="s">
        <v>26</v>
      </c>
      <c r="D718" t="s">
        <v>48</v>
      </c>
      <c r="E718" t="s">
        <v>31</v>
      </c>
      <c r="F718">
        <v>4</v>
      </c>
      <c r="G718" t="s">
        <v>13</v>
      </c>
      <c r="H718" s="1">
        <v>45944.113194444442</v>
      </c>
      <c r="I718" s="5">
        <f>INT(TB[[#This Row],[时间戳]])</f>
        <v>45944</v>
      </c>
      <c r="J718" s="2">
        <f>HOUR(TB[[#This Row],[时间戳]])</f>
        <v>2</v>
      </c>
      <c r="K718">
        <v>774</v>
      </c>
      <c r="L718">
        <v>2</v>
      </c>
      <c r="M718">
        <f>TB[[#This Row],[售价]]*TB[[#This Row],[销量]]</f>
        <v>1548</v>
      </c>
      <c r="N718" t="str">
        <f>IF(TB[[#This Row],[售价]]&lt;1000,"低价商品",IF(TB[[#This Row],[售价]]&lt;5000,"中价商品",IF(TB[[#This Row],[售价]]&lt;10000,"高价商品","超高价商品")))</f>
        <v>低价商品</v>
      </c>
    </row>
    <row r="719" spans="1:14" x14ac:dyDescent="0.2">
      <c r="A719">
        <v>293</v>
      </c>
      <c r="B719">
        <v>275</v>
      </c>
      <c r="C719" t="s">
        <v>46</v>
      </c>
      <c r="D719" t="s">
        <v>180</v>
      </c>
      <c r="E719" t="s">
        <v>31</v>
      </c>
      <c r="F719">
        <v>4</v>
      </c>
      <c r="G719" t="s">
        <v>13</v>
      </c>
      <c r="H719" s="1">
        <v>45944.175000000003</v>
      </c>
      <c r="I719" s="5">
        <f>INT(TB[[#This Row],[时间戳]])</f>
        <v>45944</v>
      </c>
      <c r="J719" s="2">
        <f>HOUR(TB[[#This Row],[时间戳]])</f>
        <v>4</v>
      </c>
      <c r="K719">
        <v>109</v>
      </c>
      <c r="L719">
        <v>1</v>
      </c>
      <c r="M719">
        <f>TB[[#This Row],[售价]]*TB[[#This Row],[销量]]</f>
        <v>109</v>
      </c>
      <c r="N719" t="str">
        <f>IF(TB[[#This Row],[售价]]&lt;1000,"低价商品",IF(TB[[#This Row],[售价]]&lt;5000,"中价商品",IF(TB[[#This Row],[售价]]&lt;10000,"高价商品","超高价商品")))</f>
        <v>低价商品</v>
      </c>
    </row>
    <row r="720" spans="1:14" x14ac:dyDescent="0.2">
      <c r="A720">
        <v>671</v>
      </c>
      <c r="B720">
        <v>249</v>
      </c>
      <c r="C720" t="s">
        <v>36</v>
      </c>
      <c r="D720" t="s">
        <v>185</v>
      </c>
      <c r="E720" t="s">
        <v>12</v>
      </c>
      <c r="F720">
        <v>2</v>
      </c>
      <c r="G720" t="s">
        <v>13</v>
      </c>
      <c r="H720" s="1">
        <v>45944.177083333336</v>
      </c>
      <c r="I720" s="5">
        <f>INT(TB[[#This Row],[时间戳]])</f>
        <v>45944</v>
      </c>
      <c r="J720" s="2">
        <f>HOUR(TB[[#This Row],[时间戳]])</f>
        <v>4</v>
      </c>
      <c r="K720">
        <v>9643</v>
      </c>
      <c r="L720">
        <v>3</v>
      </c>
      <c r="M720">
        <f>TB[[#This Row],[售价]]*TB[[#This Row],[销量]]</f>
        <v>28929</v>
      </c>
      <c r="N720" t="str">
        <f>IF(TB[[#This Row],[售价]]&lt;1000,"低价商品",IF(TB[[#This Row],[售价]]&lt;5000,"中价商品",IF(TB[[#This Row],[售价]]&lt;10000,"高价商品","超高价商品")))</f>
        <v>高价商品</v>
      </c>
    </row>
    <row r="721" spans="1:14" x14ac:dyDescent="0.2">
      <c r="A721">
        <v>177</v>
      </c>
      <c r="B721">
        <v>142</v>
      </c>
      <c r="C721" t="s">
        <v>44</v>
      </c>
      <c r="D721" t="s">
        <v>59</v>
      </c>
      <c r="E721" t="s">
        <v>22</v>
      </c>
      <c r="F721">
        <v>1</v>
      </c>
      <c r="G721" t="s">
        <v>13</v>
      </c>
      <c r="H721" s="1">
        <v>45944.201388888891</v>
      </c>
      <c r="I721" s="5">
        <f>INT(TB[[#This Row],[时间戳]])</f>
        <v>45944</v>
      </c>
      <c r="J721" s="2">
        <f>HOUR(TB[[#This Row],[时间戳]])</f>
        <v>4</v>
      </c>
      <c r="K721">
        <v>5797</v>
      </c>
      <c r="L721">
        <v>2</v>
      </c>
      <c r="M721">
        <f>TB[[#This Row],[售价]]*TB[[#This Row],[销量]]</f>
        <v>11594</v>
      </c>
      <c r="N721" t="str">
        <f>IF(TB[[#This Row],[售价]]&lt;1000,"低价商品",IF(TB[[#This Row],[售价]]&lt;5000,"中价商品",IF(TB[[#This Row],[售价]]&lt;10000,"高价商品","超高价商品")))</f>
        <v>高价商品</v>
      </c>
    </row>
    <row r="722" spans="1:14" x14ac:dyDescent="0.2">
      <c r="A722">
        <v>698</v>
      </c>
      <c r="B722">
        <v>206</v>
      </c>
      <c r="C722" t="s">
        <v>46</v>
      </c>
      <c r="D722" t="s">
        <v>81</v>
      </c>
      <c r="E722" t="s">
        <v>12</v>
      </c>
      <c r="F722">
        <v>2</v>
      </c>
      <c r="G722" t="s">
        <v>13</v>
      </c>
      <c r="H722" s="1">
        <v>45944.25277777778</v>
      </c>
      <c r="I722" s="5">
        <f>INT(TB[[#This Row],[时间戳]])</f>
        <v>45944</v>
      </c>
      <c r="J722" s="2">
        <f>HOUR(TB[[#This Row],[时间戳]])</f>
        <v>6</v>
      </c>
      <c r="K722">
        <v>10475</v>
      </c>
      <c r="L722">
        <v>3</v>
      </c>
      <c r="M722">
        <f>TB[[#This Row],[售价]]*TB[[#This Row],[销量]]</f>
        <v>31425</v>
      </c>
      <c r="N722" t="str">
        <f>IF(TB[[#This Row],[售价]]&lt;1000,"低价商品",IF(TB[[#This Row],[售价]]&lt;5000,"中价商品",IF(TB[[#This Row],[售价]]&lt;10000,"高价商品","超高价商品")))</f>
        <v>超高价商品</v>
      </c>
    </row>
    <row r="723" spans="1:14" x14ac:dyDescent="0.2">
      <c r="A723">
        <v>244</v>
      </c>
      <c r="B723">
        <v>26</v>
      </c>
      <c r="C723" t="s">
        <v>34</v>
      </c>
      <c r="D723" t="s">
        <v>232</v>
      </c>
      <c r="E723" t="s">
        <v>22</v>
      </c>
      <c r="F723">
        <v>1</v>
      </c>
      <c r="G723" t="s">
        <v>42</v>
      </c>
      <c r="H723" s="1">
        <v>45944.256249999999</v>
      </c>
      <c r="I723" s="5">
        <f>INT(TB[[#This Row],[时间戳]])</f>
        <v>45944</v>
      </c>
      <c r="J723" s="2">
        <f>HOUR(TB[[#This Row],[时间戳]])</f>
        <v>6</v>
      </c>
      <c r="K723">
        <v>1319</v>
      </c>
      <c r="L723">
        <v>0</v>
      </c>
      <c r="M723">
        <f>TB[[#This Row],[售价]]*TB[[#This Row],[销量]]</f>
        <v>0</v>
      </c>
      <c r="N723" t="str">
        <f>IF(TB[[#This Row],[售价]]&lt;1000,"低价商品",IF(TB[[#This Row],[售价]]&lt;5000,"中价商品",IF(TB[[#This Row],[售价]]&lt;10000,"高价商品","超高价商品")))</f>
        <v>中价商品</v>
      </c>
    </row>
    <row r="724" spans="1:14" x14ac:dyDescent="0.2">
      <c r="A724">
        <v>21</v>
      </c>
      <c r="B724">
        <v>173</v>
      </c>
      <c r="C724" t="s">
        <v>36</v>
      </c>
      <c r="D724" t="s">
        <v>112</v>
      </c>
      <c r="E724" t="s">
        <v>22</v>
      </c>
      <c r="F724">
        <v>1</v>
      </c>
      <c r="G724" t="s">
        <v>42</v>
      </c>
      <c r="H724" s="1">
        <v>45944.257638888892</v>
      </c>
      <c r="I724" s="5">
        <f>INT(TB[[#This Row],[时间戳]])</f>
        <v>45944</v>
      </c>
      <c r="J724" s="2">
        <f>HOUR(TB[[#This Row],[时间戳]])</f>
        <v>6</v>
      </c>
      <c r="K724">
        <v>7152</v>
      </c>
      <c r="L724">
        <v>0</v>
      </c>
      <c r="M724">
        <f>TB[[#This Row],[售价]]*TB[[#This Row],[销量]]</f>
        <v>0</v>
      </c>
      <c r="N724" t="str">
        <f>IF(TB[[#This Row],[售价]]&lt;1000,"低价商品",IF(TB[[#This Row],[售价]]&lt;5000,"中价商品",IF(TB[[#This Row],[售价]]&lt;10000,"高价商品","超高价商品")))</f>
        <v>高价商品</v>
      </c>
    </row>
    <row r="725" spans="1:14" x14ac:dyDescent="0.2">
      <c r="A725">
        <v>713</v>
      </c>
      <c r="B725">
        <v>51</v>
      </c>
      <c r="C725" t="s">
        <v>36</v>
      </c>
      <c r="D725" t="s">
        <v>269</v>
      </c>
      <c r="E725" t="s">
        <v>19</v>
      </c>
      <c r="F725">
        <v>3</v>
      </c>
      <c r="G725" t="s">
        <v>13</v>
      </c>
      <c r="H725" s="1">
        <v>45944.282638888886</v>
      </c>
      <c r="I725" s="5">
        <f>INT(TB[[#This Row],[时间戳]])</f>
        <v>45944</v>
      </c>
      <c r="J725" s="2">
        <f>HOUR(TB[[#This Row],[时间戳]])</f>
        <v>6</v>
      </c>
      <c r="K725">
        <v>3941</v>
      </c>
      <c r="L725">
        <v>2</v>
      </c>
      <c r="M725">
        <f>TB[[#This Row],[售价]]*TB[[#This Row],[销量]]</f>
        <v>7882</v>
      </c>
      <c r="N725" t="str">
        <f>IF(TB[[#This Row],[售价]]&lt;1000,"低价商品",IF(TB[[#This Row],[售价]]&lt;5000,"中价商品",IF(TB[[#This Row],[售价]]&lt;10000,"高价商品","超高价商品")))</f>
        <v>中价商品</v>
      </c>
    </row>
    <row r="726" spans="1:14" x14ac:dyDescent="0.2">
      <c r="A726">
        <v>793</v>
      </c>
      <c r="B726">
        <v>165</v>
      </c>
      <c r="C726" t="s">
        <v>36</v>
      </c>
      <c r="D726" t="s">
        <v>265</v>
      </c>
      <c r="E726" t="s">
        <v>31</v>
      </c>
      <c r="F726">
        <v>4</v>
      </c>
      <c r="G726" t="s">
        <v>13</v>
      </c>
      <c r="H726" s="1">
        <v>45944.298611111109</v>
      </c>
      <c r="I726" s="5">
        <f>INT(TB[[#This Row],[时间戳]])</f>
        <v>45944</v>
      </c>
      <c r="J726" s="2">
        <f>HOUR(TB[[#This Row],[时间戳]])</f>
        <v>7</v>
      </c>
      <c r="K726">
        <v>384</v>
      </c>
      <c r="L726">
        <v>1</v>
      </c>
      <c r="M726">
        <f>TB[[#This Row],[售价]]*TB[[#This Row],[销量]]</f>
        <v>384</v>
      </c>
      <c r="N726" t="str">
        <f>IF(TB[[#This Row],[售价]]&lt;1000,"低价商品",IF(TB[[#This Row],[售价]]&lt;5000,"中价商品",IF(TB[[#This Row],[售价]]&lt;10000,"高价商品","超高价商品")))</f>
        <v>低价商品</v>
      </c>
    </row>
    <row r="727" spans="1:14" x14ac:dyDescent="0.2">
      <c r="A727">
        <v>662</v>
      </c>
      <c r="B727">
        <v>46</v>
      </c>
      <c r="C727" t="s">
        <v>17</v>
      </c>
      <c r="D727" t="s">
        <v>198</v>
      </c>
      <c r="E727" t="s">
        <v>19</v>
      </c>
      <c r="F727">
        <v>3</v>
      </c>
      <c r="G727" t="s">
        <v>13</v>
      </c>
      <c r="H727" s="1">
        <v>45944.331944444442</v>
      </c>
      <c r="I727" s="5">
        <f>INT(TB[[#This Row],[时间戳]])</f>
        <v>45944</v>
      </c>
      <c r="J727" s="2">
        <f>HOUR(TB[[#This Row],[时间戳]])</f>
        <v>7</v>
      </c>
      <c r="K727">
        <v>3880</v>
      </c>
      <c r="L727">
        <v>2</v>
      </c>
      <c r="M727">
        <f>TB[[#This Row],[售价]]*TB[[#This Row],[销量]]</f>
        <v>7760</v>
      </c>
      <c r="N727" t="str">
        <f>IF(TB[[#This Row],[售价]]&lt;1000,"低价商品",IF(TB[[#This Row],[售价]]&lt;5000,"中价商品",IF(TB[[#This Row],[售价]]&lt;10000,"高价商品","超高价商品")))</f>
        <v>中价商品</v>
      </c>
    </row>
    <row r="728" spans="1:14" x14ac:dyDescent="0.2">
      <c r="A728">
        <v>759</v>
      </c>
      <c r="B728">
        <v>249</v>
      </c>
      <c r="C728" t="s">
        <v>32</v>
      </c>
      <c r="D728" t="s">
        <v>110</v>
      </c>
      <c r="E728" t="s">
        <v>25</v>
      </c>
      <c r="F728">
        <v>7</v>
      </c>
      <c r="G728" t="s">
        <v>13</v>
      </c>
      <c r="H728" s="1">
        <v>45944.334722222222</v>
      </c>
      <c r="I728" s="5">
        <f>INT(TB[[#This Row],[时间戳]])</f>
        <v>45944</v>
      </c>
      <c r="J728" s="2">
        <f>HOUR(TB[[#This Row],[时间戳]])</f>
        <v>8</v>
      </c>
      <c r="K728">
        <v>3065</v>
      </c>
      <c r="L728">
        <v>1</v>
      </c>
      <c r="M728">
        <f>TB[[#This Row],[售价]]*TB[[#This Row],[销量]]</f>
        <v>3065</v>
      </c>
      <c r="N728" t="str">
        <f>IF(TB[[#This Row],[售价]]&lt;1000,"低价商品",IF(TB[[#This Row],[售价]]&lt;5000,"中价商品",IF(TB[[#This Row],[售价]]&lt;10000,"高价商品","超高价商品")))</f>
        <v>中价商品</v>
      </c>
    </row>
    <row r="729" spans="1:14" x14ac:dyDescent="0.2">
      <c r="A729">
        <v>163</v>
      </c>
      <c r="B729">
        <v>34</v>
      </c>
      <c r="C729" t="s">
        <v>10</v>
      </c>
      <c r="D729" t="s">
        <v>352</v>
      </c>
      <c r="E729" t="s">
        <v>12</v>
      </c>
      <c r="F729">
        <v>2</v>
      </c>
      <c r="G729" t="s">
        <v>13</v>
      </c>
      <c r="H729" s="1">
        <v>45944.363888888889</v>
      </c>
      <c r="I729" s="5">
        <f>INT(TB[[#This Row],[时间戳]])</f>
        <v>45944</v>
      </c>
      <c r="J729" s="2">
        <f>HOUR(TB[[#This Row],[时间戳]])</f>
        <v>8</v>
      </c>
      <c r="K729">
        <v>12453</v>
      </c>
      <c r="L729">
        <v>1</v>
      </c>
      <c r="M729">
        <f>TB[[#This Row],[售价]]*TB[[#This Row],[销量]]</f>
        <v>12453</v>
      </c>
      <c r="N729" t="str">
        <f>IF(TB[[#This Row],[售价]]&lt;1000,"低价商品",IF(TB[[#This Row],[售价]]&lt;5000,"中价商品",IF(TB[[#This Row],[售价]]&lt;10000,"高价商品","超高价商品")))</f>
        <v>超高价商品</v>
      </c>
    </row>
    <row r="730" spans="1:14" x14ac:dyDescent="0.2">
      <c r="A730">
        <v>139</v>
      </c>
      <c r="B730">
        <v>269</v>
      </c>
      <c r="C730" t="s">
        <v>20</v>
      </c>
      <c r="D730" t="s">
        <v>353</v>
      </c>
      <c r="E730" t="s">
        <v>25</v>
      </c>
      <c r="F730">
        <v>7</v>
      </c>
      <c r="G730" t="s">
        <v>13</v>
      </c>
      <c r="H730" s="1">
        <v>45944.368055555555</v>
      </c>
      <c r="I730" s="5">
        <f>INT(TB[[#This Row],[时间戳]])</f>
        <v>45944</v>
      </c>
      <c r="J730" s="2">
        <f>HOUR(TB[[#This Row],[时间戳]])</f>
        <v>8</v>
      </c>
      <c r="K730">
        <v>4211</v>
      </c>
      <c r="L730">
        <v>1</v>
      </c>
      <c r="M730">
        <f>TB[[#This Row],[售价]]*TB[[#This Row],[销量]]</f>
        <v>4211</v>
      </c>
      <c r="N730" t="str">
        <f>IF(TB[[#This Row],[售价]]&lt;1000,"低价商品",IF(TB[[#This Row],[售价]]&lt;5000,"中价商品",IF(TB[[#This Row],[售价]]&lt;10000,"高价商品","超高价商品")))</f>
        <v>中价商品</v>
      </c>
    </row>
    <row r="731" spans="1:14" x14ac:dyDescent="0.2">
      <c r="A731">
        <v>206</v>
      </c>
      <c r="B731">
        <v>30</v>
      </c>
      <c r="C731" t="s">
        <v>26</v>
      </c>
      <c r="D731" t="s">
        <v>27</v>
      </c>
      <c r="E731" t="s">
        <v>22</v>
      </c>
      <c r="F731">
        <v>1</v>
      </c>
      <c r="G731" t="s">
        <v>13</v>
      </c>
      <c r="H731" s="1">
        <v>45944.371527777781</v>
      </c>
      <c r="I731" s="5">
        <f>INT(TB[[#This Row],[时间戳]])</f>
        <v>45944</v>
      </c>
      <c r="J731" s="2">
        <f>HOUR(TB[[#This Row],[时间戳]])</f>
        <v>8</v>
      </c>
      <c r="K731">
        <v>5472</v>
      </c>
      <c r="L731">
        <v>2</v>
      </c>
      <c r="M731">
        <f>TB[[#This Row],[售价]]*TB[[#This Row],[销量]]</f>
        <v>10944</v>
      </c>
      <c r="N731" t="str">
        <f>IF(TB[[#This Row],[售价]]&lt;1000,"低价商品",IF(TB[[#This Row],[售价]]&lt;5000,"中价商品",IF(TB[[#This Row],[售价]]&lt;10000,"高价商品","超高价商品")))</f>
        <v>高价商品</v>
      </c>
    </row>
    <row r="732" spans="1:14" x14ac:dyDescent="0.2">
      <c r="A732">
        <v>370</v>
      </c>
      <c r="B732">
        <v>102</v>
      </c>
      <c r="C732" t="s">
        <v>44</v>
      </c>
      <c r="D732" t="s">
        <v>59</v>
      </c>
      <c r="E732" t="s">
        <v>22</v>
      </c>
      <c r="F732">
        <v>1</v>
      </c>
      <c r="G732" t="s">
        <v>13</v>
      </c>
      <c r="H732" s="1">
        <v>45944.375</v>
      </c>
      <c r="I732" s="5">
        <f>INT(TB[[#This Row],[时间戳]])</f>
        <v>45944</v>
      </c>
      <c r="J732" s="2">
        <f>HOUR(TB[[#This Row],[时间戳]])</f>
        <v>9</v>
      </c>
      <c r="K732">
        <v>2859</v>
      </c>
      <c r="L732">
        <v>1</v>
      </c>
      <c r="M732">
        <f>TB[[#This Row],[售价]]*TB[[#This Row],[销量]]</f>
        <v>2859</v>
      </c>
      <c r="N732" t="str">
        <f>IF(TB[[#This Row],[售价]]&lt;1000,"低价商品",IF(TB[[#This Row],[售价]]&lt;5000,"中价商品",IF(TB[[#This Row],[售价]]&lt;10000,"高价商品","超高价商品")))</f>
        <v>中价商品</v>
      </c>
    </row>
    <row r="733" spans="1:14" x14ac:dyDescent="0.2">
      <c r="A733">
        <v>407</v>
      </c>
      <c r="B733">
        <v>64</v>
      </c>
      <c r="C733" t="s">
        <v>44</v>
      </c>
      <c r="D733" t="s">
        <v>301</v>
      </c>
      <c r="E733" t="s">
        <v>22</v>
      </c>
      <c r="F733">
        <v>1</v>
      </c>
      <c r="G733" t="s">
        <v>13</v>
      </c>
      <c r="H733" s="1">
        <v>45944.40625</v>
      </c>
      <c r="I733" s="5">
        <f>INT(TB[[#This Row],[时间戳]])</f>
        <v>45944</v>
      </c>
      <c r="J733" s="2">
        <f>HOUR(TB[[#This Row],[时间戳]])</f>
        <v>9</v>
      </c>
      <c r="K733">
        <v>3232</v>
      </c>
      <c r="L733">
        <v>1</v>
      </c>
      <c r="M733">
        <f>TB[[#This Row],[售价]]*TB[[#This Row],[销量]]</f>
        <v>3232</v>
      </c>
      <c r="N733" t="str">
        <f>IF(TB[[#This Row],[售价]]&lt;1000,"低价商品",IF(TB[[#This Row],[售价]]&lt;5000,"中价商品",IF(TB[[#This Row],[售价]]&lt;10000,"高价商品","超高价商品")))</f>
        <v>中价商品</v>
      </c>
    </row>
    <row r="734" spans="1:14" x14ac:dyDescent="0.2">
      <c r="A734">
        <v>501</v>
      </c>
      <c r="B734">
        <v>229</v>
      </c>
      <c r="C734" t="s">
        <v>32</v>
      </c>
      <c r="D734" t="s">
        <v>107</v>
      </c>
      <c r="E734" t="s">
        <v>31</v>
      </c>
      <c r="F734">
        <v>4</v>
      </c>
      <c r="G734" t="s">
        <v>13</v>
      </c>
      <c r="H734" s="1">
        <v>45944.426388888889</v>
      </c>
      <c r="I734" s="5">
        <f>INT(TB[[#This Row],[时间戳]])</f>
        <v>45944</v>
      </c>
      <c r="J734" s="2">
        <f>HOUR(TB[[#This Row],[时间戳]])</f>
        <v>10</v>
      </c>
      <c r="K734">
        <v>1260</v>
      </c>
      <c r="L734">
        <v>4</v>
      </c>
      <c r="M734">
        <f>TB[[#This Row],[售价]]*TB[[#This Row],[销量]]</f>
        <v>5040</v>
      </c>
      <c r="N734" t="str">
        <f>IF(TB[[#This Row],[售价]]&lt;1000,"低价商品",IF(TB[[#This Row],[售价]]&lt;5000,"中价商品",IF(TB[[#This Row],[售价]]&lt;10000,"高价商品","超高价商品")))</f>
        <v>中价商品</v>
      </c>
    </row>
    <row r="735" spans="1:14" x14ac:dyDescent="0.2">
      <c r="A735">
        <v>359</v>
      </c>
      <c r="B735">
        <v>177</v>
      </c>
      <c r="C735" t="s">
        <v>46</v>
      </c>
      <c r="D735" t="s">
        <v>81</v>
      </c>
      <c r="E735" t="s">
        <v>12</v>
      </c>
      <c r="F735">
        <v>2</v>
      </c>
      <c r="G735" t="s">
        <v>13</v>
      </c>
      <c r="H735" s="1">
        <v>45944.439583333333</v>
      </c>
      <c r="I735" s="5">
        <f>INT(TB[[#This Row],[时间戳]])</f>
        <v>45944</v>
      </c>
      <c r="J735" s="2">
        <f>HOUR(TB[[#This Row],[时间戳]])</f>
        <v>10</v>
      </c>
      <c r="K735">
        <v>6951</v>
      </c>
      <c r="L735">
        <v>3</v>
      </c>
      <c r="M735">
        <f>TB[[#This Row],[售价]]*TB[[#This Row],[销量]]</f>
        <v>20853</v>
      </c>
      <c r="N735" t="str">
        <f>IF(TB[[#This Row],[售价]]&lt;1000,"低价商品",IF(TB[[#This Row],[售价]]&lt;5000,"中价商品",IF(TB[[#This Row],[售价]]&lt;10000,"高价商品","超高价商品")))</f>
        <v>高价商品</v>
      </c>
    </row>
    <row r="736" spans="1:14" x14ac:dyDescent="0.2">
      <c r="A736">
        <v>29</v>
      </c>
      <c r="B736">
        <v>198</v>
      </c>
      <c r="C736" t="s">
        <v>14</v>
      </c>
      <c r="D736" t="s">
        <v>305</v>
      </c>
      <c r="E736" t="s">
        <v>25</v>
      </c>
      <c r="F736">
        <v>7</v>
      </c>
      <c r="G736" t="s">
        <v>13</v>
      </c>
      <c r="H736" s="1">
        <v>45944.447916666664</v>
      </c>
      <c r="I736" s="5">
        <f>INT(TB[[#This Row],[时间戳]])</f>
        <v>45944</v>
      </c>
      <c r="J736" s="2">
        <f>HOUR(TB[[#This Row],[时间戳]])</f>
        <v>10</v>
      </c>
      <c r="K736">
        <v>2771</v>
      </c>
      <c r="L736">
        <v>2</v>
      </c>
      <c r="M736">
        <f>TB[[#This Row],[售价]]*TB[[#This Row],[销量]]</f>
        <v>5542</v>
      </c>
      <c r="N736" t="str">
        <f>IF(TB[[#This Row],[售价]]&lt;1000,"低价商品",IF(TB[[#This Row],[售价]]&lt;5000,"中价商品",IF(TB[[#This Row],[售价]]&lt;10000,"高价商品","超高价商品")))</f>
        <v>中价商品</v>
      </c>
    </row>
    <row r="737" spans="1:14" x14ac:dyDescent="0.2">
      <c r="A737">
        <v>227</v>
      </c>
      <c r="B737">
        <v>116</v>
      </c>
      <c r="C737" t="s">
        <v>46</v>
      </c>
      <c r="D737" t="s">
        <v>135</v>
      </c>
      <c r="E737" t="s">
        <v>22</v>
      </c>
      <c r="F737">
        <v>1</v>
      </c>
      <c r="G737" t="s">
        <v>13</v>
      </c>
      <c r="H737" s="1">
        <v>45944.486805555556</v>
      </c>
      <c r="I737" s="5">
        <f>INT(TB[[#This Row],[时间戳]])</f>
        <v>45944</v>
      </c>
      <c r="J737" s="2">
        <f>HOUR(TB[[#This Row],[时间戳]])</f>
        <v>11</v>
      </c>
      <c r="K737">
        <v>1289</v>
      </c>
      <c r="L737">
        <v>1</v>
      </c>
      <c r="M737">
        <f>TB[[#This Row],[售价]]*TB[[#This Row],[销量]]</f>
        <v>1289</v>
      </c>
      <c r="N737" t="str">
        <f>IF(TB[[#This Row],[售价]]&lt;1000,"低价商品",IF(TB[[#This Row],[售价]]&lt;5000,"中价商品",IF(TB[[#This Row],[售价]]&lt;10000,"高价商品","超高价商品")))</f>
        <v>中价商品</v>
      </c>
    </row>
    <row r="738" spans="1:14" x14ac:dyDescent="0.2">
      <c r="A738">
        <v>21</v>
      </c>
      <c r="B738">
        <v>5</v>
      </c>
      <c r="C738" t="s">
        <v>17</v>
      </c>
      <c r="D738" t="s">
        <v>354</v>
      </c>
      <c r="E738" t="s">
        <v>16</v>
      </c>
      <c r="F738">
        <v>6</v>
      </c>
      <c r="G738" t="s">
        <v>13</v>
      </c>
      <c r="H738" s="1">
        <v>45944.495833333334</v>
      </c>
      <c r="I738" s="5">
        <f>INT(TB[[#This Row],[时间戳]])</f>
        <v>45944</v>
      </c>
      <c r="J738" s="2">
        <f>HOUR(TB[[#This Row],[时间戳]])</f>
        <v>11</v>
      </c>
      <c r="K738">
        <v>5324</v>
      </c>
      <c r="L738">
        <v>2</v>
      </c>
      <c r="M738">
        <f>TB[[#This Row],[售价]]*TB[[#This Row],[销量]]</f>
        <v>10648</v>
      </c>
      <c r="N738" t="str">
        <f>IF(TB[[#This Row],[售价]]&lt;1000,"低价商品",IF(TB[[#This Row],[售价]]&lt;5000,"中价商品",IF(TB[[#This Row],[售价]]&lt;10000,"高价商品","超高价商品")))</f>
        <v>高价商品</v>
      </c>
    </row>
    <row r="739" spans="1:14" x14ac:dyDescent="0.2">
      <c r="A739">
        <v>9</v>
      </c>
      <c r="B739">
        <v>115</v>
      </c>
      <c r="C739" t="s">
        <v>26</v>
      </c>
      <c r="D739" t="s">
        <v>48</v>
      </c>
      <c r="E739" t="s">
        <v>31</v>
      </c>
      <c r="F739">
        <v>4</v>
      </c>
      <c r="G739" t="s">
        <v>13</v>
      </c>
      <c r="H739" s="1">
        <v>45944.527083333334</v>
      </c>
      <c r="I739" s="5">
        <f>INT(TB[[#This Row],[时间戳]])</f>
        <v>45944</v>
      </c>
      <c r="J739" s="2">
        <f>HOUR(TB[[#This Row],[时间戳]])</f>
        <v>12</v>
      </c>
      <c r="K739">
        <v>887</v>
      </c>
      <c r="L739">
        <v>3</v>
      </c>
      <c r="M739">
        <f>TB[[#This Row],[售价]]*TB[[#This Row],[销量]]</f>
        <v>2661</v>
      </c>
      <c r="N739" t="str">
        <f>IF(TB[[#This Row],[售价]]&lt;1000,"低价商品",IF(TB[[#This Row],[售价]]&lt;5000,"中价商品",IF(TB[[#This Row],[售价]]&lt;10000,"高价商品","超高价商品")))</f>
        <v>低价商品</v>
      </c>
    </row>
    <row r="740" spans="1:14" x14ac:dyDescent="0.2">
      <c r="A740">
        <v>727</v>
      </c>
      <c r="B740">
        <v>141</v>
      </c>
      <c r="C740" t="s">
        <v>36</v>
      </c>
      <c r="D740" t="s">
        <v>146</v>
      </c>
      <c r="E740" t="s">
        <v>22</v>
      </c>
      <c r="F740">
        <v>1</v>
      </c>
      <c r="G740" t="s">
        <v>13</v>
      </c>
      <c r="H740" s="1">
        <v>45944.537499999999</v>
      </c>
      <c r="I740" s="5">
        <f>INT(TB[[#This Row],[时间戳]])</f>
        <v>45944</v>
      </c>
      <c r="J740" s="2">
        <f>HOUR(TB[[#This Row],[时间戳]])</f>
        <v>12</v>
      </c>
      <c r="K740">
        <v>3178</v>
      </c>
      <c r="L740">
        <v>4</v>
      </c>
      <c r="M740">
        <f>TB[[#This Row],[售价]]*TB[[#This Row],[销量]]</f>
        <v>12712</v>
      </c>
      <c r="N740" t="str">
        <f>IF(TB[[#This Row],[售价]]&lt;1000,"低价商品",IF(TB[[#This Row],[售价]]&lt;5000,"中价商品",IF(TB[[#This Row],[售价]]&lt;10000,"高价商品","超高价商品")))</f>
        <v>中价商品</v>
      </c>
    </row>
    <row r="741" spans="1:14" x14ac:dyDescent="0.2">
      <c r="A741">
        <v>259</v>
      </c>
      <c r="B741">
        <v>112</v>
      </c>
      <c r="C741" t="s">
        <v>34</v>
      </c>
      <c r="D741" t="s">
        <v>346</v>
      </c>
      <c r="E741" t="s">
        <v>22</v>
      </c>
      <c r="F741">
        <v>1</v>
      </c>
      <c r="G741" t="s">
        <v>13</v>
      </c>
      <c r="H741" s="1">
        <v>45944.546527777777</v>
      </c>
      <c r="I741" s="5">
        <f>INT(TB[[#This Row],[时间戳]])</f>
        <v>45944</v>
      </c>
      <c r="J741" s="2">
        <f>HOUR(TB[[#This Row],[时间戳]])</f>
        <v>13</v>
      </c>
      <c r="K741">
        <v>4463</v>
      </c>
      <c r="L741">
        <v>2</v>
      </c>
      <c r="M741">
        <f>TB[[#This Row],[售价]]*TB[[#This Row],[销量]]</f>
        <v>8926</v>
      </c>
      <c r="N741" t="str">
        <f>IF(TB[[#This Row],[售价]]&lt;1000,"低价商品",IF(TB[[#This Row],[售价]]&lt;5000,"中价商品",IF(TB[[#This Row],[售价]]&lt;10000,"高价商品","超高价商品")))</f>
        <v>中价商品</v>
      </c>
    </row>
    <row r="742" spans="1:14" x14ac:dyDescent="0.2">
      <c r="A742">
        <v>407</v>
      </c>
      <c r="B742">
        <v>300</v>
      </c>
      <c r="C742" t="s">
        <v>20</v>
      </c>
      <c r="D742" t="s">
        <v>355</v>
      </c>
      <c r="E742" t="s">
        <v>39</v>
      </c>
      <c r="F742">
        <v>5</v>
      </c>
      <c r="G742" t="s">
        <v>13</v>
      </c>
      <c r="H742" s="1">
        <v>45944.557638888888</v>
      </c>
      <c r="I742" s="5">
        <f>INT(TB[[#This Row],[时间戳]])</f>
        <v>45944</v>
      </c>
      <c r="J742" s="2">
        <f>HOUR(TB[[#This Row],[时间戳]])</f>
        <v>13</v>
      </c>
      <c r="K742">
        <v>2665</v>
      </c>
      <c r="L742">
        <v>2</v>
      </c>
      <c r="M742">
        <f>TB[[#This Row],[售价]]*TB[[#This Row],[销量]]</f>
        <v>5330</v>
      </c>
      <c r="N742" t="str">
        <f>IF(TB[[#This Row],[售价]]&lt;1000,"低价商品",IF(TB[[#This Row],[售价]]&lt;5000,"中价商品",IF(TB[[#This Row],[售价]]&lt;10000,"高价商品","超高价商品")))</f>
        <v>中价商品</v>
      </c>
    </row>
    <row r="743" spans="1:14" x14ac:dyDescent="0.2">
      <c r="A743">
        <v>575</v>
      </c>
      <c r="B743">
        <v>145</v>
      </c>
      <c r="C743" t="s">
        <v>20</v>
      </c>
      <c r="D743" t="s">
        <v>88</v>
      </c>
      <c r="E743" t="s">
        <v>19</v>
      </c>
      <c r="F743">
        <v>3</v>
      </c>
      <c r="G743" t="s">
        <v>13</v>
      </c>
      <c r="H743" s="1">
        <v>45944.563888888886</v>
      </c>
      <c r="I743" s="5">
        <f>INT(TB[[#This Row],[时间戳]])</f>
        <v>45944</v>
      </c>
      <c r="J743" s="2">
        <f>HOUR(TB[[#This Row],[时间戳]])</f>
        <v>13</v>
      </c>
      <c r="K743">
        <v>2141</v>
      </c>
      <c r="L743">
        <v>1</v>
      </c>
      <c r="M743">
        <f>TB[[#This Row],[售价]]*TB[[#This Row],[销量]]</f>
        <v>2141</v>
      </c>
      <c r="N743" t="str">
        <f>IF(TB[[#This Row],[售价]]&lt;1000,"低价商品",IF(TB[[#This Row],[售价]]&lt;5000,"中价商品",IF(TB[[#This Row],[售价]]&lt;10000,"高价商品","超高价商品")))</f>
        <v>中价商品</v>
      </c>
    </row>
    <row r="744" spans="1:14" x14ac:dyDescent="0.2">
      <c r="A744">
        <v>66</v>
      </c>
      <c r="B744">
        <v>173</v>
      </c>
      <c r="C744" t="s">
        <v>14</v>
      </c>
      <c r="D744" t="s">
        <v>106</v>
      </c>
      <c r="E744" t="s">
        <v>22</v>
      </c>
      <c r="F744">
        <v>1</v>
      </c>
      <c r="G744" t="s">
        <v>13</v>
      </c>
      <c r="H744" s="1">
        <v>45944.589583333334</v>
      </c>
      <c r="I744" s="5">
        <f>INT(TB[[#This Row],[时间戳]])</f>
        <v>45944</v>
      </c>
      <c r="J744" s="2">
        <f>HOUR(TB[[#This Row],[时间戳]])</f>
        <v>14</v>
      </c>
      <c r="K744">
        <v>3595</v>
      </c>
      <c r="L744">
        <v>1</v>
      </c>
      <c r="M744">
        <f>TB[[#This Row],[售价]]*TB[[#This Row],[销量]]</f>
        <v>3595</v>
      </c>
      <c r="N744" t="str">
        <f>IF(TB[[#This Row],[售价]]&lt;1000,"低价商品",IF(TB[[#This Row],[售价]]&lt;5000,"中价商品",IF(TB[[#This Row],[售价]]&lt;10000,"高价商品","超高价商品")))</f>
        <v>中价商品</v>
      </c>
    </row>
    <row r="745" spans="1:14" x14ac:dyDescent="0.2">
      <c r="A745">
        <v>268</v>
      </c>
      <c r="B745">
        <v>153</v>
      </c>
      <c r="C745" t="s">
        <v>34</v>
      </c>
      <c r="D745" t="s">
        <v>248</v>
      </c>
      <c r="E745" t="s">
        <v>22</v>
      </c>
      <c r="F745">
        <v>1</v>
      </c>
      <c r="G745" t="s">
        <v>13</v>
      </c>
      <c r="H745" s="1">
        <v>45944.602083333331</v>
      </c>
      <c r="I745" s="5">
        <f>INT(TB[[#This Row],[时间戳]])</f>
        <v>45944</v>
      </c>
      <c r="J745" s="2">
        <f>HOUR(TB[[#This Row],[时间戳]])</f>
        <v>14</v>
      </c>
      <c r="K745">
        <v>3391</v>
      </c>
      <c r="L745">
        <v>3</v>
      </c>
      <c r="M745">
        <f>TB[[#This Row],[售价]]*TB[[#This Row],[销量]]</f>
        <v>10173</v>
      </c>
      <c r="N745" t="str">
        <f>IF(TB[[#This Row],[售价]]&lt;1000,"低价商品",IF(TB[[#This Row],[售价]]&lt;5000,"中价商品",IF(TB[[#This Row],[售价]]&lt;10000,"高价商品","超高价商品")))</f>
        <v>中价商品</v>
      </c>
    </row>
    <row r="746" spans="1:14" x14ac:dyDescent="0.2">
      <c r="A746">
        <v>59</v>
      </c>
      <c r="B746">
        <v>207</v>
      </c>
      <c r="C746" t="s">
        <v>20</v>
      </c>
      <c r="D746" t="s">
        <v>277</v>
      </c>
      <c r="E746" t="s">
        <v>12</v>
      </c>
      <c r="F746">
        <v>2</v>
      </c>
      <c r="G746" t="s">
        <v>13</v>
      </c>
      <c r="H746" s="1">
        <v>45944.606944444444</v>
      </c>
      <c r="I746" s="5">
        <f>INT(TB[[#This Row],[时间戳]])</f>
        <v>45944</v>
      </c>
      <c r="J746" s="2">
        <f>HOUR(TB[[#This Row],[时间戳]])</f>
        <v>14</v>
      </c>
      <c r="K746">
        <v>6962</v>
      </c>
      <c r="L746">
        <v>1</v>
      </c>
      <c r="M746">
        <f>TB[[#This Row],[售价]]*TB[[#This Row],[销量]]</f>
        <v>6962</v>
      </c>
      <c r="N746" t="str">
        <f>IF(TB[[#This Row],[售价]]&lt;1000,"低价商品",IF(TB[[#This Row],[售价]]&lt;5000,"中价商品",IF(TB[[#This Row],[售价]]&lt;10000,"高价商品","超高价商品")))</f>
        <v>高价商品</v>
      </c>
    </row>
    <row r="747" spans="1:14" x14ac:dyDescent="0.2">
      <c r="A747">
        <v>27</v>
      </c>
      <c r="B747">
        <v>255</v>
      </c>
      <c r="C747" t="s">
        <v>26</v>
      </c>
      <c r="D747" t="s">
        <v>281</v>
      </c>
      <c r="E747" t="s">
        <v>16</v>
      </c>
      <c r="F747">
        <v>6</v>
      </c>
      <c r="G747" t="s">
        <v>13</v>
      </c>
      <c r="H747" s="1">
        <v>45944.649305555555</v>
      </c>
      <c r="I747" s="5">
        <f>INT(TB[[#This Row],[时间戳]])</f>
        <v>45944</v>
      </c>
      <c r="J747" s="2">
        <f>HOUR(TB[[#This Row],[时间戳]])</f>
        <v>15</v>
      </c>
      <c r="K747">
        <v>7384</v>
      </c>
      <c r="L747">
        <v>4</v>
      </c>
      <c r="M747">
        <f>TB[[#This Row],[售价]]*TB[[#This Row],[销量]]</f>
        <v>29536</v>
      </c>
      <c r="N747" t="str">
        <f>IF(TB[[#This Row],[售价]]&lt;1000,"低价商品",IF(TB[[#This Row],[售价]]&lt;5000,"中价商品",IF(TB[[#This Row],[售价]]&lt;10000,"高价商品","超高价商品")))</f>
        <v>高价商品</v>
      </c>
    </row>
    <row r="748" spans="1:14" x14ac:dyDescent="0.2">
      <c r="A748">
        <v>398</v>
      </c>
      <c r="B748">
        <v>19</v>
      </c>
      <c r="C748" t="s">
        <v>17</v>
      </c>
      <c r="D748" t="s">
        <v>137</v>
      </c>
      <c r="E748" t="s">
        <v>31</v>
      </c>
      <c r="F748">
        <v>4</v>
      </c>
      <c r="G748" t="s">
        <v>13</v>
      </c>
      <c r="H748" s="1">
        <v>45944.658333333333</v>
      </c>
      <c r="I748" s="5">
        <f>INT(TB[[#This Row],[时间戳]])</f>
        <v>45944</v>
      </c>
      <c r="J748" s="2">
        <f>HOUR(TB[[#This Row],[时间戳]])</f>
        <v>15</v>
      </c>
      <c r="K748">
        <v>587</v>
      </c>
      <c r="L748">
        <v>2</v>
      </c>
      <c r="M748">
        <f>TB[[#This Row],[售价]]*TB[[#This Row],[销量]]</f>
        <v>1174</v>
      </c>
      <c r="N748" t="str">
        <f>IF(TB[[#This Row],[售价]]&lt;1000,"低价商品",IF(TB[[#This Row],[售价]]&lt;5000,"中价商品",IF(TB[[#This Row],[售价]]&lt;10000,"高价商品","超高价商品")))</f>
        <v>低价商品</v>
      </c>
    </row>
    <row r="749" spans="1:14" x14ac:dyDescent="0.2">
      <c r="A749">
        <v>352</v>
      </c>
      <c r="B749">
        <v>114</v>
      </c>
      <c r="C749" t="s">
        <v>46</v>
      </c>
      <c r="D749" t="s">
        <v>135</v>
      </c>
      <c r="E749" t="s">
        <v>22</v>
      </c>
      <c r="F749">
        <v>1</v>
      </c>
      <c r="G749" t="s">
        <v>13</v>
      </c>
      <c r="H749" s="1">
        <v>45944.67291666667</v>
      </c>
      <c r="I749" s="5">
        <f>INT(TB[[#This Row],[时间戳]])</f>
        <v>45944</v>
      </c>
      <c r="J749" s="2">
        <f>HOUR(TB[[#This Row],[时间戳]])</f>
        <v>16</v>
      </c>
      <c r="K749">
        <v>5938</v>
      </c>
      <c r="L749">
        <v>3</v>
      </c>
      <c r="M749">
        <f>TB[[#This Row],[售价]]*TB[[#This Row],[销量]]</f>
        <v>17814</v>
      </c>
      <c r="N749" t="str">
        <f>IF(TB[[#This Row],[售价]]&lt;1000,"低价商品",IF(TB[[#This Row],[售价]]&lt;5000,"中价商品",IF(TB[[#This Row],[售价]]&lt;10000,"高价商品","超高价商品")))</f>
        <v>高价商品</v>
      </c>
    </row>
    <row r="750" spans="1:14" x14ac:dyDescent="0.2">
      <c r="A750">
        <v>368</v>
      </c>
      <c r="B750">
        <v>260</v>
      </c>
      <c r="C750" t="s">
        <v>44</v>
      </c>
      <c r="D750" t="s">
        <v>242</v>
      </c>
      <c r="E750" t="s">
        <v>16</v>
      </c>
      <c r="F750">
        <v>6</v>
      </c>
      <c r="G750" t="s">
        <v>13</v>
      </c>
      <c r="H750" s="1">
        <v>45944.716666666667</v>
      </c>
      <c r="I750" s="5">
        <f>INT(TB[[#This Row],[时间戳]])</f>
        <v>45944</v>
      </c>
      <c r="J750" s="2">
        <f>HOUR(TB[[#This Row],[时间戳]])</f>
        <v>17</v>
      </c>
      <c r="K750">
        <v>10885</v>
      </c>
      <c r="L750">
        <v>2</v>
      </c>
      <c r="M750">
        <f>TB[[#This Row],[售价]]*TB[[#This Row],[销量]]</f>
        <v>21770</v>
      </c>
      <c r="N750" t="str">
        <f>IF(TB[[#This Row],[售价]]&lt;1000,"低价商品",IF(TB[[#This Row],[售价]]&lt;5000,"中价商品",IF(TB[[#This Row],[售价]]&lt;10000,"高价商品","超高价商品")))</f>
        <v>超高价商品</v>
      </c>
    </row>
    <row r="751" spans="1:14" x14ac:dyDescent="0.2">
      <c r="A751">
        <v>301</v>
      </c>
      <c r="B751">
        <v>50</v>
      </c>
      <c r="C751" t="s">
        <v>20</v>
      </c>
      <c r="D751" t="s">
        <v>340</v>
      </c>
      <c r="E751" t="s">
        <v>19</v>
      </c>
      <c r="F751">
        <v>3</v>
      </c>
      <c r="G751" t="s">
        <v>13</v>
      </c>
      <c r="H751" s="1">
        <v>45944.734722222223</v>
      </c>
      <c r="I751" s="5">
        <f>INT(TB[[#This Row],[时间戳]])</f>
        <v>45944</v>
      </c>
      <c r="J751" s="2">
        <f>HOUR(TB[[#This Row],[时间戳]])</f>
        <v>17</v>
      </c>
      <c r="K751">
        <v>3846</v>
      </c>
      <c r="L751">
        <v>3</v>
      </c>
      <c r="M751">
        <f>TB[[#This Row],[售价]]*TB[[#This Row],[销量]]</f>
        <v>11538</v>
      </c>
      <c r="N751" t="str">
        <f>IF(TB[[#This Row],[售价]]&lt;1000,"低价商品",IF(TB[[#This Row],[售价]]&lt;5000,"中价商品",IF(TB[[#This Row],[售价]]&lt;10000,"高价商品","超高价商品")))</f>
        <v>中价商品</v>
      </c>
    </row>
    <row r="752" spans="1:14" x14ac:dyDescent="0.2">
      <c r="A752">
        <v>782</v>
      </c>
      <c r="B752">
        <v>94</v>
      </c>
      <c r="C752" t="s">
        <v>36</v>
      </c>
      <c r="D752" t="s">
        <v>87</v>
      </c>
      <c r="E752" t="s">
        <v>19</v>
      </c>
      <c r="F752">
        <v>3</v>
      </c>
      <c r="G752" t="s">
        <v>13</v>
      </c>
      <c r="H752" s="1">
        <v>45944.736805555556</v>
      </c>
      <c r="I752" s="5">
        <f>INT(TB[[#This Row],[时间戳]])</f>
        <v>45944</v>
      </c>
      <c r="J752" s="2">
        <f>HOUR(TB[[#This Row],[时间戳]])</f>
        <v>17</v>
      </c>
      <c r="K752">
        <v>5221</v>
      </c>
      <c r="L752">
        <v>3</v>
      </c>
      <c r="M752">
        <f>TB[[#This Row],[售价]]*TB[[#This Row],[销量]]</f>
        <v>15663</v>
      </c>
      <c r="N752" t="str">
        <f>IF(TB[[#This Row],[售价]]&lt;1000,"低价商品",IF(TB[[#This Row],[售价]]&lt;5000,"中价商品",IF(TB[[#This Row],[售价]]&lt;10000,"高价商品","超高价商品")))</f>
        <v>高价商品</v>
      </c>
    </row>
    <row r="753" spans="1:14" x14ac:dyDescent="0.2">
      <c r="A753">
        <v>364</v>
      </c>
      <c r="B753">
        <v>115</v>
      </c>
      <c r="C753" t="s">
        <v>14</v>
      </c>
      <c r="D753" t="s">
        <v>356</v>
      </c>
      <c r="E753" t="s">
        <v>16</v>
      </c>
      <c r="F753">
        <v>6</v>
      </c>
      <c r="G753" t="s">
        <v>13</v>
      </c>
      <c r="H753" s="1">
        <v>45944.788194444445</v>
      </c>
      <c r="I753" s="5">
        <f>INT(TB[[#This Row],[时间戳]])</f>
        <v>45944</v>
      </c>
      <c r="J753" s="2">
        <f>HOUR(TB[[#This Row],[时间戳]])</f>
        <v>18</v>
      </c>
      <c r="K753">
        <v>7634</v>
      </c>
      <c r="L753">
        <v>1</v>
      </c>
      <c r="M753">
        <f>TB[[#This Row],[售价]]*TB[[#This Row],[销量]]</f>
        <v>7634</v>
      </c>
      <c r="N753" t="str">
        <f>IF(TB[[#This Row],[售价]]&lt;1000,"低价商品",IF(TB[[#This Row],[售价]]&lt;5000,"中价商品",IF(TB[[#This Row],[售价]]&lt;10000,"高价商品","超高价商品")))</f>
        <v>高价商品</v>
      </c>
    </row>
    <row r="754" spans="1:14" x14ac:dyDescent="0.2">
      <c r="A754">
        <v>267</v>
      </c>
      <c r="B754">
        <v>300</v>
      </c>
      <c r="C754" t="s">
        <v>34</v>
      </c>
      <c r="D754" t="s">
        <v>86</v>
      </c>
      <c r="E754" t="s">
        <v>12</v>
      </c>
      <c r="F754">
        <v>2</v>
      </c>
      <c r="G754" t="s">
        <v>13</v>
      </c>
      <c r="H754" s="1">
        <v>45944.806944444441</v>
      </c>
      <c r="I754" s="5">
        <f>INT(TB[[#This Row],[时间戳]])</f>
        <v>45944</v>
      </c>
      <c r="J754" s="2">
        <f>HOUR(TB[[#This Row],[时间戳]])</f>
        <v>19</v>
      </c>
      <c r="K754">
        <v>9046</v>
      </c>
      <c r="L754">
        <v>1</v>
      </c>
      <c r="M754">
        <f>TB[[#This Row],[售价]]*TB[[#This Row],[销量]]</f>
        <v>9046</v>
      </c>
      <c r="N754" t="str">
        <f>IF(TB[[#This Row],[售价]]&lt;1000,"低价商品",IF(TB[[#This Row],[售价]]&lt;5000,"中价商品",IF(TB[[#This Row],[售价]]&lt;10000,"高价商品","超高价商品")))</f>
        <v>高价商品</v>
      </c>
    </row>
    <row r="755" spans="1:14" x14ac:dyDescent="0.2">
      <c r="A755">
        <v>55</v>
      </c>
      <c r="B755">
        <v>299</v>
      </c>
      <c r="C755" t="s">
        <v>14</v>
      </c>
      <c r="D755" t="s">
        <v>207</v>
      </c>
      <c r="E755" t="s">
        <v>25</v>
      </c>
      <c r="F755">
        <v>7</v>
      </c>
      <c r="G755" t="s">
        <v>13</v>
      </c>
      <c r="H755" s="1">
        <v>45944.813888888886</v>
      </c>
      <c r="I755" s="5">
        <f>INT(TB[[#This Row],[时间戳]])</f>
        <v>45944</v>
      </c>
      <c r="J755" s="2">
        <f>HOUR(TB[[#This Row],[时间戳]])</f>
        <v>19</v>
      </c>
      <c r="K755">
        <v>3945</v>
      </c>
      <c r="L755">
        <v>3</v>
      </c>
      <c r="M755">
        <f>TB[[#This Row],[售价]]*TB[[#This Row],[销量]]</f>
        <v>11835</v>
      </c>
      <c r="N755" t="str">
        <f>IF(TB[[#This Row],[售价]]&lt;1000,"低价商品",IF(TB[[#This Row],[售价]]&lt;5000,"中价商品",IF(TB[[#This Row],[售价]]&lt;10000,"高价商品","超高价商品")))</f>
        <v>中价商品</v>
      </c>
    </row>
    <row r="756" spans="1:14" x14ac:dyDescent="0.2">
      <c r="A756">
        <v>200</v>
      </c>
      <c r="B756">
        <v>257</v>
      </c>
      <c r="C756" t="s">
        <v>14</v>
      </c>
      <c r="D756" t="s">
        <v>357</v>
      </c>
      <c r="E756" t="s">
        <v>16</v>
      </c>
      <c r="F756">
        <v>6</v>
      </c>
      <c r="G756" t="s">
        <v>13</v>
      </c>
      <c r="H756" s="1">
        <v>45944.816666666666</v>
      </c>
      <c r="I756" s="5">
        <f>INT(TB[[#This Row],[时间戳]])</f>
        <v>45944</v>
      </c>
      <c r="J756" s="2">
        <f>HOUR(TB[[#This Row],[时间戳]])</f>
        <v>19</v>
      </c>
      <c r="K756">
        <v>11624</v>
      </c>
      <c r="L756">
        <v>2</v>
      </c>
      <c r="M756">
        <f>TB[[#This Row],[售价]]*TB[[#This Row],[销量]]</f>
        <v>23248</v>
      </c>
      <c r="N756" t="str">
        <f>IF(TB[[#This Row],[售价]]&lt;1000,"低价商品",IF(TB[[#This Row],[售价]]&lt;5000,"中价商品",IF(TB[[#This Row],[售价]]&lt;10000,"高价商品","超高价商品")))</f>
        <v>超高价商品</v>
      </c>
    </row>
    <row r="757" spans="1:14" x14ac:dyDescent="0.2">
      <c r="A757">
        <v>306</v>
      </c>
      <c r="B757">
        <v>212</v>
      </c>
      <c r="C757" t="s">
        <v>17</v>
      </c>
      <c r="D757" t="s">
        <v>50</v>
      </c>
      <c r="E757" t="s">
        <v>22</v>
      </c>
      <c r="F757">
        <v>1</v>
      </c>
      <c r="G757" t="s">
        <v>13</v>
      </c>
      <c r="H757" s="1">
        <v>45944.845833333333</v>
      </c>
      <c r="I757" s="5">
        <f>INT(TB[[#This Row],[时间戳]])</f>
        <v>45944</v>
      </c>
      <c r="J757" s="2">
        <f>HOUR(TB[[#This Row],[时间戳]])</f>
        <v>20</v>
      </c>
      <c r="K757">
        <v>2129</v>
      </c>
      <c r="L757">
        <v>2</v>
      </c>
      <c r="M757">
        <f>TB[[#This Row],[售价]]*TB[[#This Row],[销量]]</f>
        <v>4258</v>
      </c>
      <c r="N757" t="str">
        <f>IF(TB[[#This Row],[售价]]&lt;1000,"低价商品",IF(TB[[#This Row],[售价]]&lt;5000,"中价商品",IF(TB[[#This Row],[售价]]&lt;10000,"高价商品","超高价商品")))</f>
        <v>中价商品</v>
      </c>
    </row>
    <row r="758" spans="1:14" x14ac:dyDescent="0.2">
      <c r="A758">
        <v>351</v>
      </c>
      <c r="B758">
        <v>210</v>
      </c>
      <c r="C758" t="s">
        <v>26</v>
      </c>
      <c r="D758" t="s">
        <v>27</v>
      </c>
      <c r="E758" t="s">
        <v>22</v>
      </c>
      <c r="F758">
        <v>1</v>
      </c>
      <c r="G758" t="s">
        <v>13</v>
      </c>
      <c r="H758" s="1">
        <v>45944.863888888889</v>
      </c>
      <c r="I758" s="5">
        <f>INT(TB[[#This Row],[时间戳]])</f>
        <v>45944</v>
      </c>
      <c r="J758" s="2">
        <f>HOUR(TB[[#This Row],[时间戳]])</f>
        <v>20</v>
      </c>
      <c r="K758">
        <v>1319</v>
      </c>
      <c r="L758">
        <v>3</v>
      </c>
      <c r="M758">
        <f>TB[[#This Row],[售价]]*TB[[#This Row],[销量]]</f>
        <v>3957</v>
      </c>
      <c r="N758" t="str">
        <f>IF(TB[[#This Row],[售价]]&lt;1000,"低价商品",IF(TB[[#This Row],[售价]]&lt;5000,"中价商品",IF(TB[[#This Row],[售价]]&lt;10000,"高价商品","超高价商品")))</f>
        <v>中价商品</v>
      </c>
    </row>
    <row r="759" spans="1:14" x14ac:dyDescent="0.2">
      <c r="A759">
        <v>733</v>
      </c>
      <c r="B759">
        <v>93</v>
      </c>
      <c r="C759" t="s">
        <v>26</v>
      </c>
      <c r="D759" t="s">
        <v>219</v>
      </c>
      <c r="E759" t="s">
        <v>22</v>
      </c>
      <c r="F759">
        <v>1</v>
      </c>
      <c r="G759" t="s">
        <v>42</v>
      </c>
      <c r="H759" s="1">
        <v>45944.87777777778</v>
      </c>
      <c r="I759" s="5">
        <f>INT(TB[[#This Row],[时间戳]])</f>
        <v>45944</v>
      </c>
      <c r="J759" s="2">
        <f>HOUR(TB[[#This Row],[时间戳]])</f>
        <v>21</v>
      </c>
      <c r="K759">
        <v>5698</v>
      </c>
      <c r="L759">
        <v>0</v>
      </c>
      <c r="M759">
        <f>TB[[#This Row],[售价]]*TB[[#This Row],[销量]]</f>
        <v>0</v>
      </c>
      <c r="N759" t="str">
        <f>IF(TB[[#This Row],[售价]]&lt;1000,"低价商品",IF(TB[[#This Row],[售价]]&lt;5000,"中价商品",IF(TB[[#This Row],[售价]]&lt;10000,"高价商品","超高价商品")))</f>
        <v>高价商品</v>
      </c>
    </row>
    <row r="760" spans="1:14" x14ac:dyDescent="0.2">
      <c r="A760">
        <v>182</v>
      </c>
      <c r="B760">
        <v>161</v>
      </c>
      <c r="C760" t="s">
        <v>34</v>
      </c>
      <c r="D760" t="s">
        <v>105</v>
      </c>
      <c r="E760" t="s">
        <v>12</v>
      </c>
      <c r="F760">
        <v>2</v>
      </c>
      <c r="G760" t="s">
        <v>42</v>
      </c>
      <c r="H760" s="1">
        <v>45944.919444444444</v>
      </c>
      <c r="I760" s="5">
        <f>INT(TB[[#This Row],[时间戳]])</f>
        <v>45944</v>
      </c>
      <c r="J760" s="2">
        <f>HOUR(TB[[#This Row],[时间戳]])</f>
        <v>22</v>
      </c>
      <c r="K760">
        <v>5373</v>
      </c>
      <c r="L760">
        <v>0</v>
      </c>
      <c r="M760">
        <f>TB[[#This Row],[售价]]*TB[[#This Row],[销量]]</f>
        <v>0</v>
      </c>
      <c r="N760" t="str">
        <f>IF(TB[[#This Row],[售价]]&lt;1000,"低价商品",IF(TB[[#This Row],[售价]]&lt;5000,"中价商品",IF(TB[[#This Row],[售价]]&lt;10000,"高价商品","超高价商品")))</f>
        <v>高价商品</v>
      </c>
    </row>
    <row r="761" spans="1:14" x14ac:dyDescent="0.2">
      <c r="A761">
        <v>215</v>
      </c>
      <c r="B761">
        <v>87</v>
      </c>
      <c r="C761" t="s">
        <v>44</v>
      </c>
      <c r="D761" t="s">
        <v>272</v>
      </c>
      <c r="E761" t="s">
        <v>16</v>
      </c>
      <c r="F761">
        <v>6</v>
      </c>
      <c r="G761" t="s">
        <v>13</v>
      </c>
      <c r="H761" s="1">
        <v>45944.947916666664</v>
      </c>
      <c r="I761" s="5">
        <f>INT(TB[[#This Row],[时间戳]])</f>
        <v>45944</v>
      </c>
      <c r="J761" s="2">
        <f>HOUR(TB[[#This Row],[时间戳]])</f>
        <v>22</v>
      </c>
      <c r="K761">
        <v>2752</v>
      </c>
      <c r="L761">
        <v>1</v>
      </c>
      <c r="M761">
        <f>TB[[#This Row],[售价]]*TB[[#This Row],[销量]]</f>
        <v>2752</v>
      </c>
      <c r="N761" t="str">
        <f>IF(TB[[#This Row],[售价]]&lt;1000,"低价商品",IF(TB[[#This Row],[售价]]&lt;5000,"中价商品",IF(TB[[#This Row],[售价]]&lt;10000,"高价商品","超高价商品")))</f>
        <v>中价商品</v>
      </c>
    </row>
    <row r="762" spans="1:14" x14ac:dyDescent="0.2">
      <c r="A762">
        <v>782</v>
      </c>
      <c r="B762">
        <v>46</v>
      </c>
      <c r="C762" t="s">
        <v>26</v>
      </c>
      <c r="D762" t="s">
        <v>358</v>
      </c>
      <c r="E762" t="s">
        <v>16</v>
      </c>
      <c r="F762">
        <v>6</v>
      </c>
      <c r="G762" t="s">
        <v>13</v>
      </c>
      <c r="H762" s="1">
        <v>45944.950694444444</v>
      </c>
      <c r="I762" s="5">
        <f>INT(TB[[#This Row],[时间戳]])</f>
        <v>45944</v>
      </c>
      <c r="J762" s="2">
        <f>HOUR(TB[[#This Row],[时间戳]])</f>
        <v>22</v>
      </c>
      <c r="K762">
        <v>11632</v>
      </c>
      <c r="L762">
        <v>2</v>
      </c>
      <c r="M762">
        <f>TB[[#This Row],[售价]]*TB[[#This Row],[销量]]</f>
        <v>23264</v>
      </c>
      <c r="N762" t="str">
        <f>IF(TB[[#This Row],[售价]]&lt;1000,"低价商品",IF(TB[[#This Row],[售价]]&lt;5000,"中价商品",IF(TB[[#This Row],[售价]]&lt;10000,"高价商品","超高价商品")))</f>
        <v>超高价商品</v>
      </c>
    </row>
    <row r="763" spans="1:14" x14ac:dyDescent="0.2">
      <c r="A763">
        <v>440</v>
      </c>
      <c r="B763">
        <v>207</v>
      </c>
      <c r="C763" t="s">
        <v>17</v>
      </c>
      <c r="D763" t="s">
        <v>75</v>
      </c>
      <c r="E763" t="s">
        <v>12</v>
      </c>
      <c r="F763">
        <v>2</v>
      </c>
      <c r="G763" t="s">
        <v>13</v>
      </c>
      <c r="H763" s="1">
        <v>45944.957638888889</v>
      </c>
      <c r="I763" s="5">
        <f>INT(TB[[#This Row],[时间戳]])</f>
        <v>45944</v>
      </c>
      <c r="J763" s="2">
        <f>HOUR(TB[[#This Row],[时间戳]])</f>
        <v>22</v>
      </c>
      <c r="K763">
        <v>6234</v>
      </c>
      <c r="L763">
        <v>2</v>
      </c>
      <c r="M763">
        <f>TB[[#This Row],[售价]]*TB[[#This Row],[销量]]</f>
        <v>12468</v>
      </c>
      <c r="N763" t="str">
        <f>IF(TB[[#This Row],[售价]]&lt;1000,"低价商品",IF(TB[[#This Row],[售价]]&lt;5000,"中价商品",IF(TB[[#This Row],[售价]]&lt;10000,"高价商品","超高价商品")))</f>
        <v>高价商品</v>
      </c>
    </row>
    <row r="764" spans="1:14" x14ac:dyDescent="0.2">
      <c r="A764">
        <v>39</v>
      </c>
      <c r="B764">
        <v>274</v>
      </c>
      <c r="C764" t="s">
        <v>17</v>
      </c>
      <c r="D764" t="s">
        <v>28</v>
      </c>
      <c r="E764" t="s">
        <v>12</v>
      </c>
      <c r="F764">
        <v>2</v>
      </c>
      <c r="G764" t="s">
        <v>13</v>
      </c>
      <c r="H764" s="1">
        <v>45944.963194444441</v>
      </c>
      <c r="I764" s="5">
        <f>INT(TB[[#This Row],[时间戳]])</f>
        <v>45944</v>
      </c>
      <c r="J764" s="2">
        <f>HOUR(TB[[#This Row],[时间戳]])</f>
        <v>23</v>
      </c>
      <c r="K764">
        <v>11073</v>
      </c>
      <c r="L764">
        <v>2</v>
      </c>
      <c r="M764">
        <f>TB[[#This Row],[售价]]*TB[[#This Row],[销量]]</f>
        <v>22146</v>
      </c>
      <c r="N764" t="str">
        <f>IF(TB[[#This Row],[售价]]&lt;1000,"低价商品",IF(TB[[#This Row],[售价]]&lt;5000,"中价商品",IF(TB[[#This Row],[售价]]&lt;10000,"高价商品","超高价商品")))</f>
        <v>超高价商品</v>
      </c>
    </row>
    <row r="765" spans="1:14" x14ac:dyDescent="0.2">
      <c r="A765">
        <v>330</v>
      </c>
      <c r="B765">
        <v>272</v>
      </c>
      <c r="C765" t="s">
        <v>34</v>
      </c>
      <c r="D765" t="s">
        <v>325</v>
      </c>
      <c r="E765" t="s">
        <v>25</v>
      </c>
      <c r="F765">
        <v>7</v>
      </c>
      <c r="G765" t="s">
        <v>13</v>
      </c>
      <c r="H765" s="1">
        <v>45944.988194444442</v>
      </c>
      <c r="I765" s="5">
        <f>INT(TB[[#This Row],[时间戳]])</f>
        <v>45944</v>
      </c>
      <c r="J765" s="2">
        <f>HOUR(TB[[#This Row],[时间戳]])</f>
        <v>23</v>
      </c>
      <c r="K765">
        <v>3307</v>
      </c>
      <c r="L765">
        <v>2</v>
      </c>
      <c r="M765">
        <f>TB[[#This Row],[售价]]*TB[[#This Row],[销量]]</f>
        <v>6614</v>
      </c>
      <c r="N765" t="str">
        <f>IF(TB[[#This Row],[售价]]&lt;1000,"低价商品",IF(TB[[#This Row],[售价]]&lt;5000,"中价商品",IF(TB[[#This Row],[售价]]&lt;10000,"高价商品","超高价商品")))</f>
        <v>中价商品</v>
      </c>
    </row>
    <row r="766" spans="1:14" x14ac:dyDescent="0.2">
      <c r="A766">
        <v>232</v>
      </c>
      <c r="B766">
        <v>177</v>
      </c>
      <c r="C766" t="s">
        <v>10</v>
      </c>
      <c r="D766" t="s">
        <v>116</v>
      </c>
      <c r="E766" t="s">
        <v>31</v>
      </c>
      <c r="F766">
        <v>4</v>
      </c>
      <c r="G766" t="s">
        <v>13</v>
      </c>
      <c r="H766" s="1">
        <v>45944.988888888889</v>
      </c>
      <c r="I766" s="5">
        <f>INT(TB[[#This Row],[时间戳]])</f>
        <v>45944</v>
      </c>
      <c r="J766" s="2">
        <f>HOUR(TB[[#This Row],[时间戳]])</f>
        <v>23</v>
      </c>
      <c r="K766">
        <v>249</v>
      </c>
      <c r="L766">
        <v>2</v>
      </c>
      <c r="M766">
        <f>TB[[#This Row],[售价]]*TB[[#This Row],[销量]]</f>
        <v>498</v>
      </c>
      <c r="N766" t="str">
        <f>IF(TB[[#This Row],[售价]]&lt;1000,"低价商品",IF(TB[[#This Row],[售价]]&lt;5000,"中价商品",IF(TB[[#This Row],[售价]]&lt;10000,"高价商品","超高价商品")))</f>
        <v>低价商品</v>
      </c>
    </row>
    <row r="767" spans="1:14" x14ac:dyDescent="0.2">
      <c r="A767">
        <v>516</v>
      </c>
      <c r="B767">
        <v>157</v>
      </c>
      <c r="C767" t="s">
        <v>14</v>
      </c>
      <c r="D767" t="s">
        <v>207</v>
      </c>
      <c r="E767" t="s">
        <v>25</v>
      </c>
      <c r="F767">
        <v>7</v>
      </c>
      <c r="G767" t="s">
        <v>13</v>
      </c>
      <c r="H767" s="1">
        <v>45945.004166666666</v>
      </c>
      <c r="I767" s="5">
        <f>INT(TB[[#This Row],[时间戳]])</f>
        <v>45945</v>
      </c>
      <c r="J767" s="2">
        <f>HOUR(TB[[#This Row],[时间戳]])</f>
        <v>0</v>
      </c>
      <c r="K767">
        <v>3922</v>
      </c>
      <c r="L767">
        <v>2</v>
      </c>
      <c r="M767">
        <f>TB[[#This Row],[售价]]*TB[[#This Row],[销量]]</f>
        <v>7844</v>
      </c>
      <c r="N767" t="str">
        <f>IF(TB[[#This Row],[售价]]&lt;1000,"低价商品",IF(TB[[#This Row],[售价]]&lt;5000,"中价商品",IF(TB[[#This Row],[售价]]&lt;10000,"高价商品","超高价商品")))</f>
        <v>中价商品</v>
      </c>
    </row>
    <row r="768" spans="1:14" x14ac:dyDescent="0.2">
      <c r="A768">
        <v>298</v>
      </c>
      <c r="B768">
        <v>234</v>
      </c>
      <c r="C768" t="s">
        <v>10</v>
      </c>
      <c r="D768" t="s">
        <v>221</v>
      </c>
      <c r="E768" t="s">
        <v>16</v>
      </c>
      <c r="F768">
        <v>6</v>
      </c>
      <c r="G768" t="s">
        <v>13</v>
      </c>
      <c r="H768" s="1">
        <v>45945.030555555553</v>
      </c>
      <c r="I768" s="5">
        <f>INT(TB[[#This Row],[时间戳]])</f>
        <v>45945</v>
      </c>
      <c r="J768" s="2">
        <f>HOUR(TB[[#This Row],[时间戳]])</f>
        <v>0</v>
      </c>
      <c r="K768">
        <v>4569</v>
      </c>
      <c r="L768">
        <v>3</v>
      </c>
      <c r="M768">
        <f>TB[[#This Row],[售价]]*TB[[#This Row],[销量]]</f>
        <v>13707</v>
      </c>
      <c r="N768" t="str">
        <f>IF(TB[[#This Row],[售价]]&lt;1000,"低价商品",IF(TB[[#This Row],[售价]]&lt;5000,"中价商品",IF(TB[[#This Row],[售价]]&lt;10000,"高价商品","超高价商品")))</f>
        <v>中价商品</v>
      </c>
    </row>
    <row r="769" spans="1:14" x14ac:dyDescent="0.2">
      <c r="A769">
        <v>346</v>
      </c>
      <c r="B769">
        <v>223</v>
      </c>
      <c r="C769" t="s">
        <v>46</v>
      </c>
      <c r="D769" t="s">
        <v>141</v>
      </c>
      <c r="E769" t="s">
        <v>22</v>
      </c>
      <c r="F769">
        <v>1</v>
      </c>
      <c r="G769" t="s">
        <v>42</v>
      </c>
      <c r="H769" s="1">
        <v>45945.068749999999</v>
      </c>
      <c r="I769" s="5">
        <f>INT(TB[[#This Row],[时间戳]])</f>
        <v>45945</v>
      </c>
      <c r="J769" s="2">
        <f>HOUR(TB[[#This Row],[时间戳]])</f>
        <v>1</v>
      </c>
      <c r="K769">
        <v>7028</v>
      </c>
      <c r="L769">
        <v>0</v>
      </c>
      <c r="M769">
        <f>TB[[#This Row],[售价]]*TB[[#This Row],[销量]]</f>
        <v>0</v>
      </c>
      <c r="N769" t="str">
        <f>IF(TB[[#This Row],[售价]]&lt;1000,"低价商品",IF(TB[[#This Row],[售价]]&lt;5000,"中价商品",IF(TB[[#This Row],[售价]]&lt;10000,"高价商品","超高价商品")))</f>
        <v>高价商品</v>
      </c>
    </row>
    <row r="770" spans="1:14" x14ac:dyDescent="0.2">
      <c r="A770">
        <v>769</v>
      </c>
      <c r="B770">
        <v>97</v>
      </c>
      <c r="C770" t="s">
        <v>44</v>
      </c>
      <c r="D770" t="s">
        <v>184</v>
      </c>
      <c r="E770" t="s">
        <v>12</v>
      </c>
      <c r="F770">
        <v>2</v>
      </c>
      <c r="G770" t="s">
        <v>13</v>
      </c>
      <c r="H770" s="1">
        <v>45945.07708333333</v>
      </c>
      <c r="I770" s="5">
        <f>INT(TB[[#This Row],[时间戳]])</f>
        <v>45945</v>
      </c>
      <c r="J770" s="2">
        <f>HOUR(TB[[#This Row],[时间戳]])</f>
        <v>1</v>
      </c>
      <c r="K770">
        <v>6167</v>
      </c>
      <c r="L770">
        <v>2</v>
      </c>
      <c r="M770">
        <f>TB[[#This Row],[售价]]*TB[[#This Row],[销量]]</f>
        <v>12334</v>
      </c>
      <c r="N770" t="str">
        <f>IF(TB[[#This Row],[售价]]&lt;1000,"低价商品",IF(TB[[#This Row],[售价]]&lt;5000,"中价商品",IF(TB[[#This Row],[售价]]&lt;10000,"高价商品","超高价商品")))</f>
        <v>高价商品</v>
      </c>
    </row>
    <row r="771" spans="1:14" x14ac:dyDescent="0.2">
      <c r="A771">
        <v>230</v>
      </c>
      <c r="B771">
        <v>68</v>
      </c>
      <c r="C771" t="s">
        <v>10</v>
      </c>
      <c r="D771" t="s">
        <v>41</v>
      </c>
      <c r="E771" t="s">
        <v>22</v>
      </c>
      <c r="F771">
        <v>1</v>
      </c>
      <c r="G771" t="s">
        <v>13</v>
      </c>
      <c r="H771" s="1">
        <v>45945.10833333333</v>
      </c>
      <c r="I771" s="5">
        <f>INT(TB[[#This Row],[时间戳]])</f>
        <v>45945</v>
      </c>
      <c r="J771" s="2">
        <f>HOUR(TB[[#This Row],[时间戳]])</f>
        <v>2</v>
      </c>
      <c r="K771">
        <v>2356</v>
      </c>
      <c r="L771">
        <v>1</v>
      </c>
      <c r="M771">
        <f>TB[[#This Row],[售价]]*TB[[#This Row],[销量]]</f>
        <v>2356</v>
      </c>
      <c r="N771" t="str">
        <f>IF(TB[[#This Row],[售价]]&lt;1000,"低价商品",IF(TB[[#This Row],[售价]]&lt;5000,"中价商品",IF(TB[[#This Row],[售价]]&lt;10000,"高价商品","超高价商品")))</f>
        <v>中价商品</v>
      </c>
    </row>
    <row r="772" spans="1:14" x14ac:dyDescent="0.2">
      <c r="A772">
        <v>517</v>
      </c>
      <c r="B772">
        <v>87</v>
      </c>
      <c r="C772" t="s">
        <v>10</v>
      </c>
      <c r="D772" t="s">
        <v>278</v>
      </c>
      <c r="E772" t="s">
        <v>19</v>
      </c>
      <c r="F772">
        <v>3</v>
      </c>
      <c r="G772" t="s">
        <v>42</v>
      </c>
      <c r="H772" s="1">
        <v>45945.11041666667</v>
      </c>
      <c r="I772" s="5">
        <f>INT(TB[[#This Row],[时间戳]])</f>
        <v>45945</v>
      </c>
      <c r="J772" s="2">
        <f>HOUR(TB[[#This Row],[时间戳]])</f>
        <v>2</v>
      </c>
      <c r="K772">
        <v>3405</v>
      </c>
      <c r="L772">
        <v>0</v>
      </c>
      <c r="M772">
        <f>TB[[#This Row],[售价]]*TB[[#This Row],[销量]]</f>
        <v>0</v>
      </c>
      <c r="N772" t="str">
        <f>IF(TB[[#This Row],[售价]]&lt;1000,"低价商品",IF(TB[[#This Row],[售价]]&lt;5000,"中价商品",IF(TB[[#This Row],[售价]]&lt;10000,"高价商品","超高价商品")))</f>
        <v>中价商品</v>
      </c>
    </row>
    <row r="773" spans="1:14" x14ac:dyDescent="0.2">
      <c r="A773">
        <v>656</v>
      </c>
      <c r="B773">
        <v>131</v>
      </c>
      <c r="C773" t="s">
        <v>10</v>
      </c>
      <c r="D773" t="s">
        <v>283</v>
      </c>
      <c r="E773" t="s">
        <v>25</v>
      </c>
      <c r="F773">
        <v>7</v>
      </c>
      <c r="G773" t="s">
        <v>13</v>
      </c>
      <c r="H773" s="1">
        <v>45945.145138888889</v>
      </c>
      <c r="I773" s="5">
        <f>INT(TB[[#This Row],[时间戳]])</f>
        <v>45945</v>
      </c>
      <c r="J773" s="2">
        <f>HOUR(TB[[#This Row],[时间戳]])</f>
        <v>3</v>
      </c>
      <c r="K773">
        <v>2495</v>
      </c>
      <c r="L773">
        <v>1</v>
      </c>
      <c r="M773">
        <f>TB[[#This Row],[售价]]*TB[[#This Row],[销量]]</f>
        <v>2495</v>
      </c>
      <c r="N773" t="str">
        <f>IF(TB[[#This Row],[售价]]&lt;1000,"低价商品",IF(TB[[#This Row],[售价]]&lt;5000,"中价商品",IF(TB[[#This Row],[售价]]&lt;10000,"高价商品","超高价商品")))</f>
        <v>中价商品</v>
      </c>
    </row>
    <row r="774" spans="1:14" x14ac:dyDescent="0.2">
      <c r="A774">
        <v>609</v>
      </c>
      <c r="B774">
        <v>25</v>
      </c>
      <c r="C774" t="s">
        <v>46</v>
      </c>
      <c r="D774" t="s">
        <v>359</v>
      </c>
      <c r="E774" t="s">
        <v>25</v>
      </c>
      <c r="F774">
        <v>7</v>
      </c>
      <c r="G774" t="s">
        <v>13</v>
      </c>
      <c r="H774" s="1">
        <v>45945.147916666669</v>
      </c>
      <c r="I774" s="5">
        <f>INT(TB[[#This Row],[时间戳]])</f>
        <v>45945</v>
      </c>
      <c r="J774" s="2">
        <f>HOUR(TB[[#This Row],[时间戳]])</f>
        <v>3</v>
      </c>
      <c r="K774">
        <v>7891</v>
      </c>
      <c r="L774">
        <v>1</v>
      </c>
      <c r="M774">
        <f>TB[[#This Row],[售价]]*TB[[#This Row],[销量]]</f>
        <v>7891</v>
      </c>
      <c r="N774" t="str">
        <f>IF(TB[[#This Row],[售价]]&lt;1000,"低价商品",IF(TB[[#This Row],[售价]]&lt;5000,"中价商品",IF(TB[[#This Row],[售价]]&lt;10000,"高价商品","超高价商品")))</f>
        <v>高价商品</v>
      </c>
    </row>
    <row r="775" spans="1:14" x14ac:dyDescent="0.2">
      <c r="A775">
        <v>707</v>
      </c>
      <c r="B775">
        <v>60</v>
      </c>
      <c r="C775" t="s">
        <v>10</v>
      </c>
      <c r="D775" t="s">
        <v>237</v>
      </c>
      <c r="E775" t="s">
        <v>25</v>
      </c>
      <c r="F775">
        <v>7</v>
      </c>
      <c r="G775" t="s">
        <v>13</v>
      </c>
      <c r="H775" s="1">
        <v>45945.156944444447</v>
      </c>
      <c r="I775" s="5">
        <f>INT(TB[[#This Row],[时间戳]])</f>
        <v>45945</v>
      </c>
      <c r="J775" s="2">
        <f>HOUR(TB[[#This Row],[时间戳]])</f>
        <v>3</v>
      </c>
      <c r="K775">
        <v>6777</v>
      </c>
      <c r="L775">
        <v>3</v>
      </c>
      <c r="M775">
        <f>TB[[#This Row],[售价]]*TB[[#This Row],[销量]]</f>
        <v>20331</v>
      </c>
      <c r="N775" t="str">
        <f>IF(TB[[#This Row],[售价]]&lt;1000,"低价商品",IF(TB[[#This Row],[售价]]&lt;5000,"中价商品",IF(TB[[#This Row],[售价]]&lt;10000,"高价商品","超高价商品")))</f>
        <v>高价商品</v>
      </c>
    </row>
    <row r="776" spans="1:14" x14ac:dyDescent="0.2">
      <c r="A776">
        <v>561</v>
      </c>
      <c r="B776">
        <v>130</v>
      </c>
      <c r="C776" t="s">
        <v>17</v>
      </c>
      <c r="D776" t="s">
        <v>74</v>
      </c>
      <c r="E776" t="s">
        <v>22</v>
      </c>
      <c r="F776">
        <v>1</v>
      </c>
      <c r="G776" t="s">
        <v>13</v>
      </c>
      <c r="H776" s="1">
        <v>45945.186111111114</v>
      </c>
      <c r="I776" s="5">
        <f>INT(TB[[#This Row],[时间戳]])</f>
        <v>45945</v>
      </c>
      <c r="J776" s="2">
        <f>HOUR(TB[[#This Row],[时间戳]])</f>
        <v>4</v>
      </c>
      <c r="K776">
        <v>4441</v>
      </c>
      <c r="L776">
        <v>1</v>
      </c>
      <c r="M776">
        <f>TB[[#This Row],[售价]]*TB[[#This Row],[销量]]</f>
        <v>4441</v>
      </c>
      <c r="N776" t="str">
        <f>IF(TB[[#This Row],[售价]]&lt;1000,"低价商品",IF(TB[[#This Row],[售价]]&lt;5000,"中价商品",IF(TB[[#This Row],[售价]]&lt;10000,"高价商品","超高价商品")))</f>
        <v>中价商品</v>
      </c>
    </row>
    <row r="777" spans="1:14" x14ac:dyDescent="0.2">
      <c r="A777">
        <v>712</v>
      </c>
      <c r="B777">
        <v>5</v>
      </c>
      <c r="C777" t="s">
        <v>26</v>
      </c>
      <c r="D777" t="s">
        <v>360</v>
      </c>
      <c r="E777" t="s">
        <v>19</v>
      </c>
      <c r="F777">
        <v>3</v>
      </c>
      <c r="G777" t="s">
        <v>13</v>
      </c>
      <c r="H777" s="1">
        <v>45945.189583333333</v>
      </c>
      <c r="I777" s="5">
        <f>INT(TB[[#This Row],[时间戳]])</f>
        <v>45945</v>
      </c>
      <c r="J777" s="2">
        <f>HOUR(TB[[#This Row],[时间戳]])</f>
        <v>4</v>
      </c>
      <c r="K777">
        <v>5545</v>
      </c>
      <c r="L777">
        <v>3</v>
      </c>
      <c r="M777">
        <f>TB[[#This Row],[售价]]*TB[[#This Row],[销量]]</f>
        <v>16635</v>
      </c>
      <c r="N777" t="str">
        <f>IF(TB[[#This Row],[售价]]&lt;1000,"低价商品",IF(TB[[#This Row],[售价]]&lt;5000,"中价商品",IF(TB[[#This Row],[售价]]&lt;10000,"高价商品","超高价商品")))</f>
        <v>高价商品</v>
      </c>
    </row>
    <row r="778" spans="1:14" x14ac:dyDescent="0.2">
      <c r="A778">
        <v>533</v>
      </c>
      <c r="B778">
        <v>139</v>
      </c>
      <c r="C778" t="s">
        <v>14</v>
      </c>
      <c r="D778" t="s">
        <v>15</v>
      </c>
      <c r="E778" t="s">
        <v>16</v>
      </c>
      <c r="F778">
        <v>6</v>
      </c>
      <c r="G778" t="s">
        <v>13</v>
      </c>
      <c r="H778" s="1">
        <v>45945.193749999999</v>
      </c>
      <c r="I778" s="5">
        <f>INT(TB[[#This Row],[时间戳]])</f>
        <v>45945</v>
      </c>
      <c r="J778" s="2">
        <f>HOUR(TB[[#This Row],[时间戳]])</f>
        <v>4</v>
      </c>
      <c r="K778">
        <v>6948</v>
      </c>
      <c r="L778">
        <v>1</v>
      </c>
      <c r="M778">
        <f>TB[[#This Row],[售价]]*TB[[#This Row],[销量]]</f>
        <v>6948</v>
      </c>
      <c r="N778" t="str">
        <f>IF(TB[[#This Row],[售价]]&lt;1000,"低价商品",IF(TB[[#This Row],[售价]]&lt;5000,"中价商品",IF(TB[[#This Row],[售价]]&lt;10000,"高价商品","超高价商品")))</f>
        <v>高价商品</v>
      </c>
    </row>
    <row r="779" spans="1:14" x14ac:dyDescent="0.2">
      <c r="A779">
        <v>108</v>
      </c>
      <c r="B779">
        <v>262</v>
      </c>
      <c r="C779" t="s">
        <v>26</v>
      </c>
      <c r="D779" t="s">
        <v>171</v>
      </c>
      <c r="E779" t="s">
        <v>12</v>
      </c>
      <c r="F779">
        <v>2</v>
      </c>
      <c r="G779" t="s">
        <v>13</v>
      </c>
      <c r="H779" s="1">
        <v>45945.217361111114</v>
      </c>
      <c r="I779" s="5">
        <f>INT(TB[[#This Row],[时间戳]])</f>
        <v>45945</v>
      </c>
      <c r="J779" s="2">
        <f>HOUR(TB[[#This Row],[时间戳]])</f>
        <v>5</v>
      </c>
      <c r="K779">
        <v>14313</v>
      </c>
      <c r="L779">
        <v>1</v>
      </c>
      <c r="M779">
        <f>TB[[#This Row],[售价]]*TB[[#This Row],[销量]]</f>
        <v>14313</v>
      </c>
      <c r="N779" t="str">
        <f>IF(TB[[#This Row],[售价]]&lt;1000,"低价商品",IF(TB[[#This Row],[售价]]&lt;5000,"中价商品",IF(TB[[#This Row],[售价]]&lt;10000,"高价商品","超高价商品")))</f>
        <v>超高价商品</v>
      </c>
    </row>
    <row r="780" spans="1:14" x14ac:dyDescent="0.2">
      <c r="A780">
        <v>109</v>
      </c>
      <c r="B780">
        <v>255</v>
      </c>
      <c r="C780" t="s">
        <v>36</v>
      </c>
      <c r="D780" t="s">
        <v>187</v>
      </c>
      <c r="E780" t="s">
        <v>12</v>
      </c>
      <c r="F780">
        <v>2</v>
      </c>
      <c r="G780" t="s">
        <v>13</v>
      </c>
      <c r="H780" s="1">
        <v>45945.240972222222</v>
      </c>
      <c r="I780" s="5">
        <f>INT(TB[[#This Row],[时间戳]])</f>
        <v>45945</v>
      </c>
      <c r="J780" s="2">
        <f>HOUR(TB[[#This Row],[时间戳]])</f>
        <v>5</v>
      </c>
      <c r="K780">
        <v>13980</v>
      </c>
      <c r="L780">
        <v>3</v>
      </c>
      <c r="M780">
        <f>TB[[#This Row],[售价]]*TB[[#This Row],[销量]]</f>
        <v>41940</v>
      </c>
      <c r="N780" t="str">
        <f>IF(TB[[#This Row],[售价]]&lt;1000,"低价商品",IF(TB[[#This Row],[售价]]&lt;5000,"中价商品",IF(TB[[#This Row],[售价]]&lt;10000,"高价商品","超高价商品")))</f>
        <v>超高价商品</v>
      </c>
    </row>
    <row r="781" spans="1:14" x14ac:dyDescent="0.2">
      <c r="A781">
        <v>536</v>
      </c>
      <c r="B781">
        <v>104</v>
      </c>
      <c r="C781" t="s">
        <v>32</v>
      </c>
      <c r="D781" t="s">
        <v>342</v>
      </c>
      <c r="E781" t="s">
        <v>39</v>
      </c>
      <c r="F781">
        <v>5</v>
      </c>
      <c r="G781" t="s">
        <v>13</v>
      </c>
      <c r="H781" s="1">
        <v>45945.259722222225</v>
      </c>
      <c r="I781" s="5">
        <f>INT(TB[[#This Row],[时间戳]])</f>
        <v>45945</v>
      </c>
      <c r="J781" s="2">
        <f>HOUR(TB[[#This Row],[时间戳]])</f>
        <v>6</v>
      </c>
      <c r="K781">
        <v>1724</v>
      </c>
      <c r="L781">
        <v>1</v>
      </c>
      <c r="M781">
        <f>TB[[#This Row],[售价]]*TB[[#This Row],[销量]]</f>
        <v>1724</v>
      </c>
      <c r="N781" t="str">
        <f>IF(TB[[#This Row],[售价]]&lt;1000,"低价商品",IF(TB[[#This Row],[售价]]&lt;5000,"中价商品",IF(TB[[#This Row],[售价]]&lt;10000,"高价商品","超高价商品")))</f>
        <v>中价商品</v>
      </c>
    </row>
    <row r="782" spans="1:14" x14ac:dyDescent="0.2">
      <c r="A782">
        <v>165</v>
      </c>
      <c r="B782">
        <v>21</v>
      </c>
      <c r="C782" t="s">
        <v>17</v>
      </c>
      <c r="D782" t="s">
        <v>91</v>
      </c>
      <c r="E782" t="s">
        <v>25</v>
      </c>
      <c r="F782">
        <v>7</v>
      </c>
      <c r="G782" t="s">
        <v>13</v>
      </c>
      <c r="H782" s="1">
        <v>45945.281944444447</v>
      </c>
      <c r="I782" s="5">
        <f>INT(TB[[#This Row],[时间戳]])</f>
        <v>45945</v>
      </c>
      <c r="J782" s="2">
        <f>HOUR(TB[[#This Row],[时间戳]])</f>
        <v>6</v>
      </c>
      <c r="K782">
        <v>4592</v>
      </c>
      <c r="L782">
        <v>2</v>
      </c>
      <c r="M782">
        <f>TB[[#This Row],[售价]]*TB[[#This Row],[销量]]</f>
        <v>9184</v>
      </c>
      <c r="N782" t="str">
        <f>IF(TB[[#This Row],[售价]]&lt;1000,"低价商品",IF(TB[[#This Row],[售价]]&lt;5000,"中价商品",IF(TB[[#This Row],[售价]]&lt;10000,"高价商品","超高价商品")))</f>
        <v>中价商品</v>
      </c>
    </row>
    <row r="783" spans="1:14" x14ac:dyDescent="0.2">
      <c r="A783">
        <v>493</v>
      </c>
      <c r="B783">
        <v>170</v>
      </c>
      <c r="C783" t="s">
        <v>32</v>
      </c>
      <c r="D783" t="s">
        <v>251</v>
      </c>
      <c r="E783" t="s">
        <v>12</v>
      </c>
      <c r="F783">
        <v>2</v>
      </c>
      <c r="G783" t="s">
        <v>13</v>
      </c>
      <c r="H783" s="1">
        <v>45945.29583333333</v>
      </c>
      <c r="I783" s="5">
        <f>INT(TB[[#This Row],[时间戳]])</f>
        <v>45945</v>
      </c>
      <c r="J783" s="2">
        <f>HOUR(TB[[#This Row],[时间戳]])</f>
        <v>7</v>
      </c>
      <c r="K783">
        <v>13034</v>
      </c>
      <c r="L783">
        <v>1</v>
      </c>
      <c r="M783">
        <f>TB[[#This Row],[售价]]*TB[[#This Row],[销量]]</f>
        <v>13034</v>
      </c>
      <c r="N783" t="str">
        <f>IF(TB[[#This Row],[售价]]&lt;1000,"低价商品",IF(TB[[#This Row],[售价]]&lt;5000,"中价商品",IF(TB[[#This Row],[售价]]&lt;10000,"高价商品","超高价商品")))</f>
        <v>超高价商品</v>
      </c>
    </row>
    <row r="784" spans="1:14" x14ac:dyDescent="0.2">
      <c r="A784">
        <v>92</v>
      </c>
      <c r="B784">
        <v>57</v>
      </c>
      <c r="C784" t="s">
        <v>10</v>
      </c>
      <c r="D784" t="s">
        <v>240</v>
      </c>
      <c r="E784" t="s">
        <v>16</v>
      </c>
      <c r="F784">
        <v>6</v>
      </c>
      <c r="G784" t="s">
        <v>13</v>
      </c>
      <c r="H784" s="1">
        <v>45945.301388888889</v>
      </c>
      <c r="I784" s="5">
        <f>INT(TB[[#This Row],[时间戳]])</f>
        <v>45945</v>
      </c>
      <c r="J784" s="2">
        <f>HOUR(TB[[#This Row],[时间戳]])</f>
        <v>7</v>
      </c>
      <c r="K784">
        <v>5643</v>
      </c>
      <c r="L784">
        <v>2</v>
      </c>
      <c r="M784">
        <f>TB[[#This Row],[售价]]*TB[[#This Row],[销量]]</f>
        <v>11286</v>
      </c>
      <c r="N784" t="str">
        <f>IF(TB[[#This Row],[售价]]&lt;1000,"低价商品",IF(TB[[#This Row],[售价]]&lt;5000,"中价商品",IF(TB[[#This Row],[售价]]&lt;10000,"高价商品","超高价商品")))</f>
        <v>高价商品</v>
      </c>
    </row>
    <row r="785" spans="1:14" x14ac:dyDescent="0.2">
      <c r="A785">
        <v>93</v>
      </c>
      <c r="B785">
        <v>262</v>
      </c>
      <c r="C785" t="s">
        <v>44</v>
      </c>
      <c r="D785" t="s">
        <v>76</v>
      </c>
      <c r="E785" t="s">
        <v>31</v>
      </c>
      <c r="F785">
        <v>4</v>
      </c>
      <c r="G785" t="s">
        <v>13</v>
      </c>
      <c r="H785" s="1">
        <v>45945.309027777781</v>
      </c>
      <c r="I785" s="5">
        <f>INT(TB[[#This Row],[时间戳]])</f>
        <v>45945</v>
      </c>
      <c r="J785" s="2">
        <f>HOUR(TB[[#This Row],[时间戳]])</f>
        <v>7</v>
      </c>
      <c r="K785">
        <v>1367</v>
      </c>
      <c r="L785">
        <v>2</v>
      </c>
      <c r="M785">
        <f>TB[[#This Row],[售价]]*TB[[#This Row],[销量]]</f>
        <v>2734</v>
      </c>
      <c r="N785" t="str">
        <f>IF(TB[[#This Row],[售价]]&lt;1000,"低价商品",IF(TB[[#This Row],[售价]]&lt;5000,"中价商品",IF(TB[[#This Row],[售价]]&lt;10000,"高价商品","超高价商品")))</f>
        <v>中价商品</v>
      </c>
    </row>
    <row r="786" spans="1:14" x14ac:dyDescent="0.2">
      <c r="A786">
        <v>660</v>
      </c>
      <c r="B786">
        <v>119</v>
      </c>
      <c r="C786" t="s">
        <v>14</v>
      </c>
      <c r="D786" t="s">
        <v>124</v>
      </c>
      <c r="E786" t="s">
        <v>19</v>
      </c>
      <c r="F786">
        <v>3</v>
      </c>
      <c r="G786" t="s">
        <v>42</v>
      </c>
      <c r="H786" s="1">
        <v>45945.313194444447</v>
      </c>
      <c r="I786" s="5">
        <f>INT(TB[[#This Row],[时间戳]])</f>
        <v>45945</v>
      </c>
      <c r="J786" s="2">
        <f>HOUR(TB[[#This Row],[时间戳]])</f>
        <v>7</v>
      </c>
      <c r="K786">
        <v>2284</v>
      </c>
      <c r="L786">
        <v>0</v>
      </c>
      <c r="M786">
        <f>TB[[#This Row],[售价]]*TB[[#This Row],[销量]]</f>
        <v>0</v>
      </c>
      <c r="N786" t="str">
        <f>IF(TB[[#This Row],[售价]]&lt;1000,"低价商品",IF(TB[[#This Row],[售价]]&lt;5000,"中价商品",IF(TB[[#This Row],[售价]]&lt;10000,"高价商品","超高价商品")))</f>
        <v>中价商品</v>
      </c>
    </row>
    <row r="787" spans="1:14" x14ac:dyDescent="0.2">
      <c r="A787">
        <v>52</v>
      </c>
      <c r="B787">
        <v>52</v>
      </c>
      <c r="C787" t="s">
        <v>36</v>
      </c>
      <c r="D787" t="s">
        <v>269</v>
      </c>
      <c r="E787" t="s">
        <v>19</v>
      </c>
      <c r="F787">
        <v>3</v>
      </c>
      <c r="G787" t="s">
        <v>13</v>
      </c>
      <c r="H787" s="1">
        <v>45945.356944444444</v>
      </c>
      <c r="I787" s="5">
        <f>INT(TB[[#This Row],[时间戳]])</f>
        <v>45945</v>
      </c>
      <c r="J787" s="2">
        <f>HOUR(TB[[#This Row],[时间戳]])</f>
        <v>8</v>
      </c>
      <c r="K787">
        <v>5192</v>
      </c>
      <c r="L787">
        <v>3</v>
      </c>
      <c r="M787">
        <f>TB[[#This Row],[售价]]*TB[[#This Row],[销量]]</f>
        <v>15576</v>
      </c>
      <c r="N787" t="str">
        <f>IF(TB[[#This Row],[售价]]&lt;1000,"低价商品",IF(TB[[#This Row],[售价]]&lt;5000,"中价商品",IF(TB[[#This Row],[售价]]&lt;10000,"高价商品","超高价商品")))</f>
        <v>高价商品</v>
      </c>
    </row>
    <row r="788" spans="1:14" x14ac:dyDescent="0.2">
      <c r="A788">
        <v>694</v>
      </c>
      <c r="B788">
        <v>161</v>
      </c>
      <c r="C788" t="s">
        <v>36</v>
      </c>
      <c r="D788" t="s">
        <v>102</v>
      </c>
      <c r="E788" t="s">
        <v>19</v>
      </c>
      <c r="F788">
        <v>3</v>
      </c>
      <c r="G788" t="s">
        <v>13</v>
      </c>
      <c r="H788" s="1">
        <v>45945.372916666667</v>
      </c>
      <c r="I788" s="5">
        <f>INT(TB[[#This Row],[时间戳]])</f>
        <v>45945</v>
      </c>
      <c r="J788" s="2">
        <f>HOUR(TB[[#This Row],[时间戳]])</f>
        <v>8</v>
      </c>
      <c r="K788">
        <v>2751</v>
      </c>
      <c r="L788">
        <v>1</v>
      </c>
      <c r="M788">
        <f>TB[[#This Row],[售价]]*TB[[#This Row],[销量]]</f>
        <v>2751</v>
      </c>
      <c r="N788" t="str">
        <f>IF(TB[[#This Row],[售价]]&lt;1000,"低价商品",IF(TB[[#This Row],[售价]]&lt;5000,"中价商品",IF(TB[[#This Row],[售价]]&lt;10000,"高价商品","超高价商品")))</f>
        <v>中价商品</v>
      </c>
    </row>
    <row r="789" spans="1:14" x14ac:dyDescent="0.2">
      <c r="A789">
        <v>777</v>
      </c>
      <c r="B789">
        <v>24</v>
      </c>
      <c r="C789" t="s">
        <v>14</v>
      </c>
      <c r="D789" t="s">
        <v>30</v>
      </c>
      <c r="E789" t="s">
        <v>31</v>
      </c>
      <c r="F789">
        <v>4</v>
      </c>
      <c r="G789" t="s">
        <v>13</v>
      </c>
      <c r="H789" s="1">
        <v>45945.382638888892</v>
      </c>
      <c r="I789" s="5">
        <f>INT(TB[[#This Row],[时间戳]])</f>
        <v>45945</v>
      </c>
      <c r="J789" s="2">
        <f>HOUR(TB[[#This Row],[时间戳]])</f>
        <v>9</v>
      </c>
      <c r="K789">
        <v>1100</v>
      </c>
      <c r="L789">
        <v>2</v>
      </c>
      <c r="M789">
        <f>TB[[#This Row],[售价]]*TB[[#This Row],[销量]]</f>
        <v>2200</v>
      </c>
      <c r="N789" t="str">
        <f>IF(TB[[#This Row],[售价]]&lt;1000,"低价商品",IF(TB[[#This Row],[售价]]&lt;5000,"中价商品",IF(TB[[#This Row],[售价]]&lt;10000,"高价商品","超高价商品")))</f>
        <v>中价商品</v>
      </c>
    </row>
    <row r="790" spans="1:14" x14ac:dyDescent="0.2">
      <c r="A790">
        <v>367</v>
      </c>
      <c r="B790">
        <v>225</v>
      </c>
      <c r="C790" t="s">
        <v>26</v>
      </c>
      <c r="D790" t="s">
        <v>219</v>
      </c>
      <c r="E790" t="s">
        <v>22</v>
      </c>
      <c r="F790">
        <v>1</v>
      </c>
      <c r="G790" t="s">
        <v>13</v>
      </c>
      <c r="H790" s="1">
        <v>45945.393750000003</v>
      </c>
      <c r="I790" s="5">
        <f>INT(TB[[#This Row],[时间戳]])</f>
        <v>45945</v>
      </c>
      <c r="J790" s="2">
        <f>HOUR(TB[[#This Row],[时间戳]])</f>
        <v>9</v>
      </c>
      <c r="K790">
        <v>1000</v>
      </c>
      <c r="L790">
        <v>2</v>
      </c>
      <c r="M790">
        <f>TB[[#This Row],[售价]]*TB[[#This Row],[销量]]</f>
        <v>2000</v>
      </c>
      <c r="N790" t="str">
        <f>IF(TB[[#This Row],[售价]]&lt;1000,"低价商品",IF(TB[[#This Row],[售价]]&lt;5000,"中价商品",IF(TB[[#This Row],[售价]]&lt;10000,"高价商品","超高价商品")))</f>
        <v>中价商品</v>
      </c>
    </row>
    <row r="791" spans="1:14" x14ac:dyDescent="0.2">
      <c r="A791">
        <v>351</v>
      </c>
      <c r="B791">
        <v>94</v>
      </c>
      <c r="C791" t="s">
        <v>14</v>
      </c>
      <c r="D791" t="s">
        <v>53</v>
      </c>
      <c r="E791" t="s">
        <v>12</v>
      </c>
      <c r="F791">
        <v>2</v>
      </c>
      <c r="G791" t="s">
        <v>42</v>
      </c>
      <c r="H791" s="1">
        <v>45945.447916666664</v>
      </c>
      <c r="I791" s="5">
        <f>INT(TB[[#This Row],[时间戳]])</f>
        <v>45945</v>
      </c>
      <c r="J791" s="2">
        <f>HOUR(TB[[#This Row],[时间戳]])</f>
        <v>10</v>
      </c>
      <c r="K791">
        <v>14124</v>
      </c>
      <c r="L791">
        <v>0</v>
      </c>
      <c r="M791">
        <f>TB[[#This Row],[售价]]*TB[[#This Row],[销量]]</f>
        <v>0</v>
      </c>
      <c r="N791" t="str">
        <f>IF(TB[[#This Row],[售价]]&lt;1000,"低价商品",IF(TB[[#This Row],[售价]]&lt;5000,"中价商品",IF(TB[[#This Row],[售价]]&lt;10000,"高价商品","超高价商品")))</f>
        <v>超高价商品</v>
      </c>
    </row>
    <row r="792" spans="1:14" x14ac:dyDescent="0.2">
      <c r="A792">
        <v>279</v>
      </c>
      <c r="B792">
        <v>198</v>
      </c>
      <c r="C792" t="s">
        <v>17</v>
      </c>
      <c r="D792" t="s">
        <v>128</v>
      </c>
      <c r="E792" t="s">
        <v>12</v>
      </c>
      <c r="F792">
        <v>2</v>
      </c>
      <c r="G792" t="s">
        <v>42</v>
      </c>
      <c r="H792" s="1">
        <v>45945.451388888891</v>
      </c>
      <c r="I792" s="5">
        <f>INT(TB[[#This Row],[时间戳]])</f>
        <v>45945</v>
      </c>
      <c r="J792" s="2">
        <f>HOUR(TB[[#This Row],[时间戳]])</f>
        <v>10</v>
      </c>
      <c r="K792">
        <v>5870</v>
      </c>
      <c r="L792">
        <v>0</v>
      </c>
      <c r="M792">
        <f>TB[[#This Row],[售价]]*TB[[#This Row],[销量]]</f>
        <v>0</v>
      </c>
      <c r="N792" t="str">
        <f>IF(TB[[#This Row],[售价]]&lt;1000,"低价商品",IF(TB[[#This Row],[售价]]&lt;5000,"中价商品",IF(TB[[#This Row],[售价]]&lt;10000,"高价商品","超高价商品")))</f>
        <v>高价商品</v>
      </c>
    </row>
    <row r="793" spans="1:14" x14ac:dyDescent="0.2">
      <c r="A793">
        <v>171</v>
      </c>
      <c r="B793">
        <v>58</v>
      </c>
      <c r="C793" t="s">
        <v>17</v>
      </c>
      <c r="D793" t="s">
        <v>361</v>
      </c>
      <c r="E793" t="s">
        <v>25</v>
      </c>
      <c r="F793">
        <v>7</v>
      </c>
      <c r="G793" t="s">
        <v>13</v>
      </c>
      <c r="H793" s="1">
        <v>45945.467361111114</v>
      </c>
      <c r="I793" s="5">
        <f>INT(TB[[#This Row],[时间戳]])</f>
        <v>45945</v>
      </c>
      <c r="J793" s="2">
        <f>HOUR(TB[[#This Row],[时间戳]])</f>
        <v>11</v>
      </c>
      <c r="K793">
        <v>7195</v>
      </c>
      <c r="L793">
        <v>1</v>
      </c>
      <c r="M793">
        <f>TB[[#This Row],[售价]]*TB[[#This Row],[销量]]</f>
        <v>7195</v>
      </c>
      <c r="N793" t="str">
        <f>IF(TB[[#This Row],[售价]]&lt;1000,"低价商品",IF(TB[[#This Row],[售价]]&lt;5000,"中价商品",IF(TB[[#This Row],[售价]]&lt;10000,"高价商品","超高价商品")))</f>
        <v>高价商品</v>
      </c>
    </row>
    <row r="794" spans="1:14" x14ac:dyDescent="0.2">
      <c r="A794">
        <v>107</v>
      </c>
      <c r="B794">
        <v>214</v>
      </c>
      <c r="C794" t="s">
        <v>10</v>
      </c>
      <c r="D794" t="s">
        <v>197</v>
      </c>
      <c r="E794" t="s">
        <v>39</v>
      </c>
      <c r="F794">
        <v>5</v>
      </c>
      <c r="G794" t="s">
        <v>13</v>
      </c>
      <c r="H794" s="1">
        <v>45945.480555555558</v>
      </c>
      <c r="I794" s="5">
        <f>INT(TB[[#This Row],[时间戳]])</f>
        <v>45945</v>
      </c>
      <c r="J794" s="2">
        <f>HOUR(TB[[#This Row],[时间戳]])</f>
        <v>11</v>
      </c>
      <c r="K794">
        <v>1498</v>
      </c>
      <c r="L794">
        <v>1</v>
      </c>
      <c r="M794">
        <f>TB[[#This Row],[售价]]*TB[[#This Row],[销量]]</f>
        <v>1498</v>
      </c>
      <c r="N794" t="str">
        <f>IF(TB[[#This Row],[售价]]&lt;1000,"低价商品",IF(TB[[#This Row],[售价]]&lt;5000,"中价商品",IF(TB[[#This Row],[售价]]&lt;10000,"高价商品","超高价商品")))</f>
        <v>中价商品</v>
      </c>
    </row>
    <row r="795" spans="1:14" x14ac:dyDescent="0.2">
      <c r="A795">
        <v>186</v>
      </c>
      <c r="B795">
        <v>195</v>
      </c>
      <c r="C795" t="s">
        <v>46</v>
      </c>
      <c r="D795" t="s">
        <v>246</v>
      </c>
      <c r="E795" t="s">
        <v>39</v>
      </c>
      <c r="F795">
        <v>5</v>
      </c>
      <c r="G795" t="s">
        <v>13</v>
      </c>
      <c r="H795" s="1">
        <v>45945.497916666667</v>
      </c>
      <c r="I795" s="5">
        <f>INT(TB[[#This Row],[时间戳]])</f>
        <v>45945</v>
      </c>
      <c r="J795" s="2">
        <f>HOUR(TB[[#This Row],[时间戳]])</f>
        <v>11</v>
      </c>
      <c r="K795">
        <v>3266</v>
      </c>
      <c r="L795">
        <v>2</v>
      </c>
      <c r="M795">
        <f>TB[[#This Row],[售价]]*TB[[#This Row],[销量]]</f>
        <v>6532</v>
      </c>
      <c r="N795" t="str">
        <f>IF(TB[[#This Row],[售价]]&lt;1000,"低价商品",IF(TB[[#This Row],[售价]]&lt;5000,"中价商品",IF(TB[[#This Row],[售价]]&lt;10000,"高价商品","超高价商品")))</f>
        <v>中价商品</v>
      </c>
    </row>
    <row r="796" spans="1:14" x14ac:dyDescent="0.2">
      <c r="A796">
        <v>701</v>
      </c>
      <c r="B796">
        <v>67</v>
      </c>
      <c r="C796" t="s">
        <v>46</v>
      </c>
      <c r="D796" t="s">
        <v>80</v>
      </c>
      <c r="E796" t="s">
        <v>22</v>
      </c>
      <c r="F796">
        <v>1</v>
      </c>
      <c r="G796" t="s">
        <v>13</v>
      </c>
      <c r="H796" s="1">
        <v>45945.497916666667</v>
      </c>
      <c r="I796" s="5">
        <f>INT(TB[[#This Row],[时间戳]])</f>
        <v>45945</v>
      </c>
      <c r="J796" s="2">
        <f>HOUR(TB[[#This Row],[时间戳]])</f>
        <v>11</v>
      </c>
      <c r="K796">
        <v>7365</v>
      </c>
      <c r="L796">
        <v>4</v>
      </c>
      <c r="M796">
        <f>TB[[#This Row],[售价]]*TB[[#This Row],[销量]]</f>
        <v>29460</v>
      </c>
      <c r="N796" t="str">
        <f>IF(TB[[#This Row],[售价]]&lt;1000,"低价商品",IF(TB[[#This Row],[售价]]&lt;5000,"中价商品",IF(TB[[#This Row],[售价]]&lt;10000,"高价商品","超高价商品")))</f>
        <v>高价商品</v>
      </c>
    </row>
    <row r="797" spans="1:14" x14ac:dyDescent="0.2">
      <c r="A797">
        <v>452</v>
      </c>
      <c r="B797">
        <v>24</v>
      </c>
      <c r="C797" t="s">
        <v>14</v>
      </c>
      <c r="D797" t="s">
        <v>280</v>
      </c>
      <c r="E797" t="s">
        <v>12</v>
      </c>
      <c r="F797">
        <v>2</v>
      </c>
      <c r="G797" t="s">
        <v>13</v>
      </c>
      <c r="H797" s="1">
        <v>45945.536111111112</v>
      </c>
      <c r="I797" s="5">
        <f>INT(TB[[#This Row],[时间戳]])</f>
        <v>45945</v>
      </c>
      <c r="J797" s="2">
        <f>HOUR(TB[[#This Row],[时间戳]])</f>
        <v>12</v>
      </c>
      <c r="K797">
        <v>11963</v>
      </c>
      <c r="L797">
        <v>2</v>
      </c>
      <c r="M797">
        <f>TB[[#This Row],[售价]]*TB[[#This Row],[销量]]</f>
        <v>23926</v>
      </c>
      <c r="N797" t="str">
        <f>IF(TB[[#This Row],[售价]]&lt;1000,"低价商品",IF(TB[[#This Row],[售价]]&lt;5000,"中价商品",IF(TB[[#This Row],[售价]]&lt;10000,"高价商品","超高价商品")))</f>
        <v>超高价商品</v>
      </c>
    </row>
    <row r="798" spans="1:14" x14ac:dyDescent="0.2">
      <c r="A798">
        <v>722</v>
      </c>
      <c r="B798">
        <v>269</v>
      </c>
      <c r="C798" t="s">
        <v>34</v>
      </c>
      <c r="D798" t="s">
        <v>69</v>
      </c>
      <c r="E798" t="s">
        <v>31</v>
      </c>
      <c r="F798">
        <v>4</v>
      </c>
      <c r="G798" t="s">
        <v>13</v>
      </c>
      <c r="H798" s="1">
        <v>45945.585416666669</v>
      </c>
      <c r="I798" s="5">
        <f>INT(TB[[#This Row],[时间戳]])</f>
        <v>45945</v>
      </c>
      <c r="J798" s="2">
        <f>HOUR(TB[[#This Row],[时间戳]])</f>
        <v>14</v>
      </c>
      <c r="K798">
        <v>112</v>
      </c>
      <c r="L798">
        <v>2</v>
      </c>
      <c r="M798">
        <f>TB[[#This Row],[售价]]*TB[[#This Row],[销量]]</f>
        <v>224</v>
      </c>
      <c r="N798" t="str">
        <f>IF(TB[[#This Row],[售价]]&lt;1000,"低价商品",IF(TB[[#This Row],[售价]]&lt;5000,"中价商品",IF(TB[[#This Row],[售价]]&lt;10000,"高价商品","超高价商品")))</f>
        <v>低价商品</v>
      </c>
    </row>
    <row r="799" spans="1:14" x14ac:dyDescent="0.2">
      <c r="A799">
        <v>579</v>
      </c>
      <c r="B799">
        <v>115</v>
      </c>
      <c r="C799" t="s">
        <v>46</v>
      </c>
      <c r="D799" t="s">
        <v>121</v>
      </c>
      <c r="E799" t="s">
        <v>25</v>
      </c>
      <c r="F799">
        <v>7</v>
      </c>
      <c r="G799" t="s">
        <v>13</v>
      </c>
      <c r="H799" s="1">
        <v>45945.600694444445</v>
      </c>
      <c r="I799" s="5">
        <f>INT(TB[[#This Row],[时间戳]])</f>
        <v>45945</v>
      </c>
      <c r="J799" s="2">
        <f>HOUR(TB[[#This Row],[时间戳]])</f>
        <v>14</v>
      </c>
      <c r="K799">
        <v>7967</v>
      </c>
      <c r="L799">
        <v>2</v>
      </c>
      <c r="M799">
        <f>TB[[#This Row],[售价]]*TB[[#This Row],[销量]]</f>
        <v>15934</v>
      </c>
      <c r="N799" t="str">
        <f>IF(TB[[#This Row],[售价]]&lt;1000,"低价商品",IF(TB[[#This Row],[售价]]&lt;5000,"中价商品",IF(TB[[#This Row],[售价]]&lt;10000,"高价商品","超高价商品")))</f>
        <v>高价商品</v>
      </c>
    </row>
    <row r="800" spans="1:14" x14ac:dyDescent="0.2">
      <c r="A800">
        <v>98</v>
      </c>
      <c r="B800">
        <v>222</v>
      </c>
      <c r="C800" t="s">
        <v>20</v>
      </c>
      <c r="D800" t="s">
        <v>230</v>
      </c>
      <c r="E800" t="s">
        <v>19</v>
      </c>
      <c r="F800">
        <v>3</v>
      </c>
      <c r="G800" t="s">
        <v>13</v>
      </c>
      <c r="H800" s="1">
        <v>45945.622916666667</v>
      </c>
      <c r="I800" s="5">
        <f>INT(TB[[#This Row],[时间戳]])</f>
        <v>45945</v>
      </c>
      <c r="J800" s="2">
        <f>HOUR(TB[[#This Row],[时间戳]])</f>
        <v>14</v>
      </c>
      <c r="K800">
        <v>4336</v>
      </c>
      <c r="L800">
        <v>2</v>
      </c>
      <c r="M800">
        <f>TB[[#This Row],[售价]]*TB[[#This Row],[销量]]</f>
        <v>8672</v>
      </c>
      <c r="N800" t="str">
        <f>IF(TB[[#This Row],[售价]]&lt;1000,"低价商品",IF(TB[[#This Row],[售价]]&lt;5000,"中价商品",IF(TB[[#This Row],[售价]]&lt;10000,"高价商品","超高价商品")))</f>
        <v>中价商品</v>
      </c>
    </row>
    <row r="801" spans="1:14" x14ac:dyDescent="0.2">
      <c r="A801">
        <v>355</v>
      </c>
      <c r="B801">
        <v>198</v>
      </c>
      <c r="C801" t="s">
        <v>32</v>
      </c>
      <c r="D801" t="s">
        <v>101</v>
      </c>
      <c r="E801" t="s">
        <v>39</v>
      </c>
      <c r="F801">
        <v>5</v>
      </c>
      <c r="G801" t="s">
        <v>13</v>
      </c>
      <c r="H801" s="1">
        <v>45945.669444444444</v>
      </c>
      <c r="I801" s="5">
        <f>INT(TB[[#This Row],[时间戳]])</f>
        <v>45945</v>
      </c>
      <c r="J801" s="2">
        <f>HOUR(TB[[#This Row],[时间戳]])</f>
        <v>16</v>
      </c>
      <c r="K801">
        <v>3682</v>
      </c>
      <c r="L801">
        <v>2</v>
      </c>
      <c r="M801">
        <f>TB[[#This Row],[售价]]*TB[[#This Row],[销量]]</f>
        <v>7364</v>
      </c>
      <c r="N801" t="str">
        <f>IF(TB[[#This Row],[售价]]&lt;1000,"低价商品",IF(TB[[#This Row],[售价]]&lt;5000,"中价商品",IF(TB[[#This Row],[售价]]&lt;10000,"高价商品","超高价商品")))</f>
        <v>中价商品</v>
      </c>
    </row>
    <row r="802" spans="1:14" x14ac:dyDescent="0.2">
      <c r="A802">
        <v>12</v>
      </c>
      <c r="B802">
        <v>81</v>
      </c>
      <c r="C802" t="s">
        <v>46</v>
      </c>
      <c r="D802" t="s">
        <v>180</v>
      </c>
      <c r="E802" t="s">
        <v>31</v>
      </c>
      <c r="F802">
        <v>4</v>
      </c>
      <c r="G802" t="s">
        <v>13</v>
      </c>
      <c r="H802" s="1">
        <v>45945.692361111112</v>
      </c>
      <c r="I802" s="5">
        <f>INT(TB[[#This Row],[时间戳]])</f>
        <v>45945</v>
      </c>
      <c r="J802" s="2">
        <f>HOUR(TB[[#This Row],[时间戳]])</f>
        <v>16</v>
      </c>
      <c r="K802">
        <v>439</v>
      </c>
      <c r="L802">
        <v>2</v>
      </c>
      <c r="M802">
        <f>TB[[#This Row],[售价]]*TB[[#This Row],[销量]]</f>
        <v>878</v>
      </c>
      <c r="N802" t="str">
        <f>IF(TB[[#This Row],[售价]]&lt;1000,"低价商品",IF(TB[[#This Row],[售价]]&lt;5000,"中价商品",IF(TB[[#This Row],[售价]]&lt;10000,"高价商品","超高价商品")))</f>
        <v>低价商品</v>
      </c>
    </row>
    <row r="803" spans="1:14" x14ac:dyDescent="0.2">
      <c r="A803">
        <v>77</v>
      </c>
      <c r="B803">
        <v>252</v>
      </c>
      <c r="C803" t="s">
        <v>44</v>
      </c>
      <c r="D803" t="s">
        <v>70</v>
      </c>
      <c r="E803" t="s">
        <v>12</v>
      </c>
      <c r="F803">
        <v>2</v>
      </c>
      <c r="G803" t="s">
        <v>13</v>
      </c>
      <c r="H803" s="1">
        <v>45945.695138888892</v>
      </c>
      <c r="I803" s="5">
        <f>INT(TB[[#This Row],[时间戳]])</f>
        <v>45945</v>
      </c>
      <c r="J803" s="2">
        <f>HOUR(TB[[#This Row],[时间戳]])</f>
        <v>16</v>
      </c>
      <c r="K803">
        <v>12323</v>
      </c>
      <c r="L803">
        <v>1</v>
      </c>
      <c r="M803">
        <f>TB[[#This Row],[售价]]*TB[[#This Row],[销量]]</f>
        <v>12323</v>
      </c>
      <c r="N803" t="str">
        <f>IF(TB[[#This Row],[售价]]&lt;1000,"低价商品",IF(TB[[#This Row],[售价]]&lt;5000,"中价商品",IF(TB[[#This Row],[售价]]&lt;10000,"高价商品","超高价商品")))</f>
        <v>超高价商品</v>
      </c>
    </row>
    <row r="804" spans="1:14" x14ac:dyDescent="0.2">
      <c r="A804">
        <v>52</v>
      </c>
      <c r="B804">
        <v>260</v>
      </c>
      <c r="C804" t="s">
        <v>34</v>
      </c>
      <c r="D804" t="s">
        <v>248</v>
      </c>
      <c r="E804" t="s">
        <v>22</v>
      </c>
      <c r="F804">
        <v>1</v>
      </c>
      <c r="G804" t="s">
        <v>13</v>
      </c>
      <c r="H804" s="1">
        <v>45945.711111111108</v>
      </c>
      <c r="I804" s="5">
        <f>INT(TB[[#This Row],[时间戳]])</f>
        <v>45945</v>
      </c>
      <c r="J804" s="2">
        <f>HOUR(TB[[#This Row],[时间戳]])</f>
        <v>17</v>
      </c>
      <c r="K804">
        <v>3549</v>
      </c>
      <c r="L804">
        <v>4</v>
      </c>
      <c r="M804">
        <f>TB[[#This Row],[售价]]*TB[[#This Row],[销量]]</f>
        <v>14196</v>
      </c>
      <c r="N804" t="str">
        <f>IF(TB[[#This Row],[售价]]&lt;1000,"低价商品",IF(TB[[#This Row],[售价]]&lt;5000,"中价商品",IF(TB[[#This Row],[售价]]&lt;10000,"高价商品","超高价商品")))</f>
        <v>中价商品</v>
      </c>
    </row>
    <row r="805" spans="1:14" x14ac:dyDescent="0.2">
      <c r="A805">
        <v>241</v>
      </c>
      <c r="B805">
        <v>41</v>
      </c>
      <c r="C805" t="s">
        <v>17</v>
      </c>
      <c r="D805" t="s">
        <v>226</v>
      </c>
      <c r="E805" t="s">
        <v>16</v>
      </c>
      <c r="F805">
        <v>6</v>
      </c>
      <c r="G805" t="s">
        <v>42</v>
      </c>
      <c r="H805" s="1">
        <v>45945.728472222225</v>
      </c>
      <c r="I805" s="5">
        <f>INT(TB[[#This Row],[时间戳]])</f>
        <v>45945</v>
      </c>
      <c r="J805" s="2">
        <f>HOUR(TB[[#This Row],[时间戳]])</f>
        <v>17</v>
      </c>
      <c r="K805">
        <v>5729</v>
      </c>
      <c r="L805">
        <v>0</v>
      </c>
      <c r="M805">
        <f>TB[[#This Row],[售价]]*TB[[#This Row],[销量]]</f>
        <v>0</v>
      </c>
      <c r="N805" t="str">
        <f>IF(TB[[#This Row],[售价]]&lt;1000,"低价商品",IF(TB[[#This Row],[售价]]&lt;5000,"中价商品",IF(TB[[#This Row],[售价]]&lt;10000,"高价商品","超高价商品")))</f>
        <v>高价商品</v>
      </c>
    </row>
    <row r="806" spans="1:14" x14ac:dyDescent="0.2">
      <c r="A806">
        <v>91</v>
      </c>
      <c r="B806">
        <v>256</v>
      </c>
      <c r="C806" t="s">
        <v>46</v>
      </c>
      <c r="D806" t="s">
        <v>217</v>
      </c>
      <c r="E806" t="s">
        <v>19</v>
      </c>
      <c r="F806">
        <v>3</v>
      </c>
      <c r="G806" t="s">
        <v>13</v>
      </c>
      <c r="H806" s="1">
        <v>45945.738194444442</v>
      </c>
      <c r="I806" s="5">
        <f>INT(TB[[#This Row],[时间戳]])</f>
        <v>45945</v>
      </c>
      <c r="J806" s="2">
        <f>HOUR(TB[[#This Row],[时间戳]])</f>
        <v>17</v>
      </c>
      <c r="K806">
        <v>5287</v>
      </c>
      <c r="L806">
        <v>4</v>
      </c>
      <c r="M806">
        <f>TB[[#This Row],[售价]]*TB[[#This Row],[销量]]</f>
        <v>21148</v>
      </c>
      <c r="N806" t="str">
        <f>IF(TB[[#This Row],[售价]]&lt;1000,"低价商品",IF(TB[[#This Row],[售价]]&lt;5000,"中价商品",IF(TB[[#This Row],[售价]]&lt;10000,"高价商品","超高价商品")))</f>
        <v>高价商品</v>
      </c>
    </row>
    <row r="807" spans="1:14" x14ac:dyDescent="0.2">
      <c r="A807">
        <v>764</v>
      </c>
      <c r="B807">
        <v>10</v>
      </c>
      <c r="C807" t="s">
        <v>14</v>
      </c>
      <c r="D807" t="s">
        <v>106</v>
      </c>
      <c r="E807" t="s">
        <v>22</v>
      </c>
      <c r="F807">
        <v>1</v>
      </c>
      <c r="G807" t="s">
        <v>13</v>
      </c>
      <c r="H807" s="1">
        <v>45945.763194444444</v>
      </c>
      <c r="I807" s="5">
        <f>INT(TB[[#This Row],[时间戳]])</f>
        <v>45945</v>
      </c>
      <c r="J807" s="2">
        <f>HOUR(TB[[#This Row],[时间戳]])</f>
        <v>18</v>
      </c>
      <c r="K807">
        <v>4623</v>
      </c>
      <c r="L807">
        <v>4</v>
      </c>
      <c r="M807">
        <f>TB[[#This Row],[售价]]*TB[[#This Row],[销量]]</f>
        <v>18492</v>
      </c>
      <c r="N807" t="str">
        <f>IF(TB[[#This Row],[售价]]&lt;1000,"低价商品",IF(TB[[#This Row],[售价]]&lt;5000,"中价商品",IF(TB[[#This Row],[售价]]&lt;10000,"高价商品","超高价商品")))</f>
        <v>中价商品</v>
      </c>
    </row>
    <row r="808" spans="1:14" x14ac:dyDescent="0.2">
      <c r="A808">
        <v>571</v>
      </c>
      <c r="B808">
        <v>282</v>
      </c>
      <c r="C808" t="s">
        <v>17</v>
      </c>
      <c r="D808" t="s">
        <v>74</v>
      </c>
      <c r="E808" t="s">
        <v>22</v>
      </c>
      <c r="F808">
        <v>1</v>
      </c>
      <c r="G808" t="s">
        <v>13</v>
      </c>
      <c r="H808" s="1">
        <v>45945.813194444447</v>
      </c>
      <c r="I808" s="5">
        <f>INT(TB[[#This Row],[时间戳]])</f>
        <v>45945</v>
      </c>
      <c r="J808" s="2">
        <f>HOUR(TB[[#This Row],[时间戳]])</f>
        <v>19</v>
      </c>
      <c r="K808">
        <v>1846</v>
      </c>
      <c r="L808">
        <v>2</v>
      </c>
      <c r="M808">
        <f>TB[[#This Row],[售价]]*TB[[#This Row],[销量]]</f>
        <v>3692</v>
      </c>
      <c r="N808" t="str">
        <f>IF(TB[[#This Row],[售价]]&lt;1000,"低价商品",IF(TB[[#This Row],[售价]]&lt;5000,"中价商品",IF(TB[[#This Row],[售价]]&lt;10000,"高价商品","超高价商品")))</f>
        <v>中价商品</v>
      </c>
    </row>
    <row r="809" spans="1:14" x14ac:dyDescent="0.2">
      <c r="A809">
        <v>653</v>
      </c>
      <c r="B809">
        <v>156</v>
      </c>
      <c r="C809" t="s">
        <v>46</v>
      </c>
      <c r="D809" t="s">
        <v>77</v>
      </c>
      <c r="E809" t="s">
        <v>19</v>
      </c>
      <c r="F809">
        <v>3</v>
      </c>
      <c r="G809" t="s">
        <v>13</v>
      </c>
      <c r="H809" s="1">
        <v>45945.861111111109</v>
      </c>
      <c r="I809" s="5">
        <f>INT(TB[[#This Row],[时间戳]])</f>
        <v>45945</v>
      </c>
      <c r="J809" s="2">
        <f>HOUR(TB[[#This Row],[时间戳]])</f>
        <v>20</v>
      </c>
      <c r="K809">
        <v>1500</v>
      </c>
      <c r="L809">
        <v>3</v>
      </c>
      <c r="M809">
        <f>TB[[#This Row],[售价]]*TB[[#This Row],[销量]]</f>
        <v>4500</v>
      </c>
      <c r="N809" t="str">
        <f>IF(TB[[#This Row],[售价]]&lt;1000,"低价商品",IF(TB[[#This Row],[售价]]&lt;5000,"中价商品",IF(TB[[#This Row],[售价]]&lt;10000,"高价商品","超高价商品")))</f>
        <v>中价商品</v>
      </c>
    </row>
    <row r="810" spans="1:14" x14ac:dyDescent="0.2">
      <c r="A810">
        <v>688</v>
      </c>
      <c r="B810">
        <v>234</v>
      </c>
      <c r="C810" t="s">
        <v>32</v>
      </c>
      <c r="D810" t="s">
        <v>327</v>
      </c>
      <c r="E810" t="s">
        <v>25</v>
      </c>
      <c r="F810">
        <v>7</v>
      </c>
      <c r="G810" t="s">
        <v>13</v>
      </c>
      <c r="H810" s="1">
        <v>45945.87222222222</v>
      </c>
      <c r="I810" s="5">
        <f>INT(TB[[#This Row],[时间戳]])</f>
        <v>45945</v>
      </c>
      <c r="J810" s="2">
        <f>HOUR(TB[[#This Row],[时间戳]])</f>
        <v>20</v>
      </c>
      <c r="K810">
        <v>5751</v>
      </c>
      <c r="L810">
        <v>2</v>
      </c>
      <c r="M810">
        <f>TB[[#This Row],[售价]]*TB[[#This Row],[销量]]</f>
        <v>11502</v>
      </c>
      <c r="N810" t="str">
        <f>IF(TB[[#This Row],[售价]]&lt;1000,"低价商品",IF(TB[[#This Row],[售价]]&lt;5000,"中价商品",IF(TB[[#This Row],[售价]]&lt;10000,"高价商品","超高价商品")))</f>
        <v>高价商品</v>
      </c>
    </row>
    <row r="811" spans="1:14" x14ac:dyDescent="0.2">
      <c r="A811">
        <v>466</v>
      </c>
      <c r="B811">
        <v>170</v>
      </c>
      <c r="C811" t="s">
        <v>10</v>
      </c>
      <c r="D811" t="s">
        <v>197</v>
      </c>
      <c r="E811" t="s">
        <v>39</v>
      </c>
      <c r="F811">
        <v>5</v>
      </c>
      <c r="G811" t="s">
        <v>13</v>
      </c>
      <c r="H811" s="1">
        <v>45945.874305555553</v>
      </c>
      <c r="I811" s="5">
        <f>INT(TB[[#This Row],[时间戳]])</f>
        <v>45945</v>
      </c>
      <c r="J811" s="2">
        <f>HOUR(TB[[#This Row],[时间戳]])</f>
        <v>20</v>
      </c>
      <c r="K811">
        <v>2182</v>
      </c>
      <c r="L811">
        <v>1</v>
      </c>
      <c r="M811">
        <f>TB[[#This Row],[售价]]*TB[[#This Row],[销量]]</f>
        <v>2182</v>
      </c>
      <c r="N811" t="str">
        <f>IF(TB[[#This Row],[售价]]&lt;1000,"低价商品",IF(TB[[#This Row],[售价]]&lt;5000,"中价商品",IF(TB[[#This Row],[售价]]&lt;10000,"高价商品","超高价商品")))</f>
        <v>中价商品</v>
      </c>
    </row>
    <row r="812" spans="1:14" x14ac:dyDescent="0.2">
      <c r="A812">
        <v>485</v>
      </c>
      <c r="B812">
        <v>187</v>
      </c>
      <c r="C812" t="s">
        <v>46</v>
      </c>
      <c r="D812" t="s">
        <v>129</v>
      </c>
      <c r="E812" t="s">
        <v>31</v>
      </c>
      <c r="F812">
        <v>4</v>
      </c>
      <c r="G812" t="s">
        <v>13</v>
      </c>
      <c r="H812" s="1">
        <v>45945.951388888891</v>
      </c>
      <c r="I812" s="5">
        <f>INT(TB[[#This Row],[时间戳]])</f>
        <v>45945</v>
      </c>
      <c r="J812" s="2">
        <f>HOUR(TB[[#This Row],[时间戳]])</f>
        <v>22</v>
      </c>
      <c r="K812">
        <v>1389</v>
      </c>
      <c r="L812">
        <v>2</v>
      </c>
      <c r="M812">
        <f>TB[[#This Row],[售价]]*TB[[#This Row],[销量]]</f>
        <v>2778</v>
      </c>
      <c r="N812" t="str">
        <f>IF(TB[[#This Row],[售价]]&lt;1000,"低价商品",IF(TB[[#This Row],[售价]]&lt;5000,"中价商品",IF(TB[[#This Row],[售价]]&lt;10000,"高价商品","超高价商品")))</f>
        <v>中价商品</v>
      </c>
    </row>
    <row r="813" spans="1:14" x14ac:dyDescent="0.2">
      <c r="A813">
        <v>3</v>
      </c>
      <c r="B813">
        <v>175</v>
      </c>
      <c r="C813" t="s">
        <v>14</v>
      </c>
      <c r="D813" t="s">
        <v>43</v>
      </c>
      <c r="E813" t="s">
        <v>31</v>
      </c>
      <c r="F813">
        <v>4</v>
      </c>
      <c r="G813" t="s">
        <v>13</v>
      </c>
      <c r="H813" s="1">
        <v>45945.984722222223</v>
      </c>
      <c r="I813" s="5">
        <f>INT(TB[[#This Row],[时间戳]])</f>
        <v>45945</v>
      </c>
      <c r="J813" s="2">
        <f>HOUR(TB[[#This Row],[时间戳]])</f>
        <v>23</v>
      </c>
      <c r="K813">
        <v>834</v>
      </c>
      <c r="L813">
        <v>1</v>
      </c>
      <c r="M813">
        <f>TB[[#This Row],[售价]]*TB[[#This Row],[销量]]</f>
        <v>834</v>
      </c>
      <c r="N813" t="str">
        <f>IF(TB[[#This Row],[售价]]&lt;1000,"低价商品",IF(TB[[#This Row],[售价]]&lt;5000,"中价商品",IF(TB[[#This Row],[售价]]&lt;10000,"高价商品","超高价商品")))</f>
        <v>低价商品</v>
      </c>
    </row>
    <row r="814" spans="1:14" x14ac:dyDescent="0.2">
      <c r="A814">
        <v>535</v>
      </c>
      <c r="B814">
        <v>192</v>
      </c>
      <c r="C814" t="s">
        <v>36</v>
      </c>
      <c r="D814" t="s">
        <v>192</v>
      </c>
      <c r="E814" t="s">
        <v>22</v>
      </c>
      <c r="F814">
        <v>1</v>
      </c>
      <c r="G814" t="s">
        <v>42</v>
      </c>
      <c r="H814" s="1">
        <v>45945.987500000003</v>
      </c>
      <c r="I814" s="5">
        <f>INT(TB[[#This Row],[时间戳]])</f>
        <v>45945</v>
      </c>
      <c r="J814" s="2">
        <f>HOUR(TB[[#This Row],[时间戳]])</f>
        <v>23</v>
      </c>
      <c r="K814">
        <v>4033</v>
      </c>
      <c r="L814">
        <v>0</v>
      </c>
      <c r="M814">
        <f>TB[[#This Row],[售价]]*TB[[#This Row],[销量]]</f>
        <v>0</v>
      </c>
      <c r="N814" t="str">
        <f>IF(TB[[#This Row],[售价]]&lt;1000,"低价商品",IF(TB[[#This Row],[售价]]&lt;5000,"中价商品",IF(TB[[#This Row],[售价]]&lt;10000,"高价商品","超高价商品")))</f>
        <v>中价商品</v>
      </c>
    </row>
    <row r="815" spans="1:14" x14ac:dyDescent="0.2">
      <c r="A815">
        <v>144</v>
      </c>
      <c r="B815">
        <v>210</v>
      </c>
      <c r="C815" t="s">
        <v>26</v>
      </c>
      <c r="D815" t="s">
        <v>358</v>
      </c>
      <c r="E815" t="s">
        <v>16</v>
      </c>
      <c r="F815">
        <v>6</v>
      </c>
      <c r="G815" t="s">
        <v>13</v>
      </c>
      <c r="H815" s="1">
        <v>45946.03402777778</v>
      </c>
      <c r="I815" s="5">
        <f>INT(TB[[#This Row],[时间戳]])</f>
        <v>45946</v>
      </c>
      <c r="J815" s="2">
        <f>HOUR(TB[[#This Row],[时间戳]])</f>
        <v>0</v>
      </c>
      <c r="K815">
        <v>3564</v>
      </c>
      <c r="L815">
        <v>4</v>
      </c>
      <c r="M815">
        <f>TB[[#This Row],[售价]]*TB[[#This Row],[销量]]</f>
        <v>14256</v>
      </c>
      <c r="N815" t="str">
        <f>IF(TB[[#This Row],[售价]]&lt;1000,"低价商品",IF(TB[[#This Row],[售价]]&lt;5000,"中价商品",IF(TB[[#This Row],[售价]]&lt;10000,"高价商品","超高价商品")))</f>
        <v>中价商品</v>
      </c>
    </row>
    <row r="816" spans="1:14" x14ac:dyDescent="0.2">
      <c r="A816">
        <v>193</v>
      </c>
      <c r="B816">
        <v>62</v>
      </c>
      <c r="C816" t="s">
        <v>46</v>
      </c>
      <c r="D816" t="s">
        <v>341</v>
      </c>
      <c r="E816" t="s">
        <v>31</v>
      </c>
      <c r="F816">
        <v>4</v>
      </c>
      <c r="G816" t="s">
        <v>13</v>
      </c>
      <c r="H816" s="1">
        <v>45946.071527777778</v>
      </c>
      <c r="I816" s="5">
        <f>INT(TB[[#This Row],[时间戳]])</f>
        <v>45946</v>
      </c>
      <c r="J816" s="2">
        <f>HOUR(TB[[#This Row],[时间戳]])</f>
        <v>1</v>
      </c>
      <c r="K816">
        <v>199</v>
      </c>
      <c r="L816">
        <v>3</v>
      </c>
      <c r="M816">
        <f>TB[[#This Row],[售价]]*TB[[#This Row],[销量]]</f>
        <v>597</v>
      </c>
      <c r="N816" t="str">
        <f>IF(TB[[#This Row],[售价]]&lt;1000,"低价商品",IF(TB[[#This Row],[售价]]&lt;5000,"中价商品",IF(TB[[#This Row],[售价]]&lt;10000,"高价商品","超高价商品")))</f>
        <v>低价商品</v>
      </c>
    </row>
    <row r="817" spans="1:14" x14ac:dyDescent="0.2">
      <c r="A817">
        <v>734</v>
      </c>
      <c r="B817">
        <v>174</v>
      </c>
      <c r="C817" t="s">
        <v>44</v>
      </c>
      <c r="D817" t="s">
        <v>70</v>
      </c>
      <c r="E817" t="s">
        <v>12</v>
      </c>
      <c r="F817">
        <v>2</v>
      </c>
      <c r="G817" t="s">
        <v>13</v>
      </c>
      <c r="H817" s="1">
        <v>45946.084722222222</v>
      </c>
      <c r="I817" s="5">
        <f>INT(TB[[#This Row],[时间戳]])</f>
        <v>45946</v>
      </c>
      <c r="J817" s="2">
        <f>HOUR(TB[[#This Row],[时间戳]])</f>
        <v>2</v>
      </c>
      <c r="K817">
        <v>10347</v>
      </c>
      <c r="L817">
        <v>3</v>
      </c>
      <c r="M817">
        <f>TB[[#This Row],[售价]]*TB[[#This Row],[销量]]</f>
        <v>31041</v>
      </c>
      <c r="N817" t="str">
        <f>IF(TB[[#This Row],[售价]]&lt;1000,"低价商品",IF(TB[[#This Row],[售价]]&lt;5000,"中价商品",IF(TB[[#This Row],[售价]]&lt;10000,"高价商品","超高价商品")))</f>
        <v>超高价商品</v>
      </c>
    </row>
    <row r="818" spans="1:14" x14ac:dyDescent="0.2">
      <c r="A818">
        <v>649</v>
      </c>
      <c r="B818">
        <v>64</v>
      </c>
      <c r="C818" t="s">
        <v>17</v>
      </c>
      <c r="D818" t="s">
        <v>362</v>
      </c>
      <c r="E818" t="s">
        <v>25</v>
      </c>
      <c r="F818">
        <v>7</v>
      </c>
      <c r="G818" t="s">
        <v>13</v>
      </c>
      <c r="H818" s="1">
        <v>45946.101388888892</v>
      </c>
      <c r="I818" s="5">
        <f>INT(TB[[#This Row],[时间戳]])</f>
        <v>45946</v>
      </c>
      <c r="J818" s="2">
        <f>HOUR(TB[[#This Row],[时间戳]])</f>
        <v>2</v>
      </c>
      <c r="K818">
        <v>2569</v>
      </c>
      <c r="L818">
        <v>2</v>
      </c>
      <c r="M818">
        <f>TB[[#This Row],[售价]]*TB[[#This Row],[销量]]</f>
        <v>5138</v>
      </c>
      <c r="N818" t="str">
        <f>IF(TB[[#This Row],[售价]]&lt;1000,"低价商品",IF(TB[[#This Row],[售价]]&lt;5000,"中价商品",IF(TB[[#This Row],[售价]]&lt;10000,"高价商品","超高价商品")))</f>
        <v>中价商品</v>
      </c>
    </row>
    <row r="819" spans="1:14" x14ac:dyDescent="0.2">
      <c r="A819">
        <v>138</v>
      </c>
      <c r="B819">
        <v>256</v>
      </c>
      <c r="C819" t="s">
        <v>46</v>
      </c>
      <c r="D819" t="s">
        <v>81</v>
      </c>
      <c r="E819" t="s">
        <v>12</v>
      </c>
      <c r="F819">
        <v>2</v>
      </c>
      <c r="G819" t="s">
        <v>13</v>
      </c>
      <c r="H819" s="1">
        <v>45946.111111111109</v>
      </c>
      <c r="I819" s="5">
        <f>INT(TB[[#This Row],[时间戳]])</f>
        <v>45946</v>
      </c>
      <c r="J819" s="2">
        <f>HOUR(TB[[#This Row],[时间戳]])</f>
        <v>2</v>
      </c>
      <c r="K819">
        <v>11415</v>
      </c>
      <c r="L819">
        <v>3</v>
      </c>
      <c r="M819">
        <f>TB[[#This Row],[售价]]*TB[[#This Row],[销量]]</f>
        <v>34245</v>
      </c>
      <c r="N819" t="str">
        <f>IF(TB[[#This Row],[售价]]&lt;1000,"低价商品",IF(TB[[#This Row],[售价]]&lt;5000,"中价商品",IF(TB[[#This Row],[售价]]&lt;10000,"高价商品","超高价商品")))</f>
        <v>超高价商品</v>
      </c>
    </row>
    <row r="820" spans="1:14" x14ac:dyDescent="0.2">
      <c r="A820">
        <v>444</v>
      </c>
      <c r="B820">
        <v>300</v>
      </c>
      <c r="C820" t="s">
        <v>10</v>
      </c>
      <c r="D820" t="s">
        <v>363</v>
      </c>
      <c r="E820" t="s">
        <v>25</v>
      </c>
      <c r="F820">
        <v>7</v>
      </c>
      <c r="G820" t="s">
        <v>13</v>
      </c>
      <c r="H820" s="1">
        <v>45946.111805555556</v>
      </c>
      <c r="I820" s="5">
        <f>INT(TB[[#This Row],[时间戳]])</f>
        <v>45946</v>
      </c>
      <c r="J820" s="2">
        <f>HOUR(TB[[#This Row],[时间戳]])</f>
        <v>2</v>
      </c>
      <c r="K820">
        <v>1606</v>
      </c>
      <c r="L820">
        <v>1</v>
      </c>
      <c r="M820">
        <f>TB[[#This Row],[售价]]*TB[[#This Row],[销量]]</f>
        <v>1606</v>
      </c>
      <c r="N820" t="str">
        <f>IF(TB[[#This Row],[售价]]&lt;1000,"低价商品",IF(TB[[#This Row],[售价]]&lt;5000,"中价商品",IF(TB[[#This Row],[售价]]&lt;10000,"高价商品","超高价商品")))</f>
        <v>中价商品</v>
      </c>
    </row>
    <row r="821" spans="1:14" x14ac:dyDescent="0.2">
      <c r="A821">
        <v>178</v>
      </c>
      <c r="B821">
        <v>66</v>
      </c>
      <c r="C821" t="s">
        <v>26</v>
      </c>
      <c r="D821" t="s">
        <v>364</v>
      </c>
      <c r="E821" t="s">
        <v>39</v>
      </c>
      <c r="F821">
        <v>5</v>
      </c>
      <c r="G821" t="s">
        <v>13</v>
      </c>
      <c r="H821" s="1">
        <v>45946.119444444441</v>
      </c>
      <c r="I821" s="5">
        <f>INT(TB[[#This Row],[时间戳]])</f>
        <v>45946</v>
      </c>
      <c r="J821" s="2">
        <f>HOUR(TB[[#This Row],[时间戳]])</f>
        <v>2</v>
      </c>
      <c r="K821">
        <v>2838</v>
      </c>
      <c r="L821">
        <v>4</v>
      </c>
      <c r="M821">
        <f>TB[[#This Row],[售价]]*TB[[#This Row],[销量]]</f>
        <v>11352</v>
      </c>
      <c r="N821" t="str">
        <f>IF(TB[[#This Row],[售价]]&lt;1000,"低价商品",IF(TB[[#This Row],[售价]]&lt;5000,"中价商品",IF(TB[[#This Row],[售价]]&lt;10000,"高价商品","超高价商品")))</f>
        <v>中价商品</v>
      </c>
    </row>
    <row r="822" spans="1:14" x14ac:dyDescent="0.2">
      <c r="A822">
        <v>330</v>
      </c>
      <c r="B822">
        <v>259</v>
      </c>
      <c r="C822" t="s">
        <v>46</v>
      </c>
      <c r="D822" t="s">
        <v>77</v>
      </c>
      <c r="E822" t="s">
        <v>19</v>
      </c>
      <c r="F822">
        <v>3</v>
      </c>
      <c r="G822" t="s">
        <v>13</v>
      </c>
      <c r="H822" s="1">
        <v>45946.149305555555</v>
      </c>
      <c r="I822" s="5">
        <f>INT(TB[[#This Row],[时间戳]])</f>
        <v>45946</v>
      </c>
      <c r="J822" s="2">
        <f>HOUR(TB[[#This Row],[时间戳]])</f>
        <v>3</v>
      </c>
      <c r="K822">
        <v>2346</v>
      </c>
      <c r="L822">
        <v>2</v>
      </c>
      <c r="M822">
        <f>TB[[#This Row],[售价]]*TB[[#This Row],[销量]]</f>
        <v>4692</v>
      </c>
      <c r="N822" t="str">
        <f>IF(TB[[#This Row],[售价]]&lt;1000,"低价商品",IF(TB[[#This Row],[售价]]&lt;5000,"中价商品",IF(TB[[#This Row],[售价]]&lt;10000,"高价商品","超高价商品")))</f>
        <v>中价商品</v>
      </c>
    </row>
    <row r="823" spans="1:14" x14ac:dyDescent="0.2">
      <c r="A823">
        <v>781</v>
      </c>
      <c r="B823">
        <v>128</v>
      </c>
      <c r="C823" t="s">
        <v>46</v>
      </c>
      <c r="D823" t="s">
        <v>209</v>
      </c>
      <c r="E823" t="s">
        <v>22</v>
      </c>
      <c r="F823">
        <v>1</v>
      </c>
      <c r="G823" t="s">
        <v>13</v>
      </c>
      <c r="H823" s="1">
        <v>45946.149305555555</v>
      </c>
      <c r="I823" s="5">
        <f>INT(TB[[#This Row],[时间戳]])</f>
        <v>45946</v>
      </c>
      <c r="J823" s="2">
        <f>HOUR(TB[[#This Row],[时间戳]])</f>
        <v>3</v>
      </c>
      <c r="K823">
        <v>4165</v>
      </c>
      <c r="L823">
        <v>2</v>
      </c>
      <c r="M823">
        <f>TB[[#This Row],[售价]]*TB[[#This Row],[销量]]</f>
        <v>8330</v>
      </c>
      <c r="N823" t="str">
        <f>IF(TB[[#This Row],[售价]]&lt;1000,"低价商品",IF(TB[[#This Row],[售价]]&lt;5000,"中价商品",IF(TB[[#This Row],[售价]]&lt;10000,"高价商品","超高价商品")))</f>
        <v>中价商品</v>
      </c>
    </row>
    <row r="824" spans="1:14" x14ac:dyDescent="0.2">
      <c r="A824">
        <v>464</v>
      </c>
      <c r="B824">
        <v>69</v>
      </c>
      <c r="C824" t="s">
        <v>34</v>
      </c>
      <c r="D824" t="s">
        <v>365</v>
      </c>
      <c r="E824" t="s">
        <v>16</v>
      </c>
      <c r="F824">
        <v>6</v>
      </c>
      <c r="G824" t="s">
        <v>13</v>
      </c>
      <c r="H824" s="1">
        <v>45946.156944444447</v>
      </c>
      <c r="I824" s="5">
        <f>INT(TB[[#This Row],[时间戳]])</f>
        <v>45946</v>
      </c>
      <c r="J824" s="2">
        <f>HOUR(TB[[#This Row],[时间戳]])</f>
        <v>3</v>
      </c>
      <c r="K824">
        <v>6485</v>
      </c>
      <c r="L824">
        <v>2</v>
      </c>
      <c r="M824">
        <f>TB[[#This Row],[售价]]*TB[[#This Row],[销量]]</f>
        <v>12970</v>
      </c>
      <c r="N824" t="str">
        <f>IF(TB[[#This Row],[售价]]&lt;1000,"低价商品",IF(TB[[#This Row],[售价]]&lt;5000,"中价商品",IF(TB[[#This Row],[售价]]&lt;10000,"高价商品","超高价商品")))</f>
        <v>高价商品</v>
      </c>
    </row>
    <row r="825" spans="1:14" x14ac:dyDescent="0.2">
      <c r="A825">
        <v>307</v>
      </c>
      <c r="B825">
        <v>281</v>
      </c>
      <c r="C825" t="s">
        <v>46</v>
      </c>
      <c r="D825" t="s">
        <v>129</v>
      </c>
      <c r="E825" t="s">
        <v>31</v>
      </c>
      <c r="F825">
        <v>4</v>
      </c>
      <c r="G825" t="s">
        <v>13</v>
      </c>
      <c r="H825" s="1">
        <v>45946.165972222225</v>
      </c>
      <c r="I825" s="5">
        <f>INT(TB[[#This Row],[时间戳]])</f>
        <v>45946</v>
      </c>
      <c r="J825" s="2">
        <f>HOUR(TB[[#This Row],[时间戳]])</f>
        <v>3</v>
      </c>
      <c r="K825">
        <v>343</v>
      </c>
      <c r="L825">
        <v>1</v>
      </c>
      <c r="M825">
        <f>TB[[#This Row],[售价]]*TB[[#This Row],[销量]]</f>
        <v>343</v>
      </c>
      <c r="N825" t="str">
        <f>IF(TB[[#This Row],[售价]]&lt;1000,"低价商品",IF(TB[[#This Row],[售价]]&lt;5000,"中价商品",IF(TB[[#This Row],[售价]]&lt;10000,"高价商品","超高价商品")))</f>
        <v>低价商品</v>
      </c>
    </row>
    <row r="826" spans="1:14" x14ac:dyDescent="0.2">
      <c r="A826">
        <v>206</v>
      </c>
      <c r="B826">
        <v>108</v>
      </c>
      <c r="C826" t="s">
        <v>20</v>
      </c>
      <c r="D826" t="s">
        <v>267</v>
      </c>
      <c r="E826" t="s">
        <v>39</v>
      </c>
      <c r="F826">
        <v>5</v>
      </c>
      <c r="G826" t="s">
        <v>13</v>
      </c>
      <c r="H826" s="1">
        <v>45946.180555555555</v>
      </c>
      <c r="I826" s="5">
        <f>INT(TB[[#This Row],[时间戳]])</f>
        <v>45946</v>
      </c>
      <c r="J826" s="2">
        <f>HOUR(TB[[#This Row],[时间戳]])</f>
        <v>4</v>
      </c>
      <c r="K826">
        <v>2249</v>
      </c>
      <c r="L826">
        <v>1</v>
      </c>
      <c r="M826">
        <f>TB[[#This Row],[售价]]*TB[[#This Row],[销量]]</f>
        <v>2249</v>
      </c>
      <c r="N826" t="str">
        <f>IF(TB[[#This Row],[售价]]&lt;1000,"低价商品",IF(TB[[#This Row],[售价]]&lt;5000,"中价商品",IF(TB[[#This Row],[售价]]&lt;10000,"高价商品","超高价商品")))</f>
        <v>中价商品</v>
      </c>
    </row>
    <row r="827" spans="1:14" x14ac:dyDescent="0.2">
      <c r="A827">
        <v>354</v>
      </c>
      <c r="B827">
        <v>68</v>
      </c>
      <c r="C827" t="s">
        <v>36</v>
      </c>
      <c r="D827" t="s">
        <v>146</v>
      </c>
      <c r="E827" t="s">
        <v>22</v>
      </c>
      <c r="F827">
        <v>1</v>
      </c>
      <c r="G827" t="s">
        <v>13</v>
      </c>
      <c r="H827" s="1">
        <v>45946.226388888892</v>
      </c>
      <c r="I827" s="5">
        <f>INT(TB[[#This Row],[时间戳]])</f>
        <v>45946</v>
      </c>
      <c r="J827" s="2">
        <f>HOUR(TB[[#This Row],[时间戳]])</f>
        <v>5</v>
      </c>
      <c r="K827">
        <v>6278</v>
      </c>
      <c r="L827">
        <v>1</v>
      </c>
      <c r="M827">
        <f>TB[[#This Row],[售价]]*TB[[#This Row],[销量]]</f>
        <v>6278</v>
      </c>
      <c r="N827" t="str">
        <f>IF(TB[[#This Row],[售价]]&lt;1000,"低价商品",IF(TB[[#This Row],[售价]]&lt;5000,"中价商品",IF(TB[[#This Row],[售价]]&lt;10000,"高价商品","超高价商品")))</f>
        <v>高价商品</v>
      </c>
    </row>
    <row r="828" spans="1:14" x14ac:dyDescent="0.2">
      <c r="A828">
        <v>556</v>
      </c>
      <c r="B828">
        <v>166</v>
      </c>
      <c r="C828" t="s">
        <v>26</v>
      </c>
      <c r="D828" t="s">
        <v>252</v>
      </c>
      <c r="E828" t="s">
        <v>25</v>
      </c>
      <c r="F828">
        <v>7</v>
      </c>
      <c r="G828" t="s">
        <v>13</v>
      </c>
      <c r="H828" s="1">
        <v>45946.234722222223</v>
      </c>
      <c r="I828" s="5">
        <f>INT(TB[[#This Row],[时间戳]])</f>
        <v>45946</v>
      </c>
      <c r="J828" s="2">
        <f>HOUR(TB[[#This Row],[时间戳]])</f>
        <v>5</v>
      </c>
      <c r="K828">
        <v>7451</v>
      </c>
      <c r="L828">
        <v>1</v>
      </c>
      <c r="M828">
        <f>TB[[#This Row],[售价]]*TB[[#This Row],[销量]]</f>
        <v>7451</v>
      </c>
      <c r="N828" t="str">
        <f>IF(TB[[#This Row],[售价]]&lt;1000,"低价商品",IF(TB[[#This Row],[售价]]&lt;5000,"中价商品",IF(TB[[#This Row],[售价]]&lt;10000,"高价商品","超高价商品")))</f>
        <v>高价商品</v>
      </c>
    </row>
    <row r="829" spans="1:14" x14ac:dyDescent="0.2">
      <c r="A829">
        <v>492</v>
      </c>
      <c r="B829">
        <v>299</v>
      </c>
      <c r="C829" t="s">
        <v>34</v>
      </c>
      <c r="D829" t="s">
        <v>164</v>
      </c>
      <c r="E829" t="s">
        <v>22</v>
      </c>
      <c r="F829">
        <v>1</v>
      </c>
      <c r="G829" t="s">
        <v>42</v>
      </c>
      <c r="H829" s="1">
        <v>45946.242361111108</v>
      </c>
      <c r="I829" s="5">
        <f>INT(TB[[#This Row],[时间戳]])</f>
        <v>45946</v>
      </c>
      <c r="J829" s="2">
        <f>HOUR(TB[[#This Row],[时间戳]])</f>
        <v>5</v>
      </c>
      <c r="K829">
        <v>6678</v>
      </c>
      <c r="L829">
        <v>0</v>
      </c>
      <c r="M829">
        <f>TB[[#This Row],[售价]]*TB[[#This Row],[销量]]</f>
        <v>0</v>
      </c>
      <c r="N829" t="str">
        <f>IF(TB[[#This Row],[售价]]&lt;1000,"低价商品",IF(TB[[#This Row],[售价]]&lt;5000,"中价商品",IF(TB[[#This Row],[售价]]&lt;10000,"高价商品","超高价商品")))</f>
        <v>高价商品</v>
      </c>
    </row>
    <row r="830" spans="1:14" x14ac:dyDescent="0.2">
      <c r="A830">
        <v>293</v>
      </c>
      <c r="B830">
        <v>217</v>
      </c>
      <c r="C830" t="s">
        <v>17</v>
      </c>
      <c r="D830" t="s">
        <v>255</v>
      </c>
      <c r="E830" t="s">
        <v>31</v>
      </c>
      <c r="F830">
        <v>4</v>
      </c>
      <c r="G830" t="s">
        <v>13</v>
      </c>
      <c r="H830" s="1">
        <v>45946.26666666667</v>
      </c>
      <c r="I830" s="5">
        <f>INT(TB[[#This Row],[时间戳]])</f>
        <v>45946</v>
      </c>
      <c r="J830" s="2">
        <f>HOUR(TB[[#This Row],[时间戳]])</f>
        <v>6</v>
      </c>
      <c r="K830">
        <v>1359</v>
      </c>
      <c r="L830">
        <v>3</v>
      </c>
      <c r="M830">
        <f>TB[[#This Row],[售价]]*TB[[#This Row],[销量]]</f>
        <v>4077</v>
      </c>
      <c r="N830" t="str">
        <f>IF(TB[[#This Row],[售价]]&lt;1000,"低价商品",IF(TB[[#This Row],[售价]]&lt;5000,"中价商品",IF(TB[[#This Row],[售价]]&lt;10000,"高价商品","超高价商品")))</f>
        <v>中价商品</v>
      </c>
    </row>
    <row r="831" spans="1:14" x14ac:dyDescent="0.2">
      <c r="A831">
        <v>26</v>
      </c>
      <c r="B831">
        <v>196</v>
      </c>
      <c r="C831" t="s">
        <v>20</v>
      </c>
      <c r="D831" t="s">
        <v>78</v>
      </c>
      <c r="E831" t="s">
        <v>22</v>
      </c>
      <c r="F831">
        <v>1</v>
      </c>
      <c r="G831" t="s">
        <v>13</v>
      </c>
      <c r="H831" s="1">
        <v>45946.277777777781</v>
      </c>
      <c r="I831" s="5">
        <f>INT(TB[[#This Row],[时间戳]])</f>
        <v>45946</v>
      </c>
      <c r="J831" s="2">
        <f>HOUR(TB[[#This Row],[时间戳]])</f>
        <v>6</v>
      </c>
      <c r="K831">
        <v>7427</v>
      </c>
      <c r="L831">
        <v>2</v>
      </c>
      <c r="M831">
        <f>TB[[#This Row],[售价]]*TB[[#This Row],[销量]]</f>
        <v>14854</v>
      </c>
      <c r="N831" t="str">
        <f>IF(TB[[#This Row],[售价]]&lt;1000,"低价商品",IF(TB[[#This Row],[售价]]&lt;5000,"中价商品",IF(TB[[#This Row],[售价]]&lt;10000,"高价商品","超高价商品")))</f>
        <v>高价商品</v>
      </c>
    </row>
    <row r="832" spans="1:14" x14ac:dyDescent="0.2">
      <c r="A832">
        <v>274</v>
      </c>
      <c r="B832">
        <v>83</v>
      </c>
      <c r="C832" t="s">
        <v>10</v>
      </c>
      <c r="D832" t="s">
        <v>298</v>
      </c>
      <c r="E832" t="s">
        <v>12</v>
      </c>
      <c r="F832">
        <v>2</v>
      </c>
      <c r="G832" t="s">
        <v>13</v>
      </c>
      <c r="H832" s="1">
        <v>45946.282638888886</v>
      </c>
      <c r="I832" s="5">
        <f>INT(TB[[#This Row],[时间戳]])</f>
        <v>45946</v>
      </c>
      <c r="J832" s="2">
        <f>HOUR(TB[[#This Row],[时间戳]])</f>
        <v>6</v>
      </c>
      <c r="K832">
        <v>6208</v>
      </c>
      <c r="L832">
        <v>1</v>
      </c>
      <c r="M832">
        <f>TB[[#This Row],[售价]]*TB[[#This Row],[销量]]</f>
        <v>6208</v>
      </c>
      <c r="N832" t="str">
        <f>IF(TB[[#This Row],[售价]]&lt;1000,"低价商品",IF(TB[[#This Row],[售价]]&lt;5000,"中价商品",IF(TB[[#This Row],[售价]]&lt;10000,"高价商品","超高价商品")))</f>
        <v>高价商品</v>
      </c>
    </row>
    <row r="833" spans="1:14" x14ac:dyDescent="0.2">
      <c r="A833">
        <v>64</v>
      </c>
      <c r="B833">
        <v>152</v>
      </c>
      <c r="C833" t="s">
        <v>36</v>
      </c>
      <c r="D833" t="s">
        <v>366</v>
      </c>
      <c r="E833" t="s">
        <v>22</v>
      </c>
      <c r="F833">
        <v>1</v>
      </c>
      <c r="G833" t="s">
        <v>13</v>
      </c>
      <c r="H833" s="1">
        <v>45946.293749999997</v>
      </c>
      <c r="I833" s="5">
        <f>INT(TB[[#This Row],[时间戳]])</f>
        <v>45946</v>
      </c>
      <c r="J833" s="2">
        <f>HOUR(TB[[#This Row],[时间戳]])</f>
        <v>7</v>
      </c>
      <c r="K833">
        <v>3496</v>
      </c>
      <c r="L833">
        <v>3</v>
      </c>
      <c r="M833">
        <f>TB[[#This Row],[售价]]*TB[[#This Row],[销量]]</f>
        <v>10488</v>
      </c>
      <c r="N833" t="str">
        <f>IF(TB[[#This Row],[售价]]&lt;1000,"低价商品",IF(TB[[#This Row],[售价]]&lt;5000,"中价商品",IF(TB[[#This Row],[售价]]&lt;10000,"高价商品","超高价商品")))</f>
        <v>中价商品</v>
      </c>
    </row>
    <row r="834" spans="1:14" x14ac:dyDescent="0.2">
      <c r="A834">
        <v>368</v>
      </c>
      <c r="B834">
        <v>232</v>
      </c>
      <c r="C834" t="s">
        <v>20</v>
      </c>
      <c r="D834" t="s">
        <v>293</v>
      </c>
      <c r="E834" t="s">
        <v>12</v>
      </c>
      <c r="F834">
        <v>2</v>
      </c>
      <c r="G834" t="s">
        <v>13</v>
      </c>
      <c r="H834" s="1">
        <v>45946.296527777777</v>
      </c>
      <c r="I834" s="5">
        <f>INT(TB[[#This Row],[时间戳]])</f>
        <v>45946</v>
      </c>
      <c r="J834" s="2">
        <f>HOUR(TB[[#This Row],[时间戳]])</f>
        <v>7</v>
      </c>
      <c r="K834">
        <v>7527</v>
      </c>
      <c r="L834">
        <v>1</v>
      </c>
      <c r="M834">
        <f>TB[[#This Row],[售价]]*TB[[#This Row],[销量]]</f>
        <v>7527</v>
      </c>
      <c r="N834" t="str">
        <f>IF(TB[[#This Row],[售价]]&lt;1000,"低价商品",IF(TB[[#This Row],[售价]]&lt;5000,"中价商品",IF(TB[[#This Row],[售价]]&lt;10000,"高价商品","超高价商品")))</f>
        <v>高价商品</v>
      </c>
    </row>
    <row r="835" spans="1:14" x14ac:dyDescent="0.2">
      <c r="A835">
        <v>761</v>
      </c>
      <c r="B835">
        <v>288</v>
      </c>
      <c r="C835" t="s">
        <v>20</v>
      </c>
      <c r="D835" t="s">
        <v>277</v>
      </c>
      <c r="E835" t="s">
        <v>12</v>
      </c>
      <c r="F835">
        <v>2</v>
      </c>
      <c r="G835" t="s">
        <v>13</v>
      </c>
      <c r="H835" s="1">
        <v>45946.3</v>
      </c>
      <c r="I835" s="5">
        <f>INT(TB[[#This Row],[时间戳]])</f>
        <v>45946</v>
      </c>
      <c r="J835" s="2">
        <f>HOUR(TB[[#This Row],[时间戳]])</f>
        <v>7</v>
      </c>
      <c r="K835">
        <v>5794</v>
      </c>
      <c r="L835">
        <v>1</v>
      </c>
      <c r="M835">
        <f>TB[[#This Row],[售价]]*TB[[#This Row],[销量]]</f>
        <v>5794</v>
      </c>
      <c r="N835" t="str">
        <f>IF(TB[[#This Row],[售价]]&lt;1000,"低价商品",IF(TB[[#This Row],[售价]]&lt;5000,"中价商品",IF(TB[[#This Row],[售价]]&lt;10000,"高价商品","超高价商品")))</f>
        <v>高价商品</v>
      </c>
    </row>
    <row r="836" spans="1:14" x14ac:dyDescent="0.2">
      <c r="A836">
        <v>710</v>
      </c>
      <c r="B836">
        <v>25</v>
      </c>
      <c r="C836" t="s">
        <v>20</v>
      </c>
      <c r="D836" t="s">
        <v>263</v>
      </c>
      <c r="E836" t="s">
        <v>39</v>
      </c>
      <c r="F836">
        <v>5</v>
      </c>
      <c r="G836" t="s">
        <v>13</v>
      </c>
      <c r="H836" s="1">
        <v>45946.313194444447</v>
      </c>
      <c r="I836" s="5">
        <f>INT(TB[[#This Row],[时间戳]])</f>
        <v>45946</v>
      </c>
      <c r="J836" s="2">
        <f>HOUR(TB[[#This Row],[时间戳]])</f>
        <v>7</v>
      </c>
      <c r="K836">
        <v>2313</v>
      </c>
      <c r="L836">
        <v>2</v>
      </c>
      <c r="M836">
        <f>TB[[#This Row],[售价]]*TB[[#This Row],[销量]]</f>
        <v>4626</v>
      </c>
      <c r="N836" t="str">
        <f>IF(TB[[#This Row],[售价]]&lt;1000,"低价商品",IF(TB[[#This Row],[售价]]&lt;5000,"中价商品",IF(TB[[#This Row],[售价]]&lt;10000,"高价商品","超高价商品")))</f>
        <v>中价商品</v>
      </c>
    </row>
    <row r="837" spans="1:14" x14ac:dyDescent="0.2">
      <c r="A837">
        <v>566</v>
      </c>
      <c r="B837">
        <v>28</v>
      </c>
      <c r="C837" t="s">
        <v>17</v>
      </c>
      <c r="D837" t="s">
        <v>133</v>
      </c>
      <c r="E837" t="s">
        <v>31</v>
      </c>
      <c r="F837">
        <v>4</v>
      </c>
      <c r="G837" t="s">
        <v>13</v>
      </c>
      <c r="H837" s="1">
        <v>45946.322916666664</v>
      </c>
      <c r="I837" s="5">
        <f>INT(TB[[#This Row],[时间戳]])</f>
        <v>45946</v>
      </c>
      <c r="J837" s="2">
        <f>HOUR(TB[[#This Row],[时间戳]])</f>
        <v>7</v>
      </c>
      <c r="K837">
        <v>829</v>
      </c>
      <c r="L837">
        <v>2</v>
      </c>
      <c r="M837">
        <f>TB[[#This Row],[售价]]*TB[[#This Row],[销量]]</f>
        <v>1658</v>
      </c>
      <c r="N837" t="str">
        <f>IF(TB[[#This Row],[售价]]&lt;1000,"低价商品",IF(TB[[#This Row],[售价]]&lt;5000,"中价商品",IF(TB[[#This Row],[售价]]&lt;10000,"高价商品","超高价商品")))</f>
        <v>低价商品</v>
      </c>
    </row>
    <row r="838" spans="1:14" x14ac:dyDescent="0.2">
      <c r="A838">
        <v>636</v>
      </c>
      <c r="B838">
        <v>227</v>
      </c>
      <c r="C838" t="s">
        <v>36</v>
      </c>
      <c r="D838" t="s">
        <v>310</v>
      </c>
      <c r="E838" t="s">
        <v>39</v>
      </c>
      <c r="F838">
        <v>5</v>
      </c>
      <c r="G838" t="s">
        <v>42</v>
      </c>
      <c r="H838" s="1">
        <v>45946.368055555555</v>
      </c>
      <c r="I838" s="5">
        <f>INT(TB[[#This Row],[时间戳]])</f>
        <v>45946</v>
      </c>
      <c r="J838" s="2">
        <f>HOUR(TB[[#This Row],[时间戳]])</f>
        <v>8</v>
      </c>
      <c r="K838">
        <v>1033</v>
      </c>
      <c r="L838">
        <v>0</v>
      </c>
      <c r="M838">
        <f>TB[[#This Row],[售价]]*TB[[#This Row],[销量]]</f>
        <v>0</v>
      </c>
      <c r="N838" t="str">
        <f>IF(TB[[#This Row],[售价]]&lt;1000,"低价商品",IF(TB[[#This Row],[售价]]&lt;5000,"中价商品",IF(TB[[#This Row],[售价]]&lt;10000,"高价商品","超高价商品")))</f>
        <v>中价商品</v>
      </c>
    </row>
    <row r="839" spans="1:14" x14ac:dyDescent="0.2">
      <c r="A839">
        <v>560</v>
      </c>
      <c r="B839">
        <v>101</v>
      </c>
      <c r="C839" t="s">
        <v>34</v>
      </c>
      <c r="D839" t="s">
        <v>164</v>
      </c>
      <c r="E839" t="s">
        <v>22</v>
      </c>
      <c r="F839">
        <v>1</v>
      </c>
      <c r="G839" t="s">
        <v>13</v>
      </c>
      <c r="H839" s="1">
        <v>45946.376388888886</v>
      </c>
      <c r="I839" s="5">
        <f>INT(TB[[#This Row],[时间戳]])</f>
        <v>45946</v>
      </c>
      <c r="J839" s="2">
        <f>HOUR(TB[[#This Row],[时间戳]])</f>
        <v>9</v>
      </c>
      <c r="K839">
        <v>7714</v>
      </c>
      <c r="L839">
        <v>3</v>
      </c>
      <c r="M839">
        <f>TB[[#This Row],[售价]]*TB[[#This Row],[销量]]</f>
        <v>23142</v>
      </c>
      <c r="N839" t="str">
        <f>IF(TB[[#This Row],[售价]]&lt;1000,"低价商品",IF(TB[[#This Row],[售价]]&lt;5000,"中价商品",IF(TB[[#This Row],[售价]]&lt;10000,"高价商品","超高价商品")))</f>
        <v>高价商品</v>
      </c>
    </row>
    <row r="840" spans="1:14" x14ac:dyDescent="0.2">
      <c r="A840">
        <v>700</v>
      </c>
      <c r="B840">
        <v>39</v>
      </c>
      <c r="C840" t="s">
        <v>44</v>
      </c>
      <c r="D840" t="s">
        <v>70</v>
      </c>
      <c r="E840" t="s">
        <v>12</v>
      </c>
      <c r="F840">
        <v>2</v>
      </c>
      <c r="G840" t="s">
        <v>13</v>
      </c>
      <c r="H840" s="1">
        <v>45946.392361111109</v>
      </c>
      <c r="I840" s="5">
        <f>INT(TB[[#This Row],[时间戳]])</f>
        <v>45946</v>
      </c>
      <c r="J840" s="2">
        <f>HOUR(TB[[#This Row],[时间戳]])</f>
        <v>9</v>
      </c>
      <c r="K840">
        <v>7120</v>
      </c>
      <c r="L840">
        <v>3</v>
      </c>
      <c r="M840">
        <f>TB[[#This Row],[售价]]*TB[[#This Row],[销量]]</f>
        <v>21360</v>
      </c>
      <c r="N840" t="str">
        <f>IF(TB[[#This Row],[售价]]&lt;1000,"低价商品",IF(TB[[#This Row],[售价]]&lt;5000,"中价商品",IF(TB[[#This Row],[售价]]&lt;10000,"高价商品","超高价商品")))</f>
        <v>高价商品</v>
      </c>
    </row>
    <row r="841" spans="1:14" x14ac:dyDescent="0.2">
      <c r="A841">
        <v>387</v>
      </c>
      <c r="B841">
        <v>21</v>
      </c>
      <c r="C841" t="s">
        <v>20</v>
      </c>
      <c r="D841" t="s">
        <v>206</v>
      </c>
      <c r="E841" t="s">
        <v>19</v>
      </c>
      <c r="F841">
        <v>3</v>
      </c>
      <c r="G841" t="s">
        <v>13</v>
      </c>
      <c r="H841" s="1">
        <v>45946.411111111112</v>
      </c>
      <c r="I841" s="5">
        <f>INT(TB[[#This Row],[时间戳]])</f>
        <v>45946</v>
      </c>
      <c r="J841" s="2">
        <f>HOUR(TB[[#This Row],[时间戳]])</f>
        <v>9</v>
      </c>
      <c r="K841">
        <v>2919</v>
      </c>
      <c r="L841">
        <v>2</v>
      </c>
      <c r="M841">
        <f>TB[[#This Row],[售价]]*TB[[#This Row],[销量]]</f>
        <v>5838</v>
      </c>
      <c r="N841" t="str">
        <f>IF(TB[[#This Row],[售价]]&lt;1000,"低价商品",IF(TB[[#This Row],[售价]]&lt;5000,"中价商品",IF(TB[[#This Row],[售价]]&lt;10000,"高价商品","超高价商品")))</f>
        <v>中价商品</v>
      </c>
    </row>
    <row r="842" spans="1:14" x14ac:dyDescent="0.2">
      <c r="A842">
        <v>134</v>
      </c>
      <c r="B842">
        <v>83</v>
      </c>
      <c r="C842" t="s">
        <v>20</v>
      </c>
      <c r="D842" t="s">
        <v>85</v>
      </c>
      <c r="E842" t="s">
        <v>31</v>
      </c>
      <c r="F842">
        <v>4</v>
      </c>
      <c r="G842" t="s">
        <v>13</v>
      </c>
      <c r="H842" s="1">
        <v>45946.411111111112</v>
      </c>
      <c r="I842" s="5">
        <f>INT(TB[[#This Row],[时间戳]])</f>
        <v>45946</v>
      </c>
      <c r="J842" s="2">
        <f>HOUR(TB[[#This Row],[时间戳]])</f>
        <v>9</v>
      </c>
      <c r="K842">
        <v>869</v>
      </c>
      <c r="L842">
        <v>3</v>
      </c>
      <c r="M842">
        <f>TB[[#This Row],[售价]]*TB[[#This Row],[销量]]</f>
        <v>2607</v>
      </c>
      <c r="N842" t="str">
        <f>IF(TB[[#This Row],[售价]]&lt;1000,"低价商品",IF(TB[[#This Row],[售价]]&lt;5000,"中价商品",IF(TB[[#This Row],[售价]]&lt;10000,"高价商品","超高价商品")))</f>
        <v>低价商品</v>
      </c>
    </row>
    <row r="843" spans="1:14" x14ac:dyDescent="0.2">
      <c r="A843">
        <v>478</v>
      </c>
      <c r="B843">
        <v>80</v>
      </c>
      <c r="C843" t="s">
        <v>10</v>
      </c>
      <c r="D843" t="s">
        <v>329</v>
      </c>
      <c r="E843" t="s">
        <v>39</v>
      </c>
      <c r="F843">
        <v>5</v>
      </c>
      <c r="G843" t="s">
        <v>13</v>
      </c>
      <c r="H843" s="1">
        <v>45946.431250000001</v>
      </c>
      <c r="I843" s="5">
        <f>INT(TB[[#This Row],[时间戳]])</f>
        <v>45946</v>
      </c>
      <c r="J843" s="2">
        <f>HOUR(TB[[#This Row],[时间戳]])</f>
        <v>10</v>
      </c>
      <c r="K843">
        <v>3122</v>
      </c>
      <c r="L843">
        <v>1</v>
      </c>
      <c r="M843">
        <f>TB[[#This Row],[售价]]*TB[[#This Row],[销量]]</f>
        <v>3122</v>
      </c>
      <c r="N843" t="str">
        <f>IF(TB[[#This Row],[售价]]&lt;1000,"低价商品",IF(TB[[#This Row],[售价]]&lt;5000,"中价商品",IF(TB[[#This Row],[售价]]&lt;10000,"高价商品","超高价商品")))</f>
        <v>中价商品</v>
      </c>
    </row>
    <row r="844" spans="1:14" x14ac:dyDescent="0.2">
      <c r="A844">
        <v>53</v>
      </c>
      <c r="B844">
        <v>155</v>
      </c>
      <c r="C844" t="s">
        <v>34</v>
      </c>
      <c r="D844" t="s">
        <v>168</v>
      </c>
      <c r="E844" t="s">
        <v>19</v>
      </c>
      <c r="F844">
        <v>3</v>
      </c>
      <c r="G844" t="s">
        <v>13</v>
      </c>
      <c r="H844" s="1">
        <v>45946.43472222222</v>
      </c>
      <c r="I844" s="5">
        <f>INT(TB[[#This Row],[时间戳]])</f>
        <v>45946</v>
      </c>
      <c r="J844" s="2">
        <f>HOUR(TB[[#This Row],[时间戳]])</f>
        <v>10</v>
      </c>
      <c r="K844">
        <v>1705</v>
      </c>
      <c r="L844">
        <v>2</v>
      </c>
      <c r="M844">
        <f>TB[[#This Row],[售价]]*TB[[#This Row],[销量]]</f>
        <v>3410</v>
      </c>
      <c r="N844" t="str">
        <f>IF(TB[[#This Row],[售价]]&lt;1000,"低价商品",IF(TB[[#This Row],[售价]]&lt;5000,"中价商品",IF(TB[[#This Row],[售价]]&lt;10000,"高价商品","超高价商品")))</f>
        <v>中价商品</v>
      </c>
    </row>
    <row r="845" spans="1:14" x14ac:dyDescent="0.2">
      <c r="A845">
        <v>75</v>
      </c>
      <c r="B845">
        <v>163</v>
      </c>
      <c r="C845" t="s">
        <v>20</v>
      </c>
      <c r="D845" t="s">
        <v>85</v>
      </c>
      <c r="E845" t="s">
        <v>31</v>
      </c>
      <c r="F845">
        <v>4</v>
      </c>
      <c r="G845" t="s">
        <v>42</v>
      </c>
      <c r="H845" s="1">
        <v>45946.494444444441</v>
      </c>
      <c r="I845" s="5">
        <f>INT(TB[[#This Row],[时间戳]])</f>
        <v>45946</v>
      </c>
      <c r="J845" s="2">
        <f>HOUR(TB[[#This Row],[时间戳]])</f>
        <v>11</v>
      </c>
      <c r="K845">
        <v>1147</v>
      </c>
      <c r="L845">
        <v>0</v>
      </c>
      <c r="M845">
        <f>TB[[#This Row],[售价]]*TB[[#This Row],[销量]]</f>
        <v>0</v>
      </c>
      <c r="N845" t="str">
        <f>IF(TB[[#This Row],[售价]]&lt;1000,"低价商品",IF(TB[[#This Row],[售价]]&lt;5000,"中价商品",IF(TB[[#This Row],[售价]]&lt;10000,"高价商品","超高价商品")))</f>
        <v>中价商品</v>
      </c>
    </row>
    <row r="846" spans="1:14" x14ac:dyDescent="0.2">
      <c r="A846">
        <v>70</v>
      </c>
      <c r="B846">
        <v>259</v>
      </c>
      <c r="C846" t="s">
        <v>26</v>
      </c>
      <c r="D846" t="s">
        <v>364</v>
      </c>
      <c r="E846" t="s">
        <v>39</v>
      </c>
      <c r="F846">
        <v>5</v>
      </c>
      <c r="G846" t="s">
        <v>42</v>
      </c>
      <c r="H846" s="1">
        <v>45946.49722222222</v>
      </c>
      <c r="I846" s="5">
        <f>INT(TB[[#This Row],[时间戳]])</f>
        <v>45946</v>
      </c>
      <c r="J846" s="2">
        <f>HOUR(TB[[#This Row],[时间戳]])</f>
        <v>11</v>
      </c>
      <c r="K846">
        <v>2864</v>
      </c>
      <c r="L846">
        <v>0</v>
      </c>
      <c r="M846">
        <f>TB[[#This Row],[售价]]*TB[[#This Row],[销量]]</f>
        <v>0</v>
      </c>
      <c r="N846" t="str">
        <f>IF(TB[[#This Row],[售价]]&lt;1000,"低价商品",IF(TB[[#This Row],[售价]]&lt;5000,"中价商品",IF(TB[[#This Row],[售价]]&lt;10000,"高价商品","超高价商品")))</f>
        <v>中价商品</v>
      </c>
    </row>
    <row r="847" spans="1:14" x14ac:dyDescent="0.2">
      <c r="A847">
        <v>414</v>
      </c>
      <c r="B847">
        <v>48</v>
      </c>
      <c r="C847" t="s">
        <v>20</v>
      </c>
      <c r="D847" t="s">
        <v>367</v>
      </c>
      <c r="E847" t="s">
        <v>25</v>
      </c>
      <c r="F847">
        <v>7</v>
      </c>
      <c r="G847" t="s">
        <v>13</v>
      </c>
      <c r="H847" s="1">
        <v>45946.507638888892</v>
      </c>
      <c r="I847" s="5">
        <f>INT(TB[[#This Row],[时间戳]])</f>
        <v>45946</v>
      </c>
      <c r="J847" s="2">
        <f>HOUR(TB[[#This Row],[时间戳]])</f>
        <v>12</v>
      </c>
      <c r="K847">
        <v>2817</v>
      </c>
      <c r="L847">
        <v>2</v>
      </c>
      <c r="M847">
        <f>TB[[#This Row],[售价]]*TB[[#This Row],[销量]]</f>
        <v>5634</v>
      </c>
      <c r="N847" t="str">
        <f>IF(TB[[#This Row],[售价]]&lt;1000,"低价商品",IF(TB[[#This Row],[售价]]&lt;5000,"中价商品",IF(TB[[#This Row],[售价]]&lt;10000,"高价商品","超高价商品")))</f>
        <v>中价商品</v>
      </c>
    </row>
    <row r="848" spans="1:14" x14ac:dyDescent="0.2">
      <c r="A848">
        <v>340</v>
      </c>
      <c r="B848">
        <v>170</v>
      </c>
      <c r="C848" t="s">
        <v>32</v>
      </c>
      <c r="D848" t="s">
        <v>368</v>
      </c>
      <c r="E848" t="s">
        <v>16</v>
      </c>
      <c r="F848">
        <v>6</v>
      </c>
      <c r="G848" t="s">
        <v>13</v>
      </c>
      <c r="H848" s="1">
        <v>45946.509027777778</v>
      </c>
      <c r="I848" s="5">
        <f>INT(TB[[#This Row],[时间戳]])</f>
        <v>45946</v>
      </c>
      <c r="J848" s="2">
        <f>HOUR(TB[[#This Row],[时间戳]])</f>
        <v>12</v>
      </c>
      <c r="K848">
        <v>7637</v>
      </c>
      <c r="L848">
        <v>4</v>
      </c>
      <c r="M848">
        <f>TB[[#This Row],[售价]]*TB[[#This Row],[销量]]</f>
        <v>30548</v>
      </c>
      <c r="N848" t="str">
        <f>IF(TB[[#This Row],[售价]]&lt;1000,"低价商品",IF(TB[[#This Row],[售价]]&lt;5000,"中价商品",IF(TB[[#This Row],[售价]]&lt;10000,"高价商品","超高价商品")))</f>
        <v>高价商品</v>
      </c>
    </row>
    <row r="849" spans="1:14" x14ac:dyDescent="0.2">
      <c r="A849">
        <v>544</v>
      </c>
      <c r="B849">
        <v>244</v>
      </c>
      <c r="C849" t="s">
        <v>32</v>
      </c>
      <c r="D849" t="s">
        <v>212</v>
      </c>
      <c r="E849" t="s">
        <v>22</v>
      </c>
      <c r="F849">
        <v>1</v>
      </c>
      <c r="G849" t="s">
        <v>13</v>
      </c>
      <c r="H849" s="1">
        <v>45946.615277777775</v>
      </c>
      <c r="I849" s="5">
        <f>INT(TB[[#This Row],[时间戳]])</f>
        <v>45946</v>
      </c>
      <c r="J849" s="2">
        <f>HOUR(TB[[#This Row],[时间戳]])</f>
        <v>14</v>
      </c>
      <c r="K849">
        <v>3905</v>
      </c>
      <c r="L849">
        <v>1</v>
      </c>
      <c r="M849">
        <f>TB[[#This Row],[售价]]*TB[[#This Row],[销量]]</f>
        <v>3905</v>
      </c>
      <c r="N849" t="str">
        <f>IF(TB[[#This Row],[售价]]&lt;1000,"低价商品",IF(TB[[#This Row],[售价]]&lt;5000,"中价商品",IF(TB[[#This Row],[售价]]&lt;10000,"高价商品","超高价商品")))</f>
        <v>中价商品</v>
      </c>
    </row>
    <row r="850" spans="1:14" x14ac:dyDescent="0.2">
      <c r="A850">
        <v>685</v>
      </c>
      <c r="B850">
        <v>178</v>
      </c>
      <c r="C850" t="s">
        <v>10</v>
      </c>
      <c r="D850" t="s">
        <v>130</v>
      </c>
      <c r="E850" t="s">
        <v>16</v>
      </c>
      <c r="F850">
        <v>6</v>
      </c>
      <c r="G850" t="s">
        <v>13</v>
      </c>
      <c r="H850" s="1">
        <v>45946.62777777778</v>
      </c>
      <c r="I850" s="5">
        <f>INT(TB[[#This Row],[时间戳]])</f>
        <v>45946</v>
      </c>
      <c r="J850" s="2">
        <f>HOUR(TB[[#This Row],[时间戳]])</f>
        <v>15</v>
      </c>
      <c r="K850">
        <v>11381</v>
      </c>
      <c r="L850">
        <v>2</v>
      </c>
      <c r="M850">
        <f>TB[[#This Row],[售价]]*TB[[#This Row],[销量]]</f>
        <v>22762</v>
      </c>
      <c r="N850" t="str">
        <f>IF(TB[[#This Row],[售价]]&lt;1000,"低价商品",IF(TB[[#This Row],[售价]]&lt;5000,"中价商品",IF(TB[[#This Row],[售价]]&lt;10000,"高价商品","超高价商品")))</f>
        <v>超高价商品</v>
      </c>
    </row>
    <row r="851" spans="1:14" x14ac:dyDescent="0.2">
      <c r="A851">
        <v>250</v>
      </c>
      <c r="B851">
        <v>21</v>
      </c>
      <c r="C851" t="s">
        <v>46</v>
      </c>
      <c r="D851" t="s">
        <v>129</v>
      </c>
      <c r="E851" t="s">
        <v>31</v>
      </c>
      <c r="F851">
        <v>4</v>
      </c>
      <c r="G851" t="s">
        <v>13</v>
      </c>
      <c r="H851" s="1">
        <v>45946.644444444442</v>
      </c>
      <c r="I851" s="5">
        <f>INT(TB[[#This Row],[时间戳]])</f>
        <v>45946</v>
      </c>
      <c r="J851" s="2">
        <f>HOUR(TB[[#This Row],[时间戳]])</f>
        <v>15</v>
      </c>
      <c r="K851">
        <v>885</v>
      </c>
      <c r="L851">
        <v>2</v>
      </c>
      <c r="M851">
        <f>TB[[#This Row],[售价]]*TB[[#This Row],[销量]]</f>
        <v>1770</v>
      </c>
      <c r="N851" t="str">
        <f>IF(TB[[#This Row],[售价]]&lt;1000,"低价商品",IF(TB[[#This Row],[售价]]&lt;5000,"中价商品",IF(TB[[#This Row],[售价]]&lt;10000,"高价商品","超高价商品")))</f>
        <v>低价商品</v>
      </c>
    </row>
    <row r="852" spans="1:14" x14ac:dyDescent="0.2">
      <c r="A852">
        <v>396</v>
      </c>
      <c r="B852">
        <v>132</v>
      </c>
      <c r="C852" t="s">
        <v>17</v>
      </c>
      <c r="D852" t="s">
        <v>74</v>
      </c>
      <c r="E852" t="s">
        <v>22</v>
      </c>
      <c r="F852">
        <v>1</v>
      </c>
      <c r="G852" t="s">
        <v>13</v>
      </c>
      <c r="H852" s="1">
        <v>45946.645833333336</v>
      </c>
      <c r="I852" s="5">
        <f>INT(TB[[#This Row],[时间戳]])</f>
        <v>45946</v>
      </c>
      <c r="J852" s="2">
        <f>HOUR(TB[[#This Row],[时间戳]])</f>
        <v>15</v>
      </c>
      <c r="K852">
        <v>6555</v>
      </c>
      <c r="L852">
        <v>3</v>
      </c>
      <c r="M852">
        <f>TB[[#This Row],[售价]]*TB[[#This Row],[销量]]</f>
        <v>19665</v>
      </c>
      <c r="N852" t="str">
        <f>IF(TB[[#This Row],[售价]]&lt;1000,"低价商品",IF(TB[[#This Row],[售价]]&lt;5000,"中价商品",IF(TB[[#This Row],[售价]]&lt;10000,"高价商品","超高价商品")))</f>
        <v>高价商品</v>
      </c>
    </row>
    <row r="853" spans="1:14" x14ac:dyDescent="0.2">
      <c r="A853">
        <v>530</v>
      </c>
      <c r="B853">
        <v>192</v>
      </c>
      <c r="C853" t="s">
        <v>36</v>
      </c>
      <c r="D853" t="s">
        <v>173</v>
      </c>
      <c r="E853" t="s">
        <v>19</v>
      </c>
      <c r="F853">
        <v>3</v>
      </c>
      <c r="G853" t="s">
        <v>13</v>
      </c>
      <c r="H853" s="1">
        <v>45946.671527777777</v>
      </c>
      <c r="I853" s="5">
        <f>INT(TB[[#This Row],[时间戳]])</f>
        <v>45946</v>
      </c>
      <c r="J853" s="2">
        <f>HOUR(TB[[#This Row],[时间戳]])</f>
        <v>16</v>
      </c>
      <c r="K853">
        <v>6000</v>
      </c>
      <c r="L853">
        <v>1</v>
      </c>
      <c r="M853">
        <f>TB[[#This Row],[售价]]*TB[[#This Row],[销量]]</f>
        <v>6000</v>
      </c>
      <c r="N853" t="str">
        <f>IF(TB[[#This Row],[售价]]&lt;1000,"低价商品",IF(TB[[#This Row],[售价]]&lt;5000,"中价商品",IF(TB[[#This Row],[售价]]&lt;10000,"高价商品","超高价商品")))</f>
        <v>高价商品</v>
      </c>
    </row>
    <row r="854" spans="1:14" x14ac:dyDescent="0.2">
      <c r="A854">
        <v>45</v>
      </c>
      <c r="B854">
        <v>152</v>
      </c>
      <c r="C854" t="s">
        <v>44</v>
      </c>
      <c r="D854" t="s">
        <v>163</v>
      </c>
      <c r="E854" t="s">
        <v>12</v>
      </c>
      <c r="F854">
        <v>2</v>
      </c>
      <c r="G854" t="s">
        <v>42</v>
      </c>
      <c r="H854" s="1">
        <v>45946.675694444442</v>
      </c>
      <c r="I854" s="5">
        <f>INT(TB[[#This Row],[时间戳]])</f>
        <v>45946</v>
      </c>
      <c r="J854" s="2">
        <f>HOUR(TB[[#This Row],[时间戳]])</f>
        <v>16</v>
      </c>
      <c r="K854">
        <v>12486</v>
      </c>
      <c r="L854">
        <v>0</v>
      </c>
      <c r="M854">
        <f>TB[[#This Row],[售价]]*TB[[#This Row],[销量]]</f>
        <v>0</v>
      </c>
      <c r="N854" t="str">
        <f>IF(TB[[#This Row],[售价]]&lt;1000,"低价商品",IF(TB[[#This Row],[售价]]&lt;5000,"中价商品",IF(TB[[#This Row],[售价]]&lt;10000,"高价商品","超高价商品")))</f>
        <v>超高价商品</v>
      </c>
    </row>
    <row r="855" spans="1:14" x14ac:dyDescent="0.2">
      <c r="A855">
        <v>99</v>
      </c>
      <c r="B855">
        <v>86</v>
      </c>
      <c r="C855" t="s">
        <v>20</v>
      </c>
      <c r="D855" t="s">
        <v>333</v>
      </c>
      <c r="E855" t="s">
        <v>16</v>
      </c>
      <c r="F855">
        <v>6</v>
      </c>
      <c r="G855" t="s">
        <v>13</v>
      </c>
      <c r="H855" s="1">
        <v>45946.717361111114</v>
      </c>
      <c r="I855" s="5">
        <f>INT(TB[[#This Row],[时间戳]])</f>
        <v>45946</v>
      </c>
      <c r="J855" s="2">
        <f>HOUR(TB[[#This Row],[时间戳]])</f>
        <v>17</v>
      </c>
      <c r="K855">
        <v>5118</v>
      </c>
      <c r="L855">
        <v>3</v>
      </c>
      <c r="M855">
        <f>TB[[#This Row],[售价]]*TB[[#This Row],[销量]]</f>
        <v>15354</v>
      </c>
      <c r="N855" t="str">
        <f>IF(TB[[#This Row],[售价]]&lt;1000,"低价商品",IF(TB[[#This Row],[售价]]&lt;5000,"中价商品",IF(TB[[#This Row],[售价]]&lt;10000,"高价商品","超高价商品")))</f>
        <v>高价商品</v>
      </c>
    </row>
    <row r="856" spans="1:14" x14ac:dyDescent="0.2">
      <c r="A856">
        <v>642</v>
      </c>
      <c r="B856">
        <v>34</v>
      </c>
      <c r="C856" t="s">
        <v>20</v>
      </c>
      <c r="D856" t="s">
        <v>78</v>
      </c>
      <c r="E856" t="s">
        <v>22</v>
      </c>
      <c r="F856">
        <v>1</v>
      </c>
      <c r="G856" t="s">
        <v>13</v>
      </c>
      <c r="H856" s="1">
        <v>45946.722222222219</v>
      </c>
      <c r="I856" s="5">
        <f>INT(TB[[#This Row],[时间戳]])</f>
        <v>45946</v>
      </c>
      <c r="J856" s="2">
        <f>HOUR(TB[[#This Row],[时间戳]])</f>
        <v>17</v>
      </c>
      <c r="K856">
        <v>7410</v>
      </c>
      <c r="L856">
        <v>4</v>
      </c>
      <c r="M856">
        <f>TB[[#This Row],[售价]]*TB[[#This Row],[销量]]</f>
        <v>29640</v>
      </c>
      <c r="N856" t="str">
        <f>IF(TB[[#This Row],[售价]]&lt;1000,"低价商品",IF(TB[[#This Row],[售价]]&lt;5000,"中价商品",IF(TB[[#This Row],[售价]]&lt;10000,"高价商品","超高价商品")))</f>
        <v>高价商品</v>
      </c>
    </row>
    <row r="857" spans="1:14" x14ac:dyDescent="0.2">
      <c r="A857">
        <v>435</v>
      </c>
      <c r="B857">
        <v>54</v>
      </c>
      <c r="C857" t="s">
        <v>32</v>
      </c>
      <c r="D857" t="s">
        <v>193</v>
      </c>
      <c r="E857" t="s">
        <v>22</v>
      </c>
      <c r="F857">
        <v>1</v>
      </c>
      <c r="G857" t="s">
        <v>13</v>
      </c>
      <c r="H857" s="1">
        <v>45946.725694444445</v>
      </c>
      <c r="I857" s="5">
        <f>INT(TB[[#This Row],[时间戳]])</f>
        <v>45946</v>
      </c>
      <c r="J857" s="2">
        <f>HOUR(TB[[#This Row],[时间戳]])</f>
        <v>17</v>
      </c>
      <c r="K857">
        <v>2869</v>
      </c>
      <c r="L857">
        <v>4</v>
      </c>
      <c r="M857">
        <f>TB[[#This Row],[售价]]*TB[[#This Row],[销量]]</f>
        <v>11476</v>
      </c>
      <c r="N857" t="str">
        <f>IF(TB[[#This Row],[售价]]&lt;1000,"低价商品",IF(TB[[#This Row],[售价]]&lt;5000,"中价商品",IF(TB[[#This Row],[售价]]&lt;10000,"高价商品","超高价商品")))</f>
        <v>中价商品</v>
      </c>
    </row>
    <row r="858" spans="1:14" x14ac:dyDescent="0.2">
      <c r="A858">
        <v>74</v>
      </c>
      <c r="B858">
        <v>79</v>
      </c>
      <c r="C858" t="s">
        <v>17</v>
      </c>
      <c r="D858" t="s">
        <v>369</v>
      </c>
      <c r="E858" t="s">
        <v>16</v>
      </c>
      <c r="F858">
        <v>6</v>
      </c>
      <c r="G858" t="s">
        <v>13</v>
      </c>
      <c r="H858" s="1">
        <v>45946.726388888892</v>
      </c>
      <c r="I858" s="5">
        <f>INT(TB[[#This Row],[时间戳]])</f>
        <v>45946</v>
      </c>
      <c r="J858" s="2">
        <f>HOUR(TB[[#This Row],[时间戳]])</f>
        <v>17</v>
      </c>
      <c r="K858">
        <v>5443</v>
      </c>
      <c r="L858">
        <v>1</v>
      </c>
      <c r="M858">
        <f>TB[[#This Row],[售价]]*TB[[#This Row],[销量]]</f>
        <v>5443</v>
      </c>
      <c r="N858" t="str">
        <f>IF(TB[[#This Row],[售价]]&lt;1000,"低价商品",IF(TB[[#This Row],[售价]]&lt;5000,"中价商品",IF(TB[[#This Row],[售价]]&lt;10000,"高价商品","超高价商品")))</f>
        <v>高价商品</v>
      </c>
    </row>
    <row r="859" spans="1:14" x14ac:dyDescent="0.2">
      <c r="A859">
        <v>90</v>
      </c>
      <c r="B859">
        <v>38</v>
      </c>
      <c r="C859" t="s">
        <v>34</v>
      </c>
      <c r="D859" t="s">
        <v>139</v>
      </c>
      <c r="E859" t="s">
        <v>39</v>
      </c>
      <c r="F859">
        <v>5</v>
      </c>
      <c r="G859" t="s">
        <v>13</v>
      </c>
      <c r="H859" s="1">
        <v>45946.738194444442</v>
      </c>
      <c r="I859" s="5">
        <f>INT(TB[[#This Row],[时间戳]])</f>
        <v>45946</v>
      </c>
      <c r="J859" s="2">
        <f>HOUR(TB[[#This Row],[时间戳]])</f>
        <v>17</v>
      </c>
      <c r="K859">
        <v>932</v>
      </c>
      <c r="L859">
        <v>1</v>
      </c>
      <c r="M859">
        <f>TB[[#This Row],[售价]]*TB[[#This Row],[销量]]</f>
        <v>932</v>
      </c>
      <c r="N859" t="str">
        <f>IF(TB[[#This Row],[售价]]&lt;1000,"低价商品",IF(TB[[#This Row],[售价]]&lt;5000,"中价商品",IF(TB[[#This Row],[售价]]&lt;10000,"高价商品","超高价商品")))</f>
        <v>低价商品</v>
      </c>
    </row>
    <row r="860" spans="1:14" x14ac:dyDescent="0.2">
      <c r="A860">
        <v>73</v>
      </c>
      <c r="B860">
        <v>295</v>
      </c>
      <c r="C860" t="s">
        <v>36</v>
      </c>
      <c r="D860" t="s">
        <v>192</v>
      </c>
      <c r="E860" t="s">
        <v>22</v>
      </c>
      <c r="F860">
        <v>1</v>
      </c>
      <c r="G860" t="s">
        <v>13</v>
      </c>
      <c r="H860" s="1">
        <v>45946.753472222219</v>
      </c>
      <c r="I860" s="5">
        <f>INT(TB[[#This Row],[时间戳]])</f>
        <v>45946</v>
      </c>
      <c r="J860" s="2">
        <f>HOUR(TB[[#This Row],[时间戳]])</f>
        <v>18</v>
      </c>
      <c r="K860">
        <v>1335</v>
      </c>
      <c r="L860">
        <v>2</v>
      </c>
      <c r="M860">
        <f>TB[[#This Row],[售价]]*TB[[#This Row],[销量]]</f>
        <v>2670</v>
      </c>
      <c r="N860" t="str">
        <f>IF(TB[[#This Row],[售价]]&lt;1000,"低价商品",IF(TB[[#This Row],[售价]]&lt;5000,"中价商品",IF(TB[[#This Row],[售价]]&lt;10000,"高价商品","超高价商品")))</f>
        <v>中价商品</v>
      </c>
    </row>
    <row r="861" spans="1:14" x14ac:dyDescent="0.2">
      <c r="A861">
        <v>462</v>
      </c>
      <c r="B861">
        <v>208</v>
      </c>
      <c r="C861" t="s">
        <v>17</v>
      </c>
      <c r="D861" t="s">
        <v>137</v>
      </c>
      <c r="E861" t="s">
        <v>31</v>
      </c>
      <c r="F861">
        <v>4</v>
      </c>
      <c r="G861" t="s">
        <v>13</v>
      </c>
      <c r="H861" s="1">
        <v>45946.754861111112</v>
      </c>
      <c r="I861" s="5">
        <f>INT(TB[[#This Row],[时间戳]])</f>
        <v>45946</v>
      </c>
      <c r="J861" s="2">
        <f>HOUR(TB[[#This Row],[时间戳]])</f>
        <v>18</v>
      </c>
      <c r="K861">
        <v>448</v>
      </c>
      <c r="L861">
        <v>1</v>
      </c>
      <c r="M861">
        <f>TB[[#This Row],[售价]]*TB[[#This Row],[销量]]</f>
        <v>448</v>
      </c>
      <c r="N861" t="str">
        <f>IF(TB[[#This Row],[售价]]&lt;1000,"低价商品",IF(TB[[#This Row],[售价]]&lt;5000,"中价商品",IF(TB[[#This Row],[售价]]&lt;10000,"高价商品","超高价商品")))</f>
        <v>低价商品</v>
      </c>
    </row>
    <row r="862" spans="1:14" x14ac:dyDescent="0.2">
      <c r="A862">
        <v>690</v>
      </c>
      <c r="B862">
        <v>61</v>
      </c>
      <c r="C862" t="s">
        <v>10</v>
      </c>
      <c r="D862" t="s">
        <v>183</v>
      </c>
      <c r="E862" t="s">
        <v>22</v>
      </c>
      <c r="F862">
        <v>1</v>
      </c>
      <c r="G862" t="s">
        <v>13</v>
      </c>
      <c r="H862" s="1">
        <v>45946.782638888886</v>
      </c>
      <c r="I862" s="5">
        <f>INT(TB[[#This Row],[时间戳]])</f>
        <v>45946</v>
      </c>
      <c r="J862" s="2">
        <f>HOUR(TB[[#This Row],[时间戳]])</f>
        <v>18</v>
      </c>
      <c r="K862">
        <v>4508</v>
      </c>
      <c r="L862">
        <v>2</v>
      </c>
      <c r="M862">
        <f>TB[[#This Row],[售价]]*TB[[#This Row],[销量]]</f>
        <v>9016</v>
      </c>
      <c r="N862" t="str">
        <f>IF(TB[[#This Row],[售价]]&lt;1000,"低价商品",IF(TB[[#This Row],[售价]]&lt;5000,"中价商品",IF(TB[[#This Row],[售价]]&lt;10000,"高价商品","超高价商品")))</f>
        <v>中价商品</v>
      </c>
    </row>
    <row r="863" spans="1:14" x14ac:dyDescent="0.2">
      <c r="A863">
        <v>775</v>
      </c>
      <c r="B863">
        <v>300</v>
      </c>
      <c r="C863" t="s">
        <v>46</v>
      </c>
      <c r="D863" t="s">
        <v>159</v>
      </c>
      <c r="E863" t="s">
        <v>16</v>
      </c>
      <c r="F863">
        <v>6</v>
      </c>
      <c r="G863" t="s">
        <v>13</v>
      </c>
      <c r="H863" s="1">
        <v>45946.793749999997</v>
      </c>
      <c r="I863" s="5">
        <f>INT(TB[[#This Row],[时间戳]])</f>
        <v>45946</v>
      </c>
      <c r="J863" s="2">
        <f>HOUR(TB[[#This Row],[时间戳]])</f>
        <v>19</v>
      </c>
      <c r="K863">
        <v>10565</v>
      </c>
      <c r="L863">
        <v>3</v>
      </c>
      <c r="M863">
        <f>TB[[#This Row],[售价]]*TB[[#This Row],[销量]]</f>
        <v>31695</v>
      </c>
      <c r="N863" t="str">
        <f>IF(TB[[#This Row],[售价]]&lt;1000,"低价商品",IF(TB[[#This Row],[售价]]&lt;5000,"中价商品",IF(TB[[#This Row],[售价]]&lt;10000,"高价商品","超高价商品")))</f>
        <v>超高价商品</v>
      </c>
    </row>
    <row r="864" spans="1:14" x14ac:dyDescent="0.2">
      <c r="A864">
        <v>515</v>
      </c>
      <c r="B864">
        <v>55</v>
      </c>
      <c r="C864" t="s">
        <v>14</v>
      </c>
      <c r="D864" t="s">
        <v>228</v>
      </c>
      <c r="E864" t="s">
        <v>31</v>
      </c>
      <c r="F864">
        <v>4</v>
      </c>
      <c r="G864" t="s">
        <v>13</v>
      </c>
      <c r="H864" s="1">
        <v>45946.806944444441</v>
      </c>
      <c r="I864" s="5">
        <f>INT(TB[[#This Row],[时间戳]])</f>
        <v>45946</v>
      </c>
      <c r="J864" s="2">
        <f>HOUR(TB[[#This Row],[时间戳]])</f>
        <v>19</v>
      </c>
      <c r="K864">
        <v>301</v>
      </c>
      <c r="L864">
        <v>2</v>
      </c>
      <c r="M864">
        <f>TB[[#This Row],[售价]]*TB[[#This Row],[销量]]</f>
        <v>602</v>
      </c>
      <c r="N864" t="str">
        <f>IF(TB[[#This Row],[售价]]&lt;1000,"低价商品",IF(TB[[#This Row],[售价]]&lt;5000,"中价商品",IF(TB[[#This Row],[售价]]&lt;10000,"高价商品","超高价商品")))</f>
        <v>低价商品</v>
      </c>
    </row>
    <row r="865" spans="1:14" x14ac:dyDescent="0.2">
      <c r="A865">
        <v>89</v>
      </c>
      <c r="B865">
        <v>145</v>
      </c>
      <c r="C865" t="s">
        <v>36</v>
      </c>
      <c r="D865" t="s">
        <v>90</v>
      </c>
      <c r="E865" t="s">
        <v>16</v>
      </c>
      <c r="F865">
        <v>6</v>
      </c>
      <c r="G865" t="s">
        <v>13</v>
      </c>
      <c r="H865" s="1">
        <v>45946.818055555559</v>
      </c>
      <c r="I865" s="5">
        <f>INT(TB[[#This Row],[时间戳]])</f>
        <v>45946</v>
      </c>
      <c r="J865" s="2">
        <f>HOUR(TB[[#This Row],[时间戳]])</f>
        <v>19</v>
      </c>
      <c r="K865">
        <v>6899</v>
      </c>
      <c r="L865">
        <v>4</v>
      </c>
      <c r="M865">
        <f>TB[[#This Row],[售价]]*TB[[#This Row],[销量]]</f>
        <v>27596</v>
      </c>
      <c r="N865" t="str">
        <f>IF(TB[[#This Row],[售价]]&lt;1000,"低价商品",IF(TB[[#This Row],[售价]]&lt;5000,"中价商品",IF(TB[[#This Row],[售价]]&lt;10000,"高价商品","超高价商品")))</f>
        <v>高价商品</v>
      </c>
    </row>
    <row r="866" spans="1:14" x14ac:dyDescent="0.2">
      <c r="A866">
        <v>486</v>
      </c>
      <c r="B866">
        <v>81</v>
      </c>
      <c r="C866" t="s">
        <v>17</v>
      </c>
      <c r="D866" t="s">
        <v>370</v>
      </c>
      <c r="E866" t="s">
        <v>31</v>
      </c>
      <c r="F866">
        <v>4</v>
      </c>
      <c r="G866" t="s">
        <v>13</v>
      </c>
      <c r="H866" s="1">
        <v>45946.82708333333</v>
      </c>
      <c r="I866" s="5">
        <f>INT(TB[[#This Row],[时间戳]])</f>
        <v>45946</v>
      </c>
      <c r="J866" s="2">
        <f>HOUR(TB[[#This Row],[时间戳]])</f>
        <v>19</v>
      </c>
      <c r="K866">
        <v>941</v>
      </c>
      <c r="L866">
        <v>3</v>
      </c>
      <c r="M866">
        <f>TB[[#This Row],[售价]]*TB[[#This Row],[销量]]</f>
        <v>2823</v>
      </c>
      <c r="N866" t="str">
        <f>IF(TB[[#This Row],[售价]]&lt;1000,"低价商品",IF(TB[[#This Row],[售价]]&lt;5000,"中价商品",IF(TB[[#This Row],[售价]]&lt;10000,"高价商品","超高价商品")))</f>
        <v>低价商品</v>
      </c>
    </row>
    <row r="867" spans="1:14" x14ac:dyDescent="0.2">
      <c r="A867">
        <v>401</v>
      </c>
      <c r="B867">
        <v>280</v>
      </c>
      <c r="C867" t="s">
        <v>26</v>
      </c>
      <c r="D867" t="s">
        <v>188</v>
      </c>
      <c r="E867" t="s">
        <v>25</v>
      </c>
      <c r="F867">
        <v>7</v>
      </c>
      <c r="G867" t="s">
        <v>13</v>
      </c>
      <c r="H867" s="1">
        <v>45946.842361111114</v>
      </c>
      <c r="I867" s="5">
        <f>INT(TB[[#This Row],[时间戳]])</f>
        <v>45946</v>
      </c>
      <c r="J867" s="2">
        <f>HOUR(TB[[#This Row],[时间戳]])</f>
        <v>20</v>
      </c>
      <c r="K867">
        <v>5782</v>
      </c>
      <c r="L867">
        <v>3</v>
      </c>
      <c r="M867">
        <f>TB[[#This Row],[售价]]*TB[[#This Row],[销量]]</f>
        <v>17346</v>
      </c>
      <c r="N867" t="str">
        <f>IF(TB[[#This Row],[售价]]&lt;1000,"低价商品",IF(TB[[#This Row],[售价]]&lt;5000,"中价商品",IF(TB[[#This Row],[售价]]&lt;10000,"高价商品","超高价商品")))</f>
        <v>高价商品</v>
      </c>
    </row>
    <row r="868" spans="1:14" x14ac:dyDescent="0.2">
      <c r="A868">
        <v>694</v>
      </c>
      <c r="B868">
        <v>192</v>
      </c>
      <c r="C868" t="s">
        <v>26</v>
      </c>
      <c r="D868" t="s">
        <v>306</v>
      </c>
      <c r="E868" t="s">
        <v>31</v>
      </c>
      <c r="F868">
        <v>4</v>
      </c>
      <c r="G868" t="s">
        <v>13</v>
      </c>
      <c r="H868" s="1">
        <v>45946.845138888886</v>
      </c>
      <c r="I868" s="5">
        <f>INT(TB[[#This Row],[时间戳]])</f>
        <v>45946</v>
      </c>
      <c r="J868" s="2">
        <f>HOUR(TB[[#This Row],[时间戳]])</f>
        <v>20</v>
      </c>
      <c r="K868">
        <v>778</v>
      </c>
      <c r="L868">
        <v>4</v>
      </c>
      <c r="M868">
        <f>TB[[#This Row],[售价]]*TB[[#This Row],[销量]]</f>
        <v>3112</v>
      </c>
      <c r="N868" t="str">
        <f>IF(TB[[#This Row],[售价]]&lt;1000,"低价商品",IF(TB[[#This Row],[售价]]&lt;5000,"中价商品",IF(TB[[#This Row],[售价]]&lt;10000,"高价商品","超高价商品")))</f>
        <v>低价商品</v>
      </c>
    </row>
    <row r="869" spans="1:14" x14ac:dyDescent="0.2">
      <c r="A869">
        <v>127</v>
      </c>
      <c r="B869">
        <v>22</v>
      </c>
      <c r="C869" t="s">
        <v>20</v>
      </c>
      <c r="D869" t="s">
        <v>120</v>
      </c>
      <c r="E869" t="s">
        <v>22</v>
      </c>
      <c r="F869">
        <v>1</v>
      </c>
      <c r="G869" t="s">
        <v>13</v>
      </c>
      <c r="H869" s="1">
        <v>45946.849305555559</v>
      </c>
      <c r="I869" s="5">
        <f>INT(TB[[#This Row],[时间戳]])</f>
        <v>45946</v>
      </c>
      <c r="J869" s="2">
        <f>HOUR(TB[[#This Row],[时间戳]])</f>
        <v>20</v>
      </c>
      <c r="K869">
        <v>1174</v>
      </c>
      <c r="L869">
        <v>3</v>
      </c>
      <c r="M869">
        <f>TB[[#This Row],[售价]]*TB[[#This Row],[销量]]</f>
        <v>3522</v>
      </c>
      <c r="N869" t="str">
        <f>IF(TB[[#This Row],[售价]]&lt;1000,"低价商品",IF(TB[[#This Row],[售价]]&lt;5000,"中价商品",IF(TB[[#This Row],[售价]]&lt;10000,"高价商品","超高价商品")))</f>
        <v>中价商品</v>
      </c>
    </row>
    <row r="870" spans="1:14" x14ac:dyDescent="0.2">
      <c r="A870">
        <v>551</v>
      </c>
      <c r="B870">
        <v>281</v>
      </c>
      <c r="C870" t="s">
        <v>46</v>
      </c>
      <c r="D870" t="s">
        <v>371</v>
      </c>
      <c r="E870" t="s">
        <v>16</v>
      </c>
      <c r="F870">
        <v>6</v>
      </c>
      <c r="G870" t="s">
        <v>13</v>
      </c>
      <c r="H870" s="1">
        <v>45946.885416666664</v>
      </c>
      <c r="I870" s="5">
        <f>INT(TB[[#This Row],[时间戳]])</f>
        <v>45946</v>
      </c>
      <c r="J870" s="2">
        <f>HOUR(TB[[#This Row],[时间戳]])</f>
        <v>21</v>
      </c>
      <c r="K870">
        <v>2175</v>
      </c>
      <c r="L870">
        <v>1</v>
      </c>
      <c r="M870">
        <f>TB[[#This Row],[售价]]*TB[[#This Row],[销量]]</f>
        <v>2175</v>
      </c>
      <c r="N870" t="str">
        <f>IF(TB[[#This Row],[售价]]&lt;1000,"低价商品",IF(TB[[#This Row],[售价]]&lt;5000,"中价商品",IF(TB[[#This Row],[售价]]&lt;10000,"高价商品","超高价商品")))</f>
        <v>中价商品</v>
      </c>
    </row>
    <row r="871" spans="1:14" x14ac:dyDescent="0.2">
      <c r="A871">
        <v>760</v>
      </c>
      <c r="B871">
        <v>177</v>
      </c>
      <c r="C871" t="s">
        <v>32</v>
      </c>
      <c r="D871" t="s">
        <v>251</v>
      </c>
      <c r="E871" t="s">
        <v>12</v>
      </c>
      <c r="F871">
        <v>2</v>
      </c>
      <c r="G871" t="s">
        <v>13</v>
      </c>
      <c r="H871" s="1">
        <v>45946.939583333333</v>
      </c>
      <c r="I871" s="5">
        <f>INT(TB[[#This Row],[时间戳]])</f>
        <v>45946</v>
      </c>
      <c r="J871" s="2">
        <f>HOUR(TB[[#This Row],[时间戳]])</f>
        <v>22</v>
      </c>
      <c r="K871">
        <v>5350</v>
      </c>
      <c r="L871">
        <v>2</v>
      </c>
      <c r="M871">
        <f>TB[[#This Row],[售价]]*TB[[#This Row],[销量]]</f>
        <v>10700</v>
      </c>
      <c r="N871" t="str">
        <f>IF(TB[[#This Row],[售价]]&lt;1000,"低价商品",IF(TB[[#This Row],[售价]]&lt;5000,"中价商品",IF(TB[[#This Row],[售价]]&lt;10000,"高价商品","超高价商品")))</f>
        <v>高价商品</v>
      </c>
    </row>
    <row r="872" spans="1:14" x14ac:dyDescent="0.2">
      <c r="A872">
        <v>165</v>
      </c>
      <c r="B872">
        <v>95</v>
      </c>
      <c r="C872" t="s">
        <v>20</v>
      </c>
      <c r="D872" t="s">
        <v>120</v>
      </c>
      <c r="E872" t="s">
        <v>22</v>
      </c>
      <c r="F872">
        <v>1</v>
      </c>
      <c r="G872" t="s">
        <v>13</v>
      </c>
      <c r="H872" s="1">
        <v>45946.947916666664</v>
      </c>
      <c r="I872" s="5">
        <f>INT(TB[[#This Row],[时间戳]])</f>
        <v>45946</v>
      </c>
      <c r="J872" s="2">
        <f>HOUR(TB[[#This Row],[时间戳]])</f>
        <v>22</v>
      </c>
      <c r="K872">
        <v>2745</v>
      </c>
      <c r="L872">
        <v>1</v>
      </c>
      <c r="M872">
        <f>TB[[#This Row],[售价]]*TB[[#This Row],[销量]]</f>
        <v>2745</v>
      </c>
      <c r="N872" t="str">
        <f>IF(TB[[#This Row],[售价]]&lt;1000,"低价商品",IF(TB[[#This Row],[售价]]&lt;5000,"中价商品",IF(TB[[#This Row],[售价]]&lt;10000,"高价商品","超高价商品")))</f>
        <v>中价商品</v>
      </c>
    </row>
    <row r="873" spans="1:14" x14ac:dyDescent="0.2">
      <c r="A873">
        <v>118</v>
      </c>
      <c r="B873">
        <v>93</v>
      </c>
      <c r="C873" t="s">
        <v>36</v>
      </c>
      <c r="D873" t="s">
        <v>366</v>
      </c>
      <c r="E873" t="s">
        <v>22</v>
      </c>
      <c r="F873">
        <v>1</v>
      </c>
      <c r="G873" t="s">
        <v>13</v>
      </c>
      <c r="H873" s="1">
        <v>45946.953472222223</v>
      </c>
      <c r="I873" s="5">
        <f>INT(TB[[#This Row],[时间戳]])</f>
        <v>45946</v>
      </c>
      <c r="J873" s="2">
        <f>HOUR(TB[[#This Row],[时间戳]])</f>
        <v>22</v>
      </c>
      <c r="K873">
        <v>2923</v>
      </c>
      <c r="L873">
        <v>3</v>
      </c>
      <c r="M873">
        <f>TB[[#This Row],[售价]]*TB[[#This Row],[销量]]</f>
        <v>8769</v>
      </c>
      <c r="N873" t="str">
        <f>IF(TB[[#This Row],[售价]]&lt;1000,"低价商品",IF(TB[[#This Row],[售价]]&lt;5000,"中价商品",IF(TB[[#This Row],[售价]]&lt;10000,"高价商品","超高价商品")))</f>
        <v>中价商品</v>
      </c>
    </row>
    <row r="874" spans="1:14" x14ac:dyDescent="0.2">
      <c r="A874">
        <v>473</v>
      </c>
      <c r="B874">
        <v>282</v>
      </c>
      <c r="C874" t="s">
        <v>10</v>
      </c>
      <c r="D874" t="s">
        <v>321</v>
      </c>
      <c r="E874" t="s">
        <v>39</v>
      </c>
      <c r="F874">
        <v>5</v>
      </c>
      <c r="G874" t="s">
        <v>13</v>
      </c>
      <c r="H874" s="1">
        <v>45946.972916666666</v>
      </c>
      <c r="I874" s="5">
        <f>INT(TB[[#This Row],[时间戳]])</f>
        <v>45946</v>
      </c>
      <c r="J874" s="2">
        <f>HOUR(TB[[#This Row],[时间戳]])</f>
        <v>23</v>
      </c>
      <c r="K874">
        <v>3638</v>
      </c>
      <c r="L874">
        <v>1</v>
      </c>
      <c r="M874">
        <f>TB[[#This Row],[售价]]*TB[[#This Row],[销量]]</f>
        <v>3638</v>
      </c>
      <c r="N874" t="str">
        <f>IF(TB[[#This Row],[售价]]&lt;1000,"低价商品",IF(TB[[#This Row],[售价]]&lt;5000,"中价商品",IF(TB[[#This Row],[售价]]&lt;10000,"高价商品","超高价商品")))</f>
        <v>中价商品</v>
      </c>
    </row>
    <row r="875" spans="1:14" x14ac:dyDescent="0.2">
      <c r="A875">
        <v>101</v>
      </c>
      <c r="B875">
        <v>102</v>
      </c>
      <c r="C875" t="s">
        <v>14</v>
      </c>
      <c r="D875" t="s">
        <v>145</v>
      </c>
      <c r="E875" t="s">
        <v>22</v>
      </c>
      <c r="F875">
        <v>1</v>
      </c>
      <c r="G875" t="s">
        <v>13</v>
      </c>
      <c r="H875" s="1">
        <v>45946.982638888891</v>
      </c>
      <c r="I875" s="5">
        <f>INT(TB[[#This Row],[时间戳]])</f>
        <v>45946</v>
      </c>
      <c r="J875" s="2">
        <f>HOUR(TB[[#This Row],[时间戳]])</f>
        <v>23</v>
      </c>
      <c r="K875">
        <v>1547</v>
      </c>
      <c r="L875">
        <v>2</v>
      </c>
      <c r="M875">
        <f>TB[[#This Row],[售价]]*TB[[#This Row],[销量]]</f>
        <v>3094</v>
      </c>
      <c r="N875" t="str">
        <f>IF(TB[[#This Row],[售价]]&lt;1000,"低价商品",IF(TB[[#This Row],[售价]]&lt;5000,"中价商品",IF(TB[[#This Row],[售价]]&lt;10000,"高价商品","超高价商品")))</f>
        <v>中价商品</v>
      </c>
    </row>
    <row r="876" spans="1:14" x14ac:dyDescent="0.2">
      <c r="A876">
        <v>132</v>
      </c>
      <c r="B876">
        <v>121</v>
      </c>
      <c r="C876" t="s">
        <v>34</v>
      </c>
      <c r="D876" t="s">
        <v>291</v>
      </c>
      <c r="E876" t="s">
        <v>31</v>
      </c>
      <c r="F876">
        <v>4</v>
      </c>
      <c r="G876" t="s">
        <v>13</v>
      </c>
      <c r="H876" s="1">
        <v>45946.982638888891</v>
      </c>
      <c r="I876" s="5">
        <f>INT(TB[[#This Row],[时间戳]])</f>
        <v>45946</v>
      </c>
      <c r="J876" s="2">
        <f>HOUR(TB[[#This Row],[时间戳]])</f>
        <v>23</v>
      </c>
      <c r="K876">
        <v>1288</v>
      </c>
      <c r="L876">
        <v>1</v>
      </c>
      <c r="M876">
        <f>TB[[#This Row],[售价]]*TB[[#This Row],[销量]]</f>
        <v>1288</v>
      </c>
      <c r="N876" t="str">
        <f>IF(TB[[#This Row],[售价]]&lt;1000,"低价商品",IF(TB[[#This Row],[售价]]&lt;5000,"中价商品",IF(TB[[#This Row],[售价]]&lt;10000,"高价商品","超高价商品")))</f>
        <v>中价商品</v>
      </c>
    </row>
    <row r="877" spans="1:14" x14ac:dyDescent="0.2">
      <c r="A877">
        <v>199</v>
      </c>
      <c r="B877">
        <v>163</v>
      </c>
      <c r="C877" t="s">
        <v>46</v>
      </c>
      <c r="D877" t="s">
        <v>80</v>
      </c>
      <c r="E877" t="s">
        <v>22</v>
      </c>
      <c r="F877">
        <v>1</v>
      </c>
      <c r="G877" t="s">
        <v>13</v>
      </c>
      <c r="H877" s="1">
        <v>45946.986111111109</v>
      </c>
      <c r="I877" s="5">
        <f>INT(TB[[#This Row],[时间戳]])</f>
        <v>45946</v>
      </c>
      <c r="J877" s="2">
        <f>HOUR(TB[[#This Row],[时间戳]])</f>
        <v>23</v>
      </c>
      <c r="K877">
        <v>1764</v>
      </c>
      <c r="L877">
        <v>2</v>
      </c>
      <c r="M877">
        <f>TB[[#This Row],[售价]]*TB[[#This Row],[销量]]</f>
        <v>3528</v>
      </c>
      <c r="N877" t="str">
        <f>IF(TB[[#This Row],[售价]]&lt;1000,"低价商品",IF(TB[[#This Row],[售价]]&lt;5000,"中价商品",IF(TB[[#This Row],[售价]]&lt;10000,"高价商品","超高价商品")))</f>
        <v>中价商品</v>
      </c>
    </row>
    <row r="878" spans="1:14" x14ac:dyDescent="0.2">
      <c r="A878">
        <v>676</v>
      </c>
      <c r="B878">
        <v>157</v>
      </c>
      <c r="C878" t="s">
        <v>34</v>
      </c>
      <c r="D878" t="s">
        <v>164</v>
      </c>
      <c r="E878" t="s">
        <v>22</v>
      </c>
      <c r="F878">
        <v>1</v>
      </c>
      <c r="G878" t="s">
        <v>13</v>
      </c>
      <c r="H878" s="1">
        <v>45947.009027777778</v>
      </c>
      <c r="I878" s="5">
        <f>INT(TB[[#This Row],[时间戳]])</f>
        <v>45947</v>
      </c>
      <c r="J878" s="2">
        <f>HOUR(TB[[#This Row],[时间戳]])</f>
        <v>0</v>
      </c>
      <c r="K878">
        <v>5010</v>
      </c>
      <c r="L878">
        <v>2</v>
      </c>
      <c r="M878">
        <f>TB[[#This Row],[售价]]*TB[[#This Row],[销量]]</f>
        <v>10020</v>
      </c>
      <c r="N878" t="str">
        <f>IF(TB[[#This Row],[售价]]&lt;1000,"低价商品",IF(TB[[#This Row],[售价]]&lt;5000,"中价商品",IF(TB[[#This Row],[售价]]&lt;10000,"高价商品","超高价商品")))</f>
        <v>高价商品</v>
      </c>
    </row>
    <row r="879" spans="1:14" x14ac:dyDescent="0.2">
      <c r="A879">
        <v>324</v>
      </c>
      <c r="B879">
        <v>220</v>
      </c>
      <c r="C879" t="s">
        <v>46</v>
      </c>
      <c r="D879" t="s">
        <v>303</v>
      </c>
      <c r="E879" t="s">
        <v>19</v>
      </c>
      <c r="F879">
        <v>3</v>
      </c>
      <c r="G879" t="s">
        <v>42</v>
      </c>
      <c r="H879" s="1">
        <v>45947.029166666667</v>
      </c>
      <c r="I879" s="5">
        <f>INT(TB[[#This Row],[时间戳]])</f>
        <v>45947</v>
      </c>
      <c r="J879" s="2">
        <f>HOUR(TB[[#This Row],[时间戳]])</f>
        <v>0</v>
      </c>
      <c r="K879">
        <v>2837</v>
      </c>
      <c r="L879">
        <v>0</v>
      </c>
      <c r="M879">
        <f>TB[[#This Row],[售价]]*TB[[#This Row],[销量]]</f>
        <v>0</v>
      </c>
      <c r="N879" t="str">
        <f>IF(TB[[#This Row],[售价]]&lt;1000,"低价商品",IF(TB[[#This Row],[售价]]&lt;5000,"中价商品",IF(TB[[#This Row],[售价]]&lt;10000,"高价商品","超高价商品")))</f>
        <v>中价商品</v>
      </c>
    </row>
    <row r="880" spans="1:14" x14ac:dyDescent="0.2">
      <c r="A880">
        <v>227</v>
      </c>
      <c r="B880">
        <v>224</v>
      </c>
      <c r="C880" t="s">
        <v>34</v>
      </c>
      <c r="D880" t="s">
        <v>339</v>
      </c>
      <c r="E880" t="s">
        <v>12</v>
      </c>
      <c r="F880">
        <v>2</v>
      </c>
      <c r="G880" t="s">
        <v>13</v>
      </c>
      <c r="H880" s="1">
        <v>45947.029166666667</v>
      </c>
      <c r="I880" s="5">
        <f>INT(TB[[#This Row],[时间戳]])</f>
        <v>45947</v>
      </c>
      <c r="J880" s="2">
        <f>HOUR(TB[[#This Row],[时间戳]])</f>
        <v>0</v>
      </c>
      <c r="K880">
        <v>6564</v>
      </c>
      <c r="L880">
        <v>1</v>
      </c>
      <c r="M880">
        <f>TB[[#This Row],[售价]]*TB[[#This Row],[销量]]</f>
        <v>6564</v>
      </c>
      <c r="N880" t="str">
        <f>IF(TB[[#This Row],[售价]]&lt;1000,"低价商品",IF(TB[[#This Row],[售价]]&lt;5000,"中价商品",IF(TB[[#This Row],[售价]]&lt;10000,"高价商品","超高价商品")))</f>
        <v>高价商品</v>
      </c>
    </row>
    <row r="881" spans="1:14" x14ac:dyDescent="0.2">
      <c r="A881">
        <v>492</v>
      </c>
      <c r="B881">
        <v>237</v>
      </c>
      <c r="C881" t="s">
        <v>26</v>
      </c>
      <c r="D881" t="s">
        <v>306</v>
      </c>
      <c r="E881" t="s">
        <v>31</v>
      </c>
      <c r="F881">
        <v>4</v>
      </c>
      <c r="G881" t="s">
        <v>13</v>
      </c>
      <c r="H881" s="1">
        <v>45947.03402777778</v>
      </c>
      <c r="I881" s="5">
        <f>INT(TB[[#This Row],[时间戳]])</f>
        <v>45947</v>
      </c>
      <c r="J881" s="2">
        <f>HOUR(TB[[#This Row],[时间戳]])</f>
        <v>0</v>
      </c>
      <c r="K881">
        <v>600</v>
      </c>
      <c r="L881">
        <v>5</v>
      </c>
      <c r="M881">
        <f>TB[[#This Row],[售价]]*TB[[#This Row],[销量]]</f>
        <v>3000</v>
      </c>
      <c r="N881" t="str">
        <f>IF(TB[[#This Row],[售价]]&lt;1000,"低价商品",IF(TB[[#This Row],[售价]]&lt;5000,"中价商品",IF(TB[[#This Row],[售价]]&lt;10000,"高价商品","超高价商品")))</f>
        <v>低价商品</v>
      </c>
    </row>
    <row r="882" spans="1:14" x14ac:dyDescent="0.2">
      <c r="A882">
        <v>565</v>
      </c>
      <c r="B882">
        <v>56</v>
      </c>
      <c r="C882" t="s">
        <v>36</v>
      </c>
      <c r="D882" t="s">
        <v>269</v>
      </c>
      <c r="E882" t="s">
        <v>19</v>
      </c>
      <c r="F882">
        <v>3</v>
      </c>
      <c r="G882" t="s">
        <v>42</v>
      </c>
      <c r="H882" s="1">
        <v>45947.038888888892</v>
      </c>
      <c r="I882" s="5">
        <f>INT(TB[[#This Row],[时间戳]])</f>
        <v>45947</v>
      </c>
      <c r="J882" s="2">
        <f>HOUR(TB[[#This Row],[时间戳]])</f>
        <v>0</v>
      </c>
      <c r="K882">
        <v>5131</v>
      </c>
      <c r="L882">
        <v>0</v>
      </c>
      <c r="M882">
        <f>TB[[#This Row],[售价]]*TB[[#This Row],[销量]]</f>
        <v>0</v>
      </c>
      <c r="N882" t="str">
        <f>IF(TB[[#This Row],[售价]]&lt;1000,"低价商品",IF(TB[[#This Row],[售价]]&lt;5000,"中价商品",IF(TB[[#This Row],[售价]]&lt;10000,"高价商品","超高价商品")))</f>
        <v>高价商品</v>
      </c>
    </row>
    <row r="883" spans="1:14" x14ac:dyDescent="0.2">
      <c r="A883">
        <v>288</v>
      </c>
      <c r="B883">
        <v>72</v>
      </c>
      <c r="C883" t="s">
        <v>46</v>
      </c>
      <c r="D883" t="s">
        <v>359</v>
      </c>
      <c r="E883" t="s">
        <v>25</v>
      </c>
      <c r="F883">
        <v>7</v>
      </c>
      <c r="G883" t="s">
        <v>13</v>
      </c>
      <c r="H883" s="1">
        <v>45947.059027777781</v>
      </c>
      <c r="I883" s="5">
        <f>INT(TB[[#This Row],[时间戳]])</f>
        <v>45947</v>
      </c>
      <c r="J883" s="2">
        <f>HOUR(TB[[#This Row],[时间戳]])</f>
        <v>1</v>
      </c>
      <c r="K883">
        <v>3069</v>
      </c>
      <c r="L883">
        <v>3</v>
      </c>
      <c r="M883">
        <f>TB[[#This Row],[售价]]*TB[[#This Row],[销量]]</f>
        <v>9207</v>
      </c>
      <c r="N883" t="str">
        <f>IF(TB[[#This Row],[售价]]&lt;1000,"低价商品",IF(TB[[#This Row],[售价]]&lt;5000,"中价商品",IF(TB[[#This Row],[售价]]&lt;10000,"高价商品","超高价商品")))</f>
        <v>中价商品</v>
      </c>
    </row>
    <row r="884" spans="1:14" x14ac:dyDescent="0.2">
      <c r="A884">
        <v>745</v>
      </c>
      <c r="B884">
        <v>39</v>
      </c>
      <c r="C884" t="s">
        <v>36</v>
      </c>
      <c r="D884" t="s">
        <v>173</v>
      </c>
      <c r="E884" t="s">
        <v>19</v>
      </c>
      <c r="F884">
        <v>3</v>
      </c>
      <c r="G884" t="s">
        <v>13</v>
      </c>
      <c r="H884" s="1">
        <v>45947.05972222222</v>
      </c>
      <c r="I884" s="5">
        <f>INT(TB[[#This Row],[时间戳]])</f>
        <v>45947</v>
      </c>
      <c r="J884" s="2">
        <f>HOUR(TB[[#This Row],[时间戳]])</f>
        <v>1</v>
      </c>
      <c r="K884">
        <v>5812</v>
      </c>
      <c r="L884">
        <v>1</v>
      </c>
      <c r="M884">
        <f>TB[[#This Row],[售价]]*TB[[#This Row],[销量]]</f>
        <v>5812</v>
      </c>
      <c r="N884" t="str">
        <f>IF(TB[[#This Row],[售价]]&lt;1000,"低价商品",IF(TB[[#This Row],[售价]]&lt;5000,"中价商品",IF(TB[[#This Row],[售价]]&lt;10000,"高价商品","超高价商品")))</f>
        <v>高价商品</v>
      </c>
    </row>
    <row r="885" spans="1:14" x14ac:dyDescent="0.2">
      <c r="A885">
        <v>593</v>
      </c>
      <c r="B885">
        <v>208</v>
      </c>
      <c r="C885" t="s">
        <v>10</v>
      </c>
      <c r="D885" t="s">
        <v>189</v>
      </c>
      <c r="E885" t="s">
        <v>22</v>
      </c>
      <c r="F885">
        <v>1</v>
      </c>
      <c r="G885" t="s">
        <v>13</v>
      </c>
      <c r="H885" s="1">
        <v>45947.061805555553</v>
      </c>
      <c r="I885" s="5">
        <f>INT(TB[[#This Row],[时间戳]])</f>
        <v>45947</v>
      </c>
      <c r="J885" s="2">
        <f>HOUR(TB[[#This Row],[时间戳]])</f>
        <v>1</v>
      </c>
      <c r="K885">
        <v>1211</v>
      </c>
      <c r="L885">
        <v>2</v>
      </c>
      <c r="M885">
        <f>TB[[#This Row],[售价]]*TB[[#This Row],[销量]]</f>
        <v>2422</v>
      </c>
      <c r="N885" t="str">
        <f>IF(TB[[#This Row],[售价]]&lt;1000,"低价商品",IF(TB[[#This Row],[售价]]&lt;5000,"中价商品",IF(TB[[#This Row],[售价]]&lt;10000,"高价商品","超高价商品")))</f>
        <v>中价商品</v>
      </c>
    </row>
    <row r="886" spans="1:14" x14ac:dyDescent="0.2">
      <c r="A886">
        <v>565</v>
      </c>
      <c r="B886">
        <v>134</v>
      </c>
      <c r="C886" t="s">
        <v>32</v>
      </c>
      <c r="D886" t="s">
        <v>71</v>
      </c>
      <c r="E886" t="s">
        <v>25</v>
      </c>
      <c r="F886">
        <v>7</v>
      </c>
      <c r="G886" t="s">
        <v>13</v>
      </c>
      <c r="H886" s="1">
        <v>45947.091666666667</v>
      </c>
      <c r="I886" s="5">
        <f>INT(TB[[#This Row],[时间戳]])</f>
        <v>45947</v>
      </c>
      <c r="J886" s="2">
        <f>HOUR(TB[[#This Row],[时间戳]])</f>
        <v>2</v>
      </c>
      <c r="K886">
        <v>7903</v>
      </c>
      <c r="L886">
        <v>2</v>
      </c>
      <c r="M886">
        <f>TB[[#This Row],[售价]]*TB[[#This Row],[销量]]</f>
        <v>15806</v>
      </c>
      <c r="N886" t="str">
        <f>IF(TB[[#This Row],[售价]]&lt;1000,"低价商品",IF(TB[[#This Row],[售价]]&lt;5000,"中价商品",IF(TB[[#This Row],[售价]]&lt;10000,"高价商品","超高价商品")))</f>
        <v>高价商品</v>
      </c>
    </row>
    <row r="887" spans="1:14" x14ac:dyDescent="0.2">
      <c r="A887">
        <v>794</v>
      </c>
      <c r="B887">
        <v>77</v>
      </c>
      <c r="C887" t="s">
        <v>44</v>
      </c>
      <c r="D887" t="s">
        <v>372</v>
      </c>
      <c r="E887" t="s">
        <v>22</v>
      </c>
      <c r="F887">
        <v>1</v>
      </c>
      <c r="G887" t="s">
        <v>13</v>
      </c>
      <c r="H887" s="1">
        <v>45947.095138888886</v>
      </c>
      <c r="I887" s="5">
        <f>INT(TB[[#This Row],[时间戳]])</f>
        <v>45947</v>
      </c>
      <c r="J887" s="2">
        <f>HOUR(TB[[#This Row],[时间戳]])</f>
        <v>2</v>
      </c>
      <c r="K887">
        <v>5528</v>
      </c>
      <c r="L887">
        <v>3</v>
      </c>
      <c r="M887">
        <f>TB[[#This Row],[售价]]*TB[[#This Row],[销量]]</f>
        <v>16584</v>
      </c>
      <c r="N887" t="str">
        <f>IF(TB[[#This Row],[售价]]&lt;1000,"低价商品",IF(TB[[#This Row],[售价]]&lt;5000,"中价商品",IF(TB[[#This Row],[售价]]&lt;10000,"高价商品","超高价商品")))</f>
        <v>高价商品</v>
      </c>
    </row>
    <row r="888" spans="1:14" x14ac:dyDescent="0.2">
      <c r="A888">
        <v>751</v>
      </c>
      <c r="B888">
        <v>149</v>
      </c>
      <c r="C888" t="s">
        <v>32</v>
      </c>
      <c r="D888" t="s">
        <v>215</v>
      </c>
      <c r="E888" t="s">
        <v>31</v>
      </c>
      <c r="F888">
        <v>4</v>
      </c>
      <c r="G888" t="s">
        <v>13</v>
      </c>
      <c r="H888" s="1">
        <v>45947.114583333336</v>
      </c>
      <c r="I888" s="5">
        <f>INT(TB[[#This Row],[时间戳]])</f>
        <v>45947</v>
      </c>
      <c r="J888" s="2">
        <f>HOUR(TB[[#This Row],[时间戳]])</f>
        <v>2</v>
      </c>
      <c r="K888">
        <v>799</v>
      </c>
      <c r="L888">
        <v>1</v>
      </c>
      <c r="M888">
        <f>TB[[#This Row],[售价]]*TB[[#This Row],[销量]]</f>
        <v>799</v>
      </c>
      <c r="N888" t="str">
        <f>IF(TB[[#This Row],[售价]]&lt;1000,"低价商品",IF(TB[[#This Row],[售价]]&lt;5000,"中价商品",IF(TB[[#This Row],[售价]]&lt;10000,"高价商品","超高价商品")))</f>
        <v>低价商品</v>
      </c>
    </row>
    <row r="889" spans="1:14" x14ac:dyDescent="0.2">
      <c r="A889">
        <v>93</v>
      </c>
      <c r="B889">
        <v>204</v>
      </c>
      <c r="C889" t="s">
        <v>20</v>
      </c>
      <c r="D889" t="s">
        <v>21</v>
      </c>
      <c r="E889" t="s">
        <v>22</v>
      </c>
      <c r="F889">
        <v>1</v>
      </c>
      <c r="G889" t="s">
        <v>13</v>
      </c>
      <c r="H889" s="1">
        <v>45947.119444444441</v>
      </c>
      <c r="I889" s="5">
        <f>INT(TB[[#This Row],[时间戳]])</f>
        <v>45947</v>
      </c>
      <c r="J889" s="2">
        <f>HOUR(TB[[#This Row],[时间戳]])</f>
        <v>2</v>
      </c>
      <c r="K889">
        <v>2133</v>
      </c>
      <c r="L889">
        <v>2</v>
      </c>
      <c r="M889">
        <f>TB[[#This Row],[售价]]*TB[[#This Row],[销量]]</f>
        <v>4266</v>
      </c>
      <c r="N889" t="str">
        <f>IF(TB[[#This Row],[售价]]&lt;1000,"低价商品",IF(TB[[#This Row],[售价]]&lt;5000,"中价商品",IF(TB[[#This Row],[售价]]&lt;10000,"高价商品","超高价商品")))</f>
        <v>中价商品</v>
      </c>
    </row>
    <row r="890" spans="1:14" x14ac:dyDescent="0.2">
      <c r="A890">
        <v>245</v>
      </c>
      <c r="B890">
        <v>85</v>
      </c>
      <c r="C890" t="s">
        <v>10</v>
      </c>
      <c r="D890" t="s">
        <v>373</v>
      </c>
      <c r="E890" t="s">
        <v>25</v>
      </c>
      <c r="F890">
        <v>7</v>
      </c>
      <c r="G890" t="s">
        <v>13</v>
      </c>
      <c r="H890" s="1">
        <v>45947.121527777781</v>
      </c>
      <c r="I890" s="5">
        <f>INT(TB[[#This Row],[时间戳]])</f>
        <v>45947</v>
      </c>
      <c r="J890" s="2">
        <f>HOUR(TB[[#This Row],[时间戳]])</f>
        <v>2</v>
      </c>
      <c r="K890">
        <v>4537</v>
      </c>
      <c r="L890">
        <v>1</v>
      </c>
      <c r="M890">
        <f>TB[[#This Row],[售价]]*TB[[#This Row],[销量]]</f>
        <v>4537</v>
      </c>
      <c r="N890" t="str">
        <f>IF(TB[[#This Row],[售价]]&lt;1000,"低价商品",IF(TB[[#This Row],[售价]]&lt;5000,"中价商品",IF(TB[[#This Row],[售价]]&lt;10000,"高价商品","超高价商品")))</f>
        <v>中价商品</v>
      </c>
    </row>
    <row r="891" spans="1:14" x14ac:dyDescent="0.2">
      <c r="A891">
        <v>164</v>
      </c>
      <c r="B891">
        <v>92</v>
      </c>
      <c r="C891" t="s">
        <v>26</v>
      </c>
      <c r="D891" t="s">
        <v>95</v>
      </c>
      <c r="E891" t="s">
        <v>22</v>
      </c>
      <c r="F891">
        <v>1</v>
      </c>
      <c r="G891" t="s">
        <v>13</v>
      </c>
      <c r="H891" s="1">
        <v>45947.126388888886</v>
      </c>
      <c r="I891" s="5">
        <f>INT(TB[[#This Row],[时间戳]])</f>
        <v>45947</v>
      </c>
      <c r="J891" s="2">
        <f>HOUR(TB[[#This Row],[时间戳]])</f>
        <v>3</v>
      </c>
      <c r="K891">
        <v>7266</v>
      </c>
      <c r="L891">
        <v>1</v>
      </c>
      <c r="M891">
        <f>TB[[#This Row],[售价]]*TB[[#This Row],[销量]]</f>
        <v>7266</v>
      </c>
      <c r="N891" t="str">
        <f>IF(TB[[#This Row],[售价]]&lt;1000,"低价商品",IF(TB[[#This Row],[售价]]&lt;5000,"中价商品",IF(TB[[#This Row],[售价]]&lt;10000,"高价商品","超高价商品")))</f>
        <v>高价商品</v>
      </c>
    </row>
    <row r="892" spans="1:14" x14ac:dyDescent="0.2">
      <c r="A892">
        <v>750</v>
      </c>
      <c r="B892">
        <v>248</v>
      </c>
      <c r="C892" t="s">
        <v>26</v>
      </c>
      <c r="D892" t="s">
        <v>281</v>
      </c>
      <c r="E892" t="s">
        <v>16</v>
      </c>
      <c r="F892">
        <v>6</v>
      </c>
      <c r="G892" t="s">
        <v>42</v>
      </c>
      <c r="H892" s="1">
        <v>45947.15</v>
      </c>
      <c r="I892" s="5">
        <f>INT(TB[[#This Row],[时间戳]])</f>
        <v>45947</v>
      </c>
      <c r="J892" s="2">
        <f>HOUR(TB[[#This Row],[时间戳]])</f>
        <v>3</v>
      </c>
      <c r="K892">
        <v>11368</v>
      </c>
      <c r="L892">
        <v>0</v>
      </c>
      <c r="M892">
        <f>TB[[#This Row],[售价]]*TB[[#This Row],[销量]]</f>
        <v>0</v>
      </c>
      <c r="N892" t="str">
        <f>IF(TB[[#This Row],[售价]]&lt;1000,"低价商品",IF(TB[[#This Row],[售价]]&lt;5000,"中价商品",IF(TB[[#This Row],[售价]]&lt;10000,"高价商品","超高价商品")))</f>
        <v>超高价商品</v>
      </c>
    </row>
    <row r="893" spans="1:14" x14ac:dyDescent="0.2">
      <c r="A893">
        <v>238</v>
      </c>
      <c r="B893">
        <v>33</v>
      </c>
      <c r="C893" t="s">
        <v>32</v>
      </c>
      <c r="D893" t="s">
        <v>176</v>
      </c>
      <c r="E893" t="s">
        <v>22</v>
      </c>
      <c r="F893">
        <v>1</v>
      </c>
      <c r="G893" t="s">
        <v>13</v>
      </c>
      <c r="H893" s="1">
        <v>45947.185416666667</v>
      </c>
      <c r="I893" s="5">
        <f>INT(TB[[#This Row],[时间戳]])</f>
        <v>45947</v>
      </c>
      <c r="J893" s="2">
        <f>HOUR(TB[[#This Row],[时间戳]])</f>
        <v>4</v>
      </c>
      <c r="K893">
        <v>3759</v>
      </c>
      <c r="L893">
        <v>1</v>
      </c>
      <c r="M893">
        <f>TB[[#This Row],[售价]]*TB[[#This Row],[销量]]</f>
        <v>3759</v>
      </c>
      <c r="N893" t="str">
        <f>IF(TB[[#This Row],[售价]]&lt;1000,"低价商品",IF(TB[[#This Row],[售价]]&lt;5000,"中价商品",IF(TB[[#This Row],[售价]]&lt;10000,"高价商品","超高价商品")))</f>
        <v>中价商品</v>
      </c>
    </row>
    <row r="894" spans="1:14" x14ac:dyDescent="0.2">
      <c r="A894">
        <v>685</v>
      </c>
      <c r="B894">
        <v>106</v>
      </c>
      <c r="C894" t="s">
        <v>32</v>
      </c>
      <c r="D894" t="s">
        <v>58</v>
      </c>
      <c r="E894" t="s">
        <v>31</v>
      </c>
      <c r="F894">
        <v>4</v>
      </c>
      <c r="G894" t="s">
        <v>13</v>
      </c>
      <c r="H894" s="1">
        <v>45947.218055555553</v>
      </c>
      <c r="I894" s="5">
        <f>INT(TB[[#This Row],[时间戳]])</f>
        <v>45947</v>
      </c>
      <c r="J894" s="2">
        <f>HOUR(TB[[#This Row],[时间戳]])</f>
        <v>5</v>
      </c>
      <c r="K894">
        <v>580</v>
      </c>
      <c r="L894">
        <v>1</v>
      </c>
      <c r="M894">
        <f>TB[[#This Row],[售价]]*TB[[#This Row],[销量]]</f>
        <v>580</v>
      </c>
      <c r="N894" t="str">
        <f>IF(TB[[#This Row],[售价]]&lt;1000,"低价商品",IF(TB[[#This Row],[售价]]&lt;5000,"中价商品",IF(TB[[#This Row],[售价]]&lt;10000,"高价商品","超高价商品")))</f>
        <v>低价商品</v>
      </c>
    </row>
    <row r="895" spans="1:14" x14ac:dyDescent="0.2">
      <c r="A895">
        <v>466</v>
      </c>
      <c r="B895">
        <v>24</v>
      </c>
      <c r="C895" t="s">
        <v>17</v>
      </c>
      <c r="D895" t="s">
        <v>177</v>
      </c>
      <c r="E895" t="s">
        <v>22</v>
      </c>
      <c r="F895">
        <v>1</v>
      </c>
      <c r="G895" t="s">
        <v>13</v>
      </c>
      <c r="H895" s="1">
        <v>45947.227777777778</v>
      </c>
      <c r="I895" s="5">
        <f>INT(TB[[#This Row],[时间戳]])</f>
        <v>45947</v>
      </c>
      <c r="J895" s="2">
        <f>HOUR(TB[[#This Row],[时间戳]])</f>
        <v>5</v>
      </c>
      <c r="K895">
        <v>5226</v>
      </c>
      <c r="L895">
        <v>2</v>
      </c>
      <c r="M895">
        <f>TB[[#This Row],[售价]]*TB[[#This Row],[销量]]</f>
        <v>10452</v>
      </c>
      <c r="N895" t="str">
        <f>IF(TB[[#This Row],[售价]]&lt;1000,"低价商品",IF(TB[[#This Row],[售价]]&lt;5000,"中价商品",IF(TB[[#This Row],[售价]]&lt;10000,"高价商品","超高价商品")))</f>
        <v>高价商品</v>
      </c>
    </row>
    <row r="896" spans="1:14" x14ac:dyDescent="0.2">
      <c r="A896">
        <v>721</v>
      </c>
      <c r="B896">
        <v>267</v>
      </c>
      <c r="C896" t="s">
        <v>34</v>
      </c>
      <c r="D896" t="s">
        <v>69</v>
      </c>
      <c r="E896" t="s">
        <v>31</v>
      </c>
      <c r="F896">
        <v>4</v>
      </c>
      <c r="G896" t="s">
        <v>13</v>
      </c>
      <c r="H896" s="1">
        <v>45947.247916666667</v>
      </c>
      <c r="I896" s="5">
        <f>INT(TB[[#This Row],[时间戳]])</f>
        <v>45947</v>
      </c>
      <c r="J896" s="2">
        <f>HOUR(TB[[#This Row],[时间戳]])</f>
        <v>5</v>
      </c>
      <c r="K896">
        <v>263</v>
      </c>
      <c r="L896">
        <v>2</v>
      </c>
      <c r="M896">
        <f>TB[[#This Row],[售价]]*TB[[#This Row],[销量]]</f>
        <v>526</v>
      </c>
      <c r="N896" t="str">
        <f>IF(TB[[#This Row],[售价]]&lt;1000,"低价商品",IF(TB[[#This Row],[售价]]&lt;5000,"中价商品",IF(TB[[#This Row],[售价]]&lt;10000,"高价商品","超高价商品")))</f>
        <v>低价商品</v>
      </c>
    </row>
    <row r="897" spans="1:14" x14ac:dyDescent="0.2">
      <c r="A897">
        <v>558</v>
      </c>
      <c r="B897">
        <v>292</v>
      </c>
      <c r="C897" t="s">
        <v>36</v>
      </c>
      <c r="D897" t="s">
        <v>55</v>
      </c>
      <c r="E897" t="s">
        <v>39</v>
      </c>
      <c r="F897">
        <v>5</v>
      </c>
      <c r="G897" t="s">
        <v>13</v>
      </c>
      <c r="H897" s="1">
        <v>45947.252083333333</v>
      </c>
      <c r="I897" s="5">
        <f>INT(TB[[#This Row],[时间戳]])</f>
        <v>45947</v>
      </c>
      <c r="J897" s="2">
        <f>HOUR(TB[[#This Row],[时间戳]])</f>
        <v>6</v>
      </c>
      <c r="K897">
        <v>3335</v>
      </c>
      <c r="L897">
        <v>1</v>
      </c>
      <c r="M897">
        <f>TB[[#This Row],[售价]]*TB[[#This Row],[销量]]</f>
        <v>3335</v>
      </c>
      <c r="N897" t="str">
        <f>IF(TB[[#This Row],[售价]]&lt;1000,"低价商品",IF(TB[[#This Row],[售价]]&lt;5000,"中价商品",IF(TB[[#This Row],[售价]]&lt;10000,"高价商品","超高价商品")))</f>
        <v>中价商品</v>
      </c>
    </row>
    <row r="898" spans="1:14" x14ac:dyDescent="0.2">
      <c r="A898">
        <v>602</v>
      </c>
      <c r="B898">
        <v>40</v>
      </c>
      <c r="C898" t="s">
        <v>17</v>
      </c>
      <c r="D898" t="s">
        <v>133</v>
      </c>
      <c r="E898" t="s">
        <v>31</v>
      </c>
      <c r="F898">
        <v>4</v>
      </c>
      <c r="G898" t="s">
        <v>13</v>
      </c>
      <c r="H898" s="1">
        <v>45947.258333333331</v>
      </c>
      <c r="I898" s="5">
        <f>INT(TB[[#This Row],[时间戳]])</f>
        <v>45947</v>
      </c>
      <c r="J898" s="2">
        <f>HOUR(TB[[#This Row],[时间戳]])</f>
        <v>6</v>
      </c>
      <c r="K898">
        <v>398</v>
      </c>
      <c r="L898">
        <v>2</v>
      </c>
      <c r="M898">
        <f>TB[[#This Row],[售价]]*TB[[#This Row],[销量]]</f>
        <v>796</v>
      </c>
      <c r="N898" t="str">
        <f>IF(TB[[#This Row],[售价]]&lt;1000,"低价商品",IF(TB[[#This Row],[售价]]&lt;5000,"中价商品",IF(TB[[#This Row],[售价]]&lt;10000,"高价商品","超高价商品")))</f>
        <v>低价商品</v>
      </c>
    </row>
    <row r="899" spans="1:14" x14ac:dyDescent="0.2">
      <c r="A899">
        <v>529</v>
      </c>
      <c r="B899">
        <v>208</v>
      </c>
      <c r="C899" t="s">
        <v>17</v>
      </c>
      <c r="D899" t="s">
        <v>61</v>
      </c>
      <c r="E899" t="s">
        <v>31</v>
      </c>
      <c r="F899">
        <v>4</v>
      </c>
      <c r="G899" t="s">
        <v>13</v>
      </c>
      <c r="H899" s="1">
        <v>45947.3</v>
      </c>
      <c r="I899" s="5">
        <f>INT(TB[[#This Row],[时间戳]])</f>
        <v>45947</v>
      </c>
      <c r="J899" s="2">
        <f>HOUR(TB[[#This Row],[时间戳]])</f>
        <v>7</v>
      </c>
      <c r="K899">
        <v>1036</v>
      </c>
      <c r="L899">
        <v>4</v>
      </c>
      <c r="M899">
        <f>TB[[#This Row],[售价]]*TB[[#This Row],[销量]]</f>
        <v>4144</v>
      </c>
      <c r="N899" t="str">
        <f>IF(TB[[#This Row],[售价]]&lt;1000,"低价商品",IF(TB[[#This Row],[售价]]&lt;5000,"中价商品",IF(TB[[#This Row],[售价]]&lt;10000,"高价商品","超高价商品")))</f>
        <v>中价商品</v>
      </c>
    </row>
    <row r="900" spans="1:14" x14ac:dyDescent="0.2">
      <c r="A900">
        <v>619</v>
      </c>
      <c r="B900">
        <v>4</v>
      </c>
      <c r="C900" t="s">
        <v>44</v>
      </c>
      <c r="D900" t="s">
        <v>163</v>
      </c>
      <c r="E900" t="s">
        <v>12</v>
      </c>
      <c r="F900">
        <v>2</v>
      </c>
      <c r="G900" t="s">
        <v>13</v>
      </c>
      <c r="H900" s="1">
        <v>45947.300694444442</v>
      </c>
      <c r="I900" s="5">
        <f>INT(TB[[#This Row],[时间戳]])</f>
        <v>45947</v>
      </c>
      <c r="J900" s="2">
        <f>HOUR(TB[[#This Row],[时间戳]])</f>
        <v>7</v>
      </c>
      <c r="K900">
        <v>9757</v>
      </c>
      <c r="L900">
        <v>2</v>
      </c>
      <c r="M900">
        <f>TB[[#This Row],[售价]]*TB[[#This Row],[销量]]</f>
        <v>19514</v>
      </c>
      <c r="N900" t="str">
        <f>IF(TB[[#This Row],[售价]]&lt;1000,"低价商品",IF(TB[[#This Row],[售价]]&lt;5000,"中价商品",IF(TB[[#This Row],[售价]]&lt;10000,"高价商品","超高价商品")))</f>
        <v>高价商品</v>
      </c>
    </row>
    <row r="901" spans="1:14" x14ac:dyDescent="0.2">
      <c r="A901">
        <v>236</v>
      </c>
      <c r="B901">
        <v>40</v>
      </c>
      <c r="C901" t="s">
        <v>44</v>
      </c>
      <c r="D901" t="s">
        <v>143</v>
      </c>
      <c r="E901" t="s">
        <v>19</v>
      </c>
      <c r="F901">
        <v>3</v>
      </c>
      <c r="G901" t="s">
        <v>13</v>
      </c>
      <c r="H901" s="1">
        <v>45947.302083333336</v>
      </c>
      <c r="I901" s="5">
        <f>INT(TB[[#This Row],[时间戳]])</f>
        <v>45947</v>
      </c>
      <c r="J901" s="2">
        <f>HOUR(TB[[#This Row],[时间戳]])</f>
        <v>7</v>
      </c>
      <c r="K901">
        <v>5482</v>
      </c>
      <c r="L901">
        <v>1</v>
      </c>
      <c r="M901">
        <f>TB[[#This Row],[售价]]*TB[[#This Row],[销量]]</f>
        <v>5482</v>
      </c>
      <c r="N901" t="str">
        <f>IF(TB[[#This Row],[售价]]&lt;1000,"低价商品",IF(TB[[#This Row],[售价]]&lt;5000,"中价商品",IF(TB[[#This Row],[售价]]&lt;10000,"高价商品","超高价商品")))</f>
        <v>高价商品</v>
      </c>
    </row>
    <row r="902" spans="1:14" x14ac:dyDescent="0.2">
      <c r="A902">
        <v>154</v>
      </c>
      <c r="B902">
        <v>96</v>
      </c>
      <c r="C902" t="s">
        <v>36</v>
      </c>
      <c r="D902" t="s">
        <v>366</v>
      </c>
      <c r="E902" t="s">
        <v>22</v>
      </c>
      <c r="F902">
        <v>1</v>
      </c>
      <c r="G902" t="s">
        <v>13</v>
      </c>
      <c r="H902" s="1">
        <v>45947.306250000001</v>
      </c>
      <c r="I902" s="5">
        <f>INT(TB[[#This Row],[时间戳]])</f>
        <v>45947</v>
      </c>
      <c r="J902" s="2">
        <f>HOUR(TB[[#This Row],[时间戳]])</f>
        <v>7</v>
      </c>
      <c r="K902">
        <v>5344</v>
      </c>
      <c r="L902">
        <v>1</v>
      </c>
      <c r="M902">
        <f>TB[[#This Row],[售价]]*TB[[#This Row],[销量]]</f>
        <v>5344</v>
      </c>
      <c r="N902" t="str">
        <f>IF(TB[[#This Row],[售价]]&lt;1000,"低价商品",IF(TB[[#This Row],[售价]]&lt;5000,"中价商品",IF(TB[[#This Row],[售价]]&lt;10000,"高价商品","超高价商品")))</f>
        <v>高价商品</v>
      </c>
    </row>
    <row r="903" spans="1:14" x14ac:dyDescent="0.2">
      <c r="A903">
        <v>677</v>
      </c>
      <c r="B903">
        <v>118</v>
      </c>
      <c r="C903" t="s">
        <v>46</v>
      </c>
      <c r="D903" t="s">
        <v>332</v>
      </c>
      <c r="E903" t="s">
        <v>19</v>
      </c>
      <c r="F903">
        <v>3</v>
      </c>
      <c r="G903" t="s">
        <v>13</v>
      </c>
      <c r="H903" s="1">
        <v>45947.306944444441</v>
      </c>
      <c r="I903" s="5">
        <f>INT(TB[[#This Row],[时间戳]])</f>
        <v>45947</v>
      </c>
      <c r="J903" s="2">
        <f>HOUR(TB[[#This Row],[时间戳]])</f>
        <v>7</v>
      </c>
      <c r="K903">
        <v>2774</v>
      </c>
      <c r="L903">
        <v>3</v>
      </c>
      <c r="M903">
        <f>TB[[#This Row],[售价]]*TB[[#This Row],[销量]]</f>
        <v>8322</v>
      </c>
      <c r="N903" t="str">
        <f>IF(TB[[#This Row],[售价]]&lt;1000,"低价商品",IF(TB[[#This Row],[售价]]&lt;5000,"中价商品",IF(TB[[#This Row],[售价]]&lt;10000,"高价商品","超高价商品")))</f>
        <v>中价商品</v>
      </c>
    </row>
    <row r="904" spans="1:14" x14ac:dyDescent="0.2">
      <c r="A904">
        <v>692</v>
      </c>
      <c r="B904">
        <v>246</v>
      </c>
      <c r="C904" t="s">
        <v>14</v>
      </c>
      <c r="D904" t="s">
        <v>202</v>
      </c>
      <c r="E904" t="s">
        <v>31</v>
      </c>
      <c r="F904">
        <v>4</v>
      </c>
      <c r="G904" t="s">
        <v>13</v>
      </c>
      <c r="H904" s="1">
        <v>45947.310416666667</v>
      </c>
      <c r="I904" s="5">
        <f>INT(TB[[#This Row],[时间戳]])</f>
        <v>45947</v>
      </c>
      <c r="J904" s="2">
        <f>HOUR(TB[[#This Row],[时间戳]])</f>
        <v>7</v>
      </c>
      <c r="K904">
        <v>868</v>
      </c>
      <c r="L904">
        <v>2</v>
      </c>
      <c r="M904">
        <f>TB[[#This Row],[售价]]*TB[[#This Row],[销量]]</f>
        <v>1736</v>
      </c>
      <c r="N904" t="str">
        <f>IF(TB[[#This Row],[售价]]&lt;1000,"低价商品",IF(TB[[#This Row],[售价]]&lt;5000,"中价商品",IF(TB[[#This Row],[售价]]&lt;10000,"高价商品","超高价商品")))</f>
        <v>低价商品</v>
      </c>
    </row>
    <row r="905" spans="1:14" x14ac:dyDescent="0.2">
      <c r="A905">
        <v>663</v>
      </c>
      <c r="B905">
        <v>211</v>
      </c>
      <c r="C905" t="s">
        <v>46</v>
      </c>
      <c r="D905" t="s">
        <v>135</v>
      </c>
      <c r="E905" t="s">
        <v>22</v>
      </c>
      <c r="F905">
        <v>1</v>
      </c>
      <c r="G905" t="s">
        <v>42</v>
      </c>
      <c r="H905" s="1">
        <v>45947.326388888891</v>
      </c>
      <c r="I905" s="5">
        <f>INT(TB[[#This Row],[时间戳]])</f>
        <v>45947</v>
      </c>
      <c r="J905" s="2">
        <f>HOUR(TB[[#This Row],[时间戳]])</f>
        <v>7</v>
      </c>
      <c r="K905">
        <v>4831</v>
      </c>
      <c r="L905">
        <v>0</v>
      </c>
      <c r="M905">
        <f>TB[[#This Row],[售价]]*TB[[#This Row],[销量]]</f>
        <v>0</v>
      </c>
      <c r="N905" t="str">
        <f>IF(TB[[#This Row],[售价]]&lt;1000,"低价商品",IF(TB[[#This Row],[售价]]&lt;5000,"中价商品",IF(TB[[#This Row],[售价]]&lt;10000,"高价商品","超高价商品")))</f>
        <v>中价商品</v>
      </c>
    </row>
    <row r="906" spans="1:14" x14ac:dyDescent="0.2">
      <c r="A906">
        <v>588</v>
      </c>
      <c r="B906">
        <v>83</v>
      </c>
      <c r="C906" t="s">
        <v>10</v>
      </c>
      <c r="D906" t="s">
        <v>24</v>
      </c>
      <c r="E906" t="s">
        <v>25</v>
      </c>
      <c r="F906">
        <v>7</v>
      </c>
      <c r="G906" t="s">
        <v>13</v>
      </c>
      <c r="H906" s="1">
        <v>45947.336805555555</v>
      </c>
      <c r="I906" s="5">
        <f>INT(TB[[#This Row],[时间戳]])</f>
        <v>45947</v>
      </c>
      <c r="J906" s="2">
        <f>HOUR(TB[[#This Row],[时间戳]])</f>
        <v>8</v>
      </c>
      <c r="K906">
        <v>1607</v>
      </c>
      <c r="L906">
        <v>2</v>
      </c>
      <c r="M906">
        <f>TB[[#This Row],[售价]]*TB[[#This Row],[销量]]</f>
        <v>3214</v>
      </c>
      <c r="N906" t="str">
        <f>IF(TB[[#This Row],[售价]]&lt;1000,"低价商品",IF(TB[[#This Row],[售价]]&lt;5000,"中价商品",IF(TB[[#This Row],[售价]]&lt;10000,"高价商品","超高价商品")))</f>
        <v>中价商品</v>
      </c>
    </row>
    <row r="907" spans="1:14" x14ac:dyDescent="0.2">
      <c r="A907">
        <v>587</v>
      </c>
      <c r="B907">
        <v>76</v>
      </c>
      <c r="C907" t="s">
        <v>20</v>
      </c>
      <c r="D907" t="s">
        <v>319</v>
      </c>
      <c r="E907" t="s">
        <v>31</v>
      </c>
      <c r="F907">
        <v>4</v>
      </c>
      <c r="G907" t="s">
        <v>13</v>
      </c>
      <c r="H907" s="1">
        <v>45947.37777777778</v>
      </c>
      <c r="I907" s="5">
        <f>INT(TB[[#This Row],[时间戳]])</f>
        <v>45947</v>
      </c>
      <c r="J907" s="2">
        <f>HOUR(TB[[#This Row],[时间戳]])</f>
        <v>9</v>
      </c>
      <c r="K907">
        <v>447</v>
      </c>
      <c r="L907">
        <v>1</v>
      </c>
      <c r="M907">
        <f>TB[[#This Row],[售价]]*TB[[#This Row],[销量]]</f>
        <v>447</v>
      </c>
      <c r="N907" t="str">
        <f>IF(TB[[#This Row],[售价]]&lt;1000,"低价商品",IF(TB[[#This Row],[售价]]&lt;5000,"中价商品",IF(TB[[#This Row],[售价]]&lt;10000,"高价商品","超高价商品")))</f>
        <v>低价商品</v>
      </c>
    </row>
    <row r="908" spans="1:14" x14ac:dyDescent="0.2">
      <c r="A908">
        <v>530</v>
      </c>
      <c r="B908">
        <v>208</v>
      </c>
      <c r="C908" t="s">
        <v>36</v>
      </c>
      <c r="D908" t="s">
        <v>318</v>
      </c>
      <c r="E908" t="s">
        <v>16</v>
      </c>
      <c r="F908">
        <v>6</v>
      </c>
      <c r="G908" t="s">
        <v>13</v>
      </c>
      <c r="H908" s="1">
        <v>45947.40902777778</v>
      </c>
      <c r="I908" s="5">
        <f>INT(TB[[#This Row],[时间戳]])</f>
        <v>45947</v>
      </c>
      <c r="J908" s="2">
        <f>HOUR(TB[[#This Row],[时间戳]])</f>
        <v>9</v>
      </c>
      <c r="K908">
        <v>2801</v>
      </c>
      <c r="L908">
        <v>3</v>
      </c>
      <c r="M908">
        <f>TB[[#This Row],[售价]]*TB[[#This Row],[销量]]</f>
        <v>8403</v>
      </c>
      <c r="N908" t="str">
        <f>IF(TB[[#This Row],[售价]]&lt;1000,"低价商品",IF(TB[[#This Row],[售价]]&lt;5000,"中价商品",IF(TB[[#This Row],[售价]]&lt;10000,"高价商品","超高价商品")))</f>
        <v>中价商品</v>
      </c>
    </row>
    <row r="909" spans="1:14" x14ac:dyDescent="0.2">
      <c r="A909">
        <v>746</v>
      </c>
      <c r="B909">
        <v>146</v>
      </c>
      <c r="C909" t="s">
        <v>10</v>
      </c>
      <c r="D909" t="s">
        <v>373</v>
      </c>
      <c r="E909" t="s">
        <v>25</v>
      </c>
      <c r="F909">
        <v>7</v>
      </c>
      <c r="G909" t="s">
        <v>42</v>
      </c>
      <c r="H909" s="1">
        <v>45947.416666666664</v>
      </c>
      <c r="I909" s="5">
        <f>INT(TB[[#This Row],[时间戳]])</f>
        <v>45947</v>
      </c>
      <c r="J909" s="2">
        <f>HOUR(TB[[#This Row],[时间戳]])</f>
        <v>10</v>
      </c>
      <c r="K909">
        <v>6497</v>
      </c>
      <c r="L909">
        <v>0</v>
      </c>
      <c r="M909">
        <f>TB[[#This Row],[售价]]*TB[[#This Row],[销量]]</f>
        <v>0</v>
      </c>
      <c r="N909" t="str">
        <f>IF(TB[[#This Row],[售价]]&lt;1000,"低价商品",IF(TB[[#This Row],[售价]]&lt;5000,"中价商品",IF(TB[[#This Row],[售价]]&lt;10000,"高价商品","超高价商品")))</f>
        <v>高价商品</v>
      </c>
    </row>
    <row r="910" spans="1:14" x14ac:dyDescent="0.2">
      <c r="A910">
        <v>483</v>
      </c>
      <c r="B910">
        <v>247</v>
      </c>
      <c r="C910" t="s">
        <v>44</v>
      </c>
      <c r="D910" t="s">
        <v>161</v>
      </c>
      <c r="E910" t="s">
        <v>31</v>
      </c>
      <c r="F910">
        <v>4</v>
      </c>
      <c r="G910" t="s">
        <v>13</v>
      </c>
      <c r="H910" s="1">
        <v>45947.422222222223</v>
      </c>
      <c r="I910" s="5">
        <f>INT(TB[[#This Row],[时间戳]])</f>
        <v>45947</v>
      </c>
      <c r="J910" s="2">
        <f>HOUR(TB[[#This Row],[时间戳]])</f>
        <v>10</v>
      </c>
      <c r="K910">
        <v>135</v>
      </c>
      <c r="L910">
        <v>2</v>
      </c>
      <c r="M910">
        <f>TB[[#This Row],[售价]]*TB[[#This Row],[销量]]</f>
        <v>270</v>
      </c>
      <c r="N910" t="str">
        <f>IF(TB[[#This Row],[售价]]&lt;1000,"低价商品",IF(TB[[#This Row],[售价]]&lt;5000,"中价商品",IF(TB[[#This Row],[售价]]&lt;10000,"高价商品","超高价商品")))</f>
        <v>低价商品</v>
      </c>
    </row>
    <row r="911" spans="1:14" x14ac:dyDescent="0.2">
      <c r="A911">
        <v>147</v>
      </c>
      <c r="B911">
        <v>299</v>
      </c>
      <c r="C911" t="s">
        <v>17</v>
      </c>
      <c r="D911" t="s">
        <v>93</v>
      </c>
      <c r="E911" t="s">
        <v>12</v>
      </c>
      <c r="F911">
        <v>2</v>
      </c>
      <c r="G911" t="s">
        <v>13</v>
      </c>
      <c r="H911" s="1">
        <v>45947.431250000001</v>
      </c>
      <c r="I911" s="5">
        <f>INT(TB[[#This Row],[时间戳]])</f>
        <v>45947</v>
      </c>
      <c r="J911" s="2">
        <f>HOUR(TB[[#This Row],[时间戳]])</f>
        <v>10</v>
      </c>
      <c r="K911">
        <v>6706</v>
      </c>
      <c r="L911">
        <v>2</v>
      </c>
      <c r="M911">
        <f>TB[[#This Row],[售价]]*TB[[#This Row],[销量]]</f>
        <v>13412</v>
      </c>
      <c r="N911" t="str">
        <f>IF(TB[[#This Row],[售价]]&lt;1000,"低价商品",IF(TB[[#This Row],[售价]]&lt;5000,"中价商品",IF(TB[[#This Row],[售价]]&lt;10000,"高价商品","超高价商品")))</f>
        <v>高价商品</v>
      </c>
    </row>
    <row r="912" spans="1:14" x14ac:dyDescent="0.2">
      <c r="A912">
        <v>271</v>
      </c>
      <c r="B912">
        <v>86</v>
      </c>
      <c r="C912" t="s">
        <v>46</v>
      </c>
      <c r="D912" t="s">
        <v>84</v>
      </c>
      <c r="E912" t="s">
        <v>39</v>
      </c>
      <c r="F912">
        <v>5</v>
      </c>
      <c r="G912" t="s">
        <v>13</v>
      </c>
      <c r="H912" s="1">
        <v>45947.447222222225</v>
      </c>
      <c r="I912" s="5">
        <f>INT(TB[[#This Row],[时间戳]])</f>
        <v>45947</v>
      </c>
      <c r="J912" s="2">
        <f>HOUR(TB[[#This Row],[时间戳]])</f>
        <v>10</v>
      </c>
      <c r="K912">
        <v>3836</v>
      </c>
      <c r="L912">
        <v>3</v>
      </c>
      <c r="M912">
        <f>TB[[#This Row],[售价]]*TB[[#This Row],[销量]]</f>
        <v>11508</v>
      </c>
      <c r="N912" t="str">
        <f>IF(TB[[#This Row],[售价]]&lt;1000,"低价商品",IF(TB[[#This Row],[售价]]&lt;5000,"中价商品",IF(TB[[#This Row],[售价]]&lt;10000,"高价商品","超高价商品")))</f>
        <v>中价商品</v>
      </c>
    </row>
    <row r="913" spans="1:14" x14ac:dyDescent="0.2">
      <c r="A913">
        <v>611</v>
      </c>
      <c r="B913">
        <v>36</v>
      </c>
      <c r="C913" t="s">
        <v>34</v>
      </c>
      <c r="D913" t="s">
        <v>346</v>
      </c>
      <c r="E913" t="s">
        <v>22</v>
      </c>
      <c r="F913">
        <v>1</v>
      </c>
      <c r="G913" t="s">
        <v>13</v>
      </c>
      <c r="H913" s="1">
        <v>45947.453472222223</v>
      </c>
      <c r="I913" s="5">
        <f>INT(TB[[#This Row],[时间戳]])</f>
        <v>45947</v>
      </c>
      <c r="J913" s="2">
        <f>HOUR(TB[[#This Row],[时间戳]])</f>
        <v>10</v>
      </c>
      <c r="K913">
        <v>7083</v>
      </c>
      <c r="L913">
        <v>3</v>
      </c>
      <c r="M913">
        <f>TB[[#This Row],[售价]]*TB[[#This Row],[销量]]</f>
        <v>21249</v>
      </c>
      <c r="N913" t="str">
        <f>IF(TB[[#This Row],[售价]]&lt;1000,"低价商品",IF(TB[[#This Row],[售价]]&lt;5000,"中价商品",IF(TB[[#This Row],[售价]]&lt;10000,"高价商品","超高价商品")))</f>
        <v>高价商品</v>
      </c>
    </row>
    <row r="914" spans="1:14" x14ac:dyDescent="0.2">
      <c r="A914">
        <v>112</v>
      </c>
      <c r="B914">
        <v>9</v>
      </c>
      <c r="C914" t="s">
        <v>17</v>
      </c>
      <c r="D914" t="s">
        <v>119</v>
      </c>
      <c r="E914" t="s">
        <v>12</v>
      </c>
      <c r="F914">
        <v>2</v>
      </c>
      <c r="G914" t="s">
        <v>42</v>
      </c>
      <c r="H914" s="1">
        <v>45947.47152777778</v>
      </c>
      <c r="I914" s="5">
        <f>INT(TB[[#This Row],[时间戳]])</f>
        <v>45947</v>
      </c>
      <c r="J914" s="2">
        <f>HOUR(TB[[#This Row],[时间戳]])</f>
        <v>11</v>
      </c>
      <c r="K914">
        <v>7758</v>
      </c>
      <c r="L914">
        <v>0</v>
      </c>
      <c r="M914">
        <f>TB[[#This Row],[售价]]*TB[[#This Row],[销量]]</f>
        <v>0</v>
      </c>
      <c r="N914" t="str">
        <f>IF(TB[[#This Row],[售价]]&lt;1000,"低价商品",IF(TB[[#This Row],[售价]]&lt;5000,"中价商品",IF(TB[[#This Row],[售价]]&lt;10000,"高价商品","超高价商品")))</f>
        <v>高价商品</v>
      </c>
    </row>
    <row r="915" spans="1:14" x14ac:dyDescent="0.2">
      <c r="A915">
        <v>430</v>
      </c>
      <c r="B915">
        <v>77</v>
      </c>
      <c r="C915" t="s">
        <v>20</v>
      </c>
      <c r="D915" t="s">
        <v>204</v>
      </c>
      <c r="E915" t="s">
        <v>25</v>
      </c>
      <c r="F915">
        <v>7</v>
      </c>
      <c r="G915" t="s">
        <v>13</v>
      </c>
      <c r="H915" s="1">
        <v>45947.481249999997</v>
      </c>
      <c r="I915" s="5">
        <f>INT(TB[[#This Row],[时间戳]])</f>
        <v>45947</v>
      </c>
      <c r="J915" s="2">
        <f>HOUR(TB[[#This Row],[时间戳]])</f>
        <v>11</v>
      </c>
      <c r="K915">
        <v>3224</v>
      </c>
      <c r="L915">
        <v>3</v>
      </c>
      <c r="M915">
        <f>TB[[#This Row],[售价]]*TB[[#This Row],[销量]]</f>
        <v>9672</v>
      </c>
      <c r="N915" t="str">
        <f>IF(TB[[#This Row],[售价]]&lt;1000,"低价商品",IF(TB[[#This Row],[售价]]&lt;5000,"中价商品",IF(TB[[#This Row],[售价]]&lt;10000,"高价商品","超高价商品")))</f>
        <v>中价商品</v>
      </c>
    </row>
    <row r="916" spans="1:14" x14ac:dyDescent="0.2">
      <c r="A916">
        <v>630</v>
      </c>
      <c r="B916">
        <v>20</v>
      </c>
      <c r="C916" t="s">
        <v>26</v>
      </c>
      <c r="D916" t="s">
        <v>95</v>
      </c>
      <c r="E916" t="s">
        <v>22</v>
      </c>
      <c r="F916">
        <v>1</v>
      </c>
      <c r="G916" t="s">
        <v>13</v>
      </c>
      <c r="H916" s="1">
        <v>45947.495833333334</v>
      </c>
      <c r="I916" s="5">
        <f>INT(TB[[#This Row],[时间戳]])</f>
        <v>45947</v>
      </c>
      <c r="J916" s="2">
        <f>HOUR(TB[[#This Row],[时间戳]])</f>
        <v>11</v>
      </c>
      <c r="K916">
        <v>5809</v>
      </c>
      <c r="L916">
        <v>2</v>
      </c>
      <c r="M916">
        <f>TB[[#This Row],[售价]]*TB[[#This Row],[销量]]</f>
        <v>11618</v>
      </c>
      <c r="N916" t="str">
        <f>IF(TB[[#This Row],[售价]]&lt;1000,"低价商品",IF(TB[[#This Row],[售价]]&lt;5000,"中价商品",IF(TB[[#This Row],[售价]]&lt;10000,"高价商品","超高价商品")))</f>
        <v>高价商品</v>
      </c>
    </row>
    <row r="917" spans="1:14" x14ac:dyDescent="0.2">
      <c r="A917">
        <v>494</v>
      </c>
      <c r="B917">
        <v>67</v>
      </c>
      <c r="C917" t="s">
        <v>14</v>
      </c>
      <c r="D917" t="s">
        <v>282</v>
      </c>
      <c r="E917" t="s">
        <v>19</v>
      </c>
      <c r="F917">
        <v>3</v>
      </c>
      <c r="G917" t="s">
        <v>13</v>
      </c>
      <c r="H917" s="1">
        <v>45947.506249999999</v>
      </c>
      <c r="I917" s="5">
        <f>INT(TB[[#This Row],[时间戳]])</f>
        <v>45947</v>
      </c>
      <c r="J917" s="2">
        <f>HOUR(TB[[#This Row],[时间戳]])</f>
        <v>12</v>
      </c>
      <c r="K917">
        <v>5910</v>
      </c>
      <c r="L917">
        <v>4</v>
      </c>
      <c r="M917">
        <f>TB[[#This Row],[售价]]*TB[[#This Row],[销量]]</f>
        <v>23640</v>
      </c>
      <c r="N917" t="str">
        <f>IF(TB[[#This Row],[售价]]&lt;1000,"低价商品",IF(TB[[#This Row],[售价]]&lt;5000,"中价商品",IF(TB[[#This Row],[售价]]&lt;10000,"高价商品","超高价商品")))</f>
        <v>高价商品</v>
      </c>
    </row>
    <row r="918" spans="1:14" x14ac:dyDescent="0.2">
      <c r="A918">
        <v>535</v>
      </c>
      <c r="B918">
        <v>216</v>
      </c>
      <c r="C918" t="s">
        <v>10</v>
      </c>
      <c r="D918" t="s">
        <v>351</v>
      </c>
      <c r="E918" t="s">
        <v>31</v>
      </c>
      <c r="F918">
        <v>4</v>
      </c>
      <c r="G918" t="s">
        <v>13</v>
      </c>
      <c r="H918" s="1">
        <v>45947.512499999997</v>
      </c>
      <c r="I918" s="5">
        <f>INT(TB[[#This Row],[时间戳]])</f>
        <v>45947</v>
      </c>
      <c r="J918" s="2">
        <f>HOUR(TB[[#This Row],[时间戳]])</f>
        <v>12</v>
      </c>
      <c r="K918">
        <v>1361</v>
      </c>
      <c r="L918">
        <v>2</v>
      </c>
      <c r="M918">
        <f>TB[[#This Row],[售价]]*TB[[#This Row],[销量]]</f>
        <v>2722</v>
      </c>
      <c r="N918" t="str">
        <f>IF(TB[[#This Row],[售价]]&lt;1000,"低价商品",IF(TB[[#This Row],[售价]]&lt;5000,"中价商品",IF(TB[[#This Row],[售价]]&lt;10000,"高价商品","超高价商品")))</f>
        <v>中价商品</v>
      </c>
    </row>
    <row r="919" spans="1:14" x14ac:dyDescent="0.2">
      <c r="A919">
        <v>235</v>
      </c>
      <c r="B919">
        <v>247</v>
      </c>
      <c r="C919" t="s">
        <v>20</v>
      </c>
      <c r="D919" t="s">
        <v>261</v>
      </c>
      <c r="E919" t="s">
        <v>22</v>
      </c>
      <c r="F919">
        <v>1</v>
      </c>
      <c r="G919" t="s">
        <v>42</v>
      </c>
      <c r="H919" s="1">
        <v>45947.567361111112</v>
      </c>
      <c r="I919" s="5">
        <f>INT(TB[[#This Row],[时间戳]])</f>
        <v>45947</v>
      </c>
      <c r="J919" s="2">
        <f>HOUR(TB[[#This Row],[时间戳]])</f>
        <v>13</v>
      </c>
      <c r="K919">
        <v>3856</v>
      </c>
      <c r="L919">
        <v>0</v>
      </c>
      <c r="M919">
        <f>TB[[#This Row],[售价]]*TB[[#This Row],[销量]]</f>
        <v>0</v>
      </c>
      <c r="N919" t="str">
        <f>IF(TB[[#This Row],[售价]]&lt;1000,"低价商品",IF(TB[[#This Row],[售价]]&lt;5000,"中价商品",IF(TB[[#This Row],[售价]]&lt;10000,"高价商品","超高价商品")))</f>
        <v>中价商品</v>
      </c>
    </row>
    <row r="920" spans="1:14" x14ac:dyDescent="0.2">
      <c r="A920">
        <v>101</v>
      </c>
      <c r="B920">
        <v>218</v>
      </c>
      <c r="C920" t="s">
        <v>46</v>
      </c>
      <c r="D920" t="s">
        <v>77</v>
      </c>
      <c r="E920" t="s">
        <v>19</v>
      </c>
      <c r="F920">
        <v>3</v>
      </c>
      <c r="G920" t="s">
        <v>42</v>
      </c>
      <c r="H920" s="1">
        <v>45947.59375</v>
      </c>
      <c r="I920" s="5">
        <f>INT(TB[[#This Row],[时间戳]])</f>
        <v>45947</v>
      </c>
      <c r="J920" s="2">
        <f>HOUR(TB[[#This Row],[时间戳]])</f>
        <v>14</v>
      </c>
      <c r="K920">
        <v>4602</v>
      </c>
      <c r="L920">
        <v>0</v>
      </c>
      <c r="M920">
        <f>TB[[#This Row],[售价]]*TB[[#This Row],[销量]]</f>
        <v>0</v>
      </c>
      <c r="N920" t="str">
        <f>IF(TB[[#This Row],[售价]]&lt;1000,"低价商品",IF(TB[[#This Row],[售价]]&lt;5000,"中价商品",IF(TB[[#This Row],[售价]]&lt;10000,"高价商品","超高价商品")))</f>
        <v>中价商品</v>
      </c>
    </row>
    <row r="921" spans="1:14" x14ac:dyDescent="0.2">
      <c r="A921">
        <v>86</v>
      </c>
      <c r="B921">
        <v>146</v>
      </c>
      <c r="C921" t="s">
        <v>44</v>
      </c>
      <c r="D921" t="s">
        <v>76</v>
      </c>
      <c r="E921" t="s">
        <v>31</v>
      </c>
      <c r="F921">
        <v>4</v>
      </c>
      <c r="G921" t="s">
        <v>13</v>
      </c>
      <c r="H921" s="1">
        <v>45947.59652777778</v>
      </c>
      <c r="I921" s="5">
        <f>INT(TB[[#This Row],[时间戳]])</f>
        <v>45947</v>
      </c>
      <c r="J921" s="2">
        <f>HOUR(TB[[#This Row],[时间戳]])</f>
        <v>14</v>
      </c>
      <c r="K921">
        <v>254</v>
      </c>
      <c r="L921">
        <v>3</v>
      </c>
      <c r="M921">
        <f>TB[[#This Row],[售价]]*TB[[#This Row],[销量]]</f>
        <v>762</v>
      </c>
      <c r="N921" t="str">
        <f>IF(TB[[#This Row],[售价]]&lt;1000,"低价商品",IF(TB[[#This Row],[售价]]&lt;5000,"中价商品",IF(TB[[#This Row],[售价]]&lt;10000,"高价商品","超高价商品")))</f>
        <v>低价商品</v>
      </c>
    </row>
    <row r="922" spans="1:14" x14ac:dyDescent="0.2">
      <c r="A922">
        <v>194</v>
      </c>
      <c r="B922">
        <v>3</v>
      </c>
      <c r="C922" t="s">
        <v>17</v>
      </c>
      <c r="D922" t="s">
        <v>133</v>
      </c>
      <c r="E922" t="s">
        <v>31</v>
      </c>
      <c r="F922">
        <v>4</v>
      </c>
      <c r="G922" t="s">
        <v>13</v>
      </c>
      <c r="H922" s="1">
        <v>45947.634027777778</v>
      </c>
      <c r="I922" s="5">
        <f>INT(TB[[#This Row],[时间戳]])</f>
        <v>45947</v>
      </c>
      <c r="J922" s="2">
        <f>HOUR(TB[[#This Row],[时间戳]])</f>
        <v>15</v>
      </c>
      <c r="K922">
        <v>1353</v>
      </c>
      <c r="L922">
        <v>2</v>
      </c>
      <c r="M922">
        <f>TB[[#This Row],[售价]]*TB[[#This Row],[销量]]</f>
        <v>2706</v>
      </c>
      <c r="N922" t="str">
        <f>IF(TB[[#This Row],[售价]]&lt;1000,"低价商品",IF(TB[[#This Row],[售价]]&lt;5000,"中价商品",IF(TB[[#This Row],[售价]]&lt;10000,"高价商品","超高价商品")))</f>
        <v>中价商品</v>
      </c>
    </row>
    <row r="923" spans="1:14" x14ac:dyDescent="0.2">
      <c r="A923">
        <v>536</v>
      </c>
      <c r="B923">
        <v>61</v>
      </c>
      <c r="C923" t="s">
        <v>10</v>
      </c>
      <c r="D923" t="s">
        <v>189</v>
      </c>
      <c r="E923" t="s">
        <v>22</v>
      </c>
      <c r="F923">
        <v>1</v>
      </c>
      <c r="G923" t="s">
        <v>42</v>
      </c>
      <c r="H923" s="1">
        <v>45947.646527777775</v>
      </c>
      <c r="I923" s="5">
        <f>INT(TB[[#This Row],[时间戳]])</f>
        <v>45947</v>
      </c>
      <c r="J923" s="2">
        <f>HOUR(TB[[#This Row],[时间戳]])</f>
        <v>15</v>
      </c>
      <c r="K923">
        <v>6989</v>
      </c>
      <c r="L923">
        <v>0</v>
      </c>
      <c r="M923">
        <f>TB[[#This Row],[售价]]*TB[[#This Row],[销量]]</f>
        <v>0</v>
      </c>
      <c r="N923" t="str">
        <f>IF(TB[[#This Row],[售价]]&lt;1000,"低价商品",IF(TB[[#This Row],[售价]]&lt;5000,"中价商品",IF(TB[[#This Row],[售价]]&lt;10000,"高价商品","超高价商品")))</f>
        <v>高价商品</v>
      </c>
    </row>
    <row r="924" spans="1:14" x14ac:dyDescent="0.2">
      <c r="A924">
        <v>211</v>
      </c>
      <c r="B924">
        <v>162</v>
      </c>
      <c r="C924" t="s">
        <v>17</v>
      </c>
      <c r="D924" t="s">
        <v>98</v>
      </c>
      <c r="E924" t="s">
        <v>22</v>
      </c>
      <c r="F924">
        <v>1</v>
      </c>
      <c r="G924" t="s">
        <v>13</v>
      </c>
      <c r="H924" s="1">
        <v>45947.6875</v>
      </c>
      <c r="I924" s="5">
        <f>INT(TB[[#This Row],[时间戳]])</f>
        <v>45947</v>
      </c>
      <c r="J924" s="2">
        <f>HOUR(TB[[#This Row],[时间戳]])</f>
        <v>16</v>
      </c>
      <c r="K924">
        <v>5060</v>
      </c>
      <c r="L924">
        <v>2</v>
      </c>
      <c r="M924">
        <f>TB[[#This Row],[售价]]*TB[[#This Row],[销量]]</f>
        <v>10120</v>
      </c>
      <c r="N924" t="str">
        <f>IF(TB[[#This Row],[售价]]&lt;1000,"低价商品",IF(TB[[#This Row],[售价]]&lt;5000,"中价商品",IF(TB[[#This Row],[售价]]&lt;10000,"高价商品","超高价商品")))</f>
        <v>高价商品</v>
      </c>
    </row>
    <row r="925" spans="1:14" x14ac:dyDescent="0.2">
      <c r="A925">
        <v>437</v>
      </c>
      <c r="B925">
        <v>300</v>
      </c>
      <c r="C925" t="s">
        <v>14</v>
      </c>
      <c r="D925" t="s">
        <v>43</v>
      </c>
      <c r="E925" t="s">
        <v>31</v>
      </c>
      <c r="F925">
        <v>4</v>
      </c>
      <c r="G925" t="s">
        <v>13</v>
      </c>
      <c r="H925" s="1">
        <v>45947.717361111114</v>
      </c>
      <c r="I925" s="5">
        <f>INT(TB[[#This Row],[时间戳]])</f>
        <v>45947</v>
      </c>
      <c r="J925" s="2">
        <f>HOUR(TB[[#This Row],[时间戳]])</f>
        <v>17</v>
      </c>
      <c r="K925">
        <v>872</v>
      </c>
      <c r="L925">
        <v>4</v>
      </c>
      <c r="M925">
        <f>TB[[#This Row],[售价]]*TB[[#This Row],[销量]]</f>
        <v>3488</v>
      </c>
      <c r="N925" t="str">
        <f>IF(TB[[#This Row],[售价]]&lt;1000,"低价商品",IF(TB[[#This Row],[售价]]&lt;5000,"中价商品",IF(TB[[#This Row],[售价]]&lt;10000,"高价商品","超高价商品")))</f>
        <v>低价商品</v>
      </c>
    </row>
    <row r="926" spans="1:14" x14ac:dyDescent="0.2">
      <c r="A926">
        <v>579</v>
      </c>
      <c r="B926">
        <v>188</v>
      </c>
      <c r="C926" t="s">
        <v>20</v>
      </c>
      <c r="D926" t="s">
        <v>259</v>
      </c>
      <c r="E926" t="s">
        <v>16</v>
      </c>
      <c r="F926">
        <v>6</v>
      </c>
      <c r="G926" t="s">
        <v>13</v>
      </c>
      <c r="H926" s="1">
        <v>45947.727083333331</v>
      </c>
      <c r="I926" s="5">
        <f>INT(TB[[#This Row],[时间戳]])</f>
        <v>45947</v>
      </c>
      <c r="J926" s="2">
        <f>HOUR(TB[[#This Row],[时间戳]])</f>
        <v>17</v>
      </c>
      <c r="K926">
        <v>6088</v>
      </c>
      <c r="L926">
        <v>3</v>
      </c>
      <c r="M926">
        <f>TB[[#This Row],[售价]]*TB[[#This Row],[销量]]</f>
        <v>18264</v>
      </c>
      <c r="N926" t="str">
        <f>IF(TB[[#This Row],[售价]]&lt;1000,"低价商品",IF(TB[[#This Row],[售价]]&lt;5000,"中价商品",IF(TB[[#This Row],[售价]]&lt;10000,"高价商品","超高价商品")))</f>
        <v>高价商品</v>
      </c>
    </row>
    <row r="927" spans="1:14" x14ac:dyDescent="0.2">
      <c r="A927">
        <v>424</v>
      </c>
      <c r="B927">
        <v>283</v>
      </c>
      <c r="C927" t="s">
        <v>17</v>
      </c>
      <c r="D927" t="s">
        <v>285</v>
      </c>
      <c r="E927" t="s">
        <v>25</v>
      </c>
      <c r="F927">
        <v>7</v>
      </c>
      <c r="G927" t="s">
        <v>42</v>
      </c>
      <c r="H927" s="1">
        <v>45947.727777777778</v>
      </c>
      <c r="I927" s="5">
        <f>INT(TB[[#This Row],[时间戳]])</f>
        <v>45947</v>
      </c>
      <c r="J927" s="2">
        <f>HOUR(TB[[#This Row],[时间戳]])</f>
        <v>17</v>
      </c>
      <c r="K927">
        <v>6453</v>
      </c>
      <c r="L927">
        <v>0</v>
      </c>
      <c r="M927">
        <f>TB[[#This Row],[售价]]*TB[[#This Row],[销量]]</f>
        <v>0</v>
      </c>
      <c r="N927" t="str">
        <f>IF(TB[[#This Row],[售价]]&lt;1000,"低价商品",IF(TB[[#This Row],[售价]]&lt;5000,"中价商品",IF(TB[[#This Row],[售价]]&lt;10000,"高价商品","超高价商品")))</f>
        <v>高价商品</v>
      </c>
    </row>
    <row r="928" spans="1:14" x14ac:dyDescent="0.2">
      <c r="A928">
        <v>569</v>
      </c>
      <c r="B928">
        <v>248</v>
      </c>
      <c r="C928" t="s">
        <v>34</v>
      </c>
      <c r="D928" t="s">
        <v>168</v>
      </c>
      <c r="E928" t="s">
        <v>19</v>
      </c>
      <c r="F928">
        <v>3</v>
      </c>
      <c r="G928" t="s">
        <v>13</v>
      </c>
      <c r="H928" s="1">
        <v>45947.73333333333</v>
      </c>
      <c r="I928" s="5">
        <f>INT(TB[[#This Row],[时间戳]])</f>
        <v>45947</v>
      </c>
      <c r="J928" s="2">
        <f>HOUR(TB[[#This Row],[时间戳]])</f>
        <v>17</v>
      </c>
      <c r="K928">
        <v>5343</v>
      </c>
      <c r="L928">
        <v>2</v>
      </c>
      <c r="M928">
        <f>TB[[#This Row],[售价]]*TB[[#This Row],[销量]]</f>
        <v>10686</v>
      </c>
      <c r="N928" t="str">
        <f>IF(TB[[#This Row],[售价]]&lt;1000,"低价商品",IF(TB[[#This Row],[售价]]&lt;5000,"中价商品",IF(TB[[#This Row],[售价]]&lt;10000,"高价商品","超高价商品")))</f>
        <v>高价商品</v>
      </c>
    </row>
    <row r="929" spans="1:14" x14ac:dyDescent="0.2">
      <c r="A929">
        <v>793</v>
      </c>
      <c r="B929">
        <v>204</v>
      </c>
      <c r="C929" t="s">
        <v>46</v>
      </c>
      <c r="D929" t="s">
        <v>104</v>
      </c>
      <c r="E929" t="s">
        <v>12</v>
      </c>
      <c r="F929">
        <v>2</v>
      </c>
      <c r="G929" t="s">
        <v>13</v>
      </c>
      <c r="H929" s="1">
        <v>45947.747916666667</v>
      </c>
      <c r="I929" s="5">
        <f>INT(TB[[#This Row],[时间戳]])</f>
        <v>45947</v>
      </c>
      <c r="J929" s="2">
        <f>HOUR(TB[[#This Row],[时间戳]])</f>
        <v>17</v>
      </c>
      <c r="K929">
        <v>8114</v>
      </c>
      <c r="L929">
        <v>2</v>
      </c>
      <c r="M929">
        <f>TB[[#This Row],[售价]]*TB[[#This Row],[销量]]</f>
        <v>16228</v>
      </c>
      <c r="N929" t="str">
        <f>IF(TB[[#This Row],[售价]]&lt;1000,"低价商品",IF(TB[[#This Row],[售价]]&lt;5000,"中价商品",IF(TB[[#This Row],[售价]]&lt;10000,"高价商品","超高价商品")))</f>
        <v>高价商品</v>
      </c>
    </row>
    <row r="930" spans="1:14" x14ac:dyDescent="0.2">
      <c r="A930">
        <v>458</v>
      </c>
      <c r="B930">
        <v>83</v>
      </c>
      <c r="C930" t="s">
        <v>14</v>
      </c>
      <c r="D930" t="s">
        <v>43</v>
      </c>
      <c r="E930" t="s">
        <v>31</v>
      </c>
      <c r="F930">
        <v>4</v>
      </c>
      <c r="G930" t="s">
        <v>13</v>
      </c>
      <c r="H930" s="1">
        <v>45947.76666666667</v>
      </c>
      <c r="I930" s="5">
        <f>INT(TB[[#This Row],[时间戳]])</f>
        <v>45947</v>
      </c>
      <c r="J930" s="2">
        <f>HOUR(TB[[#This Row],[时间戳]])</f>
        <v>18</v>
      </c>
      <c r="K930">
        <v>469</v>
      </c>
      <c r="L930">
        <v>2</v>
      </c>
      <c r="M930">
        <f>TB[[#This Row],[售价]]*TB[[#This Row],[销量]]</f>
        <v>938</v>
      </c>
      <c r="N930" t="str">
        <f>IF(TB[[#This Row],[售价]]&lt;1000,"低价商品",IF(TB[[#This Row],[售价]]&lt;5000,"中价商品",IF(TB[[#This Row],[售价]]&lt;10000,"高价商品","超高价商品")))</f>
        <v>低价商品</v>
      </c>
    </row>
    <row r="931" spans="1:14" x14ac:dyDescent="0.2">
      <c r="A931">
        <v>347</v>
      </c>
      <c r="B931">
        <v>282</v>
      </c>
      <c r="C931" t="s">
        <v>20</v>
      </c>
      <c r="D931" t="s">
        <v>23</v>
      </c>
      <c r="E931" t="s">
        <v>12</v>
      </c>
      <c r="F931">
        <v>2</v>
      </c>
      <c r="G931" t="s">
        <v>13</v>
      </c>
      <c r="H931" s="1">
        <v>45947.771527777775</v>
      </c>
      <c r="I931" s="5">
        <f>INT(TB[[#This Row],[时间戳]])</f>
        <v>45947</v>
      </c>
      <c r="J931" s="2">
        <f>HOUR(TB[[#This Row],[时间戳]])</f>
        <v>18</v>
      </c>
      <c r="K931">
        <v>5551</v>
      </c>
      <c r="L931">
        <v>2</v>
      </c>
      <c r="M931">
        <f>TB[[#This Row],[售价]]*TB[[#This Row],[销量]]</f>
        <v>11102</v>
      </c>
      <c r="N931" t="str">
        <f>IF(TB[[#This Row],[售价]]&lt;1000,"低价商品",IF(TB[[#This Row],[售价]]&lt;5000,"中价商品",IF(TB[[#This Row],[售价]]&lt;10000,"高价商品","超高价商品")))</f>
        <v>高价商品</v>
      </c>
    </row>
    <row r="932" spans="1:14" x14ac:dyDescent="0.2">
      <c r="A932">
        <v>94</v>
      </c>
      <c r="B932">
        <v>75</v>
      </c>
      <c r="C932" t="s">
        <v>17</v>
      </c>
      <c r="D932" t="s">
        <v>18</v>
      </c>
      <c r="E932" t="s">
        <v>19</v>
      </c>
      <c r="F932">
        <v>3</v>
      </c>
      <c r="G932" t="s">
        <v>13</v>
      </c>
      <c r="H932" s="1">
        <v>45947.774305555555</v>
      </c>
      <c r="I932" s="5">
        <f>INT(TB[[#This Row],[时间戳]])</f>
        <v>45947</v>
      </c>
      <c r="J932" s="2">
        <f>HOUR(TB[[#This Row],[时间戳]])</f>
        <v>18</v>
      </c>
      <c r="K932">
        <v>1808</v>
      </c>
      <c r="L932">
        <v>4</v>
      </c>
      <c r="M932">
        <f>TB[[#This Row],[售价]]*TB[[#This Row],[销量]]</f>
        <v>7232</v>
      </c>
      <c r="N932" t="str">
        <f>IF(TB[[#This Row],[售价]]&lt;1000,"低价商品",IF(TB[[#This Row],[售价]]&lt;5000,"中价商品",IF(TB[[#This Row],[售价]]&lt;10000,"高价商品","超高价商品")))</f>
        <v>中价商品</v>
      </c>
    </row>
    <row r="933" spans="1:14" x14ac:dyDescent="0.2">
      <c r="A933">
        <v>66</v>
      </c>
      <c r="B933">
        <v>135</v>
      </c>
      <c r="C933" t="s">
        <v>17</v>
      </c>
      <c r="D933" t="s">
        <v>194</v>
      </c>
      <c r="E933" t="s">
        <v>16</v>
      </c>
      <c r="F933">
        <v>6</v>
      </c>
      <c r="G933" t="s">
        <v>13</v>
      </c>
      <c r="H933" s="1">
        <v>45947.807638888888</v>
      </c>
      <c r="I933" s="5">
        <f>INT(TB[[#This Row],[时间戳]])</f>
        <v>45947</v>
      </c>
      <c r="J933" s="2">
        <f>HOUR(TB[[#This Row],[时间戳]])</f>
        <v>19</v>
      </c>
      <c r="K933">
        <v>9834</v>
      </c>
      <c r="L933">
        <v>3</v>
      </c>
      <c r="M933">
        <f>TB[[#This Row],[售价]]*TB[[#This Row],[销量]]</f>
        <v>29502</v>
      </c>
      <c r="N933" t="str">
        <f>IF(TB[[#This Row],[售价]]&lt;1000,"低价商品",IF(TB[[#This Row],[售价]]&lt;5000,"中价商品",IF(TB[[#This Row],[售价]]&lt;10000,"高价商品","超高价商品")))</f>
        <v>高价商品</v>
      </c>
    </row>
    <row r="934" spans="1:14" x14ac:dyDescent="0.2">
      <c r="A934">
        <v>39</v>
      </c>
      <c r="B934">
        <v>197</v>
      </c>
      <c r="C934" t="s">
        <v>14</v>
      </c>
      <c r="D934" t="s">
        <v>52</v>
      </c>
      <c r="E934" t="s">
        <v>31</v>
      </c>
      <c r="F934">
        <v>4</v>
      </c>
      <c r="G934" t="s">
        <v>13</v>
      </c>
      <c r="H934" s="1">
        <v>45947.884027777778</v>
      </c>
      <c r="I934" s="5">
        <f>INT(TB[[#This Row],[时间戳]])</f>
        <v>45947</v>
      </c>
      <c r="J934" s="2">
        <f>HOUR(TB[[#This Row],[时间戳]])</f>
        <v>21</v>
      </c>
      <c r="K934">
        <v>493</v>
      </c>
      <c r="L934">
        <v>2</v>
      </c>
      <c r="M934">
        <f>TB[[#This Row],[售价]]*TB[[#This Row],[销量]]</f>
        <v>986</v>
      </c>
      <c r="N934" t="str">
        <f>IF(TB[[#This Row],[售价]]&lt;1000,"低价商品",IF(TB[[#This Row],[售价]]&lt;5000,"中价商品",IF(TB[[#This Row],[售价]]&lt;10000,"高价商品","超高价商品")))</f>
        <v>低价商品</v>
      </c>
    </row>
    <row r="935" spans="1:14" x14ac:dyDescent="0.2">
      <c r="A935">
        <v>729</v>
      </c>
      <c r="B935">
        <v>30</v>
      </c>
      <c r="C935" t="s">
        <v>20</v>
      </c>
      <c r="D935" t="s">
        <v>85</v>
      </c>
      <c r="E935" t="s">
        <v>31</v>
      </c>
      <c r="F935">
        <v>4</v>
      </c>
      <c r="G935" t="s">
        <v>13</v>
      </c>
      <c r="H935" s="1">
        <v>45947.897916666669</v>
      </c>
      <c r="I935" s="5">
        <f>INT(TB[[#This Row],[时间戳]])</f>
        <v>45947</v>
      </c>
      <c r="J935" s="2">
        <f>HOUR(TB[[#This Row],[时间戳]])</f>
        <v>21</v>
      </c>
      <c r="K935">
        <v>984</v>
      </c>
      <c r="L935">
        <v>3</v>
      </c>
      <c r="M935">
        <f>TB[[#This Row],[售价]]*TB[[#This Row],[销量]]</f>
        <v>2952</v>
      </c>
      <c r="N935" t="str">
        <f>IF(TB[[#This Row],[售价]]&lt;1000,"低价商品",IF(TB[[#This Row],[售价]]&lt;5000,"中价商品",IF(TB[[#This Row],[售价]]&lt;10000,"高价商品","超高价商品")))</f>
        <v>低价商品</v>
      </c>
    </row>
    <row r="936" spans="1:14" x14ac:dyDescent="0.2">
      <c r="A936">
        <v>11</v>
      </c>
      <c r="B936">
        <v>104</v>
      </c>
      <c r="C936" t="s">
        <v>44</v>
      </c>
      <c r="D936" t="s">
        <v>45</v>
      </c>
      <c r="E936" t="s">
        <v>19</v>
      </c>
      <c r="F936">
        <v>3</v>
      </c>
      <c r="G936" t="s">
        <v>13</v>
      </c>
      <c r="H936" s="1">
        <v>45947.901388888888</v>
      </c>
      <c r="I936" s="5">
        <f>INT(TB[[#This Row],[时间戳]])</f>
        <v>45947</v>
      </c>
      <c r="J936" s="2">
        <f>HOUR(TB[[#This Row],[时间戳]])</f>
        <v>21</v>
      </c>
      <c r="K936">
        <v>3062</v>
      </c>
      <c r="L936">
        <v>2</v>
      </c>
      <c r="M936">
        <f>TB[[#This Row],[售价]]*TB[[#This Row],[销量]]</f>
        <v>6124</v>
      </c>
      <c r="N936" t="str">
        <f>IF(TB[[#This Row],[售价]]&lt;1000,"低价商品",IF(TB[[#This Row],[售价]]&lt;5000,"中价商品",IF(TB[[#This Row],[售价]]&lt;10000,"高价商品","超高价商品")))</f>
        <v>中价商品</v>
      </c>
    </row>
    <row r="937" spans="1:14" x14ac:dyDescent="0.2">
      <c r="A937">
        <v>35</v>
      </c>
      <c r="B937">
        <v>262</v>
      </c>
      <c r="C937" t="s">
        <v>36</v>
      </c>
      <c r="D937" t="s">
        <v>153</v>
      </c>
      <c r="E937" t="s">
        <v>31</v>
      </c>
      <c r="F937">
        <v>4</v>
      </c>
      <c r="G937" t="s">
        <v>42</v>
      </c>
      <c r="H937" s="1">
        <v>45947.907638888886</v>
      </c>
      <c r="I937" s="5">
        <f>INT(TB[[#This Row],[时间戳]])</f>
        <v>45947</v>
      </c>
      <c r="J937" s="2">
        <f>HOUR(TB[[#This Row],[时间戳]])</f>
        <v>21</v>
      </c>
      <c r="K937">
        <v>1460</v>
      </c>
      <c r="L937">
        <v>0</v>
      </c>
      <c r="M937">
        <f>TB[[#This Row],[售价]]*TB[[#This Row],[销量]]</f>
        <v>0</v>
      </c>
      <c r="N937" t="str">
        <f>IF(TB[[#This Row],[售价]]&lt;1000,"低价商品",IF(TB[[#This Row],[售价]]&lt;5000,"中价商品",IF(TB[[#This Row],[售价]]&lt;10000,"高价商品","超高价商品")))</f>
        <v>中价商品</v>
      </c>
    </row>
    <row r="938" spans="1:14" x14ac:dyDescent="0.2">
      <c r="A938">
        <v>174</v>
      </c>
      <c r="B938">
        <v>19</v>
      </c>
      <c r="C938" t="s">
        <v>32</v>
      </c>
      <c r="D938" t="s">
        <v>287</v>
      </c>
      <c r="E938" t="s">
        <v>19</v>
      </c>
      <c r="F938">
        <v>3</v>
      </c>
      <c r="G938" t="s">
        <v>42</v>
      </c>
      <c r="H938" s="1">
        <v>45947.907638888886</v>
      </c>
      <c r="I938" s="5">
        <f>INT(TB[[#This Row],[时间戳]])</f>
        <v>45947</v>
      </c>
      <c r="J938" s="2">
        <f>HOUR(TB[[#This Row],[时间戳]])</f>
        <v>21</v>
      </c>
      <c r="K938">
        <v>5882</v>
      </c>
      <c r="L938">
        <v>0</v>
      </c>
      <c r="M938">
        <f>TB[[#This Row],[售价]]*TB[[#This Row],[销量]]</f>
        <v>0</v>
      </c>
      <c r="N938" t="str">
        <f>IF(TB[[#This Row],[售价]]&lt;1000,"低价商品",IF(TB[[#This Row],[售价]]&lt;5000,"中价商品",IF(TB[[#This Row],[售价]]&lt;10000,"高价商品","超高价商品")))</f>
        <v>高价商品</v>
      </c>
    </row>
    <row r="939" spans="1:14" x14ac:dyDescent="0.2">
      <c r="A939">
        <v>89</v>
      </c>
      <c r="B939">
        <v>142</v>
      </c>
      <c r="C939" t="s">
        <v>10</v>
      </c>
      <c r="D939" t="s">
        <v>24</v>
      </c>
      <c r="E939" t="s">
        <v>25</v>
      </c>
      <c r="F939">
        <v>7</v>
      </c>
      <c r="G939" t="s">
        <v>13</v>
      </c>
      <c r="H939" s="1">
        <v>45947.952777777777</v>
      </c>
      <c r="I939" s="5">
        <f>INT(TB[[#This Row],[时间戳]])</f>
        <v>45947</v>
      </c>
      <c r="J939" s="2">
        <f>HOUR(TB[[#This Row],[时间戳]])</f>
        <v>22</v>
      </c>
      <c r="K939">
        <v>4368</v>
      </c>
      <c r="L939">
        <v>1</v>
      </c>
      <c r="M939">
        <f>TB[[#This Row],[售价]]*TB[[#This Row],[销量]]</f>
        <v>4368</v>
      </c>
      <c r="N939" t="str">
        <f>IF(TB[[#This Row],[售价]]&lt;1000,"低价商品",IF(TB[[#This Row],[售价]]&lt;5000,"中价商品",IF(TB[[#This Row],[售价]]&lt;10000,"高价商品","超高价商品")))</f>
        <v>中价商品</v>
      </c>
    </row>
    <row r="940" spans="1:14" x14ac:dyDescent="0.2">
      <c r="A940">
        <v>405</v>
      </c>
      <c r="B940">
        <v>208</v>
      </c>
      <c r="C940" t="s">
        <v>34</v>
      </c>
      <c r="D940" t="s">
        <v>374</v>
      </c>
      <c r="E940" t="s">
        <v>25</v>
      </c>
      <c r="F940">
        <v>7</v>
      </c>
      <c r="G940" t="s">
        <v>42</v>
      </c>
      <c r="H940" s="1">
        <v>45947.955555555556</v>
      </c>
      <c r="I940" s="5">
        <f>INT(TB[[#This Row],[时间戳]])</f>
        <v>45947</v>
      </c>
      <c r="J940" s="2">
        <f>HOUR(TB[[#This Row],[时间戳]])</f>
        <v>22</v>
      </c>
      <c r="K940">
        <v>7891</v>
      </c>
      <c r="L940">
        <v>0</v>
      </c>
      <c r="M940">
        <f>TB[[#This Row],[售价]]*TB[[#This Row],[销量]]</f>
        <v>0</v>
      </c>
      <c r="N940" t="str">
        <f>IF(TB[[#This Row],[售价]]&lt;1000,"低价商品",IF(TB[[#This Row],[售价]]&lt;5000,"中价商品",IF(TB[[#This Row],[售价]]&lt;10000,"高价商品","超高价商品")))</f>
        <v>高价商品</v>
      </c>
    </row>
    <row r="941" spans="1:14" x14ac:dyDescent="0.2">
      <c r="A941">
        <v>755</v>
      </c>
      <c r="B941">
        <v>36</v>
      </c>
      <c r="C941" t="s">
        <v>20</v>
      </c>
      <c r="D941" t="s">
        <v>78</v>
      </c>
      <c r="E941" t="s">
        <v>22</v>
      </c>
      <c r="F941">
        <v>1</v>
      </c>
      <c r="G941" t="s">
        <v>13</v>
      </c>
      <c r="H941" s="1">
        <v>45947.970833333333</v>
      </c>
      <c r="I941" s="5">
        <f>INT(TB[[#This Row],[时间戳]])</f>
        <v>45947</v>
      </c>
      <c r="J941" s="2">
        <f>HOUR(TB[[#This Row],[时间戳]])</f>
        <v>23</v>
      </c>
      <c r="K941">
        <v>5703</v>
      </c>
      <c r="L941">
        <v>1</v>
      </c>
      <c r="M941">
        <f>TB[[#This Row],[售价]]*TB[[#This Row],[销量]]</f>
        <v>5703</v>
      </c>
      <c r="N941" t="str">
        <f>IF(TB[[#This Row],[售价]]&lt;1000,"低价商品",IF(TB[[#This Row],[售价]]&lt;5000,"中价商品",IF(TB[[#This Row],[售价]]&lt;10000,"高价商品","超高价商品")))</f>
        <v>高价商品</v>
      </c>
    </row>
    <row r="942" spans="1:14" x14ac:dyDescent="0.2">
      <c r="A942">
        <v>573</v>
      </c>
      <c r="B942">
        <v>299</v>
      </c>
      <c r="C942" t="s">
        <v>36</v>
      </c>
      <c r="D942" t="s">
        <v>162</v>
      </c>
      <c r="E942" t="s">
        <v>25</v>
      </c>
      <c r="F942">
        <v>7</v>
      </c>
      <c r="G942" t="s">
        <v>13</v>
      </c>
      <c r="H942" s="1">
        <v>45947.977083333331</v>
      </c>
      <c r="I942" s="5">
        <f>INT(TB[[#This Row],[时间戳]])</f>
        <v>45947</v>
      </c>
      <c r="J942" s="2">
        <f>HOUR(TB[[#This Row],[时间戳]])</f>
        <v>23</v>
      </c>
      <c r="K942">
        <v>2319</v>
      </c>
      <c r="L942">
        <v>3</v>
      </c>
      <c r="M942">
        <f>TB[[#This Row],[售价]]*TB[[#This Row],[销量]]</f>
        <v>6957</v>
      </c>
      <c r="N942" t="str">
        <f>IF(TB[[#This Row],[售价]]&lt;1000,"低价商品",IF(TB[[#This Row],[售价]]&lt;5000,"中价商品",IF(TB[[#This Row],[售价]]&lt;10000,"高价商品","超高价商品")))</f>
        <v>中价商品</v>
      </c>
    </row>
    <row r="943" spans="1:14" x14ac:dyDescent="0.2">
      <c r="A943">
        <v>621</v>
      </c>
      <c r="B943">
        <v>100</v>
      </c>
      <c r="C943" t="s">
        <v>36</v>
      </c>
      <c r="D943" t="s">
        <v>153</v>
      </c>
      <c r="E943" t="s">
        <v>31</v>
      </c>
      <c r="F943">
        <v>4</v>
      </c>
      <c r="G943" t="s">
        <v>13</v>
      </c>
      <c r="H943" s="1">
        <v>45947.991666666669</v>
      </c>
      <c r="I943" s="5">
        <f>INT(TB[[#This Row],[时间戳]])</f>
        <v>45947</v>
      </c>
      <c r="J943" s="2">
        <f>HOUR(TB[[#This Row],[时间戳]])</f>
        <v>23</v>
      </c>
      <c r="K943">
        <v>739</v>
      </c>
      <c r="L943">
        <v>2</v>
      </c>
      <c r="M943">
        <f>TB[[#This Row],[售价]]*TB[[#This Row],[销量]]</f>
        <v>1478</v>
      </c>
      <c r="N943" t="str">
        <f>IF(TB[[#This Row],[售价]]&lt;1000,"低价商品",IF(TB[[#This Row],[售价]]&lt;5000,"中价商品",IF(TB[[#This Row],[售价]]&lt;10000,"高价商品","超高价商品")))</f>
        <v>低价商品</v>
      </c>
    </row>
    <row r="944" spans="1:14" x14ac:dyDescent="0.2">
      <c r="A944">
        <v>268</v>
      </c>
      <c r="B944">
        <v>90</v>
      </c>
      <c r="C944" t="s">
        <v>46</v>
      </c>
      <c r="D944" t="s">
        <v>180</v>
      </c>
      <c r="E944" t="s">
        <v>31</v>
      </c>
      <c r="F944">
        <v>4</v>
      </c>
      <c r="G944" t="s">
        <v>13</v>
      </c>
      <c r="H944" s="1">
        <v>45948.011111111111</v>
      </c>
      <c r="I944" s="5">
        <f>INT(TB[[#This Row],[时间戳]])</f>
        <v>45948</v>
      </c>
      <c r="J944" s="2">
        <f>HOUR(TB[[#This Row],[时间戳]])</f>
        <v>0</v>
      </c>
      <c r="K944">
        <v>987</v>
      </c>
      <c r="L944">
        <v>1</v>
      </c>
      <c r="M944">
        <f>TB[[#This Row],[售价]]*TB[[#This Row],[销量]]</f>
        <v>987</v>
      </c>
      <c r="N944" t="str">
        <f>IF(TB[[#This Row],[售价]]&lt;1000,"低价商品",IF(TB[[#This Row],[售价]]&lt;5000,"中价商品",IF(TB[[#This Row],[售价]]&lt;10000,"高价商品","超高价商品")))</f>
        <v>低价商品</v>
      </c>
    </row>
    <row r="945" spans="1:14" x14ac:dyDescent="0.2">
      <c r="A945">
        <v>75</v>
      </c>
      <c r="B945">
        <v>258</v>
      </c>
      <c r="C945" t="s">
        <v>14</v>
      </c>
      <c r="D945" t="s">
        <v>29</v>
      </c>
      <c r="E945" t="s">
        <v>22</v>
      </c>
      <c r="F945">
        <v>1</v>
      </c>
      <c r="G945" t="s">
        <v>13</v>
      </c>
      <c r="H945" s="1">
        <v>45948.043749999997</v>
      </c>
      <c r="I945" s="5">
        <f>INT(TB[[#This Row],[时间戳]])</f>
        <v>45948</v>
      </c>
      <c r="J945" s="2">
        <f>HOUR(TB[[#This Row],[时间戳]])</f>
        <v>1</v>
      </c>
      <c r="K945">
        <v>4394</v>
      </c>
      <c r="L945">
        <v>1</v>
      </c>
      <c r="M945">
        <f>TB[[#This Row],[售价]]*TB[[#This Row],[销量]]</f>
        <v>4394</v>
      </c>
      <c r="N945" t="str">
        <f>IF(TB[[#This Row],[售价]]&lt;1000,"低价商品",IF(TB[[#This Row],[售价]]&lt;5000,"中价商品",IF(TB[[#This Row],[售价]]&lt;10000,"高价商品","超高价商品")))</f>
        <v>中价商品</v>
      </c>
    </row>
    <row r="946" spans="1:14" x14ac:dyDescent="0.2">
      <c r="A946">
        <v>264</v>
      </c>
      <c r="B946">
        <v>276</v>
      </c>
      <c r="C946" t="s">
        <v>14</v>
      </c>
      <c r="D946" t="s">
        <v>375</v>
      </c>
      <c r="E946" t="s">
        <v>16</v>
      </c>
      <c r="F946">
        <v>6</v>
      </c>
      <c r="G946" t="s">
        <v>13</v>
      </c>
      <c r="H946" s="1">
        <v>45948.04791666667</v>
      </c>
      <c r="I946" s="5">
        <f>INT(TB[[#This Row],[时间戳]])</f>
        <v>45948</v>
      </c>
      <c r="J946" s="2">
        <f>HOUR(TB[[#This Row],[时间戳]])</f>
        <v>1</v>
      </c>
      <c r="K946">
        <v>6795</v>
      </c>
      <c r="L946">
        <v>2</v>
      </c>
      <c r="M946">
        <f>TB[[#This Row],[售价]]*TB[[#This Row],[销量]]</f>
        <v>13590</v>
      </c>
      <c r="N946" t="str">
        <f>IF(TB[[#This Row],[售价]]&lt;1000,"低价商品",IF(TB[[#This Row],[售价]]&lt;5000,"中价商品",IF(TB[[#This Row],[售价]]&lt;10000,"高价商品","超高价商品")))</f>
        <v>高价商品</v>
      </c>
    </row>
    <row r="947" spans="1:14" x14ac:dyDescent="0.2">
      <c r="A947">
        <v>577</v>
      </c>
      <c r="B947">
        <v>248</v>
      </c>
      <c r="C947" t="s">
        <v>44</v>
      </c>
      <c r="D947" t="s">
        <v>169</v>
      </c>
      <c r="E947" t="s">
        <v>31</v>
      </c>
      <c r="F947">
        <v>4</v>
      </c>
      <c r="G947" t="s">
        <v>13</v>
      </c>
      <c r="H947" s="1">
        <v>45948.04791666667</v>
      </c>
      <c r="I947" s="5">
        <f>INT(TB[[#This Row],[时间戳]])</f>
        <v>45948</v>
      </c>
      <c r="J947" s="2">
        <f>HOUR(TB[[#This Row],[时间戳]])</f>
        <v>1</v>
      </c>
      <c r="K947">
        <v>1155</v>
      </c>
      <c r="L947">
        <v>2</v>
      </c>
      <c r="M947">
        <f>TB[[#This Row],[售价]]*TB[[#This Row],[销量]]</f>
        <v>2310</v>
      </c>
      <c r="N947" t="str">
        <f>IF(TB[[#This Row],[售价]]&lt;1000,"低价商品",IF(TB[[#This Row],[售价]]&lt;5000,"中价商品",IF(TB[[#This Row],[售价]]&lt;10000,"高价商品","超高价商品")))</f>
        <v>中价商品</v>
      </c>
    </row>
    <row r="948" spans="1:14" x14ac:dyDescent="0.2">
      <c r="A948">
        <v>698</v>
      </c>
      <c r="B948">
        <v>236</v>
      </c>
      <c r="C948" t="s">
        <v>34</v>
      </c>
      <c r="D948" t="s">
        <v>57</v>
      </c>
      <c r="E948" t="s">
        <v>12</v>
      </c>
      <c r="F948">
        <v>2</v>
      </c>
      <c r="G948" t="s">
        <v>13</v>
      </c>
      <c r="H948" s="1">
        <v>45948.050694444442</v>
      </c>
      <c r="I948" s="5">
        <f>INT(TB[[#This Row],[时间戳]])</f>
        <v>45948</v>
      </c>
      <c r="J948" s="2">
        <f>HOUR(TB[[#This Row],[时间戳]])</f>
        <v>1</v>
      </c>
      <c r="K948">
        <v>8172</v>
      </c>
      <c r="L948">
        <v>2</v>
      </c>
      <c r="M948">
        <f>TB[[#This Row],[售价]]*TB[[#This Row],[销量]]</f>
        <v>16344</v>
      </c>
      <c r="N948" t="str">
        <f>IF(TB[[#This Row],[售价]]&lt;1000,"低价商品",IF(TB[[#This Row],[售价]]&lt;5000,"中价商品",IF(TB[[#This Row],[售价]]&lt;10000,"高价商品","超高价商品")))</f>
        <v>高价商品</v>
      </c>
    </row>
    <row r="949" spans="1:14" x14ac:dyDescent="0.2">
      <c r="A949">
        <v>265</v>
      </c>
      <c r="B949">
        <v>35</v>
      </c>
      <c r="C949" t="s">
        <v>44</v>
      </c>
      <c r="D949" t="s">
        <v>59</v>
      </c>
      <c r="E949" t="s">
        <v>22</v>
      </c>
      <c r="F949">
        <v>1</v>
      </c>
      <c r="G949" t="s">
        <v>13</v>
      </c>
      <c r="H949" s="1">
        <v>45948.093055555553</v>
      </c>
      <c r="I949" s="5">
        <f>INT(TB[[#This Row],[时间戳]])</f>
        <v>45948</v>
      </c>
      <c r="J949" s="2">
        <f>HOUR(TB[[#This Row],[时间戳]])</f>
        <v>2</v>
      </c>
      <c r="K949">
        <v>5621</v>
      </c>
      <c r="L949">
        <v>1</v>
      </c>
      <c r="M949">
        <f>TB[[#This Row],[售价]]*TB[[#This Row],[销量]]</f>
        <v>5621</v>
      </c>
      <c r="N949" t="str">
        <f>IF(TB[[#This Row],[售价]]&lt;1000,"低价商品",IF(TB[[#This Row],[售价]]&lt;5000,"中价商品",IF(TB[[#This Row],[售价]]&lt;10000,"高价商品","超高价商品")))</f>
        <v>高价商品</v>
      </c>
    </row>
    <row r="950" spans="1:14" x14ac:dyDescent="0.2">
      <c r="A950">
        <v>719</v>
      </c>
      <c r="B950">
        <v>118</v>
      </c>
      <c r="C950" t="s">
        <v>32</v>
      </c>
      <c r="D950" t="s">
        <v>193</v>
      </c>
      <c r="E950" t="s">
        <v>22</v>
      </c>
      <c r="F950">
        <v>1</v>
      </c>
      <c r="G950" t="s">
        <v>13</v>
      </c>
      <c r="H950" s="1">
        <v>45948.131249999999</v>
      </c>
      <c r="I950" s="5">
        <f>INT(TB[[#This Row],[时间戳]])</f>
        <v>45948</v>
      </c>
      <c r="J950" s="2">
        <f>HOUR(TB[[#This Row],[时间戳]])</f>
        <v>3</v>
      </c>
      <c r="K950">
        <v>4258</v>
      </c>
      <c r="L950">
        <v>1</v>
      </c>
      <c r="M950">
        <f>TB[[#This Row],[售价]]*TB[[#This Row],[销量]]</f>
        <v>4258</v>
      </c>
      <c r="N950" t="str">
        <f>IF(TB[[#This Row],[售价]]&lt;1000,"低价商品",IF(TB[[#This Row],[售价]]&lt;5000,"中价商品",IF(TB[[#This Row],[售价]]&lt;10000,"高价商品","超高价商品")))</f>
        <v>中价商品</v>
      </c>
    </row>
    <row r="951" spans="1:14" x14ac:dyDescent="0.2">
      <c r="A951">
        <v>549</v>
      </c>
      <c r="B951">
        <v>5</v>
      </c>
      <c r="C951" t="s">
        <v>34</v>
      </c>
      <c r="D951" t="s">
        <v>125</v>
      </c>
      <c r="E951" t="s">
        <v>31</v>
      </c>
      <c r="F951">
        <v>4</v>
      </c>
      <c r="G951" t="s">
        <v>13</v>
      </c>
      <c r="H951" s="1">
        <v>45948.147916666669</v>
      </c>
      <c r="I951" s="5">
        <f>INT(TB[[#This Row],[时间戳]])</f>
        <v>45948</v>
      </c>
      <c r="J951" s="2">
        <f>HOUR(TB[[#This Row],[时间戳]])</f>
        <v>3</v>
      </c>
      <c r="K951">
        <v>707</v>
      </c>
      <c r="L951">
        <v>2</v>
      </c>
      <c r="M951">
        <f>TB[[#This Row],[售价]]*TB[[#This Row],[销量]]</f>
        <v>1414</v>
      </c>
      <c r="N951" t="str">
        <f>IF(TB[[#This Row],[售价]]&lt;1000,"低价商品",IF(TB[[#This Row],[售价]]&lt;5000,"中价商品",IF(TB[[#This Row],[售价]]&lt;10000,"高价商品","超高价商品")))</f>
        <v>低价商品</v>
      </c>
    </row>
    <row r="952" spans="1:14" x14ac:dyDescent="0.2">
      <c r="A952">
        <v>96</v>
      </c>
      <c r="B952">
        <v>205</v>
      </c>
      <c r="C952" t="s">
        <v>32</v>
      </c>
      <c r="D952" t="s">
        <v>288</v>
      </c>
      <c r="E952" t="s">
        <v>22</v>
      </c>
      <c r="F952">
        <v>1</v>
      </c>
      <c r="G952" t="s">
        <v>13</v>
      </c>
      <c r="H952" s="1">
        <v>45948.165277777778</v>
      </c>
      <c r="I952" s="5">
        <f>INT(TB[[#This Row],[时间戳]])</f>
        <v>45948</v>
      </c>
      <c r="J952" s="2">
        <f>HOUR(TB[[#This Row],[时间戳]])</f>
        <v>3</v>
      </c>
      <c r="K952">
        <v>6675</v>
      </c>
      <c r="L952">
        <v>3</v>
      </c>
      <c r="M952">
        <f>TB[[#This Row],[售价]]*TB[[#This Row],[销量]]</f>
        <v>20025</v>
      </c>
      <c r="N952" t="str">
        <f>IF(TB[[#This Row],[售价]]&lt;1000,"低价商品",IF(TB[[#This Row],[售价]]&lt;5000,"中价商品",IF(TB[[#This Row],[售价]]&lt;10000,"高价商品","超高价商品")))</f>
        <v>高价商品</v>
      </c>
    </row>
    <row r="953" spans="1:14" x14ac:dyDescent="0.2">
      <c r="A953">
        <v>568</v>
      </c>
      <c r="B953">
        <v>92</v>
      </c>
      <c r="C953" t="s">
        <v>34</v>
      </c>
      <c r="D953" t="s">
        <v>307</v>
      </c>
      <c r="E953" t="s">
        <v>22</v>
      </c>
      <c r="F953">
        <v>1</v>
      </c>
      <c r="G953" t="s">
        <v>13</v>
      </c>
      <c r="H953" s="1">
        <v>45948.185416666667</v>
      </c>
      <c r="I953" s="5">
        <f>INT(TB[[#This Row],[时间戳]])</f>
        <v>45948</v>
      </c>
      <c r="J953" s="2">
        <f>HOUR(TB[[#This Row],[时间戳]])</f>
        <v>4</v>
      </c>
      <c r="K953">
        <v>6701</v>
      </c>
      <c r="L953">
        <v>3</v>
      </c>
      <c r="M953">
        <f>TB[[#This Row],[售价]]*TB[[#This Row],[销量]]</f>
        <v>20103</v>
      </c>
      <c r="N953" t="str">
        <f>IF(TB[[#This Row],[售价]]&lt;1000,"低价商品",IF(TB[[#This Row],[售价]]&lt;5000,"中价商品",IF(TB[[#This Row],[售价]]&lt;10000,"高价商品","超高价商品")))</f>
        <v>高价商品</v>
      </c>
    </row>
    <row r="954" spans="1:14" x14ac:dyDescent="0.2">
      <c r="A954">
        <v>588</v>
      </c>
      <c r="B954">
        <v>138</v>
      </c>
      <c r="C954" t="s">
        <v>34</v>
      </c>
      <c r="D954" t="s">
        <v>175</v>
      </c>
      <c r="E954" t="s">
        <v>22</v>
      </c>
      <c r="F954">
        <v>1</v>
      </c>
      <c r="G954" t="s">
        <v>13</v>
      </c>
      <c r="H954" s="1">
        <v>45948.188888888886</v>
      </c>
      <c r="I954" s="5">
        <f>INT(TB[[#This Row],[时间戳]])</f>
        <v>45948</v>
      </c>
      <c r="J954" s="2">
        <f>HOUR(TB[[#This Row],[时间戳]])</f>
        <v>4</v>
      </c>
      <c r="K954">
        <v>4863</v>
      </c>
      <c r="L954">
        <v>3</v>
      </c>
      <c r="M954">
        <f>TB[[#This Row],[售价]]*TB[[#This Row],[销量]]</f>
        <v>14589</v>
      </c>
      <c r="N954" t="str">
        <f>IF(TB[[#This Row],[售价]]&lt;1000,"低价商品",IF(TB[[#This Row],[售价]]&lt;5000,"中价商品",IF(TB[[#This Row],[售价]]&lt;10000,"高价商品","超高价商品")))</f>
        <v>中价商品</v>
      </c>
    </row>
    <row r="955" spans="1:14" x14ac:dyDescent="0.2">
      <c r="A955">
        <v>755</v>
      </c>
      <c r="B955">
        <v>103</v>
      </c>
      <c r="C955" t="s">
        <v>32</v>
      </c>
      <c r="D955" t="s">
        <v>326</v>
      </c>
      <c r="E955" t="s">
        <v>19</v>
      </c>
      <c r="F955">
        <v>3</v>
      </c>
      <c r="G955" t="s">
        <v>13</v>
      </c>
      <c r="H955" s="1">
        <v>45948.234027777777</v>
      </c>
      <c r="I955" s="5">
        <f>INT(TB[[#This Row],[时间戳]])</f>
        <v>45948</v>
      </c>
      <c r="J955" s="2">
        <f>HOUR(TB[[#This Row],[时间戳]])</f>
        <v>5</v>
      </c>
      <c r="K955">
        <v>3179</v>
      </c>
      <c r="L955">
        <v>1</v>
      </c>
      <c r="M955">
        <f>TB[[#This Row],[售价]]*TB[[#This Row],[销量]]</f>
        <v>3179</v>
      </c>
      <c r="N955" t="str">
        <f>IF(TB[[#This Row],[售价]]&lt;1000,"低价商品",IF(TB[[#This Row],[售价]]&lt;5000,"中价商品",IF(TB[[#This Row],[售价]]&lt;10000,"高价商品","超高价商品")))</f>
        <v>中价商品</v>
      </c>
    </row>
    <row r="956" spans="1:14" x14ac:dyDescent="0.2">
      <c r="A956">
        <v>212</v>
      </c>
      <c r="B956">
        <v>118</v>
      </c>
      <c r="C956" t="s">
        <v>32</v>
      </c>
      <c r="D956" t="s">
        <v>218</v>
      </c>
      <c r="E956" t="s">
        <v>12</v>
      </c>
      <c r="F956">
        <v>2</v>
      </c>
      <c r="G956" t="s">
        <v>13</v>
      </c>
      <c r="H956" s="1">
        <v>45948.243750000001</v>
      </c>
      <c r="I956" s="5">
        <f>INT(TB[[#This Row],[时间戳]])</f>
        <v>45948</v>
      </c>
      <c r="J956" s="2">
        <f>HOUR(TB[[#This Row],[时间戳]])</f>
        <v>5</v>
      </c>
      <c r="K956">
        <v>8023</v>
      </c>
      <c r="L956">
        <v>3</v>
      </c>
      <c r="M956">
        <f>TB[[#This Row],[售价]]*TB[[#This Row],[销量]]</f>
        <v>24069</v>
      </c>
      <c r="N956" t="str">
        <f>IF(TB[[#This Row],[售价]]&lt;1000,"低价商品",IF(TB[[#This Row],[售价]]&lt;5000,"中价商品",IF(TB[[#This Row],[售价]]&lt;10000,"高价商品","超高价商品")))</f>
        <v>高价商品</v>
      </c>
    </row>
    <row r="957" spans="1:14" x14ac:dyDescent="0.2">
      <c r="A957">
        <v>160</v>
      </c>
      <c r="B957">
        <v>55</v>
      </c>
      <c r="C957" t="s">
        <v>46</v>
      </c>
      <c r="D957" t="s">
        <v>260</v>
      </c>
      <c r="E957" t="s">
        <v>22</v>
      </c>
      <c r="F957">
        <v>1</v>
      </c>
      <c r="G957" t="s">
        <v>13</v>
      </c>
      <c r="H957" s="1">
        <v>45948.25277777778</v>
      </c>
      <c r="I957" s="5">
        <f>INT(TB[[#This Row],[时间戳]])</f>
        <v>45948</v>
      </c>
      <c r="J957" s="2">
        <f>HOUR(TB[[#This Row],[时间戳]])</f>
        <v>6</v>
      </c>
      <c r="K957">
        <v>2588</v>
      </c>
      <c r="L957">
        <v>1</v>
      </c>
      <c r="M957">
        <f>TB[[#This Row],[售价]]*TB[[#This Row],[销量]]</f>
        <v>2588</v>
      </c>
      <c r="N957" t="str">
        <f>IF(TB[[#This Row],[售价]]&lt;1000,"低价商品",IF(TB[[#This Row],[售价]]&lt;5000,"中价商品",IF(TB[[#This Row],[售价]]&lt;10000,"高价商品","超高价商品")))</f>
        <v>中价商品</v>
      </c>
    </row>
    <row r="958" spans="1:14" x14ac:dyDescent="0.2">
      <c r="A958">
        <v>7</v>
      </c>
      <c r="B958">
        <v>278</v>
      </c>
      <c r="C958" t="s">
        <v>44</v>
      </c>
      <c r="D958" t="s">
        <v>161</v>
      </c>
      <c r="E958" t="s">
        <v>31</v>
      </c>
      <c r="F958">
        <v>4</v>
      </c>
      <c r="G958" t="s">
        <v>13</v>
      </c>
      <c r="H958" s="1">
        <v>45948.265972222223</v>
      </c>
      <c r="I958" s="5">
        <f>INT(TB[[#This Row],[时间戳]])</f>
        <v>45948</v>
      </c>
      <c r="J958" s="2">
        <f>HOUR(TB[[#This Row],[时间戳]])</f>
        <v>6</v>
      </c>
      <c r="K958">
        <v>135</v>
      </c>
      <c r="L958">
        <v>2</v>
      </c>
      <c r="M958">
        <f>TB[[#This Row],[售价]]*TB[[#This Row],[销量]]</f>
        <v>270</v>
      </c>
      <c r="N958" t="str">
        <f>IF(TB[[#This Row],[售价]]&lt;1000,"低价商品",IF(TB[[#This Row],[售价]]&lt;5000,"中价商品",IF(TB[[#This Row],[售价]]&lt;10000,"高价商品","超高价商品")))</f>
        <v>低价商品</v>
      </c>
    </row>
    <row r="959" spans="1:14" x14ac:dyDescent="0.2">
      <c r="A959">
        <v>323</v>
      </c>
      <c r="B959">
        <v>253</v>
      </c>
      <c r="C959" t="s">
        <v>34</v>
      </c>
      <c r="D959" t="s">
        <v>164</v>
      </c>
      <c r="E959" t="s">
        <v>22</v>
      </c>
      <c r="F959">
        <v>1</v>
      </c>
      <c r="G959" t="s">
        <v>13</v>
      </c>
      <c r="H959" s="1">
        <v>45948.267361111109</v>
      </c>
      <c r="I959" s="5">
        <f>INT(TB[[#This Row],[时间戳]])</f>
        <v>45948</v>
      </c>
      <c r="J959" s="2">
        <f>HOUR(TB[[#This Row],[时间戳]])</f>
        <v>6</v>
      </c>
      <c r="K959">
        <v>1392</v>
      </c>
      <c r="L959">
        <v>1</v>
      </c>
      <c r="M959">
        <f>TB[[#This Row],[售价]]*TB[[#This Row],[销量]]</f>
        <v>1392</v>
      </c>
      <c r="N959" t="str">
        <f>IF(TB[[#This Row],[售价]]&lt;1000,"低价商品",IF(TB[[#This Row],[售价]]&lt;5000,"中价商品",IF(TB[[#This Row],[售价]]&lt;10000,"高价商品","超高价商品")))</f>
        <v>中价商品</v>
      </c>
    </row>
    <row r="960" spans="1:14" x14ac:dyDescent="0.2">
      <c r="A960">
        <v>287</v>
      </c>
      <c r="B960">
        <v>204</v>
      </c>
      <c r="C960" t="s">
        <v>26</v>
      </c>
      <c r="D960" t="s">
        <v>160</v>
      </c>
      <c r="E960" t="s">
        <v>19</v>
      </c>
      <c r="F960">
        <v>3</v>
      </c>
      <c r="G960" t="s">
        <v>13</v>
      </c>
      <c r="H960" s="1">
        <v>45948.270138888889</v>
      </c>
      <c r="I960" s="5">
        <f>INT(TB[[#This Row],[时间戳]])</f>
        <v>45948</v>
      </c>
      <c r="J960" s="2">
        <f>HOUR(TB[[#This Row],[时间戳]])</f>
        <v>6</v>
      </c>
      <c r="K960">
        <v>3801</v>
      </c>
      <c r="L960">
        <v>1</v>
      </c>
      <c r="M960">
        <f>TB[[#This Row],[售价]]*TB[[#This Row],[销量]]</f>
        <v>3801</v>
      </c>
      <c r="N960" t="str">
        <f>IF(TB[[#This Row],[售价]]&lt;1000,"低价商品",IF(TB[[#This Row],[售价]]&lt;5000,"中价商品",IF(TB[[#This Row],[售价]]&lt;10000,"高价商品","超高价商品")))</f>
        <v>中价商品</v>
      </c>
    </row>
    <row r="961" spans="1:14" x14ac:dyDescent="0.2">
      <c r="A961">
        <v>56</v>
      </c>
      <c r="B961">
        <v>270</v>
      </c>
      <c r="C961" t="s">
        <v>46</v>
      </c>
      <c r="D961" t="s">
        <v>135</v>
      </c>
      <c r="E961" t="s">
        <v>22</v>
      </c>
      <c r="F961">
        <v>1</v>
      </c>
      <c r="G961" t="s">
        <v>13</v>
      </c>
      <c r="H961" s="1">
        <v>45948.295138888891</v>
      </c>
      <c r="I961" s="5">
        <f>INT(TB[[#This Row],[时间戳]])</f>
        <v>45948</v>
      </c>
      <c r="J961" s="2">
        <f>HOUR(TB[[#This Row],[时间戳]])</f>
        <v>7</v>
      </c>
      <c r="K961">
        <v>3003</v>
      </c>
      <c r="L961">
        <v>4</v>
      </c>
      <c r="M961">
        <f>TB[[#This Row],[售价]]*TB[[#This Row],[销量]]</f>
        <v>12012</v>
      </c>
      <c r="N961" t="str">
        <f>IF(TB[[#This Row],[售价]]&lt;1000,"低价商品",IF(TB[[#This Row],[售价]]&lt;5000,"中价商品",IF(TB[[#This Row],[售价]]&lt;10000,"高价商品","超高价商品")))</f>
        <v>中价商品</v>
      </c>
    </row>
    <row r="962" spans="1:14" x14ac:dyDescent="0.2">
      <c r="A962">
        <v>515</v>
      </c>
      <c r="B962">
        <v>178</v>
      </c>
      <c r="C962" t="s">
        <v>20</v>
      </c>
      <c r="D962" t="s">
        <v>319</v>
      </c>
      <c r="E962" t="s">
        <v>31</v>
      </c>
      <c r="F962">
        <v>4</v>
      </c>
      <c r="G962" t="s">
        <v>42</v>
      </c>
      <c r="H962" s="1">
        <v>45948.296527777777</v>
      </c>
      <c r="I962" s="5">
        <f>INT(TB[[#This Row],[时间戳]])</f>
        <v>45948</v>
      </c>
      <c r="J962" s="2">
        <f>HOUR(TB[[#This Row],[时间戳]])</f>
        <v>7</v>
      </c>
      <c r="K962">
        <v>960</v>
      </c>
      <c r="L962">
        <v>0</v>
      </c>
      <c r="M962">
        <f>TB[[#This Row],[售价]]*TB[[#This Row],[销量]]</f>
        <v>0</v>
      </c>
      <c r="N962" t="str">
        <f>IF(TB[[#This Row],[售价]]&lt;1000,"低价商品",IF(TB[[#This Row],[售价]]&lt;5000,"中价商品",IF(TB[[#This Row],[售价]]&lt;10000,"高价商品","超高价商品")))</f>
        <v>低价商品</v>
      </c>
    </row>
    <row r="963" spans="1:14" x14ac:dyDescent="0.2">
      <c r="A963">
        <v>124</v>
      </c>
      <c r="B963">
        <v>266</v>
      </c>
      <c r="C963" t="s">
        <v>26</v>
      </c>
      <c r="D963" t="s">
        <v>358</v>
      </c>
      <c r="E963" t="s">
        <v>16</v>
      </c>
      <c r="F963">
        <v>6</v>
      </c>
      <c r="G963" t="s">
        <v>13</v>
      </c>
      <c r="H963" s="1">
        <v>45948.313888888886</v>
      </c>
      <c r="I963" s="5">
        <f>INT(TB[[#This Row],[时间戳]])</f>
        <v>45948</v>
      </c>
      <c r="J963" s="2">
        <f>HOUR(TB[[#This Row],[时间戳]])</f>
        <v>7</v>
      </c>
      <c r="K963">
        <v>8601</v>
      </c>
      <c r="L963">
        <v>1</v>
      </c>
      <c r="M963">
        <f>TB[[#This Row],[售价]]*TB[[#This Row],[销量]]</f>
        <v>8601</v>
      </c>
      <c r="N963" t="str">
        <f>IF(TB[[#This Row],[售价]]&lt;1000,"低价商品",IF(TB[[#This Row],[售价]]&lt;5000,"中价商品",IF(TB[[#This Row],[售价]]&lt;10000,"高价商品","超高价商品")))</f>
        <v>高价商品</v>
      </c>
    </row>
    <row r="964" spans="1:14" x14ac:dyDescent="0.2">
      <c r="A964">
        <v>691</v>
      </c>
      <c r="B964">
        <v>108</v>
      </c>
      <c r="C964" t="s">
        <v>10</v>
      </c>
      <c r="D964" t="s">
        <v>376</v>
      </c>
      <c r="E964" t="s">
        <v>12</v>
      </c>
      <c r="F964">
        <v>2</v>
      </c>
      <c r="G964" t="s">
        <v>13</v>
      </c>
      <c r="H964" s="1">
        <v>45948.318749999999</v>
      </c>
      <c r="I964" s="5">
        <f>INT(TB[[#This Row],[时间戳]])</f>
        <v>45948</v>
      </c>
      <c r="J964" s="2">
        <f>HOUR(TB[[#This Row],[时间戳]])</f>
        <v>7</v>
      </c>
      <c r="K964">
        <v>11498</v>
      </c>
      <c r="L964">
        <v>3</v>
      </c>
      <c r="M964">
        <f>TB[[#This Row],[售价]]*TB[[#This Row],[销量]]</f>
        <v>34494</v>
      </c>
      <c r="N964" t="str">
        <f>IF(TB[[#This Row],[售价]]&lt;1000,"低价商品",IF(TB[[#This Row],[售价]]&lt;5000,"中价商品",IF(TB[[#This Row],[售价]]&lt;10000,"高价商品","超高价商品")))</f>
        <v>超高价商品</v>
      </c>
    </row>
    <row r="965" spans="1:14" x14ac:dyDescent="0.2">
      <c r="A965">
        <v>371</v>
      </c>
      <c r="B965">
        <v>133</v>
      </c>
      <c r="C965" t="s">
        <v>14</v>
      </c>
      <c r="D965" t="s">
        <v>235</v>
      </c>
      <c r="E965" t="s">
        <v>39</v>
      </c>
      <c r="F965">
        <v>5</v>
      </c>
      <c r="G965" t="s">
        <v>13</v>
      </c>
      <c r="H965" s="1">
        <v>45948.327777777777</v>
      </c>
      <c r="I965" s="5">
        <f>INT(TB[[#This Row],[时间戳]])</f>
        <v>45948</v>
      </c>
      <c r="J965" s="2">
        <f>HOUR(TB[[#This Row],[时间戳]])</f>
        <v>7</v>
      </c>
      <c r="K965">
        <v>2451</v>
      </c>
      <c r="L965">
        <v>1</v>
      </c>
      <c r="M965">
        <f>TB[[#This Row],[售价]]*TB[[#This Row],[销量]]</f>
        <v>2451</v>
      </c>
      <c r="N965" t="str">
        <f>IF(TB[[#This Row],[售价]]&lt;1000,"低价商品",IF(TB[[#This Row],[售价]]&lt;5000,"中价商品",IF(TB[[#This Row],[售价]]&lt;10000,"高价商品","超高价商品")))</f>
        <v>中价商品</v>
      </c>
    </row>
    <row r="966" spans="1:14" x14ac:dyDescent="0.2">
      <c r="A966">
        <v>276</v>
      </c>
      <c r="B966">
        <v>242</v>
      </c>
      <c r="C966" t="s">
        <v>36</v>
      </c>
      <c r="D966" t="s">
        <v>153</v>
      </c>
      <c r="E966" t="s">
        <v>31</v>
      </c>
      <c r="F966">
        <v>4</v>
      </c>
      <c r="G966" t="s">
        <v>13</v>
      </c>
      <c r="H966" s="1">
        <v>45948.334027777775</v>
      </c>
      <c r="I966" s="5">
        <f>INT(TB[[#This Row],[时间戳]])</f>
        <v>45948</v>
      </c>
      <c r="J966" s="2">
        <f>HOUR(TB[[#This Row],[时间戳]])</f>
        <v>8</v>
      </c>
      <c r="K966">
        <v>513</v>
      </c>
      <c r="L966">
        <v>4</v>
      </c>
      <c r="M966">
        <f>TB[[#This Row],[售价]]*TB[[#This Row],[销量]]</f>
        <v>2052</v>
      </c>
      <c r="N966" t="str">
        <f>IF(TB[[#This Row],[售价]]&lt;1000,"低价商品",IF(TB[[#This Row],[售价]]&lt;5000,"中价商品",IF(TB[[#This Row],[售价]]&lt;10000,"高价商品","超高价商品")))</f>
        <v>低价商品</v>
      </c>
    </row>
    <row r="967" spans="1:14" x14ac:dyDescent="0.2">
      <c r="A967">
        <v>435</v>
      </c>
      <c r="B967">
        <v>108</v>
      </c>
      <c r="C967" t="s">
        <v>26</v>
      </c>
      <c r="D967" t="s">
        <v>358</v>
      </c>
      <c r="E967" t="s">
        <v>16</v>
      </c>
      <c r="F967">
        <v>6</v>
      </c>
      <c r="G967" t="s">
        <v>13</v>
      </c>
      <c r="H967" s="1">
        <v>45948.342361111114</v>
      </c>
      <c r="I967" s="5">
        <f>INT(TB[[#This Row],[时间戳]])</f>
        <v>45948</v>
      </c>
      <c r="J967" s="2">
        <f>HOUR(TB[[#This Row],[时间戳]])</f>
        <v>8</v>
      </c>
      <c r="K967">
        <v>7608</v>
      </c>
      <c r="L967">
        <v>2</v>
      </c>
      <c r="M967">
        <f>TB[[#This Row],[售价]]*TB[[#This Row],[销量]]</f>
        <v>15216</v>
      </c>
      <c r="N967" t="str">
        <f>IF(TB[[#This Row],[售价]]&lt;1000,"低价商品",IF(TB[[#This Row],[售价]]&lt;5000,"中价商品",IF(TB[[#This Row],[售价]]&lt;10000,"高价商品","超高价商品")))</f>
        <v>高价商品</v>
      </c>
    </row>
    <row r="968" spans="1:14" x14ac:dyDescent="0.2">
      <c r="A968">
        <v>411</v>
      </c>
      <c r="B968">
        <v>144</v>
      </c>
      <c r="C968" t="s">
        <v>34</v>
      </c>
      <c r="D968" t="s">
        <v>248</v>
      </c>
      <c r="E968" t="s">
        <v>22</v>
      </c>
      <c r="F968">
        <v>1</v>
      </c>
      <c r="G968" t="s">
        <v>13</v>
      </c>
      <c r="H968" s="1">
        <v>45948.365972222222</v>
      </c>
      <c r="I968" s="5">
        <f>INT(TB[[#This Row],[时间戳]])</f>
        <v>45948</v>
      </c>
      <c r="J968" s="2">
        <f>HOUR(TB[[#This Row],[时间戳]])</f>
        <v>8</v>
      </c>
      <c r="K968">
        <v>4591</v>
      </c>
      <c r="L968">
        <v>3</v>
      </c>
      <c r="M968">
        <f>TB[[#This Row],[售价]]*TB[[#This Row],[销量]]</f>
        <v>13773</v>
      </c>
      <c r="N968" t="str">
        <f>IF(TB[[#This Row],[售价]]&lt;1000,"低价商品",IF(TB[[#This Row],[售价]]&lt;5000,"中价商品",IF(TB[[#This Row],[售价]]&lt;10000,"高价商品","超高价商品")))</f>
        <v>中价商品</v>
      </c>
    </row>
    <row r="969" spans="1:14" x14ac:dyDescent="0.2">
      <c r="A969">
        <v>590</v>
      </c>
      <c r="B969">
        <v>118</v>
      </c>
      <c r="C969" t="s">
        <v>46</v>
      </c>
      <c r="D969" t="s">
        <v>135</v>
      </c>
      <c r="E969" t="s">
        <v>22</v>
      </c>
      <c r="F969">
        <v>1</v>
      </c>
      <c r="G969" t="s">
        <v>13</v>
      </c>
      <c r="H969" s="1">
        <v>45948.37222222222</v>
      </c>
      <c r="I969" s="5">
        <f>INT(TB[[#This Row],[时间戳]])</f>
        <v>45948</v>
      </c>
      <c r="J969" s="2">
        <f>HOUR(TB[[#This Row],[时间戳]])</f>
        <v>8</v>
      </c>
      <c r="K969">
        <v>4584</v>
      </c>
      <c r="L969">
        <v>1</v>
      </c>
      <c r="M969">
        <f>TB[[#This Row],[售价]]*TB[[#This Row],[销量]]</f>
        <v>4584</v>
      </c>
      <c r="N969" t="str">
        <f>IF(TB[[#This Row],[售价]]&lt;1000,"低价商品",IF(TB[[#This Row],[售价]]&lt;5000,"中价商品",IF(TB[[#This Row],[售价]]&lt;10000,"高价商品","超高价商品")))</f>
        <v>中价商品</v>
      </c>
    </row>
    <row r="970" spans="1:14" x14ac:dyDescent="0.2">
      <c r="A970">
        <v>569</v>
      </c>
      <c r="B970">
        <v>222</v>
      </c>
      <c r="C970" t="s">
        <v>36</v>
      </c>
      <c r="D970" t="s">
        <v>366</v>
      </c>
      <c r="E970" t="s">
        <v>22</v>
      </c>
      <c r="F970">
        <v>1</v>
      </c>
      <c r="G970" t="s">
        <v>13</v>
      </c>
      <c r="H970" s="1">
        <v>45948.387499999997</v>
      </c>
      <c r="I970" s="5">
        <f>INT(TB[[#This Row],[时间戳]])</f>
        <v>45948</v>
      </c>
      <c r="J970" s="2">
        <f>HOUR(TB[[#This Row],[时间戳]])</f>
        <v>9</v>
      </c>
      <c r="K970">
        <v>7520</v>
      </c>
      <c r="L970">
        <v>1</v>
      </c>
      <c r="M970">
        <f>TB[[#This Row],[售价]]*TB[[#This Row],[销量]]</f>
        <v>7520</v>
      </c>
      <c r="N970" t="str">
        <f>IF(TB[[#This Row],[售价]]&lt;1000,"低价商品",IF(TB[[#This Row],[售价]]&lt;5000,"中价商品",IF(TB[[#This Row],[售价]]&lt;10000,"高价商品","超高价商品")))</f>
        <v>高价商品</v>
      </c>
    </row>
    <row r="971" spans="1:14" x14ac:dyDescent="0.2">
      <c r="A971">
        <v>485</v>
      </c>
      <c r="B971">
        <v>5</v>
      </c>
      <c r="C971" t="s">
        <v>26</v>
      </c>
      <c r="D971" t="s">
        <v>360</v>
      </c>
      <c r="E971" t="s">
        <v>19</v>
      </c>
      <c r="F971">
        <v>3</v>
      </c>
      <c r="G971" t="s">
        <v>13</v>
      </c>
      <c r="H971" s="1">
        <v>45948.399305555555</v>
      </c>
      <c r="I971" s="5">
        <f>INT(TB[[#This Row],[时间戳]])</f>
        <v>45948</v>
      </c>
      <c r="J971" s="2">
        <f>HOUR(TB[[#This Row],[时间戳]])</f>
        <v>9</v>
      </c>
      <c r="K971">
        <v>4520</v>
      </c>
      <c r="L971">
        <v>3</v>
      </c>
      <c r="M971">
        <f>TB[[#This Row],[售价]]*TB[[#This Row],[销量]]</f>
        <v>13560</v>
      </c>
      <c r="N971" t="str">
        <f>IF(TB[[#This Row],[售价]]&lt;1000,"低价商品",IF(TB[[#This Row],[售价]]&lt;5000,"中价商品",IF(TB[[#This Row],[售价]]&lt;10000,"高价商品","超高价商品")))</f>
        <v>中价商品</v>
      </c>
    </row>
    <row r="972" spans="1:14" x14ac:dyDescent="0.2">
      <c r="A972">
        <v>646</v>
      </c>
      <c r="B972">
        <v>265</v>
      </c>
      <c r="C972" t="s">
        <v>44</v>
      </c>
      <c r="D972" t="s">
        <v>195</v>
      </c>
      <c r="E972" t="s">
        <v>22</v>
      </c>
      <c r="F972">
        <v>1</v>
      </c>
      <c r="G972" t="s">
        <v>13</v>
      </c>
      <c r="H972" s="1">
        <v>45948.419444444444</v>
      </c>
      <c r="I972" s="5">
        <f>INT(TB[[#This Row],[时间戳]])</f>
        <v>45948</v>
      </c>
      <c r="J972" s="2">
        <f>HOUR(TB[[#This Row],[时间戳]])</f>
        <v>10</v>
      </c>
      <c r="K972">
        <v>2461</v>
      </c>
      <c r="L972">
        <v>2</v>
      </c>
      <c r="M972">
        <f>TB[[#This Row],[售价]]*TB[[#This Row],[销量]]</f>
        <v>4922</v>
      </c>
      <c r="N972" t="str">
        <f>IF(TB[[#This Row],[售价]]&lt;1000,"低价商品",IF(TB[[#This Row],[售价]]&lt;5000,"中价商品",IF(TB[[#This Row],[售价]]&lt;10000,"高价商品","超高价商品")))</f>
        <v>中价商品</v>
      </c>
    </row>
    <row r="973" spans="1:14" x14ac:dyDescent="0.2">
      <c r="A973">
        <v>308</v>
      </c>
      <c r="B973">
        <v>129</v>
      </c>
      <c r="C973" t="s">
        <v>34</v>
      </c>
      <c r="D973" t="s">
        <v>311</v>
      </c>
      <c r="E973" t="s">
        <v>19</v>
      </c>
      <c r="F973">
        <v>3</v>
      </c>
      <c r="G973" t="s">
        <v>13</v>
      </c>
      <c r="H973" s="1">
        <v>45948.470138888886</v>
      </c>
      <c r="I973" s="5">
        <f>INT(TB[[#This Row],[时间戳]])</f>
        <v>45948</v>
      </c>
      <c r="J973" s="2">
        <f>HOUR(TB[[#This Row],[时间戳]])</f>
        <v>11</v>
      </c>
      <c r="K973">
        <v>6000</v>
      </c>
      <c r="L973">
        <v>2</v>
      </c>
      <c r="M973">
        <f>TB[[#This Row],[售价]]*TB[[#This Row],[销量]]</f>
        <v>12000</v>
      </c>
      <c r="N973" t="str">
        <f>IF(TB[[#This Row],[售价]]&lt;1000,"低价商品",IF(TB[[#This Row],[售价]]&lt;5000,"中价商品",IF(TB[[#This Row],[售价]]&lt;10000,"高价商品","超高价商品")))</f>
        <v>高价商品</v>
      </c>
    </row>
    <row r="974" spans="1:14" x14ac:dyDescent="0.2">
      <c r="A974">
        <v>102</v>
      </c>
      <c r="B974">
        <v>84</v>
      </c>
      <c r="C974" t="s">
        <v>10</v>
      </c>
      <c r="D974" t="s">
        <v>183</v>
      </c>
      <c r="E974" t="s">
        <v>22</v>
      </c>
      <c r="F974">
        <v>1</v>
      </c>
      <c r="G974" t="s">
        <v>13</v>
      </c>
      <c r="H974" s="1">
        <v>45948.494444444441</v>
      </c>
      <c r="I974" s="5">
        <f>INT(TB[[#This Row],[时间戳]])</f>
        <v>45948</v>
      </c>
      <c r="J974" s="2">
        <f>HOUR(TB[[#This Row],[时间戳]])</f>
        <v>11</v>
      </c>
      <c r="K974">
        <v>5695</v>
      </c>
      <c r="L974">
        <v>1</v>
      </c>
      <c r="M974">
        <f>TB[[#This Row],[售价]]*TB[[#This Row],[销量]]</f>
        <v>5695</v>
      </c>
      <c r="N974" t="str">
        <f>IF(TB[[#This Row],[售价]]&lt;1000,"低价商品",IF(TB[[#This Row],[售价]]&lt;5000,"中价商品",IF(TB[[#This Row],[售价]]&lt;10000,"高价商品","超高价商品")))</f>
        <v>高价商品</v>
      </c>
    </row>
    <row r="975" spans="1:14" x14ac:dyDescent="0.2">
      <c r="A975">
        <v>645</v>
      </c>
      <c r="B975">
        <v>50</v>
      </c>
      <c r="C975" t="s">
        <v>36</v>
      </c>
      <c r="D975" t="s">
        <v>83</v>
      </c>
      <c r="E975" t="s">
        <v>22</v>
      </c>
      <c r="F975">
        <v>1</v>
      </c>
      <c r="G975" t="s">
        <v>13</v>
      </c>
      <c r="H975" s="1">
        <v>45948.499305555553</v>
      </c>
      <c r="I975" s="5">
        <f>INT(TB[[#This Row],[时间戳]])</f>
        <v>45948</v>
      </c>
      <c r="J975" s="2">
        <f>HOUR(TB[[#This Row],[时间戳]])</f>
        <v>11</v>
      </c>
      <c r="K975">
        <v>1401</v>
      </c>
      <c r="L975">
        <v>1</v>
      </c>
      <c r="M975">
        <f>TB[[#This Row],[售价]]*TB[[#This Row],[销量]]</f>
        <v>1401</v>
      </c>
      <c r="N975" t="str">
        <f>IF(TB[[#This Row],[售价]]&lt;1000,"低价商品",IF(TB[[#This Row],[售价]]&lt;5000,"中价商品",IF(TB[[#This Row],[售价]]&lt;10000,"高价商品","超高价商品")))</f>
        <v>中价商品</v>
      </c>
    </row>
    <row r="976" spans="1:14" x14ac:dyDescent="0.2">
      <c r="A976">
        <v>370</v>
      </c>
      <c r="B976">
        <v>185</v>
      </c>
      <c r="C976" t="s">
        <v>34</v>
      </c>
      <c r="D976" t="s">
        <v>86</v>
      </c>
      <c r="E976" t="s">
        <v>12</v>
      </c>
      <c r="F976">
        <v>2</v>
      </c>
      <c r="G976" t="s">
        <v>13</v>
      </c>
      <c r="H976" s="1">
        <v>45948.499305555553</v>
      </c>
      <c r="I976" s="5">
        <f>INT(TB[[#This Row],[时间戳]])</f>
        <v>45948</v>
      </c>
      <c r="J976" s="2">
        <f>HOUR(TB[[#This Row],[时间戳]])</f>
        <v>11</v>
      </c>
      <c r="K976">
        <v>11551</v>
      </c>
      <c r="L976">
        <v>3</v>
      </c>
      <c r="M976">
        <f>TB[[#This Row],[售价]]*TB[[#This Row],[销量]]</f>
        <v>34653</v>
      </c>
      <c r="N976" t="str">
        <f>IF(TB[[#This Row],[售价]]&lt;1000,"低价商品",IF(TB[[#This Row],[售价]]&lt;5000,"中价商品",IF(TB[[#This Row],[售价]]&lt;10000,"高价商品","超高价商品")))</f>
        <v>超高价商品</v>
      </c>
    </row>
    <row r="977" spans="1:14" x14ac:dyDescent="0.2">
      <c r="A977">
        <v>21</v>
      </c>
      <c r="B977">
        <v>211</v>
      </c>
      <c r="C977" t="s">
        <v>36</v>
      </c>
      <c r="D977" t="s">
        <v>377</v>
      </c>
      <c r="E977" t="s">
        <v>12</v>
      </c>
      <c r="F977">
        <v>2</v>
      </c>
      <c r="G977" t="s">
        <v>13</v>
      </c>
      <c r="H977" s="1">
        <v>45948.505555555559</v>
      </c>
      <c r="I977" s="5">
        <f>INT(TB[[#This Row],[时间戳]])</f>
        <v>45948</v>
      </c>
      <c r="J977" s="2">
        <f>HOUR(TB[[#This Row],[时间戳]])</f>
        <v>12</v>
      </c>
      <c r="K977">
        <v>13265</v>
      </c>
      <c r="L977">
        <v>2</v>
      </c>
      <c r="M977">
        <f>TB[[#This Row],[售价]]*TB[[#This Row],[销量]]</f>
        <v>26530</v>
      </c>
      <c r="N977" t="str">
        <f>IF(TB[[#This Row],[售价]]&lt;1000,"低价商品",IF(TB[[#This Row],[售价]]&lt;5000,"中价商品",IF(TB[[#This Row],[售价]]&lt;10000,"高价商品","超高价商品")))</f>
        <v>超高价商品</v>
      </c>
    </row>
    <row r="978" spans="1:14" x14ac:dyDescent="0.2">
      <c r="A978">
        <v>591</v>
      </c>
      <c r="B978">
        <v>295</v>
      </c>
      <c r="C978" t="s">
        <v>46</v>
      </c>
      <c r="D978" t="s">
        <v>341</v>
      </c>
      <c r="E978" t="s">
        <v>31</v>
      </c>
      <c r="F978">
        <v>4</v>
      </c>
      <c r="G978" t="s">
        <v>13</v>
      </c>
      <c r="H978" s="1">
        <v>45948.521527777775</v>
      </c>
      <c r="I978" s="5">
        <f>INT(TB[[#This Row],[时间戳]])</f>
        <v>45948</v>
      </c>
      <c r="J978" s="2">
        <f>HOUR(TB[[#This Row],[时间戳]])</f>
        <v>12</v>
      </c>
      <c r="K978">
        <v>277</v>
      </c>
      <c r="L978">
        <v>2</v>
      </c>
      <c r="M978">
        <f>TB[[#This Row],[售价]]*TB[[#This Row],[销量]]</f>
        <v>554</v>
      </c>
      <c r="N978" t="str">
        <f>IF(TB[[#This Row],[售价]]&lt;1000,"低价商品",IF(TB[[#This Row],[售价]]&lt;5000,"中价商品",IF(TB[[#This Row],[售价]]&lt;10000,"高价商品","超高价商品")))</f>
        <v>低价商品</v>
      </c>
    </row>
    <row r="979" spans="1:14" x14ac:dyDescent="0.2">
      <c r="A979">
        <v>333</v>
      </c>
      <c r="B979">
        <v>262</v>
      </c>
      <c r="C979" t="s">
        <v>36</v>
      </c>
      <c r="D979" t="s">
        <v>304</v>
      </c>
      <c r="E979" t="s">
        <v>16</v>
      </c>
      <c r="F979">
        <v>6</v>
      </c>
      <c r="G979" t="s">
        <v>13</v>
      </c>
      <c r="H979" s="1">
        <v>45948.522916666669</v>
      </c>
      <c r="I979" s="5">
        <f>INT(TB[[#This Row],[时间戳]])</f>
        <v>45948</v>
      </c>
      <c r="J979" s="2">
        <f>HOUR(TB[[#This Row],[时间戳]])</f>
        <v>12</v>
      </c>
      <c r="K979">
        <v>10710</v>
      </c>
      <c r="L979">
        <v>1</v>
      </c>
      <c r="M979">
        <f>TB[[#This Row],[售价]]*TB[[#This Row],[销量]]</f>
        <v>10710</v>
      </c>
      <c r="N979" t="str">
        <f>IF(TB[[#This Row],[售价]]&lt;1000,"低价商品",IF(TB[[#This Row],[售价]]&lt;5000,"中价商品",IF(TB[[#This Row],[售价]]&lt;10000,"高价商品","超高价商品")))</f>
        <v>超高价商品</v>
      </c>
    </row>
    <row r="980" spans="1:14" x14ac:dyDescent="0.2">
      <c r="A980">
        <v>391</v>
      </c>
      <c r="B980">
        <v>147</v>
      </c>
      <c r="C980" t="s">
        <v>44</v>
      </c>
      <c r="D980" t="s">
        <v>222</v>
      </c>
      <c r="E980" t="s">
        <v>12</v>
      </c>
      <c r="F980">
        <v>2</v>
      </c>
      <c r="G980" t="s">
        <v>13</v>
      </c>
      <c r="H980" s="1">
        <v>45948.535416666666</v>
      </c>
      <c r="I980" s="5">
        <f>INT(TB[[#This Row],[时间戳]])</f>
        <v>45948</v>
      </c>
      <c r="J980" s="2">
        <f>HOUR(TB[[#This Row],[时间戳]])</f>
        <v>12</v>
      </c>
      <c r="K980">
        <v>12183</v>
      </c>
      <c r="L980">
        <v>1</v>
      </c>
      <c r="M980">
        <f>TB[[#This Row],[售价]]*TB[[#This Row],[销量]]</f>
        <v>12183</v>
      </c>
      <c r="N980" t="str">
        <f>IF(TB[[#This Row],[售价]]&lt;1000,"低价商品",IF(TB[[#This Row],[售价]]&lt;5000,"中价商品",IF(TB[[#This Row],[售价]]&lt;10000,"高价商品","超高价商品")))</f>
        <v>超高价商品</v>
      </c>
    </row>
    <row r="981" spans="1:14" x14ac:dyDescent="0.2">
      <c r="A981">
        <v>656</v>
      </c>
      <c r="B981">
        <v>173</v>
      </c>
      <c r="C981" t="s">
        <v>26</v>
      </c>
      <c r="D981" t="s">
        <v>345</v>
      </c>
      <c r="E981" t="s">
        <v>12</v>
      </c>
      <c r="F981">
        <v>2</v>
      </c>
      <c r="G981" t="s">
        <v>13</v>
      </c>
      <c r="H981" s="1">
        <v>45948.552083333336</v>
      </c>
      <c r="I981" s="5">
        <f>INT(TB[[#This Row],[时间戳]])</f>
        <v>45948</v>
      </c>
      <c r="J981" s="2">
        <f>HOUR(TB[[#This Row],[时间戳]])</f>
        <v>13</v>
      </c>
      <c r="K981">
        <v>11721</v>
      </c>
      <c r="L981">
        <v>3</v>
      </c>
      <c r="M981">
        <f>TB[[#This Row],[售价]]*TB[[#This Row],[销量]]</f>
        <v>35163</v>
      </c>
      <c r="N981" t="str">
        <f>IF(TB[[#This Row],[售价]]&lt;1000,"低价商品",IF(TB[[#This Row],[售价]]&lt;5000,"中价商品",IF(TB[[#This Row],[售价]]&lt;10000,"高价商品","超高价商品")))</f>
        <v>超高价商品</v>
      </c>
    </row>
    <row r="982" spans="1:14" x14ac:dyDescent="0.2">
      <c r="A982">
        <v>415</v>
      </c>
      <c r="B982">
        <v>37</v>
      </c>
      <c r="C982" t="s">
        <v>46</v>
      </c>
      <c r="D982" t="s">
        <v>150</v>
      </c>
      <c r="E982" t="s">
        <v>25</v>
      </c>
      <c r="F982">
        <v>7</v>
      </c>
      <c r="G982" t="s">
        <v>13</v>
      </c>
      <c r="H982" s="1">
        <v>45948.55972222222</v>
      </c>
      <c r="I982" s="5">
        <f>INT(TB[[#This Row],[时间戳]])</f>
        <v>45948</v>
      </c>
      <c r="J982" s="2">
        <f>HOUR(TB[[#This Row],[时间戳]])</f>
        <v>13</v>
      </c>
      <c r="K982">
        <v>5078</v>
      </c>
      <c r="L982">
        <v>2</v>
      </c>
      <c r="M982">
        <f>TB[[#This Row],[售价]]*TB[[#This Row],[销量]]</f>
        <v>10156</v>
      </c>
      <c r="N982" t="str">
        <f>IF(TB[[#This Row],[售价]]&lt;1000,"低价商品",IF(TB[[#This Row],[售价]]&lt;5000,"中价商品",IF(TB[[#This Row],[售价]]&lt;10000,"高价商品","超高价商品")))</f>
        <v>高价商品</v>
      </c>
    </row>
    <row r="983" spans="1:14" x14ac:dyDescent="0.2">
      <c r="A983">
        <v>322</v>
      </c>
      <c r="B983">
        <v>163</v>
      </c>
      <c r="C983" t="s">
        <v>34</v>
      </c>
      <c r="D983" t="s">
        <v>175</v>
      </c>
      <c r="E983" t="s">
        <v>22</v>
      </c>
      <c r="F983">
        <v>1</v>
      </c>
      <c r="G983" t="s">
        <v>42</v>
      </c>
      <c r="H983" s="1">
        <v>45948.586805555555</v>
      </c>
      <c r="I983" s="5">
        <f>INT(TB[[#This Row],[时间戳]])</f>
        <v>45948</v>
      </c>
      <c r="J983" s="2">
        <f>HOUR(TB[[#This Row],[时间戳]])</f>
        <v>14</v>
      </c>
      <c r="K983">
        <v>1530</v>
      </c>
      <c r="L983">
        <v>0</v>
      </c>
      <c r="M983">
        <f>TB[[#This Row],[售价]]*TB[[#This Row],[销量]]</f>
        <v>0</v>
      </c>
      <c r="N983" t="str">
        <f>IF(TB[[#This Row],[售价]]&lt;1000,"低价商品",IF(TB[[#This Row],[售价]]&lt;5000,"中价商品",IF(TB[[#This Row],[售价]]&lt;10000,"高价商品","超高价商品")))</f>
        <v>中价商品</v>
      </c>
    </row>
    <row r="984" spans="1:14" x14ac:dyDescent="0.2">
      <c r="A984">
        <v>661</v>
      </c>
      <c r="B984">
        <v>203</v>
      </c>
      <c r="C984" t="s">
        <v>36</v>
      </c>
      <c r="D984" t="s">
        <v>54</v>
      </c>
      <c r="E984" t="s">
        <v>12</v>
      </c>
      <c r="F984">
        <v>2</v>
      </c>
      <c r="G984" t="s">
        <v>13</v>
      </c>
      <c r="H984" s="1">
        <v>45948.588888888888</v>
      </c>
      <c r="I984" s="5">
        <f>INT(TB[[#This Row],[时间戳]])</f>
        <v>45948</v>
      </c>
      <c r="J984" s="2">
        <f>HOUR(TB[[#This Row],[时间戳]])</f>
        <v>14</v>
      </c>
      <c r="K984">
        <v>14647</v>
      </c>
      <c r="L984">
        <v>2</v>
      </c>
      <c r="M984">
        <f>TB[[#This Row],[售价]]*TB[[#This Row],[销量]]</f>
        <v>29294</v>
      </c>
      <c r="N984" t="str">
        <f>IF(TB[[#This Row],[售价]]&lt;1000,"低价商品",IF(TB[[#This Row],[售价]]&lt;5000,"中价商品",IF(TB[[#This Row],[售价]]&lt;10000,"高价商品","超高价商品")))</f>
        <v>超高价商品</v>
      </c>
    </row>
    <row r="985" spans="1:14" x14ac:dyDescent="0.2">
      <c r="A985">
        <v>534</v>
      </c>
      <c r="B985">
        <v>231</v>
      </c>
      <c r="C985" t="s">
        <v>34</v>
      </c>
      <c r="D985" t="s">
        <v>168</v>
      </c>
      <c r="E985" t="s">
        <v>19</v>
      </c>
      <c r="F985">
        <v>3</v>
      </c>
      <c r="G985" t="s">
        <v>13</v>
      </c>
      <c r="H985" s="1">
        <v>45948.590277777781</v>
      </c>
      <c r="I985" s="5">
        <f>INT(TB[[#This Row],[时间戳]])</f>
        <v>45948</v>
      </c>
      <c r="J985" s="2">
        <f>HOUR(TB[[#This Row],[时间戳]])</f>
        <v>14</v>
      </c>
      <c r="K985">
        <v>3749</v>
      </c>
      <c r="L985">
        <v>1</v>
      </c>
      <c r="M985">
        <f>TB[[#This Row],[售价]]*TB[[#This Row],[销量]]</f>
        <v>3749</v>
      </c>
      <c r="N985" t="str">
        <f>IF(TB[[#This Row],[售价]]&lt;1000,"低价商品",IF(TB[[#This Row],[售价]]&lt;5000,"中价商品",IF(TB[[#This Row],[售价]]&lt;10000,"高价商品","超高价商品")))</f>
        <v>中价商品</v>
      </c>
    </row>
    <row r="986" spans="1:14" x14ac:dyDescent="0.2">
      <c r="A986">
        <v>129</v>
      </c>
      <c r="B986">
        <v>121</v>
      </c>
      <c r="C986" t="s">
        <v>26</v>
      </c>
      <c r="D986" t="s">
        <v>225</v>
      </c>
      <c r="E986" t="s">
        <v>31</v>
      </c>
      <c r="F986">
        <v>4</v>
      </c>
      <c r="G986" t="s">
        <v>42</v>
      </c>
      <c r="H986" s="1">
        <v>45948.614583333336</v>
      </c>
      <c r="I986" s="5">
        <f>INT(TB[[#This Row],[时间戳]])</f>
        <v>45948</v>
      </c>
      <c r="J986" s="2">
        <f>HOUR(TB[[#This Row],[时间戳]])</f>
        <v>14</v>
      </c>
      <c r="K986">
        <v>782</v>
      </c>
      <c r="L986">
        <v>0</v>
      </c>
      <c r="M986">
        <f>TB[[#This Row],[售价]]*TB[[#This Row],[销量]]</f>
        <v>0</v>
      </c>
      <c r="N986" t="str">
        <f>IF(TB[[#This Row],[售价]]&lt;1000,"低价商品",IF(TB[[#This Row],[售价]]&lt;5000,"中价商品",IF(TB[[#This Row],[售价]]&lt;10000,"高价商品","超高价商品")))</f>
        <v>低价商品</v>
      </c>
    </row>
    <row r="987" spans="1:14" x14ac:dyDescent="0.2">
      <c r="A987">
        <v>171</v>
      </c>
      <c r="B987">
        <v>204</v>
      </c>
      <c r="C987" t="s">
        <v>14</v>
      </c>
      <c r="D987" t="s">
        <v>49</v>
      </c>
      <c r="E987" t="s">
        <v>22</v>
      </c>
      <c r="F987">
        <v>1</v>
      </c>
      <c r="G987" t="s">
        <v>13</v>
      </c>
      <c r="H987" s="1">
        <v>45948.627083333333</v>
      </c>
      <c r="I987" s="5">
        <f>INT(TB[[#This Row],[时间戳]])</f>
        <v>45948</v>
      </c>
      <c r="J987" s="2">
        <f>HOUR(TB[[#This Row],[时间戳]])</f>
        <v>15</v>
      </c>
      <c r="K987">
        <v>6351</v>
      </c>
      <c r="L987">
        <v>3</v>
      </c>
      <c r="M987">
        <f>TB[[#This Row],[售价]]*TB[[#This Row],[销量]]</f>
        <v>19053</v>
      </c>
      <c r="N987" t="str">
        <f>IF(TB[[#This Row],[售价]]&lt;1000,"低价商品",IF(TB[[#This Row],[售价]]&lt;5000,"中价商品",IF(TB[[#This Row],[售价]]&lt;10000,"高价商品","超高价商品")))</f>
        <v>高价商品</v>
      </c>
    </row>
    <row r="988" spans="1:14" x14ac:dyDescent="0.2">
      <c r="A988">
        <v>562</v>
      </c>
      <c r="B988">
        <v>28</v>
      </c>
      <c r="C988" t="s">
        <v>14</v>
      </c>
      <c r="D988" t="s">
        <v>106</v>
      </c>
      <c r="E988" t="s">
        <v>22</v>
      </c>
      <c r="F988">
        <v>1</v>
      </c>
      <c r="G988" t="s">
        <v>13</v>
      </c>
      <c r="H988" s="1">
        <v>45948.648611111108</v>
      </c>
      <c r="I988" s="5">
        <f>INT(TB[[#This Row],[时间戳]])</f>
        <v>45948</v>
      </c>
      <c r="J988" s="2">
        <f>HOUR(TB[[#This Row],[时间戳]])</f>
        <v>15</v>
      </c>
      <c r="K988">
        <v>1691</v>
      </c>
      <c r="L988">
        <v>1</v>
      </c>
      <c r="M988">
        <f>TB[[#This Row],[售价]]*TB[[#This Row],[销量]]</f>
        <v>1691</v>
      </c>
      <c r="N988" t="str">
        <f>IF(TB[[#This Row],[售价]]&lt;1000,"低价商品",IF(TB[[#This Row],[售价]]&lt;5000,"中价商品",IF(TB[[#This Row],[售价]]&lt;10000,"高价商品","超高价商品")))</f>
        <v>中价商品</v>
      </c>
    </row>
    <row r="989" spans="1:14" x14ac:dyDescent="0.2">
      <c r="A989">
        <v>784</v>
      </c>
      <c r="B989">
        <v>43</v>
      </c>
      <c r="C989" t="s">
        <v>17</v>
      </c>
      <c r="D989" t="s">
        <v>198</v>
      </c>
      <c r="E989" t="s">
        <v>19</v>
      </c>
      <c r="F989">
        <v>3</v>
      </c>
      <c r="G989" t="s">
        <v>13</v>
      </c>
      <c r="H989" s="1">
        <v>45948.65902777778</v>
      </c>
      <c r="I989" s="5">
        <f>INT(TB[[#This Row],[时间戳]])</f>
        <v>45948</v>
      </c>
      <c r="J989" s="2">
        <f>HOUR(TB[[#This Row],[时间戳]])</f>
        <v>15</v>
      </c>
      <c r="K989">
        <v>1909</v>
      </c>
      <c r="L989">
        <v>1</v>
      </c>
      <c r="M989">
        <f>TB[[#This Row],[售价]]*TB[[#This Row],[销量]]</f>
        <v>1909</v>
      </c>
      <c r="N989" t="str">
        <f>IF(TB[[#This Row],[售价]]&lt;1000,"低价商品",IF(TB[[#This Row],[售价]]&lt;5000,"中价商品",IF(TB[[#This Row],[售价]]&lt;10000,"高价商品","超高价商品")))</f>
        <v>中价商品</v>
      </c>
    </row>
    <row r="990" spans="1:14" x14ac:dyDescent="0.2">
      <c r="A990">
        <v>87</v>
      </c>
      <c r="B990">
        <v>200</v>
      </c>
      <c r="C990" t="s">
        <v>46</v>
      </c>
      <c r="D990" t="s">
        <v>378</v>
      </c>
      <c r="E990" t="s">
        <v>19</v>
      </c>
      <c r="F990">
        <v>3</v>
      </c>
      <c r="G990" t="s">
        <v>42</v>
      </c>
      <c r="H990" s="1">
        <v>45948.663888888892</v>
      </c>
      <c r="I990" s="5">
        <f>INT(TB[[#This Row],[时间戳]])</f>
        <v>45948</v>
      </c>
      <c r="J990" s="2">
        <f>HOUR(TB[[#This Row],[时间戳]])</f>
        <v>15</v>
      </c>
      <c r="K990">
        <v>2285</v>
      </c>
      <c r="L990">
        <v>0</v>
      </c>
      <c r="M990">
        <f>TB[[#This Row],[售价]]*TB[[#This Row],[销量]]</f>
        <v>0</v>
      </c>
      <c r="N990" t="str">
        <f>IF(TB[[#This Row],[售价]]&lt;1000,"低价商品",IF(TB[[#This Row],[售价]]&lt;5000,"中价商品",IF(TB[[#This Row],[售价]]&lt;10000,"高价商品","超高价商品")))</f>
        <v>中价商品</v>
      </c>
    </row>
    <row r="991" spans="1:14" x14ac:dyDescent="0.2">
      <c r="A991">
        <v>454</v>
      </c>
      <c r="B991">
        <v>65</v>
      </c>
      <c r="C991" t="s">
        <v>32</v>
      </c>
      <c r="D991" t="s">
        <v>107</v>
      </c>
      <c r="E991" t="s">
        <v>31</v>
      </c>
      <c r="F991">
        <v>4</v>
      </c>
      <c r="G991" t="s">
        <v>13</v>
      </c>
      <c r="H991" s="1">
        <v>45948.695138888892</v>
      </c>
      <c r="I991" s="5">
        <f>INT(TB[[#This Row],[时间戳]])</f>
        <v>45948</v>
      </c>
      <c r="J991" s="2">
        <f>HOUR(TB[[#This Row],[时间戳]])</f>
        <v>16</v>
      </c>
      <c r="K991">
        <v>600</v>
      </c>
      <c r="L991">
        <v>3</v>
      </c>
      <c r="M991">
        <f>TB[[#This Row],[售价]]*TB[[#This Row],[销量]]</f>
        <v>1800</v>
      </c>
      <c r="N991" t="str">
        <f>IF(TB[[#This Row],[售价]]&lt;1000,"低价商品",IF(TB[[#This Row],[售价]]&lt;5000,"中价商品",IF(TB[[#This Row],[售价]]&lt;10000,"高价商品","超高价商品")))</f>
        <v>低价商品</v>
      </c>
    </row>
    <row r="992" spans="1:14" x14ac:dyDescent="0.2">
      <c r="A992">
        <v>36</v>
      </c>
      <c r="B992">
        <v>183</v>
      </c>
      <c r="C992" t="s">
        <v>26</v>
      </c>
      <c r="D992" t="s">
        <v>131</v>
      </c>
      <c r="E992" t="s">
        <v>22</v>
      </c>
      <c r="F992">
        <v>1</v>
      </c>
      <c r="G992" t="s">
        <v>13</v>
      </c>
      <c r="H992" s="1">
        <v>45948.724999999999</v>
      </c>
      <c r="I992" s="5">
        <f>INT(TB[[#This Row],[时间戳]])</f>
        <v>45948</v>
      </c>
      <c r="J992" s="2">
        <f>HOUR(TB[[#This Row],[时间戳]])</f>
        <v>17</v>
      </c>
      <c r="K992">
        <v>2144</v>
      </c>
      <c r="L992">
        <v>3</v>
      </c>
      <c r="M992">
        <f>TB[[#This Row],[售价]]*TB[[#This Row],[销量]]</f>
        <v>6432</v>
      </c>
      <c r="N992" t="str">
        <f>IF(TB[[#This Row],[售价]]&lt;1000,"低价商品",IF(TB[[#This Row],[售价]]&lt;5000,"中价商品",IF(TB[[#This Row],[售价]]&lt;10000,"高价商品","超高价商品")))</f>
        <v>中价商品</v>
      </c>
    </row>
    <row r="993" spans="1:14" x14ac:dyDescent="0.2">
      <c r="A993">
        <v>279</v>
      </c>
      <c r="B993">
        <v>281</v>
      </c>
      <c r="C993" t="s">
        <v>44</v>
      </c>
      <c r="D993" t="s">
        <v>161</v>
      </c>
      <c r="E993" t="s">
        <v>31</v>
      </c>
      <c r="F993">
        <v>4</v>
      </c>
      <c r="G993" t="s">
        <v>13</v>
      </c>
      <c r="H993" s="1">
        <v>45948.746527777781</v>
      </c>
      <c r="I993" s="5">
        <f>INT(TB[[#This Row],[时间戳]])</f>
        <v>45948</v>
      </c>
      <c r="J993" s="2">
        <f>HOUR(TB[[#This Row],[时间戳]])</f>
        <v>17</v>
      </c>
      <c r="K993">
        <v>759</v>
      </c>
      <c r="L993">
        <v>2</v>
      </c>
      <c r="M993">
        <f>TB[[#This Row],[售价]]*TB[[#This Row],[销量]]</f>
        <v>1518</v>
      </c>
      <c r="N993" t="str">
        <f>IF(TB[[#This Row],[售价]]&lt;1000,"低价商品",IF(TB[[#This Row],[售价]]&lt;5000,"中价商品",IF(TB[[#This Row],[售价]]&lt;10000,"高价商品","超高价商品")))</f>
        <v>低价商品</v>
      </c>
    </row>
    <row r="994" spans="1:14" x14ac:dyDescent="0.2">
      <c r="A994">
        <v>606</v>
      </c>
      <c r="B994">
        <v>234</v>
      </c>
      <c r="C994" t="s">
        <v>20</v>
      </c>
      <c r="D994" t="s">
        <v>64</v>
      </c>
      <c r="E994" t="s">
        <v>31</v>
      </c>
      <c r="F994">
        <v>4</v>
      </c>
      <c r="G994" t="s">
        <v>13</v>
      </c>
      <c r="H994" s="1">
        <v>45948.75277777778</v>
      </c>
      <c r="I994" s="5">
        <f>INT(TB[[#This Row],[时间戳]])</f>
        <v>45948</v>
      </c>
      <c r="J994" s="2">
        <f>HOUR(TB[[#This Row],[时间戳]])</f>
        <v>18</v>
      </c>
      <c r="K994">
        <v>830</v>
      </c>
      <c r="L994">
        <v>1</v>
      </c>
      <c r="M994">
        <f>TB[[#This Row],[售价]]*TB[[#This Row],[销量]]</f>
        <v>830</v>
      </c>
      <c r="N994" t="str">
        <f>IF(TB[[#This Row],[售价]]&lt;1000,"低价商品",IF(TB[[#This Row],[售价]]&lt;5000,"中价商品",IF(TB[[#This Row],[售价]]&lt;10000,"高价商品","超高价商品")))</f>
        <v>低价商品</v>
      </c>
    </row>
    <row r="995" spans="1:14" x14ac:dyDescent="0.2">
      <c r="A995">
        <v>537</v>
      </c>
      <c r="B995">
        <v>274</v>
      </c>
      <c r="C995" t="s">
        <v>46</v>
      </c>
      <c r="D995" t="s">
        <v>316</v>
      </c>
      <c r="E995" t="s">
        <v>25</v>
      </c>
      <c r="F995">
        <v>7</v>
      </c>
      <c r="G995" t="s">
        <v>13</v>
      </c>
      <c r="H995" s="1">
        <v>45948.769444444442</v>
      </c>
      <c r="I995" s="5">
        <f>INT(TB[[#This Row],[时间戳]])</f>
        <v>45948</v>
      </c>
      <c r="J995" s="2">
        <f>HOUR(TB[[#This Row],[时间戳]])</f>
        <v>18</v>
      </c>
      <c r="K995">
        <v>6852</v>
      </c>
      <c r="L995">
        <v>1</v>
      </c>
      <c r="M995">
        <f>TB[[#This Row],[售价]]*TB[[#This Row],[销量]]</f>
        <v>6852</v>
      </c>
      <c r="N995" t="str">
        <f>IF(TB[[#This Row],[售价]]&lt;1000,"低价商品",IF(TB[[#This Row],[售价]]&lt;5000,"中价商品",IF(TB[[#This Row],[售价]]&lt;10000,"高价商品","超高价商品")))</f>
        <v>高价商品</v>
      </c>
    </row>
    <row r="996" spans="1:14" x14ac:dyDescent="0.2">
      <c r="A996">
        <v>233</v>
      </c>
      <c r="B996">
        <v>46</v>
      </c>
      <c r="C996" t="s">
        <v>44</v>
      </c>
      <c r="D996" t="s">
        <v>379</v>
      </c>
      <c r="E996" t="s">
        <v>16</v>
      </c>
      <c r="F996">
        <v>6</v>
      </c>
      <c r="G996" t="s">
        <v>13</v>
      </c>
      <c r="H996" s="1">
        <v>45948.777083333334</v>
      </c>
      <c r="I996" s="5">
        <f>INT(TB[[#This Row],[时间戳]])</f>
        <v>45948</v>
      </c>
      <c r="J996" s="2">
        <f>HOUR(TB[[#This Row],[时间戳]])</f>
        <v>18</v>
      </c>
      <c r="K996">
        <v>7050</v>
      </c>
      <c r="L996">
        <v>2</v>
      </c>
      <c r="M996">
        <f>TB[[#This Row],[售价]]*TB[[#This Row],[销量]]</f>
        <v>14100</v>
      </c>
      <c r="N996" t="str">
        <f>IF(TB[[#This Row],[售价]]&lt;1000,"低价商品",IF(TB[[#This Row],[售价]]&lt;5000,"中价商品",IF(TB[[#This Row],[售价]]&lt;10000,"高价商品","超高价商品")))</f>
        <v>高价商品</v>
      </c>
    </row>
    <row r="997" spans="1:14" x14ac:dyDescent="0.2">
      <c r="A997">
        <v>267</v>
      </c>
      <c r="B997">
        <v>80</v>
      </c>
      <c r="C997" t="s">
        <v>34</v>
      </c>
      <c r="D997" t="s">
        <v>57</v>
      </c>
      <c r="E997" t="s">
        <v>12</v>
      </c>
      <c r="F997">
        <v>2</v>
      </c>
      <c r="G997" t="s">
        <v>13</v>
      </c>
      <c r="H997" s="1">
        <v>45948.779166666667</v>
      </c>
      <c r="I997" s="5">
        <f>INT(TB[[#This Row],[时间戳]])</f>
        <v>45948</v>
      </c>
      <c r="J997" s="2">
        <f>HOUR(TB[[#This Row],[时间戳]])</f>
        <v>18</v>
      </c>
      <c r="K997">
        <v>11196</v>
      </c>
      <c r="L997">
        <v>2</v>
      </c>
      <c r="M997">
        <f>TB[[#This Row],[售价]]*TB[[#This Row],[销量]]</f>
        <v>22392</v>
      </c>
      <c r="N997" t="str">
        <f>IF(TB[[#This Row],[售价]]&lt;1000,"低价商品",IF(TB[[#This Row],[售价]]&lt;5000,"中价商品",IF(TB[[#This Row],[售价]]&lt;10000,"高价商品","超高价商品")))</f>
        <v>超高价商品</v>
      </c>
    </row>
    <row r="998" spans="1:14" x14ac:dyDescent="0.2">
      <c r="A998">
        <v>777</v>
      </c>
      <c r="B998">
        <v>70</v>
      </c>
      <c r="C998" t="s">
        <v>10</v>
      </c>
      <c r="D998" t="s">
        <v>321</v>
      </c>
      <c r="E998" t="s">
        <v>39</v>
      </c>
      <c r="F998">
        <v>5</v>
      </c>
      <c r="G998" t="s">
        <v>13</v>
      </c>
      <c r="H998" s="1">
        <v>45948.824999999997</v>
      </c>
      <c r="I998" s="5">
        <f>INT(TB[[#This Row],[时间戳]])</f>
        <v>45948</v>
      </c>
      <c r="J998" s="2">
        <f>HOUR(TB[[#This Row],[时间戳]])</f>
        <v>19</v>
      </c>
      <c r="K998">
        <v>1848</v>
      </c>
      <c r="L998">
        <v>2</v>
      </c>
      <c r="M998">
        <f>TB[[#This Row],[售价]]*TB[[#This Row],[销量]]</f>
        <v>3696</v>
      </c>
      <c r="N998" t="str">
        <f>IF(TB[[#This Row],[售价]]&lt;1000,"低价商品",IF(TB[[#This Row],[售价]]&lt;5000,"中价商品",IF(TB[[#This Row],[售价]]&lt;10000,"高价商品","超高价商品")))</f>
        <v>中价商品</v>
      </c>
    </row>
    <row r="999" spans="1:14" x14ac:dyDescent="0.2">
      <c r="A999">
        <v>9</v>
      </c>
      <c r="B999">
        <v>252</v>
      </c>
      <c r="C999" t="s">
        <v>44</v>
      </c>
      <c r="D999" t="s">
        <v>161</v>
      </c>
      <c r="E999" t="s">
        <v>31</v>
      </c>
      <c r="F999">
        <v>4</v>
      </c>
      <c r="G999" t="s">
        <v>13</v>
      </c>
      <c r="H999" s="1">
        <v>45948.827777777777</v>
      </c>
      <c r="I999" s="5">
        <f>INT(TB[[#This Row],[时间戳]])</f>
        <v>45948</v>
      </c>
      <c r="J999" s="2">
        <f>HOUR(TB[[#This Row],[时间戳]])</f>
        <v>19</v>
      </c>
      <c r="K999">
        <v>700</v>
      </c>
      <c r="L999">
        <v>2</v>
      </c>
      <c r="M999">
        <f>TB[[#This Row],[售价]]*TB[[#This Row],[销量]]</f>
        <v>1400</v>
      </c>
      <c r="N999" t="str">
        <f>IF(TB[[#This Row],[售价]]&lt;1000,"低价商品",IF(TB[[#This Row],[售价]]&lt;5000,"中价商品",IF(TB[[#This Row],[售价]]&lt;10000,"高价商品","超高价商品")))</f>
        <v>低价商品</v>
      </c>
    </row>
    <row r="1000" spans="1:14" x14ac:dyDescent="0.2">
      <c r="A1000">
        <v>300</v>
      </c>
      <c r="B1000">
        <v>119</v>
      </c>
      <c r="C1000" t="s">
        <v>10</v>
      </c>
      <c r="D1000" t="s">
        <v>351</v>
      </c>
      <c r="E1000" t="s">
        <v>31</v>
      </c>
      <c r="F1000">
        <v>4</v>
      </c>
      <c r="G1000" t="s">
        <v>42</v>
      </c>
      <c r="H1000" s="1">
        <v>45948.882638888892</v>
      </c>
      <c r="I1000" s="5">
        <f>INT(TB[[#This Row],[时间戳]])</f>
        <v>45948</v>
      </c>
      <c r="J1000" s="2">
        <f>HOUR(TB[[#This Row],[时间戳]])</f>
        <v>21</v>
      </c>
      <c r="K1000">
        <v>980</v>
      </c>
      <c r="L1000">
        <v>0</v>
      </c>
      <c r="M1000">
        <f>TB[[#This Row],[售价]]*TB[[#This Row],[销量]]</f>
        <v>0</v>
      </c>
      <c r="N1000" t="str">
        <f>IF(TB[[#This Row],[售价]]&lt;1000,"低价商品",IF(TB[[#This Row],[售价]]&lt;5000,"中价商品",IF(TB[[#This Row],[售价]]&lt;10000,"高价商品","超高价商品")))</f>
        <v>低价商品</v>
      </c>
    </row>
    <row r="1001" spans="1:14" x14ac:dyDescent="0.2">
      <c r="A1001">
        <v>194</v>
      </c>
      <c r="B1001">
        <v>211</v>
      </c>
      <c r="C1001" t="s">
        <v>20</v>
      </c>
      <c r="D1001" t="s">
        <v>147</v>
      </c>
      <c r="E1001" t="s">
        <v>22</v>
      </c>
      <c r="F1001">
        <v>1</v>
      </c>
      <c r="G1001" t="s">
        <v>42</v>
      </c>
      <c r="H1001" s="1">
        <v>45948.893750000003</v>
      </c>
      <c r="I1001" s="5">
        <f>INT(TB[[#This Row],[时间戳]])</f>
        <v>45948</v>
      </c>
      <c r="J1001" s="2">
        <f>HOUR(TB[[#This Row],[时间戳]])</f>
        <v>21</v>
      </c>
      <c r="K1001">
        <v>7330</v>
      </c>
      <c r="L1001">
        <v>0</v>
      </c>
      <c r="M1001">
        <f>TB[[#This Row],[售价]]*TB[[#This Row],[销量]]</f>
        <v>0</v>
      </c>
      <c r="N1001" t="str">
        <f>IF(TB[[#This Row],[售价]]&lt;1000,"低价商品",IF(TB[[#This Row],[售价]]&lt;5000,"中价商品",IF(TB[[#This Row],[售价]]&lt;10000,"高价商品","超高价商品")))</f>
        <v>高价商品</v>
      </c>
    </row>
    <row r="1002" spans="1:14" x14ac:dyDescent="0.2">
      <c r="A1002">
        <v>168</v>
      </c>
      <c r="B1002">
        <v>200</v>
      </c>
      <c r="C1002" t="s">
        <v>17</v>
      </c>
      <c r="D1002" t="s">
        <v>214</v>
      </c>
      <c r="E1002" t="s">
        <v>22</v>
      </c>
      <c r="F1002">
        <v>1</v>
      </c>
      <c r="G1002" t="s">
        <v>13</v>
      </c>
      <c r="H1002" s="1">
        <v>45948.897222222222</v>
      </c>
      <c r="I1002" s="5">
        <f>INT(TB[[#This Row],[时间戳]])</f>
        <v>45948</v>
      </c>
      <c r="J1002" s="2">
        <f>HOUR(TB[[#This Row],[时间戳]])</f>
        <v>21</v>
      </c>
      <c r="K1002">
        <v>5615</v>
      </c>
      <c r="L1002">
        <v>3</v>
      </c>
      <c r="M1002">
        <f>TB[[#This Row],[售价]]*TB[[#This Row],[销量]]</f>
        <v>16845</v>
      </c>
      <c r="N1002" t="str">
        <f>IF(TB[[#This Row],[售价]]&lt;1000,"低价商品",IF(TB[[#This Row],[售价]]&lt;5000,"中价商品",IF(TB[[#This Row],[售价]]&lt;10000,"高价商品","超高价商品")))</f>
        <v>高价商品</v>
      </c>
    </row>
    <row r="1003" spans="1:14" x14ac:dyDescent="0.2">
      <c r="A1003">
        <v>82</v>
      </c>
      <c r="B1003">
        <v>217</v>
      </c>
      <c r="C1003" t="s">
        <v>32</v>
      </c>
      <c r="D1003" t="s">
        <v>288</v>
      </c>
      <c r="E1003" t="s">
        <v>22</v>
      </c>
      <c r="F1003">
        <v>1</v>
      </c>
      <c r="G1003" t="s">
        <v>42</v>
      </c>
      <c r="H1003" s="1">
        <v>45948.911805555559</v>
      </c>
      <c r="I1003" s="5">
        <f>INT(TB[[#This Row],[时间戳]])</f>
        <v>45948</v>
      </c>
      <c r="J1003" s="2">
        <f>HOUR(TB[[#This Row],[时间戳]])</f>
        <v>21</v>
      </c>
      <c r="K1003">
        <v>7779</v>
      </c>
      <c r="L1003">
        <v>0</v>
      </c>
      <c r="M1003">
        <f>TB[[#This Row],[售价]]*TB[[#This Row],[销量]]</f>
        <v>0</v>
      </c>
      <c r="N1003" t="str">
        <f>IF(TB[[#This Row],[售价]]&lt;1000,"低价商品",IF(TB[[#This Row],[售价]]&lt;5000,"中价商品",IF(TB[[#This Row],[售价]]&lt;10000,"高价商品","超高价商品")))</f>
        <v>高价商品</v>
      </c>
    </row>
    <row r="1004" spans="1:14" x14ac:dyDescent="0.2">
      <c r="A1004">
        <v>292</v>
      </c>
      <c r="B1004">
        <v>273</v>
      </c>
      <c r="C1004" t="s">
        <v>46</v>
      </c>
      <c r="D1004" t="s">
        <v>303</v>
      </c>
      <c r="E1004" t="s">
        <v>19</v>
      </c>
      <c r="F1004">
        <v>3</v>
      </c>
      <c r="G1004" t="s">
        <v>13</v>
      </c>
      <c r="H1004" s="1">
        <v>45948.95</v>
      </c>
      <c r="I1004" s="5">
        <f>INT(TB[[#This Row],[时间戳]])</f>
        <v>45948</v>
      </c>
      <c r="J1004" s="2">
        <f>HOUR(TB[[#This Row],[时间戳]])</f>
        <v>22</v>
      </c>
      <c r="K1004">
        <v>3526</v>
      </c>
      <c r="L1004">
        <v>3</v>
      </c>
      <c r="M1004">
        <f>TB[[#This Row],[售价]]*TB[[#This Row],[销量]]</f>
        <v>10578</v>
      </c>
      <c r="N1004" t="str">
        <f>IF(TB[[#This Row],[售价]]&lt;1000,"低价商品",IF(TB[[#This Row],[售价]]&lt;5000,"中价商品",IF(TB[[#This Row],[售价]]&lt;10000,"高价商品","超高价商品")))</f>
        <v>中价商品</v>
      </c>
    </row>
    <row r="1005" spans="1:14" x14ac:dyDescent="0.2">
      <c r="A1005">
        <v>71</v>
      </c>
      <c r="B1005">
        <v>94</v>
      </c>
      <c r="C1005" t="s">
        <v>17</v>
      </c>
      <c r="D1005" t="s">
        <v>214</v>
      </c>
      <c r="E1005" t="s">
        <v>22</v>
      </c>
      <c r="F1005">
        <v>1</v>
      </c>
      <c r="G1005" t="s">
        <v>13</v>
      </c>
      <c r="H1005" s="1">
        <v>45948.974305555559</v>
      </c>
      <c r="I1005" s="5">
        <f>INT(TB[[#This Row],[时间戳]])</f>
        <v>45948</v>
      </c>
      <c r="J1005" s="2">
        <f>HOUR(TB[[#This Row],[时间戳]])</f>
        <v>23</v>
      </c>
      <c r="K1005">
        <v>7562</v>
      </c>
      <c r="L1005">
        <v>3</v>
      </c>
      <c r="M1005">
        <f>TB[[#This Row],[售价]]*TB[[#This Row],[销量]]</f>
        <v>22686</v>
      </c>
      <c r="N1005" t="str">
        <f>IF(TB[[#This Row],[售价]]&lt;1000,"低价商品",IF(TB[[#This Row],[售价]]&lt;5000,"中价商品",IF(TB[[#This Row],[售价]]&lt;10000,"高价商品","超高价商品")))</f>
        <v>高价商品</v>
      </c>
    </row>
    <row r="1006" spans="1:14" x14ac:dyDescent="0.2">
      <c r="A1006">
        <v>467</v>
      </c>
      <c r="B1006">
        <v>232</v>
      </c>
      <c r="C1006" t="s">
        <v>14</v>
      </c>
      <c r="D1006" t="s">
        <v>15</v>
      </c>
      <c r="E1006" t="s">
        <v>16</v>
      </c>
      <c r="F1006">
        <v>6</v>
      </c>
      <c r="G1006" t="s">
        <v>42</v>
      </c>
      <c r="H1006" s="1">
        <v>45949.004166666666</v>
      </c>
      <c r="I1006" s="5">
        <f>INT(TB[[#This Row],[时间戳]])</f>
        <v>45949</v>
      </c>
      <c r="J1006" s="2">
        <f>HOUR(TB[[#This Row],[时间戳]])</f>
        <v>0</v>
      </c>
      <c r="K1006">
        <v>4186</v>
      </c>
      <c r="L1006">
        <v>0</v>
      </c>
      <c r="M1006">
        <f>TB[[#This Row],[售价]]*TB[[#This Row],[销量]]</f>
        <v>0</v>
      </c>
      <c r="N1006" t="str">
        <f>IF(TB[[#This Row],[售价]]&lt;1000,"低价商品",IF(TB[[#This Row],[售价]]&lt;5000,"中价商品",IF(TB[[#This Row],[售价]]&lt;10000,"高价商品","超高价商品")))</f>
        <v>中价商品</v>
      </c>
    </row>
    <row r="1007" spans="1:14" x14ac:dyDescent="0.2">
      <c r="A1007">
        <v>193</v>
      </c>
      <c r="B1007">
        <v>165</v>
      </c>
      <c r="C1007" t="s">
        <v>46</v>
      </c>
      <c r="D1007" t="s">
        <v>211</v>
      </c>
      <c r="E1007" t="s">
        <v>31</v>
      </c>
      <c r="F1007">
        <v>4</v>
      </c>
      <c r="G1007" t="s">
        <v>13</v>
      </c>
      <c r="H1007" s="1">
        <v>45949.024305555555</v>
      </c>
      <c r="I1007" s="5">
        <f>INT(TB[[#This Row],[时间戳]])</f>
        <v>45949</v>
      </c>
      <c r="J1007" s="2">
        <f>HOUR(TB[[#This Row],[时间戳]])</f>
        <v>0</v>
      </c>
      <c r="K1007">
        <v>765</v>
      </c>
      <c r="L1007">
        <v>2</v>
      </c>
      <c r="M1007">
        <f>TB[[#This Row],[售价]]*TB[[#This Row],[销量]]</f>
        <v>1530</v>
      </c>
      <c r="N1007" t="str">
        <f>IF(TB[[#This Row],[售价]]&lt;1000,"低价商品",IF(TB[[#This Row],[售价]]&lt;5000,"中价商品",IF(TB[[#This Row],[售价]]&lt;10000,"高价商品","超高价商品")))</f>
        <v>低价商品</v>
      </c>
    </row>
    <row r="1008" spans="1:14" x14ac:dyDescent="0.2">
      <c r="A1008">
        <v>23</v>
      </c>
      <c r="B1008">
        <v>96</v>
      </c>
      <c r="C1008" t="s">
        <v>10</v>
      </c>
      <c r="D1008" t="s">
        <v>294</v>
      </c>
      <c r="E1008" t="s">
        <v>31</v>
      </c>
      <c r="F1008">
        <v>4</v>
      </c>
      <c r="G1008" t="s">
        <v>13</v>
      </c>
      <c r="H1008" s="1">
        <v>45949.04583333333</v>
      </c>
      <c r="I1008" s="5">
        <f>INT(TB[[#This Row],[时间戳]])</f>
        <v>45949</v>
      </c>
      <c r="J1008" s="2">
        <f>HOUR(TB[[#This Row],[时间戳]])</f>
        <v>1</v>
      </c>
      <c r="K1008">
        <v>50</v>
      </c>
      <c r="L1008">
        <v>3</v>
      </c>
      <c r="M1008">
        <f>TB[[#This Row],[售价]]*TB[[#This Row],[销量]]</f>
        <v>150</v>
      </c>
      <c r="N1008" t="str">
        <f>IF(TB[[#This Row],[售价]]&lt;1000,"低价商品",IF(TB[[#This Row],[售价]]&lt;5000,"中价商品",IF(TB[[#This Row],[售价]]&lt;10000,"高价商品","超高价商品")))</f>
        <v>低价商品</v>
      </c>
    </row>
    <row r="1009" spans="1:14" x14ac:dyDescent="0.2">
      <c r="A1009">
        <v>733</v>
      </c>
      <c r="B1009">
        <v>225</v>
      </c>
      <c r="C1009" t="s">
        <v>36</v>
      </c>
      <c r="D1009" t="s">
        <v>153</v>
      </c>
      <c r="E1009" t="s">
        <v>31</v>
      </c>
      <c r="F1009">
        <v>4</v>
      </c>
      <c r="G1009" t="s">
        <v>13</v>
      </c>
      <c r="H1009" s="1">
        <v>45949.080555555556</v>
      </c>
      <c r="I1009" s="5">
        <f>INT(TB[[#This Row],[时间戳]])</f>
        <v>45949</v>
      </c>
      <c r="J1009" s="2">
        <f>HOUR(TB[[#This Row],[时间戳]])</f>
        <v>1</v>
      </c>
      <c r="K1009">
        <v>203</v>
      </c>
      <c r="L1009">
        <v>2</v>
      </c>
      <c r="M1009">
        <f>TB[[#This Row],[售价]]*TB[[#This Row],[销量]]</f>
        <v>406</v>
      </c>
      <c r="N1009" t="str">
        <f>IF(TB[[#This Row],[售价]]&lt;1000,"低价商品",IF(TB[[#This Row],[售价]]&lt;5000,"中价商品",IF(TB[[#This Row],[售价]]&lt;10000,"高价商品","超高价商品")))</f>
        <v>低价商品</v>
      </c>
    </row>
    <row r="1010" spans="1:14" x14ac:dyDescent="0.2">
      <c r="A1010">
        <v>155</v>
      </c>
      <c r="B1010">
        <v>8</v>
      </c>
      <c r="C1010" t="s">
        <v>32</v>
      </c>
      <c r="D1010" t="s">
        <v>286</v>
      </c>
      <c r="E1010" t="s">
        <v>22</v>
      </c>
      <c r="F1010">
        <v>1</v>
      </c>
      <c r="G1010" t="s">
        <v>13</v>
      </c>
      <c r="H1010" s="1">
        <v>45949.086111111108</v>
      </c>
      <c r="I1010" s="5">
        <f>INT(TB[[#This Row],[时间戳]])</f>
        <v>45949</v>
      </c>
      <c r="J1010" s="2">
        <f>HOUR(TB[[#This Row],[时间戳]])</f>
        <v>2</v>
      </c>
      <c r="K1010">
        <v>6760</v>
      </c>
      <c r="L1010">
        <v>2</v>
      </c>
      <c r="M1010">
        <f>TB[[#This Row],[售价]]*TB[[#This Row],[销量]]</f>
        <v>13520</v>
      </c>
      <c r="N1010" t="str">
        <f>IF(TB[[#This Row],[售价]]&lt;1000,"低价商品",IF(TB[[#This Row],[售价]]&lt;5000,"中价商品",IF(TB[[#This Row],[售价]]&lt;10000,"高价商品","超高价商品")))</f>
        <v>高价商品</v>
      </c>
    </row>
    <row r="1011" spans="1:14" x14ac:dyDescent="0.2">
      <c r="A1011">
        <v>320</v>
      </c>
      <c r="B1011">
        <v>256</v>
      </c>
      <c r="C1011" t="s">
        <v>34</v>
      </c>
      <c r="D1011" t="s">
        <v>62</v>
      </c>
      <c r="E1011" t="s">
        <v>31</v>
      </c>
      <c r="F1011">
        <v>4</v>
      </c>
      <c r="G1011" t="s">
        <v>13</v>
      </c>
      <c r="H1011" s="1">
        <v>45949.097916666666</v>
      </c>
      <c r="I1011" s="5">
        <f>INT(TB[[#This Row],[时间戳]])</f>
        <v>45949</v>
      </c>
      <c r="J1011" s="2">
        <f>HOUR(TB[[#This Row],[时间戳]])</f>
        <v>2</v>
      </c>
      <c r="K1011">
        <v>971</v>
      </c>
      <c r="L1011">
        <v>1</v>
      </c>
      <c r="M1011">
        <f>TB[[#This Row],[售价]]*TB[[#This Row],[销量]]</f>
        <v>971</v>
      </c>
      <c r="N1011" t="str">
        <f>IF(TB[[#This Row],[售价]]&lt;1000,"低价商品",IF(TB[[#This Row],[售价]]&lt;5000,"中价商品",IF(TB[[#This Row],[售价]]&lt;10000,"高价商品","超高价商品")))</f>
        <v>低价商品</v>
      </c>
    </row>
    <row r="1012" spans="1:14" x14ac:dyDescent="0.2">
      <c r="A1012">
        <v>83</v>
      </c>
      <c r="B1012">
        <v>75</v>
      </c>
      <c r="C1012" t="s">
        <v>10</v>
      </c>
      <c r="D1012" t="s">
        <v>241</v>
      </c>
      <c r="E1012" t="s">
        <v>12</v>
      </c>
      <c r="F1012">
        <v>2</v>
      </c>
      <c r="G1012" t="s">
        <v>13</v>
      </c>
      <c r="H1012" s="1">
        <v>45949.102777777778</v>
      </c>
      <c r="I1012" s="5">
        <f>INT(TB[[#This Row],[时间戳]])</f>
        <v>45949</v>
      </c>
      <c r="J1012" s="2">
        <f>HOUR(TB[[#This Row],[时间戳]])</f>
        <v>2</v>
      </c>
      <c r="K1012">
        <v>10121</v>
      </c>
      <c r="L1012">
        <v>4</v>
      </c>
      <c r="M1012">
        <f>TB[[#This Row],[售价]]*TB[[#This Row],[销量]]</f>
        <v>40484</v>
      </c>
      <c r="N1012" t="str">
        <f>IF(TB[[#This Row],[售价]]&lt;1000,"低价商品",IF(TB[[#This Row],[售价]]&lt;5000,"中价商品",IF(TB[[#This Row],[售价]]&lt;10000,"高价商品","超高价商品")))</f>
        <v>超高价商品</v>
      </c>
    </row>
    <row r="1013" spans="1:14" x14ac:dyDescent="0.2">
      <c r="A1013">
        <v>557</v>
      </c>
      <c r="B1013">
        <v>241</v>
      </c>
      <c r="C1013" t="s">
        <v>17</v>
      </c>
      <c r="D1013" t="s">
        <v>74</v>
      </c>
      <c r="E1013" t="s">
        <v>22</v>
      </c>
      <c r="F1013">
        <v>1</v>
      </c>
      <c r="G1013" t="s">
        <v>13</v>
      </c>
      <c r="H1013" s="1">
        <v>45949.184027777781</v>
      </c>
      <c r="I1013" s="5">
        <f>INT(TB[[#This Row],[时间戳]])</f>
        <v>45949</v>
      </c>
      <c r="J1013" s="2">
        <f>HOUR(TB[[#This Row],[时间戳]])</f>
        <v>4</v>
      </c>
      <c r="K1013">
        <v>1395</v>
      </c>
      <c r="L1013">
        <v>4</v>
      </c>
      <c r="M1013">
        <f>TB[[#This Row],[售价]]*TB[[#This Row],[销量]]</f>
        <v>5580</v>
      </c>
      <c r="N1013" t="str">
        <f>IF(TB[[#This Row],[售价]]&lt;1000,"低价商品",IF(TB[[#This Row],[售价]]&lt;5000,"中价商品",IF(TB[[#This Row],[售价]]&lt;10000,"高价商品","超高价商品")))</f>
        <v>中价商品</v>
      </c>
    </row>
    <row r="1014" spans="1:14" x14ac:dyDescent="0.2">
      <c r="A1014">
        <v>13</v>
      </c>
      <c r="B1014">
        <v>63</v>
      </c>
      <c r="C1014" t="s">
        <v>36</v>
      </c>
      <c r="D1014" t="s">
        <v>83</v>
      </c>
      <c r="E1014" t="s">
        <v>22</v>
      </c>
      <c r="F1014">
        <v>1</v>
      </c>
      <c r="G1014" t="s">
        <v>13</v>
      </c>
      <c r="H1014" s="1">
        <v>45949.236805555556</v>
      </c>
      <c r="I1014" s="5">
        <f>INT(TB[[#This Row],[时间戳]])</f>
        <v>45949</v>
      </c>
      <c r="J1014" s="2">
        <f>HOUR(TB[[#This Row],[时间戳]])</f>
        <v>5</v>
      </c>
      <c r="K1014">
        <v>2385</v>
      </c>
      <c r="L1014">
        <v>2</v>
      </c>
      <c r="M1014">
        <f>TB[[#This Row],[售价]]*TB[[#This Row],[销量]]</f>
        <v>4770</v>
      </c>
      <c r="N1014" t="str">
        <f>IF(TB[[#This Row],[售价]]&lt;1000,"低价商品",IF(TB[[#This Row],[售价]]&lt;5000,"中价商品",IF(TB[[#This Row],[售价]]&lt;10000,"高价商品","超高价商品")))</f>
        <v>中价商品</v>
      </c>
    </row>
    <row r="1015" spans="1:14" x14ac:dyDescent="0.2">
      <c r="A1015">
        <v>790</v>
      </c>
      <c r="B1015">
        <v>227</v>
      </c>
      <c r="C1015" t="s">
        <v>32</v>
      </c>
      <c r="D1015" t="s">
        <v>110</v>
      </c>
      <c r="E1015" t="s">
        <v>25</v>
      </c>
      <c r="F1015">
        <v>7</v>
      </c>
      <c r="G1015" t="s">
        <v>13</v>
      </c>
      <c r="H1015" s="1">
        <v>45949.237500000003</v>
      </c>
      <c r="I1015" s="5">
        <f>INT(TB[[#This Row],[时间戳]])</f>
        <v>45949</v>
      </c>
      <c r="J1015" s="2">
        <f>HOUR(TB[[#This Row],[时间戳]])</f>
        <v>5</v>
      </c>
      <c r="K1015">
        <v>7957</v>
      </c>
      <c r="L1015">
        <v>5</v>
      </c>
      <c r="M1015">
        <f>TB[[#This Row],[售价]]*TB[[#This Row],[销量]]</f>
        <v>39785</v>
      </c>
      <c r="N1015" t="str">
        <f>IF(TB[[#This Row],[售价]]&lt;1000,"低价商品",IF(TB[[#This Row],[售价]]&lt;5000,"中价商品",IF(TB[[#This Row],[售价]]&lt;10000,"高价商品","超高价商品")))</f>
        <v>高价商品</v>
      </c>
    </row>
    <row r="1016" spans="1:14" x14ac:dyDescent="0.2">
      <c r="A1016">
        <v>472</v>
      </c>
      <c r="B1016">
        <v>49</v>
      </c>
      <c r="C1016" t="s">
        <v>10</v>
      </c>
      <c r="D1016" t="s">
        <v>116</v>
      </c>
      <c r="E1016" t="s">
        <v>31</v>
      </c>
      <c r="F1016">
        <v>4</v>
      </c>
      <c r="G1016" t="s">
        <v>13</v>
      </c>
      <c r="H1016" s="1">
        <v>45949.259722222225</v>
      </c>
      <c r="I1016" s="5">
        <f>INT(TB[[#This Row],[时间戳]])</f>
        <v>45949</v>
      </c>
      <c r="J1016" s="2">
        <f>HOUR(TB[[#This Row],[时间戳]])</f>
        <v>6</v>
      </c>
      <c r="K1016">
        <v>733</v>
      </c>
      <c r="L1016">
        <v>5</v>
      </c>
      <c r="M1016">
        <f>TB[[#This Row],[售价]]*TB[[#This Row],[销量]]</f>
        <v>3665</v>
      </c>
      <c r="N1016" t="str">
        <f>IF(TB[[#This Row],[售价]]&lt;1000,"低价商品",IF(TB[[#This Row],[售价]]&lt;5000,"中价商品",IF(TB[[#This Row],[售价]]&lt;10000,"高价商品","超高价商品")))</f>
        <v>低价商品</v>
      </c>
    </row>
    <row r="1017" spans="1:14" x14ac:dyDescent="0.2">
      <c r="A1017">
        <v>399</v>
      </c>
      <c r="B1017">
        <v>160</v>
      </c>
      <c r="C1017" t="s">
        <v>32</v>
      </c>
      <c r="D1017" t="s">
        <v>176</v>
      </c>
      <c r="E1017" t="s">
        <v>22</v>
      </c>
      <c r="F1017">
        <v>1</v>
      </c>
      <c r="G1017" t="s">
        <v>13</v>
      </c>
      <c r="H1017" s="1">
        <v>45949.307638888888</v>
      </c>
      <c r="I1017" s="5">
        <f>INT(TB[[#This Row],[时间戳]])</f>
        <v>45949</v>
      </c>
      <c r="J1017" s="2">
        <f>HOUR(TB[[#This Row],[时间戳]])</f>
        <v>7</v>
      </c>
      <c r="K1017">
        <v>5409</v>
      </c>
      <c r="L1017">
        <v>2</v>
      </c>
      <c r="M1017">
        <f>TB[[#This Row],[售价]]*TB[[#This Row],[销量]]</f>
        <v>10818</v>
      </c>
      <c r="N1017" t="str">
        <f>IF(TB[[#This Row],[售价]]&lt;1000,"低价商品",IF(TB[[#This Row],[售价]]&lt;5000,"中价商品",IF(TB[[#This Row],[售价]]&lt;10000,"高价商品","超高价商品")))</f>
        <v>高价商品</v>
      </c>
    </row>
    <row r="1018" spans="1:14" x14ac:dyDescent="0.2">
      <c r="A1018">
        <v>563</v>
      </c>
      <c r="B1018">
        <v>267</v>
      </c>
      <c r="C1018" t="s">
        <v>10</v>
      </c>
      <c r="D1018" t="s">
        <v>240</v>
      </c>
      <c r="E1018" t="s">
        <v>16</v>
      </c>
      <c r="F1018">
        <v>6</v>
      </c>
      <c r="G1018" t="s">
        <v>13</v>
      </c>
      <c r="H1018" s="1">
        <v>45949.311111111114</v>
      </c>
      <c r="I1018" s="5">
        <f>INT(TB[[#This Row],[时间戳]])</f>
        <v>45949</v>
      </c>
      <c r="J1018" s="2">
        <f>HOUR(TB[[#This Row],[时间戳]])</f>
        <v>7</v>
      </c>
      <c r="K1018">
        <v>7174</v>
      </c>
      <c r="L1018">
        <v>2</v>
      </c>
      <c r="M1018">
        <f>TB[[#This Row],[售价]]*TB[[#This Row],[销量]]</f>
        <v>14348</v>
      </c>
      <c r="N1018" t="str">
        <f>IF(TB[[#This Row],[售价]]&lt;1000,"低价商品",IF(TB[[#This Row],[售价]]&lt;5000,"中价商品",IF(TB[[#This Row],[售价]]&lt;10000,"高价商品","超高价商品")))</f>
        <v>高价商品</v>
      </c>
    </row>
    <row r="1019" spans="1:14" x14ac:dyDescent="0.2">
      <c r="A1019">
        <v>306</v>
      </c>
      <c r="B1019">
        <v>102</v>
      </c>
      <c r="C1019" t="s">
        <v>44</v>
      </c>
      <c r="D1019" t="s">
        <v>372</v>
      </c>
      <c r="E1019" t="s">
        <v>22</v>
      </c>
      <c r="F1019">
        <v>1</v>
      </c>
      <c r="G1019" t="s">
        <v>13</v>
      </c>
      <c r="H1019" s="1">
        <v>45949.32708333333</v>
      </c>
      <c r="I1019" s="5">
        <f>INT(TB[[#This Row],[时间戳]])</f>
        <v>45949</v>
      </c>
      <c r="J1019" s="2">
        <f>HOUR(TB[[#This Row],[时间戳]])</f>
        <v>7</v>
      </c>
      <c r="K1019">
        <v>1929</v>
      </c>
      <c r="L1019">
        <v>2</v>
      </c>
      <c r="M1019">
        <f>TB[[#This Row],[售价]]*TB[[#This Row],[销量]]</f>
        <v>3858</v>
      </c>
      <c r="N1019" t="str">
        <f>IF(TB[[#This Row],[售价]]&lt;1000,"低价商品",IF(TB[[#This Row],[售价]]&lt;5000,"中价商品",IF(TB[[#This Row],[售价]]&lt;10000,"高价商品","超高价商品")))</f>
        <v>中价商品</v>
      </c>
    </row>
    <row r="1020" spans="1:14" x14ac:dyDescent="0.2">
      <c r="A1020">
        <v>242</v>
      </c>
      <c r="B1020">
        <v>223</v>
      </c>
      <c r="C1020" t="s">
        <v>32</v>
      </c>
      <c r="D1020" t="s">
        <v>58</v>
      </c>
      <c r="E1020" t="s">
        <v>31</v>
      </c>
      <c r="F1020">
        <v>4</v>
      </c>
      <c r="G1020" t="s">
        <v>13</v>
      </c>
      <c r="H1020" s="1">
        <v>45949.37222222222</v>
      </c>
      <c r="I1020" s="5">
        <f>INT(TB[[#This Row],[时间戳]])</f>
        <v>45949</v>
      </c>
      <c r="J1020" s="2">
        <f>HOUR(TB[[#This Row],[时间戳]])</f>
        <v>8</v>
      </c>
      <c r="K1020">
        <v>614</v>
      </c>
      <c r="L1020">
        <v>1</v>
      </c>
      <c r="M1020">
        <f>TB[[#This Row],[售价]]*TB[[#This Row],[销量]]</f>
        <v>614</v>
      </c>
      <c r="N1020" t="str">
        <f>IF(TB[[#This Row],[售价]]&lt;1000,"低价商品",IF(TB[[#This Row],[售价]]&lt;5000,"中价商品",IF(TB[[#This Row],[售价]]&lt;10000,"高价商品","超高价商品")))</f>
        <v>低价商品</v>
      </c>
    </row>
    <row r="1021" spans="1:14" x14ac:dyDescent="0.2">
      <c r="A1021">
        <v>599</v>
      </c>
      <c r="B1021">
        <v>62</v>
      </c>
      <c r="C1021" t="s">
        <v>26</v>
      </c>
      <c r="D1021" t="s">
        <v>219</v>
      </c>
      <c r="E1021" t="s">
        <v>22</v>
      </c>
      <c r="F1021">
        <v>1</v>
      </c>
      <c r="G1021" t="s">
        <v>42</v>
      </c>
      <c r="H1021" s="1">
        <v>45949.372916666667</v>
      </c>
      <c r="I1021" s="5">
        <f>INT(TB[[#This Row],[时间戳]])</f>
        <v>45949</v>
      </c>
      <c r="J1021" s="2">
        <f>HOUR(TB[[#This Row],[时间戳]])</f>
        <v>8</v>
      </c>
      <c r="K1021">
        <v>3465</v>
      </c>
      <c r="L1021">
        <v>0</v>
      </c>
      <c r="M1021">
        <f>TB[[#This Row],[售价]]*TB[[#This Row],[销量]]</f>
        <v>0</v>
      </c>
      <c r="N1021" t="str">
        <f>IF(TB[[#This Row],[售价]]&lt;1000,"低价商品",IF(TB[[#This Row],[售价]]&lt;5000,"中价商品",IF(TB[[#This Row],[售价]]&lt;10000,"高价商品","超高价商品")))</f>
        <v>中价商品</v>
      </c>
    </row>
    <row r="1022" spans="1:14" x14ac:dyDescent="0.2">
      <c r="A1022">
        <v>596</v>
      </c>
      <c r="B1022">
        <v>244</v>
      </c>
      <c r="C1022" t="s">
        <v>10</v>
      </c>
      <c r="D1022" t="s">
        <v>376</v>
      </c>
      <c r="E1022" t="s">
        <v>12</v>
      </c>
      <c r="F1022">
        <v>2</v>
      </c>
      <c r="G1022" t="s">
        <v>13</v>
      </c>
      <c r="H1022" s="1">
        <v>45949.395138888889</v>
      </c>
      <c r="I1022" s="5">
        <f>INT(TB[[#This Row],[时间戳]])</f>
        <v>45949</v>
      </c>
      <c r="J1022" s="2">
        <f>HOUR(TB[[#This Row],[时间戳]])</f>
        <v>9</v>
      </c>
      <c r="K1022">
        <v>10408</v>
      </c>
      <c r="L1022">
        <v>1</v>
      </c>
      <c r="M1022">
        <f>TB[[#This Row],[售价]]*TB[[#This Row],[销量]]</f>
        <v>10408</v>
      </c>
      <c r="N1022" t="str">
        <f>IF(TB[[#This Row],[售价]]&lt;1000,"低价商品",IF(TB[[#This Row],[售价]]&lt;5000,"中价商品",IF(TB[[#This Row],[售价]]&lt;10000,"高价商品","超高价商品")))</f>
        <v>超高价商品</v>
      </c>
    </row>
    <row r="1023" spans="1:14" x14ac:dyDescent="0.2">
      <c r="A1023">
        <v>790</v>
      </c>
      <c r="B1023">
        <v>46</v>
      </c>
      <c r="C1023" t="s">
        <v>26</v>
      </c>
      <c r="D1023" t="s">
        <v>306</v>
      </c>
      <c r="E1023" t="s">
        <v>31</v>
      </c>
      <c r="F1023">
        <v>4</v>
      </c>
      <c r="G1023" t="s">
        <v>13</v>
      </c>
      <c r="H1023" s="1">
        <v>45949.401388888888</v>
      </c>
      <c r="I1023" s="5">
        <f>INT(TB[[#This Row],[时间戳]])</f>
        <v>45949</v>
      </c>
      <c r="J1023" s="2">
        <f>HOUR(TB[[#This Row],[时间戳]])</f>
        <v>9</v>
      </c>
      <c r="K1023">
        <v>1500</v>
      </c>
      <c r="L1023">
        <v>2</v>
      </c>
      <c r="M1023">
        <f>TB[[#This Row],[售价]]*TB[[#This Row],[销量]]</f>
        <v>3000</v>
      </c>
      <c r="N1023" t="str">
        <f>IF(TB[[#This Row],[售价]]&lt;1000,"低价商品",IF(TB[[#This Row],[售价]]&lt;5000,"中价商品",IF(TB[[#This Row],[售价]]&lt;10000,"高价商品","超高价商品")))</f>
        <v>中价商品</v>
      </c>
    </row>
    <row r="1024" spans="1:14" x14ac:dyDescent="0.2">
      <c r="A1024">
        <v>703</v>
      </c>
      <c r="B1024">
        <v>174</v>
      </c>
      <c r="C1024" t="s">
        <v>44</v>
      </c>
      <c r="D1024" t="s">
        <v>322</v>
      </c>
      <c r="E1024" t="s">
        <v>16</v>
      </c>
      <c r="F1024">
        <v>6</v>
      </c>
      <c r="G1024" t="s">
        <v>13</v>
      </c>
      <c r="H1024" s="1">
        <v>45949.449305555558</v>
      </c>
      <c r="I1024" s="5">
        <f>INT(TB[[#This Row],[时间戳]])</f>
        <v>45949</v>
      </c>
      <c r="J1024" s="2">
        <f>HOUR(TB[[#This Row],[时间戳]])</f>
        <v>10</v>
      </c>
      <c r="K1024">
        <v>5955</v>
      </c>
      <c r="L1024">
        <v>2</v>
      </c>
      <c r="M1024">
        <f>TB[[#This Row],[售价]]*TB[[#This Row],[销量]]</f>
        <v>11910</v>
      </c>
      <c r="N1024" t="str">
        <f>IF(TB[[#This Row],[售价]]&lt;1000,"低价商品",IF(TB[[#This Row],[售价]]&lt;5000,"中价商品",IF(TB[[#This Row],[售价]]&lt;10000,"高价商品","超高价商品")))</f>
        <v>高价商品</v>
      </c>
    </row>
    <row r="1025" spans="1:14" x14ac:dyDescent="0.2">
      <c r="A1025">
        <v>661</v>
      </c>
      <c r="B1025">
        <v>79</v>
      </c>
      <c r="C1025" t="s">
        <v>10</v>
      </c>
      <c r="D1025" t="s">
        <v>241</v>
      </c>
      <c r="E1025" t="s">
        <v>12</v>
      </c>
      <c r="F1025">
        <v>2</v>
      </c>
      <c r="G1025" t="s">
        <v>42</v>
      </c>
      <c r="H1025" s="1">
        <v>45949.513888888891</v>
      </c>
      <c r="I1025" s="5">
        <f>INT(TB[[#This Row],[时间戳]])</f>
        <v>45949</v>
      </c>
      <c r="J1025" s="2">
        <f>HOUR(TB[[#This Row],[时间戳]])</f>
        <v>12</v>
      </c>
      <c r="K1025">
        <v>14072</v>
      </c>
      <c r="L1025">
        <v>0</v>
      </c>
      <c r="M1025">
        <f>TB[[#This Row],[售价]]*TB[[#This Row],[销量]]</f>
        <v>0</v>
      </c>
      <c r="N1025" t="str">
        <f>IF(TB[[#This Row],[售价]]&lt;1000,"低价商品",IF(TB[[#This Row],[售价]]&lt;5000,"中价商品",IF(TB[[#This Row],[售价]]&lt;10000,"高价商品","超高价商品")))</f>
        <v>超高价商品</v>
      </c>
    </row>
    <row r="1026" spans="1:14" x14ac:dyDescent="0.2">
      <c r="A1026">
        <v>500</v>
      </c>
      <c r="B1026">
        <v>120</v>
      </c>
      <c r="C1026" t="s">
        <v>14</v>
      </c>
      <c r="D1026" t="s">
        <v>186</v>
      </c>
      <c r="E1026" t="s">
        <v>25</v>
      </c>
      <c r="F1026">
        <v>7</v>
      </c>
      <c r="G1026" t="s">
        <v>13</v>
      </c>
      <c r="H1026" s="1">
        <v>45949.567361111112</v>
      </c>
      <c r="I1026" s="5">
        <f>INT(TB[[#This Row],[时间戳]])</f>
        <v>45949</v>
      </c>
      <c r="J1026" s="2">
        <f>HOUR(TB[[#This Row],[时间戳]])</f>
        <v>13</v>
      </c>
      <c r="K1026">
        <v>7319</v>
      </c>
      <c r="L1026">
        <v>4</v>
      </c>
      <c r="M1026">
        <f>TB[[#This Row],[售价]]*TB[[#This Row],[销量]]</f>
        <v>29276</v>
      </c>
      <c r="N1026" t="str">
        <f>IF(TB[[#This Row],[售价]]&lt;1000,"低价商品",IF(TB[[#This Row],[售价]]&lt;5000,"中价商品",IF(TB[[#This Row],[售价]]&lt;10000,"高价商品","超高价商品")))</f>
        <v>高价商品</v>
      </c>
    </row>
    <row r="1027" spans="1:14" x14ac:dyDescent="0.2">
      <c r="A1027">
        <v>751</v>
      </c>
      <c r="B1027">
        <v>99</v>
      </c>
      <c r="C1027" t="s">
        <v>34</v>
      </c>
      <c r="D1027" t="s">
        <v>62</v>
      </c>
      <c r="E1027" t="s">
        <v>31</v>
      </c>
      <c r="F1027">
        <v>4</v>
      </c>
      <c r="G1027" t="s">
        <v>13</v>
      </c>
      <c r="H1027" s="1">
        <v>45949.57916666667</v>
      </c>
      <c r="I1027" s="5">
        <f>INT(TB[[#This Row],[时间戳]])</f>
        <v>45949</v>
      </c>
      <c r="J1027" s="2">
        <f>HOUR(TB[[#This Row],[时间戳]])</f>
        <v>13</v>
      </c>
      <c r="K1027">
        <v>783</v>
      </c>
      <c r="L1027">
        <v>2</v>
      </c>
      <c r="M1027">
        <f>TB[[#This Row],[售价]]*TB[[#This Row],[销量]]</f>
        <v>1566</v>
      </c>
      <c r="N1027" t="str">
        <f>IF(TB[[#This Row],[售价]]&lt;1000,"低价商品",IF(TB[[#This Row],[售价]]&lt;5000,"中价商品",IF(TB[[#This Row],[售价]]&lt;10000,"高价商品","超高价商品")))</f>
        <v>低价商品</v>
      </c>
    </row>
    <row r="1028" spans="1:14" x14ac:dyDescent="0.2">
      <c r="A1028">
        <v>742</v>
      </c>
      <c r="B1028">
        <v>69</v>
      </c>
      <c r="C1028" t="s">
        <v>17</v>
      </c>
      <c r="D1028" t="s">
        <v>133</v>
      </c>
      <c r="E1028" t="s">
        <v>31</v>
      </c>
      <c r="F1028">
        <v>4</v>
      </c>
      <c r="G1028" t="s">
        <v>13</v>
      </c>
      <c r="H1028" s="1">
        <v>45949.615277777775</v>
      </c>
      <c r="I1028" s="5">
        <f>INT(TB[[#This Row],[时间戳]])</f>
        <v>45949</v>
      </c>
      <c r="J1028" s="2">
        <f>HOUR(TB[[#This Row],[时间戳]])</f>
        <v>14</v>
      </c>
      <c r="K1028">
        <v>245</v>
      </c>
      <c r="L1028">
        <v>2</v>
      </c>
      <c r="M1028">
        <f>TB[[#This Row],[售价]]*TB[[#This Row],[销量]]</f>
        <v>490</v>
      </c>
      <c r="N1028" t="str">
        <f>IF(TB[[#This Row],[售价]]&lt;1000,"低价商品",IF(TB[[#This Row],[售价]]&lt;5000,"中价商品",IF(TB[[#This Row],[售价]]&lt;10000,"高价商品","超高价商品")))</f>
        <v>低价商品</v>
      </c>
    </row>
    <row r="1029" spans="1:14" x14ac:dyDescent="0.2">
      <c r="A1029">
        <v>449</v>
      </c>
      <c r="B1029">
        <v>287</v>
      </c>
      <c r="C1029" t="s">
        <v>44</v>
      </c>
      <c r="D1029" t="s">
        <v>242</v>
      </c>
      <c r="E1029" t="s">
        <v>16</v>
      </c>
      <c r="F1029">
        <v>6</v>
      </c>
      <c r="G1029" t="s">
        <v>13</v>
      </c>
      <c r="H1029" s="1">
        <v>45949.65</v>
      </c>
      <c r="I1029" s="5">
        <f>INT(TB[[#This Row],[时间戳]])</f>
        <v>45949</v>
      </c>
      <c r="J1029" s="2">
        <f>HOUR(TB[[#This Row],[时间戳]])</f>
        <v>15</v>
      </c>
      <c r="K1029">
        <v>5927</v>
      </c>
      <c r="L1029">
        <v>2</v>
      </c>
      <c r="M1029">
        <f>TB[[#This Row],[售价]]*TB[[#This Row],[销量]]</f>
        <v>11854</v>
      </c>
      <c r="N1029" t="str">
        <f>IF(TB[[#This Row],[售价]]&lt;1000,"低价商品",IF(TB[[#This Row],[售价]]&lt;5000,"中价商品",IF(TB[[#This Row],[售价]]&lt;10000,"高价商品","超高价商品")))</f>
        <v>高价商品</v>
      </c>
    </row>
    <row r="1030" spans="1:14" x14ac:dyDescent="0.2">
      <c r="A1030">
        <v>581</v>
      </c>
      <c r="B1030">
        <v>96</v>
      </c>
      <c r="C1030" t="s">
        <v>44</v>
      </c>
      <c r="D1030" t="s">
        <v>76</v>
      </c>
      <c r="E1030" t="s">
        <v>31</v>
      </c>
      <c r="F1030">
        <v>4</v>
      </c>
      <c r="G1030" t="s">
        <v>13</v>
      </c>
      <c r="H1030" s="1">
        <v>45949.656944444447</v>
      </c>
      <c r="I1030" s="5">
        <f>INT(TB[[#This Row],[时间戳]])</f>
        <v>45949</v>
      </c>
      <c r="J1030" s="2">
        <f>HOUR(TB[[#This Row],[时间戳]])</f>
        <v>15</v>
      </c>
      <c r="K1030">
        <v>730</v>
      </c>
      <c r="L1030">
        <v>1</v>
      </c>
      <c r="M1030">
        <f>TB[[#This Row],[售价]]*TB[[#This Row],[销量]]</f>
        <v>730</v>
      </c>
      <c r="N1030" t="str">
        <f>IF(TB[[#This Row],[售价]]&lt;1000,"低价商品",IF(TB[[#This Row],[售价]]&lt;5000,"中价商品",IF(TB[[#This Row],[售价]]&lt;10000,"高价商品","超高价商品")))</f>
        <v>低价商品</v>
      </c>
    </row>
    <row r="1031" spans="1:14" x14ac:dyDescent="0.2">
      <c r="A1031">
        <v>282</v>
      </c>
      <c r="B1031">
        <v>284</v>
      </c>
      <c r="C1031" t="s">
        <v>34</v>
      </c>
      <c r="D1031" t="s">
        <v>62</v>
      </c>
      <c r="E1031" t="s">
        <v>31</v>
      </c>
      <c r="F1031">
        <v>4</v>
      </c>
      <c r="G1031" t="s">
        <v>13</v>
      </c>
      <c r="H1031" s="1">
        <v>45949.689583333333</v>
      </c>
      <c r="I1031" s="5">
        <f>INT(TB[[#This Row],[时间戳]])</f>
        <v>45949</v>
      </c>
      <c r="J1031" s="2">
        <f>HOUR(TB[[#This Row],[时间戳]])</f>
        <v>16</v>
      </c>
      <c r="K1031">
        <v>1141</v>
      </c>
      <c r="L1031">
        <v>3</v>
      </c>
      <c r="M1031">
        <f>TB[[#This Row],[售价]]*TB[[#This Row],[销量]]</f>
        <v>3423</v>
      </c>
      <c r="N1031" t="str">
        <f>IF(TB[[#This Row],[售价]]&lt;1000,"低价商品",IF(TB[[#This Row],[售价]]&lt;5000,"中价商品",IF(TB[[#This Row],[售价]]&lt;10000,"高价商品","超高价商品")))</f>
        <v>中价商品</v>
      </c>
    </row>
    <row r="1032" spans="1:14" x14ac:dyDescent="0.2">
      <c r="A1032">
        <v>461</v>
      </c>
      <c r="B1032">
        <v>152</v>
      </c>
      <c r="C1032" t="s">
        <v>20</v>
      </c>
      <c r="D1032" t="s">
        <v>120</v>
      </c>
      <c r="E1032" t="s">
        <v>22</v>
      </c>
      <c r="F1032">
        <v>1</v>
      </c>
      <c r="G1032" t="s">
        <v>13</v>
      </c>
      <c r="H1032" s="1">
        <v>45949.69027777778</v>
      </c>
      <c r="I1032" s="5">
        <f>INT(TB[[#This Row],[时间戳]])</f>
        <v>45949</v>
      </c>
      <c r="J1032" s="2">
        <f>HOUR(TB[[#This Row],[时间戳]])</f>
        <v>16</v>
      </c>
      <c r="K1032">
        <v>2148</v>
      </c>
      <c r="L1032">
        <v>2</v>
      </c>
      <c r="M1032">
        <f>TB[[#This Row],[售价]]*TB[[#This Row],[销量]]</f>
        <v>4296</v>
      </c>
      <c r="N1032" t="str">
        <f>IF(TB[[#This Row],[售价]]&lt;1000,"低价商品",IF(TB[[#This Row],[售价]]&lt;5000,"中价商品",IF(TB[[#This Row],[售价]]&lt;10000,"高价商品","超高价商品")))</f>
        <v>中价商品</v>
      </c>
    </row>
    <row r="1033" spans="1:14" x14ac:dyDescent="0.2">
      <c r="A1033">
        <v>465</v>
      </c>
      <c r="B1033">
        <v>1</v>
      </c>
      <c r="C1033" t="s">
        <v>20</v>
      </c>
      <c r="D1033" t="s">
        <v>147</v>
      </c>
      <c r="E1033" t="s">
        <v>22</v>
      </c>
      <c r="F1033">
        <v>1</v>
      </c>
      <c r="G1033" t="s">
        <v>13</v>
      </c>
      <c r="H1033" s="1">
        <v>45949.706944444442</v>
      </c>
      <c r="I1033" s="5">
        <f>INT(TB[[#This Row],[时间戳]])</f>
        <v>45949</v>
      </c>
      <c r="J1033" s="2">
        <f>HOUR(TB[[#This Row],[时间戳]])</f>
        <v>16</v>
      </c>
      <c r="K1033">
        <v>7646</v>
      </c>
      <c r="L1033">
        <v>2</v>
      </c>
      <c r="M1033">
        <f>TB[[#This Row],[售价]]*TB[[#This Row],[销量]]</f>
        <v>15292</v>
      </c>
      <c r="N1033" t="str">
        <f>IF(TB[[#This Row],[售价]]&lt;1000,"低价商品",IF(TB[[#This Row],[售价]]&lt;5000,"中价商品",IF(TB[[#This Row],[售价]]&lt;10000,"高价商品","超高价商品")))</f>
        <v>高价商品</v>
      </c>
    </row>
    <row r="1034" spans="1:14" x14ac:dyDescent="0.2">
      <c r="A1034">
        <v>752</v>
      </c>
      <c r="B1034">
        <v>95</v>
      </c>
      <c r="C1034" t="s">
        <v>20</v>
      </c>
      <c r="D1034" t="s">
        <v>167</v>
      </c>
      <c r="E1034" t="s">
        <v>39</v>
      </c>
      <c r="F1034">
        <v>5</v>
      </c>
      <c r="G1034" t="s">
        <v>13</v>
      </c>
      <c r="H1034" s="1">
        <v>45949.711805555555</v>
      </c>
      <c r="I1034" s="5">
        <f>INT(TB[[#This Row],[时间戳]])</f>
        <v>45949</v>
      </c>
      <c r="J1034" s="2">
        <f>HOUR(TB[[#This Row],[时间戳]])</f>
        <v>17</v>
      </c>
      <c r="K1034">
        <v>4000</v>
      </c>
      <c r="L1034">
        <v>2</v>
      </c>
      <c r="M1034">
        <f>TB[[#This Row],[售价]]*TB[[#This Row],[销量]]</f>
        <v>8000</v>
      </c>
      <c r="N1034" t="str">
        <f>IF(TB[[#This Row],[售价]]&lt;1000,"低价商品",IF(TB[[#This Row],[售价]]&lt;5000,"中价商品",IF(TB[[#This Row],[售价]]&lt;10000,"高价商品","超高价商品")))</f>
        <v>中价商品</v>
      </c>
    </row>
    <row r="1035" spans="1:14" x14ac:dyDescent="0.2">
      <c r="A1035">
        <v>245</v>
      </c>
      <c r="B1035">
        <v>165</v>
      </c>
      <c r="C1035" t="s">
        <v>34</v>
      </c>
      <c r="D1035" t="s">
        <v>125</v>
      </c>
      <c r="E1035" t="s">
        <v>31</v>
      </c>
      <c r="F1035">
        <v>4</v>
      </c>
      <c r="G1035" t="s">
        <v>13</v>
      </c>
      <c r="H1035" s="1">
        <v>45949.713888888888</v>
      </c>
      <c r="I1035" s="5">
        <f>INT(TB[[#This Row],[时间戳]])</f>
        <v>45949</v>
      </c>
      <c r="J1035" s="2">
        <f>HOUR(TB[[#This Row],[时间戳]])</f>
        <v>17</v>
      </c>
      <c r="K1035">
        <v>205</v>
      </c>
      <c r="L1035">
        <v>2</v>
      </c>
      <c r="M1035">
        <f>TB[[#This Row],[售价]]*TB[[#This Row],[销量]]</f>
        <v>410</v>
      </c>
      <c r="N1035" t="str">
        <f>IF(TB[[#This Row],[售价]]&lt;1000,"低价商品",IF(TB[[#This Row],[售价]]&lt;5000,"中价商品",IF(TB[[#This Row],[售价]]&lt;10000,"高价商品","超高价商品")))</f>
        <v>低价商品</v>
      </c>
    </row>
    <row r="1036" spans="1:14" x14ac:dyDescent="0.2">
      <c r="A1036">
        <v>195</v>
      </c>
      <c r="B1036">
        <v>269</v>
      </c>
      <c r="C1036" t="s">
        <v>20</v>
      </c>
      <c r="D1036" t="s">
        <v>113</v>
      </c>
      <c r="E1036" t="s">
        <v>31</v>
      </c>
      <c r="F1036">
        <v>4</v>
      </c>
      <c r="G1036" t="s">
        <v>13</v>
      </c>
      <c r="H1036" s="1">
        <v>45949.715277777781</v>
      </c>
      <c r="I1036" s="5">
        <f>INT(TB[[#This Row],[时间戳]])</f>
        <v>45949</v>
      </c>
      <c r="J1036" s="2">
        <f>HOUR(TB[[#This Row],[时间戳]])</f>
        <v>17</v>
      </c>
      <c r="K1036">
        <v>316</v>
      </c>
      <c r="L1036">
        <v>4</v>
      </c>
      <c r="M1036">
        <f>TB[[#This Row],[售价]]*TB[[#This Row],[销量]]</f>
        <v>1264</v>
      </c>
      <c r="N1036" t="str">
        <f>IF(TB[[#This Row],[售价]]&lt;1000,"低价商品",IF(TB[[#This Row],[售价]]&lt;5000,"中价商品",IF(TB[[#This Row],[售价]]&lt;10000,"高价商品","超高价商品")))</f>
        <v>低价商品</v>
      </c>
    </row>
    <row r="1037" spans="1:14" x14ac:dyDescent="0.2">
      <c r="A1037">
        <v>628</v>
      </c>
      <c r="B1037">
        <v>145</v>
      </c>
      <c r="C1037" t="s">
        <v>20</v>
      </c>
      <c r="D1037" t="s">
        <v>120</v>
      </c>
      <c r="E1037" t="s">
        <v>22</v>
      </c>
      <c r="F1037">
        <v>1</v>
      </c>
      <c r="G1037" t="s">
        <v>13</v>
      </c>
      <c r="H1037" s="1">
        <v>45949.737500000003</v>
      </c>
      <c r="I1037" s="5">
        <f>INT(TB[[#This Row],[时间戳]])</f>
        <v>45949</v>
      </c>
      <c r="J1037" s="2">
        <f>HOUR(TB[[#This Row],[时间戳]])</f>
        <v>17</v>
      </c>
      <c r="K1037">
        <v>6650</v>
      </c>
      <c r="L1037">
        <v>2</v>
      </c>
      <c r="M1037">
        <f>TB[[#This Row],[售价]]*TB[[#This Row],[销量]]</f>
        <v>13300</v>
      </c>
      <c r="N1037" t="str">
        <f>IF(TB[[#This Row],[售价]]&lt;1000,"低价商品",IF(TB[[#This Row],[售价]]&lt;5000,"中价商品",IF(TB[[#This Row],[售价]]&lt;10000,"高价商品","超高价商品")))</f>
        <v>高价商品</v>
      </c>
    </row>
    <row r="1038" spans="1:14" x14ac:dyDescent="0.2">
      <c r="A1038">
        <v>99</v>
      </c>
      <c r="B1038">
        <v>268</v>
      </c>
      <c r="C1038" t="s">
        <v>34</v>
      </c>
      <c r="D1038" t="s">
        <v>69</v>
      </c>
      <c r="E1038" t="s">
        <v>31</v>
      </c>
      <c r="F1038">
        <v>4</v>
      </c>
      <c r="G1038" t="s">
        <v>13</v>
      </c>
      <c r="H1038" s="1">
        <v>45949.745138888888</v>
      </c>
      <c r="I1038" s="5">
        <f>INT(TB[[#This Row],[时间戳]])</f>
        <v>45949</v>
      </c>
      <c r="J1038" s="2">
        <f>HOUR(TB[[#This Row],[时间戳]])</f>
        <v>17</v>
      </c>
      <c r="K1038">
        <v>719</v>
      </c>
      <c r="L1038">
        <v>2</v>
      </c>
      <c r="M1038">
        <f>TB[[#This Row],[售价]]*TB[[#This Row],[销量]]</f>
        <v>1438</v>
      </c>
      <c r="N1038" t="str">
        <f>IF(TB[[#This Row],[售价]]&lt;1000,"低价商品",IF(TB[[#This Row],[售价]]&lt;5000,"中价商品",IF(TB[[#This Row],[售价]]&lt;10000,"高价商品","超高价商品")))</f>
        <v>低价商品</v>
      </c>
    </row>
    <row r="1039" spans="1:14" x14ac:dyDescent="0.2">
      <c r="A1039">
        <v>183</v>
      </c>
      <c r="B1039">
        <v>17</v>
      </c>
      <c r="C1039" t="s">
        <v>10</v>
      </c>
      <c r="D1039" t="s">
        <v>24</v>
      </c>
      <c r="E1039" t="s">
        <v>25</v>
      </c>
      <c r="F1039">
        <v>7</v>
      </c>
      <c r="G1039" t="s">
        <v>42</v>
      </c>
      <c r="H1039" s="1">
        <v>45949.768750000003</v>
      </c>
      <c r="I1039" s="5">
        <f>INT(TB[[#This Row],[时间戳]])</f>
        <v>45949</v>
      </c>
      <c r="J1039" s="2">
        <f>HOUR(TB[[#This Row],[时间戳]])</f>
        <v>18</v>
      </c>
      <c r="K1039">
        <v>6731</v>
      </c>
      <c r="L1039">
        <v>0</v>
      </c>
      <c r="M1039">
        <f>TB[[#This Row],[售价]]*TB[[#This Row],[销量]]</f>
        <v>0</v>
      </c>
      <c r="N1039" t="str">
        <f>IF(TB[[#This Row],[售价]]&lt;1000,"低价商品",IF(TB[[#This Row],[售价]]&lt;5000,"中价商品",IF(TB[[#This Row],[售价]]&lt;10000,"高价商品","超高价商品")))</f>
        <v>高价商品</v>
      </c>
    </row>
    <row r="1040" spans="1:14" x14ac:dyDescent="0.2">
      <c r="A1040">
        <v>102</v>
      </c>
      <c r="B1040">
        <v>17</v>
      </c>
      <c r="C1040" t="s">
        <v>44</v>
      </c>
      <c r="D1040" t="s">
        <v>76</v>
      </c>
      <c r="E1040" t="s">
        <v>31</v>
      </c>
      <c r="F1040">
        <v>4</v>
      </c>
      <c r="G1040" t="s">
        <v>13</v>
      </c>
      <c r="H1040" s="1">
        <v>45949.770138888889</v>
      </c>
      <c r="I1040" s="5">
        <f>INT(TB[[#This Row],[时间戳]])</f>
        <v>45949</v>
      </c>
      <c r="J1040" s="2">
        <f>HOUR(TB[[#This Row],[时间戳]])</f>
        <v>18</v>
      </c>
      <c r="K1040">
        <v>317</v>
      </c>
      <c r="L1040">
        <v>2</v>
      </c>
      <c r="M1040">
        <f>TB[[#This Row],[售价]]*TB[[#This Row],[销量]]</f>
        <v>634</v>
      </c>
      <c r="N1040" t="str">
        <f>IF(TB[[#This Row],[售价]]&lt;1000,"低价商品",IF(TB[[#This Row],[售价]]&lt;5000,"中价商品",IF(TB[[#This Row],[售价]]&lt;10000,"高价商品","超高价商品")))</f>
        <v>低价商品</v>
      </c>
    </row>
    <row r="1041" spans="1:14" x14ac:dyDescent="0.2">
      <c r="A1041">
        <v>502</v>
      </c>
      <c r="B1041">
        <v>270</v>
      </c>
      <c r="C1041" t="s">
        <v>17</v>
      </c>
      <c r="D1041" t="s">
        <v>75</v>
      </c>
      <c r="E1041" t="s">
        <v>12</v>
      </c>
      <c r="F1041">
        <v>2</v>
      </c>
      <c r="G1041" t="s">
        <v>13</v>
      </c>
      <c r="H1041" s="1">
        <v>45949.777083333334</v>
      </c>
      <c r="I1041" s="5">
        <f>INT(TB[[#This Row],[时间戳]])</f>
        <v>45949</v>
      </c>
      <c r="J1041" s="2">
        <f>HOUR(TB[[#This Row],[时间戳]])</f>
        <v>18</v>
      </c>
      <c r="K1041">
        <v>13483</v>
      </c>
      <c r="L1041">
        <v>2</v>
      </c>
      <c r="M1041">
        <f>TB[[#This Row],[售价]]*TB[[#This Row],[销量]]</f>
        <v>26966</v>
      </c>
      <c r="N1041" t="str">
        <f>IF(TB[[#This Row],[售价]]&lt;1000,"低价商品",IF(TB[[#This Row],[售价]]&lt;5000,"中价商品",IF(TB[[#This Row],[售价]]&lt;10000,"高价商品","超高价商品")))</f>
        <v>超高价商品</v>
      </c>
    </row>
    <row r="1042" spans="1:14" x14ac:dyDescent="0.2">
      <c r="A1042">
        <v>51</v>
      </c>
      <c r="B1042">
        <v>188</v>
      </c>
      <c r="C1042" t="s">
        <v>46</v>
      </c>
      <c r="D1042" t="s">
        <v>142</v>
      </c>
      <c r="E1042" t="s">
        <v>31</v>
      </c>
      <c r="F1042">
        <v>4</v>
      </c>
      <c r="G1042" t="s">
        <v>13</v>
      </c>
      <c r="H1042" s="1">
        <v>45949.790972222225</v>
      </c>
      <c r="I1042" s="5">
        <f>INT(TB[[#This Row],[时间戳]])</f>
        <v>45949</v>
      </c>
      <c r="J1042" s="2">
        <f>HOUR(TB[[#This Row],[时间戳]])</f>
        <v>18</v>
      </c>
      <c r="K1042">
        <v>1486</v>
      </c>
      <c r="L1042">
        <v>2</v>
      </c>
      <c r="M1042">
        <f>TB[[#This Row],[售价]]*TB[[#This Row],[销量]]</f>
        <v>2972</v>
      </c>
      <c r="N1042" t="str">
        <f>IF(TB[[#This Row],[售价]]&lt;1000,"低价商品",IF(TB[[#This Row],[售价]]&lt;5000,"中价商品",IF(TB[[#This Row],[售价]]&lt;10000,"高价商品","超高价商品")))</f>
        <v>中价商品</v>
      </c>
    </row>
    <row r="1043" spans="1:14" x14ac:dyDescent="0.2">
      <c r="A1043">
        <v>214</v>
      </c>
      <c r="B1043">
        <v>252</v>
      </c>
      <c r="C1043" t="s">
        <v>14</v>
      </c>
      <c r="D1043" t="s">
        <v>89</v>
      </c>
      <c r="E1043" t="s">
        <v>22</v>
      </c>
      <c r="F1043">
        <v>1</v>
      </c>
      <c r="G1043" t="s">
        <v>13</v>
      </c>
      <c r="H1043" s="1">
        <v>45949.820138888892</v>
      </c>
      <c r="I1043" s="5">
        <f>INT(TB[[#This Row],[时间戳]])</f>
        <v>45949</v>
      </c>
      <c r="J1043" s="2">
        <f>HOUR(TB[[#This Row],[时间戳]])</f>
        <v>19</v>
      </c>
      <c r="K1043">
        <v>2918</v>
      </c>
      <c r="L1043">
        <v>1</v>
      </c>
      <c r="M1043">
        <f>TB[[#This Row],[售价]]*TB[[#This Row],[销量]]</f>
        <v>2918</v>
      </c>
      <c r="N1043" t="str">
        <f>IF(TB[[#This Row],[售价]]&lt;1000,"低价商品",IF(TB[[#This Row],[售价]]&lt;5000,"中价商品",IF(TB[[#This Row],[售价]]&lt;10000,"高价商品","超高价商品")))</f>
        <v>中价商品</v>
      </c>
    </row>
    <row r="1044" spans="1:14" x14ac:dyDescent="0.2">
      <c r="A1044">
        <v>63</v>
      </c>
      <c r="B1044">
        <v>185</v>
      </c>
      <c r="C1044" t="s">
        <v>44</v>
      </c>
      <c r="D1044" t="s">
        <v>372</v>
      </c>
      <c r="E1044" t="s">
        <v>22</v>
      </c>
      <c r="F1044">
        <v>1</v>
      </c>
      <c r="G1044" t="s">
        <v>13</v>
      </c>
      <c r="H1044" s="1">
        <v>45949.82708333333</v>
      </c>
      <c r="I1044" s="5">
        <f>INT(TB[[#This Row],[时间戳]])</f>
        <v>45949</v>
      </c>
      <c r="J1044" s="2">
        <f>HOUR(TB[[#This Row],[时间戳]])</f>
        <v>19</v>
      </c>
      <c r="K1044">
        <v>7656</v>
      </c>
      <c r="L1044">
        <v>1</v>
      </c>
      <c r="M1044">
        <f>TB[[#This Row],[售价]]*TB[[#This Row],[销量]]</f>
        <v>7656</v>
      </c>
      <c r="N1044" t="str">
        <f>IF(TB[[#This Row],[售价]]&lt;1000,"低价商品",IF(TB[[#This Row],[售价]]&lt;5000,"中价商品",IF(TB[[#This Row],[售价]]&lt;10000,"高价商品","超高价商品")))</f>
        <v>高价商品</v>
      </c>
    </row>
    <row r="1045" spans="1:14" x14ac:dyDescent="0.2">
      <c r="A1045">
        <v>726</v>
      </c>
      <c r="B1045">
        <v>30</v>
      </c>
      <c r="C1045" t="s">
        <v>17</v>
      </c>
      <c r="D1045" t="s">
        <v>133</v>
      </c>
      <c r="E1045" t="s">
        <v>31</v>
      </c>
      <c r="F1045">
        <v>4</v>
      </c>
      <c r="G1045" t="s">
        <v>13</v>
      </c>
      <c r="H1045" s="1">
        <v>45949.845138888886</v>
      </c>
      <c r="I1045" s="5">
        <f>INT(TB[[#This Row],[时间戳]])</f>
        <v>45949</v>
      </c>
      <c r="J1045" s="2">
        <f>HOUR(TB[[#This Row],[时间戳]])</f>
        <v>20</v>
      </c>
      <c r="K1045">
        <v>1372</v>
      </c>
      <c r="L1045">
        <v>3</v>
      </c>
      <c r="M1045">
        <f>TB[[#This Row],[售价]]*TB[[#This Row],[销量]]</f>
        <v>4116</v>
      </c>
      <c r="N1045" t="str">
        <f>IF(TB[[#This Row],[售价]]&lt;1000,"低价商品",IF(TB[[#This Row],[售价]]&lt;5000,"中价商品",IF(TB[[#This Row],[售价]]&lt;10000,"高价商品","超高价商品")))</f>
        <v>中价商品</v>
      </c>
    </row>
    <row r="1046" spans="1:14" x14ac:dyDescent="0.2">
      <c r="A1046">
        <v>752</v>
      </c>
      <c r="B1046">
        <v>37</v>
      </c>
      <c r="C1046" t="s">
        <v>20</v>
      </c>
      <c r="D1046" t="s">
        <v>319</v>
      </c>
      <c r="E1046" t="s">
        <v>31</v>
      </c>
      <c r="F1046">
        <v>4</v>
      </c>
      <c r="G1046" t="s">
        <v>13</v>
      </c>
      <c r="H1046" s="1">
        <v>45949.884722222225</v>
      </c>
      <c r="I1046" s="5">
        <f>INT(TB[[#This Row],[时间戳]])</f>
        <v>45949</v>
      </c>
      <c r="J1046" s="2">
        <f>HOUR(TB[[#This Row],[时间戳]])</f>
        <v>21</v>
      </c>
      <c r="K1046">
        <v>1249</v>
      </c>
      <c r="L1046">
        <v>2</v>
      </c>
      <c r="M1046">
        <f>TB[[#This Row],[售价]]*TB[[#This Row],[销量]]</f>
        <v>2498</v>
      </c>
      <c r="N1046" t="str">
        <f>IF(TB[[#This Row],[售价]]&lt;1000,"低价商品",IF(TB[[#This Row],[售价]]&lt;5000,"中价商品",IF(TB[[#This Row],[售价]]&lt;10000,"高价商品","超高价商品")))</f>
        <v>中价商品</v>
      </c>
    </row>
    <row r="1047" spans="1:14" x14ac:dyDescent="0.2">
      <c r="A1047">
        <v>100</v>
      </c>
      <c r="B1047">
        <v>52</v>
      </c>
      <c r="C1047" t="s">
        <v>32</v>
      </c>
      <c r="D1047" t="s">
        <v>200</v>
      </c>
      <c r="E1047" t="s">
        <v>25</v>
      </c>
      <c r="F1047">
        <v>7</v>
      </c>
      <c r="G1047" t="s">
        <v>13</v>
      </c>
      <c r="H1047" s="1">
        <v>45949.902777777781</v>
      </c>
      <c r="I1047" s="5">
        <f>INT(TB[[#This Row],[时间戳]])</f>
        <v>45949</v>
      </c>
      <c r="J1047" s="2">
        <f>HOUR(TB[[#This Row],[时间戳]])</f>
        <v>21</v>
      </c>
      <c r="K1047">
        <v>3828</v>
      </c>
      <c r="L1047">
        <v>2</v>
      </c>
      <c r="M1047">
        <f>TB[[#This Row],[售价]]*TB[[#This Row],[销量]]</f>
        <v>7656</v>
      </c>
      <c r="N1047" t="str">
        <f>IF(TB[[#This Row],[售价]]&lt;1000,"低价商品",IF(TB[[#This Row],[售价]]&lt;5000,"中价商品",IF(TB[[#This Row],[售价]]&lt;10000,"高价商品","超高价商品")))</f>
        <v>中价商品</v>
      </c>
    </row>
    <row r="1048" spans="1:14" x14ac:dyDescent="0.2">
      <c r="A1048">
        <v>198</v>
      </c>
      <c r="B1048">
        <v>270</v>
      </c>
      <c r="C1048" t="s">
        <v>17</v>
      </c>
      <c r="D1048" t="s">
        <v>119</v>
      </c>
      <c r="E1048" t="s">
        <v>12</v>
      </c>
      <c r="F1048">
        <v>2</v>
      </c>
      <c r="G1048" t="s">
        <v>13</v>
      </c>
      <c r="H1048" s="1">
        <v>45949.907638888886</v>
      </c>
      <c r="I1048" s="5">
        <f>INT(TB[[#This Row],[时间戳]])</f>
        <v>45949</v>
      </c>
      <c r="J1048" s="2">
        <f>HOUR(TB[[#This Row],[时间戳]])</f>
        <v>21</v>
      </c>
      <c r="K1048">
        <v>7856</v>
      </c>
      <c r="L1048">
        <v>3</v>
      </c>
      <c r="M1048">
        <f>TB[[#This Row],[售价]]*TB[[#This Row],[销量]]</f>
        <v>23568</v>
      </c>
      <c r="N1048" t="str">
        <f>IF(TB[[#This Row],[售价]]&lt;1000,"低价商品",IF(TB[[#This Row],[售价]]&lt;5000,"中价商品",IF(TB[[#This Row],[售价]]&lt;10000,"高价商品","超高价商品")))</f>
        <v>高价商品</v>
      </c>
    </row>
    <row r="1049" spans="1:14" x14ac:dyDescent="0.2">
      <c r="A1049">
        <v>768</v>
      </c>
      <c r="B1049">
        <v>286</v>
      </c>
      <c r="C1049" t="s">
        <v>26</v>
      </c>
      <c r="D1049" t="s">
        <v>270</v>
      </c>
      <c r="E1049" t="s">
        <v>16</v>
      </c>
      <c r="F1049">
        <v>6</v>
      </c>
      <c r="G1049" t="s">
        <v>13</v>
      </c>
      <c r="H1049" s="1">
        <v>45949.908333333333</v>
      </c>
      <c r="I1049" s="5">
        <f>INT(TB[[#This Row],[时间戳]])</f>
        <v>45949</v>
      </c>
      <c r="J1049" s="2">
        <f>HOUR(TB[[#This Row],[时间戳]])</f>
        <v>21</v>
      </c>
      <c r="K1049">
        <v>6166</v>
      </c>
      <c r="L1049">
        <v>1</v>
      </c>
      <c r="M1049">
        <f>TB[[#This Row],[售价]]*TB[[#This Row],[销量]]</f>
        <v>6166</v>
      </c>
      <c r="N1049" t="str">
        <f>IF(TB[[#This Row],[售价]]&lt;1000,"低价商品",IF(TB[[#This Row],[售价]]&lt;5000,"中价商品",IF(TB[[#This Row],[售价]]&lt;10000,"高价商品","超高价商品")))</f>
        <v>高价商品</v>
      </c>
    </row>
    <row r="1050" spans="1:14" x14ac:dyDescent="0.2">
      <c r="A1050">
        <v>591</v>
      </c>
      <c r="B1050">
        <v>184</v>
      </c>
      <c r="C1050" t="s">
        <v>14</v>
      </c>
      <c r="D1050" t="s">
        <v>223</v>
      </c>
      <c r="E1050" t="s">
        <v>22</v>
      </c>
      <c r="F1050">
        <v>1</v>
      </c>
      <c r="G1050" t="s">
        <v>13</v>
      </c>
      <c r="H1050" s="1">
        <v>45949.945833333331</v>
      </c>
      <c r="I1050" s="5">
        <f>INT(TB[[#This Row],[时间戳]])</f>
        <v>45949</v>
      </c>
      <c r="J1050" s="2">
        <f>HOUR(TB[[#This Row],[时间戳]])</f>
        <v>22</v>
      </c>
      <c r="K1050">
        <v>4583</v>
      </c>
      <c r="L1050">
        <v>2</v>
      </c>
      <c r="M1050">
        <f>TB[[#This Row],[售价]]*TB[[#This Row],[销量]]</f>
        <v>9166</v>
      </c>
      <c r="N1050" t="str">
        <f>IF(TB[[#This Row],[售价]]&lt;1000,"低价商品",IF(TB[[#This Row],[售价]]&lt;5000,"中价商品",IF(TB[[#This Row],[售价]]&lt;10000,"高价商品","超高价商品")))</f>
        <v>中价商品</v>
      </c>
    </row>
    <row r="1051" spans="1:14" x14ac:dyDescent="0.2">
      <c r="A1051">
        <v>171</v>
      </c>
      <c r="B1051">
        <v>93</v>
      </c>
      <c r="C1051" t="s">
        <v>17</v>
      </c>
      <c r="D1051" t="s">
        <v>18</v>
      </c>
      <c r="E1051" t="s">
        <v>19</v>
      </c>
      <c r="F1051">
        <v>3</v>
      </c>
      <c r="G1051" t="s">
        <v>13</v>
      </c>
      <c r="H1051" s="1">
        <v>45949.945833333331</v>
      </c>
      <c r="I1051" s="5">
        <f>INT(TB[[#This Row],[时间戳]])</f>
        <v>45949</v>
      </c>
      <c r="J1051" s="2">
        <f>HOUR(TB[[#This Row],[时间戳]])</f>
        <v>22</v>
      </c>
      <c r="K1051">
        <v>5416</v>
      </c>
      <c r="L1051">
        <v>2</v>
      </c>
      <c r="M1051">
        <f>TB[[#This Row],[售价]]*TB[[#This Row],[销量]]</f>
        <v>10832</v>
      </c>
      <c r="N1051" t="str">
        <f>IF(TB[[#This Row],[售价]]&lt;1000,"低价商品",IF(TB[[#This Row],[售价]]&lt;5000,"中价商品",IF(TB[[#This Row],[售价]]&lt;10000,"高价商品","超高价商品")))</f>
        <v>高价商品</v>
      </c>
    </row>
    <row r="1052" spans="1:14" x14ac:dyDescent="0.2">
      <c r="A1052">
        <v>674</v>
      </c>
      <c r="B1052">
        <v>81</v>
      </c>
      <c r="C1052" t="s">
        <v>20</v>
      </c>
      <c r="D1052" t="s">
        <v>296</v>
      </c>
      <c r="E1052" t="s">
        <v>25</v>
      </c>
      <c r="F1052">
        <v>7</v>
      </c>
      <c r="G1052" t="s">
        <v>13</v>
      </c>
      <c r="H1052" s="1">
        <v>45949.984027777777</v>
      </c>
      <c r="I1052" s="5">
        <f>INT(TB[[#This Row],[时间戳]])</f>
        <v>45949</v>
      </c>
      <c r="J1052" s="2">
        <f>HOUR(TB[[#This Row],[时间戳]])</f>
        <v>23</v>
      </c>
      <c r="K1052">
        <v>6010</v>
      </c>
      <c r="L1052">
        <v>3</v>
      </c>
      <c r="M1052">
        <f>TB[[#This Row],[售价]]*TB[[#This Row],[销量]]</f>
        <v>18030</v>
      </c>
      <c r="N1052" t="str">
        <f>IF(TB[[#This Row],[售价]]&lt;1000,"低价商品",IF(TB[[#This Row],[售价]]&lt;5000,"中价商品",IF(TB[[#This Row],[售价]]&lt;10000,"高价商品","超高价商品")))</f>
        <v>高价商品</v>
      </c>
    </row>
    <row r="1053" spans="1:14" x14ac:dyDescent="0.2">
      <c r="A1053">
        <v>323</v>
      </c>
      <c r="B1053">
        <v>282</v>
      </c>
      <c r="C1053" t="s">
        <v>44</v>
      </c>
      <c r="D1053" t="s">
        <v>184</v>
      </c>
      <c r="E1053" t="s">
        <v>12</v>
      </c>
      <c r="F1053">
        <v>2</v>
      </c>
      <c r="G1053" t="s">
        <v>13</v>
      </c>
      <c r="H1053" s="1">
        <v>45949.997916666667</v>
      </c>
      <c r="I1053" s="5">
        <f>INT(TB[[#This Row],[时间戳]])</f>
        <v>45949</v>
      </c>
      <c r="J1053" s="2">
        <f>HOUR(TB[[#This Row],[时间戳]])</f>
        <v>23</v>
      </c>
      <c r="K1053">
        <v>12854</v>
      </c>
      <c r="L1053">
        <v>3</v>
      </c>
      <c r="M1053">
        <f>TB[[#This Row],[售价]]*TB[[#This Row],[销量]]</f>
        <v>38562</v>
      </c>
      <c r="N1053" t="str">
        <f>IF(TB[[#This Row],[售价]]&lt;1000,"低价商品",IF(TB[[#This Row],[售价]]&lt;5000,"中价商品",IF(TB[[#This Row],[售价]]&lt;10000,"高价商品","超高价商品")))</f>
        <v>超高价商品</v>
      </c>
    </row>
    <row r="1054" spans="1:14" x14ac:dyDescent="0.2">
      <c r="A1054">
        <v>441</v>
      </c>
      <c r="B1054">
        <v>166</v>
      </c>
      <c r="C1054" t="s">
        <v>17</v>
      </c>
      <c r="D1054" t="s">
        <v>98</v>
      </c>
      <c r="E1054" t="s">
        <v>22</v>
      </c>
      <c r="F1054">
        <v>1</v>
      </c>
      <c r="G1054" t="s">
        <v>13</v>
      </c>
      <c r="H1054" s="1">
        <v>45950.049305555556</v>
      </c>
      <c r="I1054" s="5">
        <f>INT(TB[[#This Row],[时间戳]])</f>
        <v>45950</v>
      </c>
      <c r="J1054" s="2">
        <f>HOUR(TB[[#This Row],[时间戳]])</f>
        <v>1</v>
      </c>
      <c r="K1054">
        <v>3649</v>
      </c>
      <c r="L1054">
        <v>4</v>
      </c>
      <c r="M1054">
        <f>TB[[#This Row],[售价]]*TB[[#This Row],[销量]]</f>
        <v>14596</v>
      </c>
      <c r="N1054" t="str">
        <f>IF(TB[[#This Row],[售价]]&lt;1000,"低价商品",IF(TB[[#This Row],[售价]]&lt;5000,"中价商品",IF(TB[[#This Row],[售价]]&lt;10000,"高价商品","超高价商品")))</f>
        <v>中价商品</v>
      </c>
    </row>
    <row r="1055" spans="1:14" x14ac:dyDescent="0.2">
      <c r="A1055">
        <v>220</v>
      </c>
      <c r="B1055">
        <v>193</v>
      </c>
      <c r="C1055" t="s">
        <v>46</v>
      </c>
      <c r="D1055" t="s">
        <v>129</v>
      </c>
      <c r="E1055" t="s">
        <v>31</v>
      </c>
      <c r="F1055">
        <v>4</v>
      </c>
      <c r="G1055" t="s">
        <v>13</v>
      </c>
      <c r="H1055" s="1">
        <v>45950.07916666667</v>
      </c>
      <c r="I1055" s="5">
        <f>INT(TB[[#This Row],[时间戳]])</f>
        <v>45950</v>
      </c>
      <c r="J1055" s="2">
        <f>HOUR(TB[[#This Row],[时间戳]])</f>
        <v>1</v>
      </c>
      <c r="K1055">
        <v>1219</v>
      </c>
      <c r="L1055">
        <v>1</v>
      </c>
      <c r="M1055">
        <f>TB[[#This Row],[售价]]*TB[[#This Row],[销量]]</f>
        <v>1219</v>
      </c>
      <c r="N1055" t="str">
        <f>IF(TB[[#This Row],[售价]]&lt;1000,"低价商品",IF(TB[[#This Row],[售价]]&lt;5000,"中价商品",IF(TB[[#This Row],[售价]]&lt;10000,"高价商品","超高价商品")))</f>
        <v>中价商品</v>
      </c>
    </row>
    <row r="1056" spans="1:14" x14ac:dyDescent="0.2">
      <c r="A1056">
        <v>464</v>
      </c>
      <c r="B1056">
        <v>230</v>
      </c>
      <c r="C1056" t="s">
        <v>36</v>
      </c>
      <c r="D1056" t="s">
        <v>210</v>
      </c>
      <c r="E1056" t="s">
        <v>31</v>
      </c>
      <c r="F1056">
        <v>4</v>
      </c>
      <c r="G1056" t="s">
        <v>13</v>
      </c>
      <c r="H1056" s="1">
        <v>45950.193055555559</v>
      </c>
      <c r="I1056" s="5">
        <f>INT(TB[[#This Row],[时间戳]])</f>
        <v>45950</v>
      </c>
      <c r="J1056" s="2">
        <f>HOUR(TB[[#This Row],[时间戳]])</f>
        <v>4</v>
      </c>
      <c r="K1056">
        <v>1357</v>
      </c>
      <c r="L1056">
        <v>1</v>
      </c>
      <c r="M1056">
        <f>TB[[#This Row],[售价]]*TB[[#This Row],[销量]]</f>
        <v>1357</v>
      </c>
      <c r="N1056" t="str">
        <f>IF(TB[[#This Row],[售价]]&lt;1000,"低价商品",IF(TB[[#This Row],[售价]]&lt;5000,"中价商品",IF(TB[[#This Row],[售价]]&lt;10000,"高价商品","超高价商品")))</f>
        <v>中价商品</v>
      </c>
    </row>
    <row r="1057" spans="1:14" x14ac:dyDescent="0.2">
      <c r="A1057">
        <v>611</v>
      </c>
      <c r="B1057">
        <v>9</v>
      </c>
      <c r="C1057" t="s">
        <v>10</v>
      </c>
      <c r="D1057" t="s">
        <v>221</v>
      </c>
      <c r="E1057" t="s">
        <v>16</v>
      </c>
      <c r="F1057">
        <v>6</v>
      </c>
      <c r="G1057" t="s">
        <v>13</v>
      </c>
      <c r="H1057" s="1">
        <v>45950.200694444444</v>
      </c>
      <c r="I1057" s="5">
        <f>INT(TB[[#This Row],[时间戳]])</f>
        <v>45950</v>
      </c>
      <c r="J1057" s="2">
        <f>HOUR(TB[[#This Row],[时间戳]])</f>
        <v>4</v>
      </c>
      <c r="K1057">
        <v>8305</v>
      </c>
      <c r="L1057">
        <v>2</v>
      </c>
      <c r="M1057">
        <f>TB[[#This Row],[售价]]*TB[[#This Row],[销量]]</f>
        <v>16610</v>
      </c>
      <c r="N1057" t="str">
        <f>IF(TB[[#This Row],[售价]]&lt;1000,"低价商品",IF(TB[[#This Row],[售价]]&lt;5000,"中价商品",IF(TB[[#This Row],[售价]]&lt;10000,"高价商品","超高价商品")))</f>
        <v>高价商品</v>
      </c>
    </row>
    <row r="1058" spans="1:14" x14ac:dyDescent="0.2">
      <c r="A1058">
        <v>308</v>
      </c>
      <c r="B1058">
        <v>114</v>
      </c>
      <c r="C1058" t="s">
        <v>36</v>
      </c>
      <c r="D1058" t="s">
        <v>187</v>
      </c>
      <c r="E1058" t="s">
        <v>12</v>
      </c>
      <c r="F1058">
        <v>2</v>
      </c>
      <c r="G1058" t="s">
        <v>13</v>
      </c>
      <c r="H1058" s="1">
        <v>45950.227777777778</v>
      </c>
      <c r="I1058" s="5">
        <f>INT(TB[[#This Row],[时间戳]])</f>
        <v>45950</v>
      </c>
      <c r="J1058" s="2">
        <f>HOUR(TB[[#This Row],[时间戳]])</f>
        <v>5</v>
      </c>
      <c r="K1058">
        <v>12349</v>
      </c>
      <c r="L1058">
        <v>4</v>
      </c>
      <c r="M1058">
        <f>TB[[#This Row],[售价]]*TB[[#This Row],[销量]]</f>
        <v>49396</v>
      </c>
      <c r="N1058" t="str">
        <f>IF(TB[[#This Row],[售价]]&lt;1000,"低价商品",IF(TB[[#This Row],[售价]]&lt;5000,"中价商品",IF(TB[[#This Row],[售价]]&lt;10000,"高价商品","超高价商品")))</f>
        <v>超高价商品</v>
      </c>
    </row>
    <row r="1059" spans="1:14" x14ac:dyDescent="0.2">
      <c r="A1059">
        <v>283</v>
      </c>
      <c r="B1059">
        <v>284</v>
      </c>
      <c r="C1059" t="s">
        <v>10</v>
      </c>
      <c r="D1059" t="s">
        <v>11</v>
      </c>
      <c r="E1059" t="s">
        <v>12</v>
      </c>
      <c r="F1059">
        <v>2</v>
      </c>
      <c r="G1059" t="s">
        <v>13</v>
      </c>
      <c r="H1059" s="1">
        <v>45950.236805555556</v>
      </c>
      <c r="I1059" s="5">
        <f>INT(TB[[#This Row],[时间戳]])</f>
        <v>45950</v>
      </c>
      <c r="J1059" s="2">
        <f>HOUR(TB[[#This Row],[时间戳]])</f>
        <v>5</v>
      </c>
      <c r="K1059">
        <v>7480</v>
      </c>
      <c r="L1059">
        <v>2</v>
      </c>
      <c r="M1059">
        <f>TB[[#This Row],[售价]]*TB[[#This Row],[销量]]</f>
        <v>14960</v>
      </c>
      <c r="N1059" t="str">
        <f>IF(TB[[#This Row],[售价]]&lt;1000,"低价商品",IF(TB[[#This Row],[售价]]&lt;5000,"中价商品",IF(TB[[#This Row],[售价]]&lt;10000,"高价商品","超高价商品")))</f>
        <v>高价商品</v>
      </c>
    </row>
    <row r="1060" spans="1:14" x14ac:dyDescent="0.2">
      <c r="A1060">
        <v>159</v>
      </c>
      <c r="B1060">
        <v>49</v>
      </c>
      <c r="C1060" t="s">
        <v>46</v>
      </c>
      <c r="D1060" t="s">
        <v>81</v>
      </c>
      <c r="E1060" t="s">
        <v>12</v>
      </c>
      <c r="F1060">
        <v>2</v>
      </c>
      <c r="G1060" t="s">
        <v>13</v>
      </c>
      <c r="H1060" s="1">
        <v>45950.249305555553</v>
      </c>
      <c r="I1060" s="5">
        <f>INT(TB[[#This Row],[时间戳]])</f>
        <v>45950</v>
      </c>
      <c r="J1060" s="2">
        <f>HOUR(TB[[#This Row],[时间戳]])</f>
        <v>5</v>
      </c>
      <c r="K1060">
        <v>12460</v>
      </c>
      <c r="L1060">
        <v>3</v>
      </c>
      <c r="M1060">
        <f>TB[[#This Row],[售价]]*TB[[#This Row],[销量]]</f>
        <v>37380</v>
      </c>
      <c r="N1060" t="str">
        <f>IF(TB[[#This Row],[售价]]&lt;1000,"低价商品",IF(TB[[#This Row],[售价]]&lt;5000,"中价商品",IF(TB[[#This Row],[售价]]&lt;10000,"高价商品","超高价商品")))</f>
        <v>超高价商品</v>
      </c>
    </row>
    <row r="1061" spans="1:14" x14ac:dyDescent="0.2">
      <c r="A1061">
        <v>142</v>
      </c>
      <c r="B1061">
        <v>136</v>
      </c>
      <c r="C1061" t="s">
        <v>34</v>
      </c>
      <c r="D1061" t="s">
        <v>82</v>
      </c>
      <c r="E1061" t="s">
        <v>31</v>
      </c>
      <c r="F1061">
        <v>4</v>
      </c>
      <c r="G1061" t="s">
        <v>13</v>
      </c>
      <c r="H1061" s="1">
        <v>45950.267361111109</v>
      </c>
      <c r="I1061" s="5">
        <f>INT(TB[[#This Row],[时间戳]])</f>
        <v>45950</v>
      </c>
      <c r="J1061" s="2">
        <f>HOUR(TB[[#This Row],[时间戳]])</f>
        <v>6</v>
      </c>
      <c r="K1061">
        <v>162</v>
      </c>
      <c r="L1061">
        <v>1</v>
      </c>
      <c r="M1061">
        <f>TB[[#This Row],[售价]]*TB[[#This Row],[销量]]</f>
        <v>162</v>
      </c>
      <c r="N1061" t="str">
        <f>IF(TB[[#This Row],[售价]]&lt;1000,"低价商品",IF(TB[[#This Row],[售价]]&lt;5000,"中价商品",IF(TB[[#This Row],[售价]]&lt;10000,"高价商品","超高价商品")))</f>
        <v>低价商品</v>
      </c>
    </row>
    <row r="1062" spans="1:14" x14ac:dyDescent="0.2">
      <c r="A1062">
        <v>263</v>
      </c>
      <c r="B1062">
        <v>154</v>
      </c>
      <c r="C1062" t="s">
        <v>32</v>
      </c>
      <c r="D1062" t="s">
        <v>118</v>
      </c>
      <c r="E1062" t="s">
        <v>19</v>
      </c>
      <c r="F1062">
        <v>3</v>
      </c>
      <c r="G1062" t="s">
        <v>13</v>
      </c>
      <c r="H1062" s="1">
        <v>45950.305555555555</v>
      </c>
      <c r="I1062" s="5">
        <f>INT(TB[[#This Row],[时间戳]])</f>
        <v>45950</v>
      </c>
      <c r="J1062" s="2">
        <f>HOUR(TB[[#This Row],[时间戳]])</f>
        <v>7</v>
      </c>
      <c r="K1062">
        <v>4605</v>
      </c>
      <c r="L1062">
        <v>3</v>
      </c>
      <c r="M1062">
        <f>TB[[#This Row],[售价]]*TB[[#This Row],[销量]]</f>
        <v>13815</v>
      </c>
      <c r="N1062" t="str">
        <f>IF(TB[[#This Row],[售价]]&lt;1000,"低价商品",IF(TB[[#This Row],[售价]]&lt;5000,"中价商品",IF(TB[[#This Row],[售价]]&lt;10000,"高价商品","超高价商品")))</f>
        <v>中价商品</v>
      </c>
    </row>
    <row r="1063" spans="1:14" x14ac:dyDescent="0.2">
      <c r="A1063">
        <v>223</v>
      </c>
      <c r="B1063">
        <v>40</v>
      </c>
      <c r="C1063" t="s">
        <v>17</v>
      </c>
      <c r="D1063" t="s">
        <v>50</v>
      </c>
      <c r="E1063" t="s">
        <v>22</v>
      </c>
      <c r="F1063">
        <v>1</v>
      </c>
      <c r="G1063" t="s">
        <v>42</v>
      </c>
      <c r="H1063" s="1">
        <v>45950.381249999999</v>
      </c>
      <c r="I1063" s="5">
        <f>INT(TB[[#This Row],[时间戳]])</f>
        <v>45950</v>
      </c>
      <c r="J1063" s="2">
        <f>HOUR(TB[[#This Row],[时间戳]])</f>
        <v>9</v>
      </c>
      <c r="K1063">
        <v>1844</v>
      </c>
      <c r="L1063">
        <v>0</v>
      </c>
      <c r="M1063">
        <f>TB[[#This Row],[售价]]*TB[[#This Row],[销量]]</f>
        <v>0</v>
      </c>
      <c r="N1063" t="str">
        <f>IF(TB[[#This Row],[售价]]&lt;1000,"低价商品",IF(TB[[#This Row],[售价]]&lt;5000,"中价商品",IF(TB[[#This Row],[售价]]&lt;10000,"高价商品","超高价商品")))</f>
        <v>中价商品</v>
      </c>
    </row>
    <row r="1064" spans="1:14" x14ac:dyDescent="0.2">
      <c r="A1064">
        <v>707</v>
      </c>
      <c r="B1064">
        <v>296</v>
      </c>
      <c r="C1064" t="s">
        <v>26</v>
      </c>
      <c r="D1064" t="s">
        <v>171</v>
      </c>
      <c r="E1064" t="s">
        <v>12</v>
      </c>
      <c r="F1064">
        <v>2</v>
      </c>
      <c r="G1064" t="s">
        <v>13</v>
      </c>
      <c r="H1064" s="1">
        <v>45950.408333333333</v>
      </c>
      <c r="I1064" s="5">
        <f>INT(TB[[#This Row],[时间戳]])</f>
        <v>45950</v>
      </c>
      <c r="J1064" s="2">
        <f>HOUR(TB[[#This Row],[时间戳]])</f>
        <v>9</v>
      </c>
      <c r="K1064">
        <v>9366</v>
      </c>
      <c r="L1064">
        <v>2</v>
      </c>
      <c r="M1064">
        <f>TB[[#This Row],[售价]]*TB[[#This Row],[销量]]</f>
        <v>18732</v>
      </c>
      <c r="N1064" t="str">
        <f>IF(TB[[#This Row],[售价]]&lt;1000,"低价商品",IF(TB[[#This Row],[售价]]&lt;5000,"中价商品",IF(TB[[#This Row],[售价]]&lt;10000,"高价商品","超高价商品")))</f>
        <v>高价商品</v>
      </c>
    </row>
    <row r="1065" spans="1:14" x14ac:dyDescent="0.2">
      <c r="A1065">
        <v>749</v>
      </c>
      <c r="B1065">
        <v>296</v>
      </c>
      <c r="C1065" t="s">
        <v>36</v>
      </c>
      <c r="D1065" t="s">
        <v>136</v>
      </c>
      <c r="E1065" t="s">
        <v>39</v>
      </c>
      <c r="F1065">
        <v>5</v>
      </c>
      <c r="G1065" t="s">
        <v>13</v>
      </c>
      <c r="H1065" s="1">
        <v>45950.418055555558</v>
      </c>
      <c r="I1065" s="5">
        <f>INT(TB[[#This Row],[时间戳]])</f>
        <v>45950</v>
      </c>
      <c r="J1065" s="2">
        <f>HOUR(TB[[#This Row],[时间戳]])</f>
        <v>10</v>
      </c>
      <c r="K1065">
        <v>1294</v>
      </c>
      <c r="L1065">
        <v>1</v>
      </c>
      <c r="M1065">
        <f>TB[[#This Row],[售价]]*TB[[#This Row],[销量]]</f>
        <v>1294</v>
      </c>
      <c r="N1065" t="str">
        <f>IF(TB[[#This Row],[售价]]&lt;1000,"低价商品",IF(TB[[#This Row],[售价]]&lt;5000,"中价商品",IF(TB[[#This Row],[售价]]&lt;10000,"高价商品","超高价商品")))</f>
        <v>中价商品</v>
      </c>
    </row>
    <row r="1066" spans="1:14" x14ac:dyDescent="0.2">
      <c r="A1066">
        <v>357</v>
      </c>
      <c r="B1066">
        <v>223</v>
      </c>
      <c r="C1066" t="s">
        <v>10</v>
      </c>
      <c r="D1066" t="s">
        <v>96</v>
      </c>
      <c r="E1066" t="s">
        <v>22</v>
      </c>
      <c r="F1066">
        <v>1</v>
      </c>
      <c r="G1066" t="s">
        <v>13</v>
      </c>
      <c r="H1066" s="1">
        <v>45950.428472222222</v>
      </c>
      <c r="I1066" s="5">
        <f>INT(TB[[#This Row],[时间戳]])</f>
        <v>45950</v>
      </c>
      <c r="J1066" s="2">
        <f>HOUR(TB[[#This Row],[时间戳]])</f>
        <v>10</v>
      </c>
      <c r="K1066">
        <v>3965</v>
      </c>
      <c r="L1066">
        <v>1</v>
      </c>
      <c r="M1066">
        <f>TB[[#This Row],[售价]]*TB[[#This Row],[销量]]</f>
        <v>3965</v>
      </c>
      <c r="N1066" t="str">
        <f>IF(TB[[#This Row],[售价]]&lt;1000,"低价商品",IF(TB[[#This Row],[售价]]&lt;5000,"中价商品",IF(TB[[#This Row],[售价]]&lt;10000,"高价商品","超高价商品")))</f>
        <v>中价商品</v>
      </c>
    </row>
    <row r="1067" spans="1:14" x14ac:dyDescent="0.2">
      <c r="A1067">
        <v>12</v>
      </c>
      <c r="B1067">
        <v>196</v>
      </c>
      <c r="C1067" t="s">
        <v>32</v>
      </c>
      <c r="D1067" t="s">
        <v>313</v>
      </c>
      <c r="E1067" t="s">
        <v>39</v>
      </c>
      <c r="F1067">
        <v>5</v>
      </c>
      <c r="G1067" t="s">
        <v>42</v>
      </c>
      <c r="H1067" s="1">
        <v>45950.452777777777</v>
      </c>
      <c r="I1067" s="5">
        <f>INT(TB[[#This Row],[时间戳]])</f>
        <v>45950</v>
      </c>
      <c r="J1067" s="2">
        <f>HOUR(TB[[#This Row],[时间戳]])</f>
        <v>10</v>
      </c>
      <c r="K1067">
        <v>2367</v>
      </c>
      <c r="L1067">
        <v>0</v>
      </c>
      <c r="M1067">
        <f>TB[[#This Row],[售价]]*TB[[#This Row],[销量]]</f>
        <v>0</v>
      </c>
      <c r="N1067" t="str">
        <f>IF(TB[[#This Row],[售价]]&lt;1000,"低价商品",IF(TB[[#This Row],[售价]]&lt;5000,"中价商品",IF(TB[[#This Row],[售价]]&lt;10000,"高价商品","超高价商品")))</f>
        <v>中价商品</v>
      </c>
    </row>
    <row r="1068" spans="1:14" x14ac:dyDescent="0.2">
      <c r="A1068">
        <v>327</v>
      </c>
      <c r="B1068">
        <v>277</v>
      </c>
      <c r="C1068" t="s">
        <v>20</v>
      </c>
      <c r="D1068" t="s">
        <v>319</v>
      </c>
      <c r="E1068" t="s">
        <v>31</v>
      </c>
      <c r="F1068">
        <v>4</v>
      </c>
      <c r="G1068" t="s">
        <v>13</v>
      </c>
      <c r="H1068" s="1">
        <v>45950.457638888889</v>
      </c>
      <c r="I1068" s="5">
        <f>INT(TB[[#This Row],[时间戳]])</f>
        <v>45950</v>
      </c>
      <c r="J1068" s="2">
        <f>HOUR(TB[[#This Row],[时间戳]])</f>
        <v>10</v>
      </c>
      <c r="K1068">
        <v>116</v>
      </c>
      <c r="L1068">
        <v>2</v>
      </c>
      <c r="M1068">
        <f>TB[[#This Row],[售价]]*TB[[#This Row],[销量]]</f>
        <v>232</v>
      </c>
      <c r="N1068" t="str">
        <f>IF(TB[[#This Row],[售价]]&lt;1000,"低价商品",IF(TB[[#This Row],[售价]]&lt;5000,"中价商品",IF(TB[[#This Row],[售价]]&lt;10000,"高价商品","超高价商品")))</f>
        <v>低价商品</v>
      </c>
    </row>
    <row r="1069" spans="1:14" x14ac:dyDescent="0.2">
      <c r="A1069">
        <v>157</v>
      </c>
      <c r="B1069">
        <v>26</v>
      </c>
      <c r="C1069" t="s">
        <v>20</v>
      </c>
      <c r="D1069" t="s">
        <v>340</v>
      </c>
      <c r="E1069" t="s">
        <v>19</v>
      </c>
      <c r="F1069">
        <v>3</v>
      </c>
      <c r="G1069" t="s">
        <v>13</v>
      </c>
      <c r="H1069" s="1">
        <v>45950.460416666669</v>
      </c>
      <c r="I1069" s="5">
        <f>INT(TB[[#This Row],[时间戳]])</f>
        <v>45950</v>
      </c>
      <c r="J1069" s="2">
        <f>HOUR(TB[[#This Row],[时间戳]])</f>
        <v>11</v>
      </c>
      <c r="K1069">
        <v>2692</v>
      </c>
      <c r="L1069">
        <v>5</v>
      </c>
      <c r="M1069">
        <f>TB[[#This Row],[售价]]*TB[[#This Row],[销量]]</f>
        <v>13460</v>
      </c>
      <c r="N1069" t="str">
        <f>IF(TB[[#This Row],[售价]]&lt;1000,"低价商品",IF(TB[[#This Row],[售价]]&lt;5000,"中价商品",IF(TB[[#This Row],[售价]]&lt;10000,"高价商品","超高价商品")))</f>
        <v>中价商品</v>
      </c>
    </row>
    <row r="1070" spans="1:14" x14ac:dyDescent="0.2">
      <c r="A1070">
        <v>517</v>
      </c>
      <c r="B1070">
        <v>47</v>
      </c>
      <c r="C1070" t="s">
        <v>46</v>
      </c>
      <c r="D1070" t="s">
        <v>380</v>
      </c>
      <c r="E1070" t="s">
        <v>16</v>
      </c>
      <c r="F1070">
        <v>6</v>
      </c>
      <c r="G1070" t="s">
        <v>13</v>
      </c>
      <c r="H1070" s="1">
        <v>45950.468055555553</v>
      </c>
      <c r="I1070" s="5">
        <f>INT(TB[[#This Row],[时间戳]])</f>
        <v>45950</v>
      </c>
      <c r="J1070" s="2">
        <f>HOUR(TB[[#This Row],[时间戳]])</f>
        <v>11</v>
      </c>
      <c r="K1070">
        <v>8464</v>
      </c>
      <c r="L1070">
        <v>3</v>
      </c>
      <c r="M1070">
        <f>TB[[#This Row],[售价]]*TB[[#This Row],[销量]]</f>
        <v>25392</v>
      </c>
      <c r="N1070" t="str">
        <f>IF(TB[[#This Row],[售价]]&lt;1000,"低价商品",IF(TB[[#This Row],[售价]]&lt;5000,"中价商品",IF(TB[[#This Row],[售价]]&lt;10000,"高价商品","超高价商品")))</f>
        <v>高价商品</v>
      </c>
    </row>
    <row r="1071" spans="1:14" x14ac:dyDescent="0.2">
      <c r="A1071">
        <v>152</v>
      </c>
      <c r="B1071">
        <v>68</v>
      </c>
      <c r="C1071" t="s">
        <v>36</v>
      </c>
      <c r="D1071" t="s">
        <v>284</v>
      </c>
      <c r="E1071" t="s">
        <v>39</v>
      </c>
      <c r="F1071">
        <v>5</v>
      </c>
      <c r="G1071" t="s">
        <v>42</v>
      </c>
      <c r="H1071" s="1">
        <v>45950.474305555559</v>
      </c>
      <c r="I1071" s="5">
        <f>INT(TB[[#This Row],[时间戳]])</f>
        <v>45950</v>
      </c>
      <c r="J1071" s="2">
        <f>HOUR(TB[[#This Row],[时间戳]])</f>
        <v>11</v>
      </c>
      <c r="K1071">
        <v>1730</v>
      </c>
      <c r="L1071">
        <v>0</v>
      </c>
      <c r="M1071">
        <f>TB[[#This Row],[售价]]*TB[[#This Row],[销量]]</f>
        <v>0</v>
      </c>
      <c r="N1071" t="str">
        <f>IF(TB[[#This Row],[售价]]&lt;1000,"低价商品",IF(TB[[#This Row],[售价]]&lt;5000,"中价商品",IF(TB[[#This Row],[售价]]&lt;10000,"高价商品","超高价商品")))</f>
        <v>中价商品</v>
      </c>
    </row>
    <row r="1072" spans="1:14" x14ac:dyDescent="0.2">
      <c r="A1072">
        <v>764</v>
      </c>
      <c r="B1072">
        <v>26</v>
      </c>
      <c r="C1072" t="s">
        <v>44</v>
      </c>
      <c r="D1072" t="s">
        <v>301</v>
      </c>
      <c r="E1072" t="s">
        <v>22</v>
      </c>
      <c r="F1072">
        <v>1</v>
      </c>
      <c r="G1072" t="s">
        <v>13</v>
      </c>
      <c r="H1072" s="1">
        <v>45950.480555555558</v>
      </c>
      <c r="I1072" s="5">
        <f>INT(TB[[#This Row],[时间戳]])</f>
        <v>45950</v>
      </c>
      <c r="J1072" s="2">
        <f>HOUR(TB[[#This Row],[时间戳]])</f>
        <v>11</v>
      </c>
      <c r="K1072">
        <v>3595</v>
      </c>
      <c r="L1072">
        <v>2</v>
      </c>
      <c r="M1072">
        <f>TB[[#This Row],[售价]]*TB[[#This Row],[销量]]</f>
        <v>7190</v>
      </c>
      <c r="N1072" t="str">
        <f>IF(TB[[#This Row],[售价]]&lt;1000,"低价商品",IF(TB[[#This Row],[售价]]&lt;5000,"中价商品",IF(TB[[#This Row],[售价]]&lt;10000,"高价商品","超高价商品")))</f>
        <v>中价商品</v>
      </c>
    </row>
    <row r="1073" spans="1:14" x14ac:dyDescent="0.2">
      <c r="A1073">
        <v>409</v>
      </c>
      <c r="B1073">
        <v>257</v>
      </c>
      <c r="C1073" t="s">
        <v>36</v>
      </c>
      <c r="D1073" t="s">
        <v>136</v>
      </c>
      <c r="E1073" t="s">
        <v>39</v>
      </c>
      <c r="F1073">
        <v>5</v>
      </c>
      <c r="G1073" t="s">
        <v>13</v>
      </c>
      <c r="H1073" s="1">
        <v>45950.486111111109</v>
      </c>
      <c r="I1073" s="5">
        <f>INT(TB[[#This Row],[时间戳]])</f>
        <v>45950</v>
      </c>
      <c r="J1073" s="2">
        <f>HOUR(TB[[#This Row],[时间戳]])</f>
        <v>11</v>
      </c>
      <c r="K1073">
        <v>3049</v>
      </c>
      <c r="L1073">
        <v>2</v>
      </c>
      <c r="M1073">
        <f>TB[[#This Row],[售价]]*TB[[#This Row],[销量]]</f>
        <v>6098</v>
      </c>
      <c r="N1073" t="str">
        <f>IF(TB[[#This Row],[售价]]&lt;1000,"低价商品",IF(TB[[#This Row],[售价]]&lt;5000,"中价商品",IF(TB[[#This Row],[售价]]&lt;10000,"高价商品","超高价商品")))</f>
        <v>中价商品</v>
      </c>
    </row>
    <row r="1074" spans="1:14" x14ac:dyDescent="0.2">
      <c r="A1074">
        <v>493</v>
      </c>
      <c r="B1074">
        <v>287</v>
      </c>
      <c r="C1074" t="s">
        <v>26</v>
      </c>
      <c r="D1074" t="s">
        <v>360</v>
      </c>
      <c r="E1074" t="s">
        <v>19</v>
      </c>
      <c r="F1074">
        <v>3</v>
      </c>
      <c r="G1074" t="s">
        <v>13</v>
      </c>
      <c r="H1074" s="1">
        <v>45950.486805555556</v>
      </c>
      <c r="I1074" s="5">
        <f>INT(TB[[#This Row],[时间戳]])</f>
        <v>45950</v>
      </c>
      <c r="J1074" s="2">
        <f>HOUR(TB[[#This Row],[时间戳]])</f>
        <v>11</v>
      </c>
      <c r="K1074">
        <v>5255</v>
      </c>
      <c r="L1074">
        <v>2</v>
      </c>
      <c r="M1074">
        <f>TB[[#This Row],[售价]]*TB[[#This Row],[销量]]</f>
        <v>10510</v>
      </c>
      <c r="N1074" t="str">
        <f>IF(TB[[#This Row],[售价]]&lt;1000,"低价商品",IF(TB[[#This Row],[售价]]&lt;5000,"中价商品",IF(TB[[#This Row],[售价]]&lt;10000,"高价商品","超高价商品")))</f>
        <v>高价商品</v>
      </c>
    </row>
    <row r="1075" spans="1:14" x14ac:dyDescent="0.2">
      <c r="A1075">
        <v>586</v>
      </c>
      <c r="B1075">
        <v>101</v>
      </c>
      <c r="C1075" t="s">
        <v>17</v>
      </c>
      <c r="D1075" t="s">
        <v>361</v>
      </c>
      <c r="E1075" t="s">
        <v>25</v>
      </c>
      <c r="F1075">
        <v>7</v>
      </c>
      <c r="G1075" t="s">
        <v>13</v>
      </c>
      <c r="H1075" s="1">
        <v>45950.486805555556</v>
      </c>
      <c r="I1075" s="5">
        <f>INT(TB[[#This Row],[时间戳]])</f>
        <v>45950</v>
      </c>
      <c r="J1075" s="2">
        <f>HOUR(TB[[#This Row],[时间戳]])</f>
        <v>11</v>
      </c>
      <c r="K1075">
        <v>3171</v>
      </c>
      <c r="L1075">
        <v>3</v>
      </c>
      <c r="M1075">
        <f>TB[[#This Row],[售价]]*TB[[#This Row],[销量]]</f>
        <v>9513</v>
      </c>
      <c r="N1075" t="str">
        <f>IF(TB[[#This Row],[售价]]&lt;1000,"低价商品",IF(TB[[#This Row],[售价]]&lt;5000,"中价商品",IF(TB[[#This Row],[售价]]&lt;10000,"高价商品","超高价商品")))</f>
        <v>中价商品</v>
      </c>
    </row>
    <row r="1076" spans="1:14" x14ac:dyDescent="0.2">
      <c r="A1076">
        <v>273</v>
      </c>
      <c r="B1076">
        <v>221</v>
      </c>
      <c r="C1076" t="s">
        <v>32</v>
      </c>
      <c r="D1076" t="s">
        <v>381</v>
      </c>
      <c r="E1076" t="s">
        <v>19</v>
      </c>
      <c r="F1076">
        <v>3</v>
      </c>
      <c r="G1076" t="s">
        <v>13</v>
      </c>
      <c r="H1076" s="1">
        <v>45950.568055555559</v>
      </c>
      <c r="I1076" s="5">
        <f>INT(TB[[#This Row],[时间戳]])</f>
        <v>45950</v>
      </c>
      <c r="J1076" s="2">
        <f>HOUR(TB[[#This Row],[时间戳]])</f>
        <v>13</v>
      </c>
      <c r="K1076">
        <v>5720</v>
      </c>
      <c r="L1076">
        <v>2</v>
      </c>
      <c r="M1076">
        <f>TB[[#This Row],[售价]]*TB[[#This Row],[销量]]</f>
        <v>11440</v>
      </c>
      <c r="N1076" t="str">
        <f>IF(TB[[#This Row],[售价]]&lt;1000,"低价商品",IF(TB[[#This Row],[售价]]&lt;5000,"中价商品",IF(TB[[#This Row],[售价]]&lt;10000,"高价商品","超高价商品")))</f>
        <v>高价商品</v>
      </c>
    </row>
    <row r="1077" spans="1:14" x14ac:dyDescent="0.2">
      <c r="A1077">
        <v>116</v>
      </c>
      <c r="B1077">
        <v>212</v>
      </c>
      <c r="C1077" t="s">
        <v>46</v>
      </c>
      <c r="D1077" t="s">
        <v>332</v>
      </c>
      <c r="E1077" t="s">
        <v>19</v>
      </c>
      <c r="F1077">
        <v>3</v>
      </c>
      <c r="G1077" t="s">
        <v>13</v>
      </c>
      <c r="H1077" s="1">
        <v>45950.578472222223</v>
      </c>
      <c r="I1077" s="5">
        <f>INT(TB[[#This Row],[时间戳]])</f>
        <v>45950</v>
      </c>
      <c r="J1077" s="2">
        <f>HOUR(TB[[#This Row],[时间戳]])</f>
        <v>13</v>
      </c>
      <c r="K1077">
        <v>4299</v>
      </c>
      <c r="L1077">
        <v>2</v>
      </c>
      <c r="M1077">
        <f>TB[[#This Row],[售价]]*TB[[#This Row],[销量]]</f>
        <v>8598</v>
      </c>
      <c r="N1077" t="str">
        <f>IF(TB[[#This Row],[售价]]&lt;1000,"低价商品",IF(TB[[#This Row],[售价]]&lt;5000,"中价商品",IF(TB[[#This Row],[售价]]&lt;10000,"高价商品","超高价商品")))</f>
        <v>中价商品</v>
      </c>
    </row>
    <row r="1078" spans="1:14" x14ac:dyDescent="0.2">
      <c r="A1078">
        <v>329</v>
      </c>
      <c r="B1078">
        <v>177</v>
      </c>
      <c r="C1078" t="s">
        <v>34</v>
      </c>
      <c r="D1078" t="s">
        <v>175</v>
      </c>
      <c r="E1078" t="s">
        <v>22</v>
      </c>
      <c r="F1078">
        <v>1</v>
      </c>
      <c r="G1078" t="s">
        <v>42</v>
      </c>
      <c r="H1078" s="1">
        <v>45950.586805555555</v>
      </c>
      <c r="I1078" s="5">
        <f>INT(TB[[#This Row],[时间戳]])</f>
        <v>45950</v>
      </c>
      <c r="J1078" s="2">
        <f>HOUR(TB[[#This Row],[时间戳]])</f>
        <v>14</v>
      </c>
      <c r="K1078">
        <v>4456</v>
      </c>
      <c r="L1078">
        <v>0</v>
      </c>
      <c r="M1078">
        <f>TB[[#This Row],[售价]]*TB[[#This Row],[销量]]</f>
        <v>0</v>
      </c>
      <c r="N1078" t="str">
        <f>IF(TB[[#This Row],[售价]]&lt;1000,"低价商品",IF(TB[[#This Row],[售价]]&lt;5000,"中价商品",IF(TB[[#This Row],[售价]]&lt;10000,"高价商品","超高价商品")))</f>
        <v>中价商品</v>
      </c>
    </row>
    <row r="1079" spans="1:14" x14ac:dyDescent="0.2">
      <c r="A1079">
        <v>174</v>
      </c>
      <c r="B1079">
        <v>180</v>
      </c>
      <c r="C1079" t="s">
        <v>10</v>
      </c>
      <c r="D1079" t="s">
        <v>247</v>
      </c>
      <c r="E1079" t="s">
        <v>31</v>
      </c>
      <c r="F1079">
        <v>4</v>
      </c>
      <c r="G1079" t="s">
        <v>13</v>
      </c>
      <c r="H1079" s="1">
        <v>45950.60833333333</v>
      </c>
      <c r="I1079" s="5">
        <f>INT(TB[[#This Row],[时间戳]])</f>
        <v>45950</v>
      </c>
      <c r="J1079" s="2">
        <f>HOUR(TB[[#This Row],[时间戳]])</f>
        <v>14</v>
      </c>
      <c r="K1079">
        <v>1401</v>
      </c>
      <c r="L1079">
        <v>3</v>
      </c>
      <c r="M1079">
        <f>TB[[#This Row],[售价]]*TB[[#This Row],[销量]]</f>
        <v>4203</v>
      </c>
      <c r="N1079" t="str">
        <f>IF(TB[[#This Row],[售价]]&lt;1000,"低价商品",IF(TB[[#This Row],[售价]]&lt;5000,"中价商品",IF(TB[[#This Row],[售价]]&lt;10000,"高价商品","超高价商品")))</f>
        <v>中价商品</v>
      </c>
    </row>
    <row r="1080" spans="1:14" x14ac:dyDescent="0.2">
      <c r="A1080">
        <v>452</v>
      </c>
      <c r="B1080">
        <v>23</v>
      </c>
      <c r="C1080" t="s">
        <v>46</v>
      </c>
      <c r="D1080" t="s">
        <v>117</v>
      </c>
      <c r="E1080" t="s">
        <v>39</v>
      </c>
      <c r="F1080">
        <v>5</v>
      </c>
      <c r="G1080" t="s">
        <v>13</v>
      </c>
      <c r="H1080" s="1">
        <v>45950.612500000003</v>
      </c>
      <c r="I1080" s="5">
        <f>INT(TB[[#This Row],[时间戳]])</f>
        <v>45950</v>
      </c>
      <c r="J1080" s="2">
        <f>HOUR(TB[[#This Row],[时间戳]])</f>
        <v>14</v>
      </c>
      <c r="K1080">
        <v>3350</v>
      </c>
      <c r="L1080">
        <v>4</v>
      </c>
      <c r="M1080">
        <f>TB[[#This Row],[售价]]*TB[[#This Row],[销量]]</f>
        <v>13400</v>
      </c>
      <c r="N1080" t="str">
        <f>IF(TB[[#This Row],[售价]]&lt;1000,"低价商品",IF(TB[[#This Row],[售价]]&lt;5000,"中价商品",IF(TB[[#This Row],[售价]]&lt;10000,"高价商品","超高价商品")))</f>
        <v>中价商品</v>
      </c>
    </row>
    <row r="1081" spans="1:14" x14ac:dyDescent="0.2">
      <c r="A1081">
        <v>776</v>
      </c>
      <c r="B1081">
        <v>44</v>
      </c>
      <c r="C1081" t="s">
        <v>34</v>
      </c>
      <c r="D1081" t="s">
        <v>339</v>
      </c>
      <c r="E1081" t="s">
        <v>12</v>
      </c>
      <c r="F1081">
        <v>2</v>
      </c>
      <c r="G1081" t="s">
        <v>13</v>
      </c>
      <c r="H1081" s="1">
        <v>45950.667361111111</v>
      </c>
      <c r="I1081" s="5">
        <f>INT(TB[[#This Row],[时间戳]])</f>
        <v>45950</v>
      </c>
      <c r="J1081" s="2">
        <f>HOUR(TB[[#This Row],[时间戳]])</f>
        <v>16</v>
      </c>
      <c r="K1081">
        <v>7727</v>
      </c>
      <c r="L1081">
        <v>1</v>
      </c>
      <c r="M1081">
        <f>TB[[#This Row],[售价]]*TB[[#This Row],[销量]]</f>
        <v>7727</v>
      </c>
      <c r="N1081" t="str">
        <f>IF(TB[[#This Row],[售价]]&lt;1000,"低价商品",IF(TB[[#This Row],[售价]]&lt;5000,"中价商品",IF(TB[[#This Row],[售价]]&lt;10000,"高价商品","超高价商品")))</f>
        <v>高价商品</v>
      </c>
    </row>
    <row r="1082" spans="1:14" x14ac:dyDescent="0.2">
      <c r="A1082">
        <v>636</v>
      </c>
      <c r="B1082">
        <v>76</v>
      </c>
      <c r="C1082" t="s">
        <v>10</v>
      </c>
      <c r="D1082" t="s">
        <v>382</v>
      </c>
      <c r="E1082" t="s">
        <v>16</v>
      </c>
      <c r="F1082">
        <v>6</v>
      </c>
      <c r="G1082" t="s">
        <v>13</v>
      </c>
      <c r="H1082" s="1">
        <v>45950.695833333331</v>
      </c>
      <c r="I1082" s="5">
        <f>INT(TB[[#This Row],[时间戳]])</f>
        <v>45950</v>
      </c>
      <c r="J1082" s="2">
        <f>HOUR(TB[[#This Row],[时间戳]])</f>
        <v>16</v>
      </c>
      <c r="K1082">
        <v>4019</v>
      </c>
      <c r="L1082">
        <v>1</v>
      </c>
      <c r="M1082">
        <f>TB[[#This Row],[售价]]*TB[[#This Row],[销量]]</f>
        <v>4019</v>
      </c>
      <c r="N1082" t="str">
        <f>IF(TB[[#This Row],[售价]]&lt;1000,"低价商品",IF(TB[[#This Row],[售价]]&lt;5000,"中价商品",IF(TB[[#This Row],[售价]]&lt;10000,"高价商品","超高价商品")))</f>
        <v>中价商品</v>
      </c>
    </row>
    <row r="1083" spans="1:14" x14ac:dyDescent="0.2">
      <c r="A1083">
        <v>114</v>
      </c>
      <c r="B1083">
        <v>157</v>
      </c>
      <c r="C1083" t="s">
        <v>34</v>
      </c>
      <c r="D1083" t="s">
        <v>105</v>
      </c>
      <c r="E1083" t="s">
        <v>12</v>
      </c>
      <c r="F1083">
        <v>2</v>
      </c>
      <c r="G1083" t="s">
        <v>13</v>
      </c>
      <c r="H1083" s="1">
        <v>45950.697916666664</v>
      </c>
      <c r="I1083" s="5">
        <f>INT(TB[[#This Row],[时间戳]])</f>
        <v>45950</v>
      </c>
      <c r="J1083" s="2">
        <f>HOUR(TB[[#This Row],[时间戳]])</f>
        <v>16</v>
      </c>
      <c r="K1083">
        <v>8520</v>
      </c>
      <c r="L1083">
        <v>1</v>
      </c>
      <c r="M1083">
        <f>TB[[#This Row],[售价]]*TB[[#This Row],[销量]]</f>
        <v>8520</v>
      </c>
      <c r="N1083" t="str">
        <f>IF(TB[[#This Row],[售价]]&lt;1000,"低价商品",IF(TB[[#This Row],[售价]]&lt;5000,"中价商品",IF(TB[[#This Row],[售价]]&lt;10000,"高价商品","超高价商品")))</f>
        <v>高价商品</v>
      </c>
    </row>
    <row r="1084" spans="1:14" x14ac:dyDescent="0.2">
      <c r="A1084">
        <v>215</v>
      </c>
      <c r="B1084">
        <v>276</v>
      </c>
      <c r="C1084" t="s">
        <v>10</v>
      </c>
      <c r="D1084" t="s">
        <v>329</v>
      </c>
      <c r="E1084" t="s">
        <v>39</v>
      </c>
      <c r="F1084">
        <v>5</v>
      </c>
      <c r="G1084" t="s">
        <v>13</v>
      </c>
      <c r="H1084" s="1">
        <v>45950.707638888889</v>
      </c>
      <c r="I1084" s="5">
        <f>INT(TB[[#This Row],[时间戳]])</f>
        <v>45950</v>
      </c>
      <c r="J1084" s="2">
        <f>HOUR(TB[[#This Row],[时间戳]])</f>
        <v>16</v>
      </c>
      <c r="K1084">
        <v>2684</v>
      </c>
      <c r="L1084">
        <v>1</v>
      </c>
      <c r="M1084">
        <f>TB[[#This Row],[售价]]*TB[[#This Row],[销量]]</f>
        <v>2684</v>
      </c>
      <c r="N1084" t="str">
        <f>IF(TB[[#This Row],[售价]]&lt;1000,"低价商品",IF(TB[[#This Row],[售价]]&lt;5000,"中价商品",IF(TB[[#This Row],[售价]]&lt;10000,"高价商品","超高价商品")))</f>
        <v>中价商品</v>
      </c>
    </row>
    <row r="1085" spans="1:14" x14ac:dyDescent="0.2">
      <c r="A1085">
        <v>769</v>
      </c>
      <c r="B1085">
        <v>133</v>
      </c>
      <c r="C1085" t="s">
        <v>20</v>
      </c>
      <c r="D1085" t="s">
        <v>230</v>
      </c>
      <c r="E1085" t="s">
        <v>19</v>
      </c>
      <c r="F1085">
        <v>3</v>
      </c>
      <c r="G1085" t="s">
        <v>13</v>
      </c>
      <c r="H1085" s="1">
        <v>45950.746527777781</v>
      </c>
      <c r="I1085" s="5">
        <f>INT(TB[[#This Row],[时间戳]])</f>
        <v>45950</v>
      </c>
      <c r="J1085" s="2">
        <f>HOUR(TB[[#This Row],[时间戳]])</f>
        <v>17</v>
      </c>
      <c r="K1085">
        <v>3139</v>
      </c>
      <c r="L1085">
        <v>1</v>
      </c>
      <c r="M1085">
        <f>TB[[#This Row],[售价]]*TB[[#This Row],[销量]]</f>
        <v>3139</v>
      </c>
      <c r="N1085" t="str">
        <f>IF(TB[[#This Row],[售价]]&lt;1000,"低价商品",IF(TB[[#This Row],[售价]]&lt;5000,"中价商品",IF(TB[[#This Row],[售价]]&lt;10000,"高价商品","超高价商品")))</f>
        <v>中价商品</v>
      </c>
    </row>
    <row r="1086" spans="1:14" x14ac:dyDescent="0.2">
      <c r="A1086">
        <v>712</v>
      </c>
      <c r="B1086">
        <v>10</v>
      </c>
      <c r="C1086" t="s">
        <v>46</v>
      </c>
      <c r="D1086" t="s">
        <v>341</v>
      </c>
      <c r="E1086" t="s">
        <v>31</v>
      </c>
      <c r="F1086">
        <v>4</v>
      </c>
      <c r="G1086" t="s">
        <v>13</v>
      </c>
      <c r="H1086" s="1">
        <v>45950.8</v>
      </c>
      <c r="I1086" s="5">
        <f>INT(TB[[#This Row],[时间戳]])</f>
        <v>45950</v>
      </c>
      <c r="J1086" s="2">
        <f>HOUR(TB[[#This Row],[时间戳]])</f>
        <v>19</v>
      </c>
      <c r="K1086">
        <v>1220</v>
      </c>
      <c r="L1086">
        <v>3</v>
      </c>
      <c r="M1086">
        <f>TB[[#This Row],[售价]]*TB[[#This Row],[销量]]</f>
        <v>3660</v>
      </c>
      <c r="N1086" t="str">
        <f>IF(TB[[#This Row],[售价]]&lt;1000,"低价商品",IF(TB[[#This Row],[售价]]&lt;5000,"中价商品",IF(TB[[#This Row],[售价]]&lt;10000,"高价商品","超高价商品")))</f>
        <v>中价商品</v>
      </c>
    </row>
    <row r="1087" spans="1:14" x14ac:dyDescent="0.2">
      <c r="A1087">
        <v>262</v>
      </c>
      <c r="B1087">
        <v>88</v>
      </c>
      <c r="C1087" t="s">
        <v>20</v>
      </c>
      <c r="D1087" t="s">
        <v>72</v>
      </c>
      <c r="E1087" t="s">
        <v>25</v>
      </c>
      <c r="F1087">
        <v>7</v>
      </c>
      <c r="G1087" t="s">
        <v>13</v>
      </c>
      <c r="H1087" s="1">
        <v>45950.811805555553</v>
      </c>
      <c r="I1087" s="5">
        <f>INT(TB[[#This Row],[时间戳]])</f>
        <v>45950</v>
      </c>
      <c r="J1087" s="2">
        <f>HOUR(TB[[#This Row],[时间戳]])</f>
        <v>19</v>
      </c>
      <c r="K1087">
        <v>4683</v>
      </c>
      <c r="L1087">
        <v>2</v>
      </c>
      <c r="M1087">
        <f>TB[[#This Row],[售价]]*TB[[#This Row],[销量]]</f>
        <v>9366</v>
      </c>
      <c r="N1087" t="str">
        <f>IF(TB[[#This Row],[售价]]&lt;1000,"低价商品",IF(TB[[#This Row],[售价]]&lt;5000,"中价商品",IF(TB[[#This Row],[售价]]&lt;10000,"高价商品","超高价商品")))</f>
        <v>中价商品</v>
      </c>
    </row>
    <row r="1088" spans="1:14" x14ac:dyDescent="0.2">
      <c r="A1088">
        <v>633</v>
      </c>
      <c r="B1088">
        <v>139</v>
      </c>
      <c r="C1088" t="s">
        <v>32</v>
      </c>
      <c r="D1088" t="s">
        <v>327</v>
      </c>
      <c r="E1088" t="s">
        <v>25</v>
      </c>
      <c r="F1088">
        <v>7</v>
      </c>
      <c r="G1088" t="s">
        <v>13</v>
      </c>
      <c r="H1088" s="1">
        <v>45950.82916666667</v>
      </c>
      <c r="I1088" s="5">
        <f>INT(TB[[#This Row],[时间戳]])</f>
        <v>45950</v>
      </c>
      <c r="J1088" s="2">
        <f>HOUR(TB[[#This Row],[时间戳]])</f>
        <v>19</v>
      </c>
      <c r="K1088">
        <v>1937</v>
      </c>
      <c r="L1088">
        <v>2</v>
      </c>
      <c r="M1088">
        <f>TB[[#This Row],[售价]]*TB[[#This Row],[销量]]</f>
        <v>3874</v>
      </c>
      <c r="N1088" t="str">
        <f>IF(TB[[#This Row],[售价]]&lt;1000,"低价商品",IF(TB[[#This Row],[售价]]&lt;5000,"中价商品",IF(TB[[#This Row],[售价]]&lt;10000,"高价商品","超高价商品")))</f>
        <v>中价商品</v>
      </c>
    </row>
    <row r="1089" spans="1:14" x14ac:dyDescent="0.2">
      <c r="A1089">
        <v>398</v>
      </c>
      <c r="B1089">
        <v>139</v>
      </c>
      <c r="C1089" t="s">
        <v>10</v>
      </c>
      <c r="D1089" t="s">
        <v>258</v>
      </c>
      <c r="E1089" t="s">
        <v>39</v>
      </c>
      <c r="F1089">
        <v>5</v>
      </c>
      <c r="G1089" t="s">
        <v>42</v>
      </c>
      <c r="H1089" s="1">
        <v>45950.832638888889</v>
      </c>
      <c r="I1089" s="5">
        <f>INT(TB[[#This Row],[时间戳]])</f>
        <v>45950</v>
      </c>
      <c r="J1089" s="2">
        <f>HOUR(TB[[#This Row],[时间戳]])</f>
        <v>19</v>
      </c>
      <c r="K1089">
        <v>1055</v>
      </c>
      <c r="L1089">
        <v>0</v>
      </c>
      <c r="M1089">
        <f>TB[[#This Row],[售价]]*TB[[#This Row],[销量]]</f>
        <v>0</v>
      </c>
      <c r="N1089" t="str">
        <f>IF(TB[[#This Row],[售价]]&lt;1000,"低价商品",IF(TB[[#This Row],[售价]]&lt;5000,"中价商品",IF(TB[[#This Row],[售价]]&lt;10000,"高价商品","超高价商品")))</f>
        <v>中价商品</v>
      </c>
    </row>
    <row r="1090" spans="1:14" x14ac:dyDescent="0.2">
      <c r="A1090">
        <v>20</v>
      </c>
      <c r="B1090">
        <v>150</v>
      </c>
      <c r="C1090" t="s">
        <v>34</v>
      </c>
      <c r="D1090" t="s">
        <v>69</v>
      </c>
      <c r="E1090" t="s">
        <v>31</v>
      </c>
      <c r="F1090">
        <v>4</v>
      </c>
      <c r="G1090" t="s">
        <v>13</v>
      </c>
      <c r="H1090" s="1">
        <v>45950.919444444444</v>
      </c>
      <c r="I1090" s="5">
        <f>INT(TB[[#This Row],[时间戳]])</f>
        <v>45950</v>
      </c>
      <c r="J1090" s="2">
        <f>HOUR(TB[[#This Row],[时间戳]])</f>
        <v>22</v>
      </c>
      <c r="K1090">
        <v>1500</v>
      </c>
      <c r="L1090">
        <v>3</v>
      </c>
      <c r="M1090">
        <f>TB[[#This Row],[售价]]*TB[[#This Row],[销量]]</f>
        <v>4500</v>
      </c>
      <c r="N1090" t="str">
        <f>IF(TB[[#This Row],[售价]]&lt;1000,"低价商品",IF(TB[[#This Row],[售价]]&lt;5000,"中价商品",IF(TB[[#This Row],[售价]]&lt;10000,"高价商品","超高价商品")))</f>
        <v>中价商品</v>
      </c>
    </row>
    <row r="1091" spans="1:14" x14ac:dyDescent="0.2">
      <c r="A1091">
        <v>727</v>
      </c>
      <c r="B1091">
        <v>51</v>
      </c>
      <c r="C1091" t="s">
        <v>17</v>
      </c>
      <c r="D1091" t="s">
        <v>198</v>
      </c>
      <c r="E1091" t="s">
        <v>19</v>
      </c>
      <c r="F1091">
        <v>3</v>
      </c>
      <c r="G1091" t="s">
        <v>42</v>
      </c>
      <c r="H1091" s="1">
        <v>45950.924305555556</v>
      </c>
      <c r="I1091" s="5">
        <f>INT(TB[[#This Row],[时间戳]])</f>
        <v>45950</v>
      </c>
      <c r="J1091" s="2">
        <f>HOUR(TB[[#This Row],[时间戳]])</f>
        <v>22</v>
      </c>
      <c r="K1091">
        <v>4584</v>
      </c>
      <c r="L1091">
        <v>0</v>
      </c>
      <c r="M1091">
        <f>TB[[#This Row],[售价]]*TB[[#This Row],[销量]]</f>
        <v>0</v>
      </c>
      <c r="N1091" t="str">
        <f>IF(TB[[#This Row],[售价]]&lt;1000,"低价商品",IF(TB[[#This Row],[售价]]&lt;5000,"中价商品",IF(TB[[#This Row],[售价]]&lt;10000,"高价商品","超高价商品")))</f>
        <v>中价商品</v>
      </c>
    </row>
    <row r="1092" spans="1:14" x14ac:dyDescent="0.2">
      <c r="A1092">
        <v>91</v>
      </c>
      <c r="B1092">
        <v>96</v>
      </c>
      <c r="C1092" t="s">
        <v>46</v>
      </c>
      <c r="D1092" t="s">
        <v>141</v>
      </c>
      <c r="E1092" t="s">
        <v>22</v>
      </c>
      <c r="F1092">
        <v>1</v>
      </c>
      <c r="G1092" t="s">
        <v>13</v>
      </c>
      <c r="H1092" s="1">
        <v>45950.977083333331</v>
      </c>
      <c r="I1092" s="5">
        <f>INT(TB[[#This Row],[时间戳]])</f>
        <v>45950</v>
      </c>
      <c r="J1092" s="2">
        <f>HOUR(TB[[#This Row],[时间戳]])</f>
        <v>23</v>
      </c>
      <c r="K1092">
        <v>3632</v>
      </c>
      <c r="L1092">
        <v>4</v>
      </c>
      <c r="M1092">
        <f>TB[[#This Row],[售价]]*TB[[#This Row],[销量]]</f>
        <v>14528</v>
      </c>
      <c r="N1092" t="str">
        <f>IF(TB[[#This Row],[售价]]&lt;1000,"低价商品",IF(TB[[#This Row],[售价]]&lt;5000,"中价商品",IF(TB[[#This Row],[售价]]&lt;10000,"高价商品","超高价商品")))</f>
        <v>中价商品</v>
      </c>
    </row>
    <row r="1093" spans="1:14" x14ac:dyDescent="0.2">
      <c r="A1093">
        <v>730</v>
      </c>
      <c r="B1093">
        <v>12</v>
      </c>
      <c r="C1093" t="s">
        <v>44</v>
      </c>
      <c r="D1093" t="s">
        <v>250</v>
      </c>
      <c r="E1093" t="s">
        <v>25</v>
      </c>
      <c r="F1093">
        <v>7</v>
      </c>
      <c r="G1093" t="s">
        <v>13</v>
      </c>
      <c r="H1093" s="1">
        <v>45950.995833333334</v>
      </c>
      <c r="I1093" s="5">
        <f>INT(TB[[#This Row],[时间戳]])</f>
        <v>45950</v>
      </c>
      <c r="J1093" s="2">
        <f>HOUR(TB[[#This Row],[时间戳]])</f>
        <v>23</v>
      </c>
      <c r="K1093">
        <v>3185</v>
      </c>
      <c r="L1093">
        <v>2</v>
      </c>
      <c r="M1093">
        <f>TB[[#This Row],[售价]]*TB[[#This Row],[销量]]</f>
        <v>6370</v>
      </c>
      <c r="N1093" t="str">
        <f>IF(TB[[#This Row],[售价]]&lt;1000,"低价商品",IF(TB[[#This Row],[售价]]&lt;5000,"中价商品",IF(TB[[#This Row],[售价]]&lt;10000,"高价商品","超高价商品")))</f>
        <v>中价商品</v>
      </c>
    </row>
    <row r="1094" spans="1:14" x14ac:dyDescent="0.2">
      <c r="A1094">
        <v>342</v>
      </c>
      <c r="B1094">
        <v>251</v>
      </c>
      <c r="C1094" t="s">
        <v>20</v>
      </c>
      <c r="D1094" t="s">
        <v>383</v>
      </c>
      <c r="E1094" t="s">
        <v>12</v>
      </c>
      <c r="F1094">
        <v>2</v>
      </c>
      <c r="G1094" t="s">
        <v>13</v>
      </c>
      <c r="H1094" s="1">
        <v>45951.013194444444</v>
      </c>
      <c r="I1094" s="5">
        <f>INT(TB[[#This Row],[时间戳]])</f>
        <v>45951</v>
      </c>
      <c r="J1094" s="2">
        <f>HOUR(TB[[#This Row],[时间戳]])</f>
        <v>0</v>
      </c>
      <c r="K1094">
        <v>4577</v>
      </c>
      <c r="L1094">
        <v>3</v>
      </c>
      <c r="M1094">
        <f>TB[[#This Row],[售价]]*TB[[#This Row],[销量]]</f>
        <v>13731</v>
      </c>
      <c r="N1094" t="str">
        <f>IF(TB[[#This Row],[售价]]&lt;1000,"低价商品",IF(TB[[#This Row],[售价]]&lt;5000,"中价商品",IF(TB[[#This Row],[售价]]&lt;10000,"高价商品","超高价商品")))</f>
        <v>中价商品</v>
      </c>
    </row>
    <row r="1095" spans="1:14" x14ac:dyDescent="0.2">
      <c r="A1095">
        <v>356</v>
      </c>
      <c r="B1095">
        <v>181</v>
      </c>
      <c r="C1095" t="s">
        <v>26</v>
      </c>
      <c r="D1095" t="s">
        <v>131</v>
      </c>
      <c r="E1095" t="s">
        <v>22</v>
      </c>
      <c r="F1095">
        <v>1</v>
      </c>
      <c r="G1095" t="s">
        <v>13</v>
      </c>
      <c r="H1095" s="1">
        <v>45951.026388888888</v>
      </c>
      <c r="I1095" s="5">
        <f>INT(TB[[#This Row],[时间戳]])</f>
        <v>45951</v>
      </c>
      <c r="J1095" s="2">
        <f>HOUR(TB[[#This Row],[时间戳]])</f>
        <v>0</v>
      </c>
      <c r="K1095">
        <v>4403</v>
      </c>
      <c r="L1095">
        <v>2</v>
      </c>
      <c r="M1095">
        <f>TB[[#This Row],[售价]]*TB[[#This Row],[销量]]</f>
        <v>8806</v>
      </c>
      <c r="N1095" t="str">
        <f>IF(TB[[#This Row],[售价]]&lt;1000,"低价商品",IF(TB[[#This Row],[售价]]&lt;5000,"中价商品",IF(TB[[#This Row],[售价]]&lt;10000,"高价商品","超高价商品")))</f>
        <v>中价商品</v>
      </c>
    </row>
    <row r="1096" spans="1:14" x14ac:dyDescent="0.2">
      <c r="A1096">
        <v>514</v>
      </c>
      <c r="B1096">
        <v>142</v>
      </c>
      <c r="C1096" t="s">
        <v>36</v>
      </c>
      <c r="D1096" t="s">
        <v>318</v>
      </c>
      <c r="E1096" t="s">
        <v>16</v>
      </c>
      <c r="F1096">
        <v>6</v>
      </c>
      <c r="G1096" t="s">
        <v>42</v>
      </c>
      <c r="H1096" s="1">
        <v>45951.03125</v>
      </c>
      <c r="I1096" s="5">
        <f>INT(TB[[#This Row],[时间戳]])</f>
        <v>45951</v>
      </c>
      <c r="J1096" s="2">
        <f>HOUR(TB[[#This Row],[时间戳]])</f>
        <v>0</v>
      </c>
      <c r="K1096">
        <v>7942</v>
      </c>
      <c r="L1096">
        <v>0</v>
      </c>
      <c r="M1096">
        <f>TB[[#This Row],[售价]]*TB[[#This Row],[销量]]</f>
        <v>0</v>
      </c>
      <c r="N1096" t="str">
        <f>IF(TB[[#This Row],[售价]]&lt;1000,"低价商品",IF(TB[[#This Row],[售价]]&lt;5000,"中价商品",IF(TB[[#This Row],[售价]]&lt;10000,"高价商品","超高价商品")))</f>
        <v>高价商品</v>
      </c>
    </row>
    <row r="1097" spans="1:14" x14ac:dyDescent="0.2">
      <c r="A1097">
        <v>31</v>
      </c>
      <c r="B1097">
        <v>285</v>
      </c>
      <c r="C1097" t="s">
        <v>36</v>
      </c>
      <c r="D1097" t="s">
        <v>269</v>
      </c>
      <c r="E1097" t="s">
        <v>19</v>
      </c>
      <c r="F1097">
        <v>3</v>
      </c>
      <c r="G1097" t="s">
        <v>42</v>
      </c>
      <c r="H1097" s="1">
        <v>45951.034722222219</v>
      </c>
      <c r="I1097" s="5">
        <f>INT(TB[[#This Row],[时间戳]])</f>
        <v>45951</v>
      </c>
      <c r="J1097" s="2">
        <f>HOUR(TB[[#This Row],[时间戳]])</f>
        <v>0</v>
      </c>
      <c r="K1097">
        <v>2127</v>
      </c>
      <c r="L1097">
        <v>0</v>
      </c>
      <c r="M1097">
        <f>TB[[#This Row],[售价]]*TB[[#This Row],[销量]]</f>
        <v>0</v>
      </c>
      <c r="N1097" t="str">
        <f>IF(TB[[#This Row],[售价]]&lt;1000,"低价商品",IF(TB[[#This Row],[售价]]&lt;5000,"中价商品",IF(TB[[#This Row],[售价]]&lt;10000,"高价商品","超高价商品")))</f>
        <v>中价商品</v>
      </c>
    </row>
    <row r="1098" spans="1:14" x14ac:dyDescent="0.2">
      <c r="A1098">
        <v>403</v>
      </c>
      <c r="B1098">
        <v>71</v>
      </c>
      <c r="C1098" t="s">
        <v>26</v>
      </c>
      <c r="D1098" t="s">
        <v>227</v>
      </c>
      <c r="E1098" t="s">
        <v>12</v>
      </c>
      <c r="F1098">
        <v>2</v>
      </c>
      <c r="G1098" t="s">
        <v>13</v>
      </c>
      <c r="H1098" s="1">
        <v>45951.039583333331</v>
      </c>
      <c r="I1098" s="5">
        <f>INT(TB[[#This Row],[时间戳]])</f>
        <v>45951</v>
      </c>
      <c r="J1098" s="2">
        <f>HOUR(TB[[#This Row],[时间戳]])</f>
        <v>0</v>
      </c>
      <c r="K1098">
        <v>8505</v>
      </c>
      <c r="L1098">
        <v>2</v>
      </c>
      <c r="M1098">
        <f>TB[[#This Row],[售价]]*TB[[#This Row],[销量]]</f>
        <v>17010</v>
      </c>
      <c r="N1098" t="str">
        <f>IF(TB[[#This Row],[售价]]&lt;1000,"低价商品",IF(TB[[#This Row],[售价]]&lt;5000,"中价商品",IF(TB[[#This Row],[售价]]&lt;10000,"高价商品","超高价商品")))</f>
        <v>高价商品</v>
      </c>
    </row>
    <row r="1099" spans="1:14" x14ac:dyDescent="0.2">
      <c r="A1099">
        <v>695</v>
      </c>
      <c r="B1099">
        <v>117</v>
      </c>
      <c r="C1099" t="s">
        <v>17</v>
      </c>
      <c r="D1099" t="s">
        <v>292</v>
      </c>
      <c r="E1099" t="s">
        <v>25</v>
      </c>
      <c r="F1099">
        <v>7</v>
      </c>
      <c r="G1099" t="s">
        <v>13</v>
      </c>
      <c r="H1099" s="1">
        <v>45951.043055555558</v>
      </c>
      <c r="I1099" s="5">
        <f>INT(TB[[#This Row],[时间戳]])</f>
        <v>45951</v>
      </c>
      <c r="J1099" s="2">
        <f>HOUR(TB[[#This Row],[时间戳]])</f>
        <v>1</v>
      </c>
      <c r="K1099">
        <v>2392</v>
      </c>
      <c r="L1099">
        <v>2</v>
      </c>
      <c r="M1099">
        <f>TB[[#This Row],[售价]]*TB[[#This Row],[销量]]</f>
        <v>4784</v>
      </c>
      <c r="N1099" t="str">
        <f>IF(TB[[#This Row],[售价]]&lt;1000,"低价商品",IF(TB[[#This Row],[售价]]&lt;5000,"中价商品",IF(TB[[#This Row],[售价]]&lt;10000,"高价商品","超高价商品")))</f>
        <v>中价商品</v>
      </c>
    </row>
    <row r="1100" spans="1:14" x14ac:dyDescent="0.2">
      <c r="A1100">
        <v>437</v>
      </c>
      <c r="B1100">
        <v>160</v>
      </c>
      <c r="C1100" t="s">
        <v>46</v>
      </c>
      <c r="D1100" t="s">
        <v>135</v>
      </c>
      <c r="E1100" t="s">
        <v>22</v>
      </c>
      <c r="F1100">
        <v>1</v>
      </c>
      <c r="G1100" t="s">
        <v>13</v>
      </c>
      <c r="H1100" s="1">
        <v>45951.070833333331</v>
      </c>
      <c r="I1100" s="5">
        <f>INT(TB[[#This Row],[时间戳]])</f>
        <v>45951</v>
      </c>
      <c r="J1100" s="2">
        <f>HOUR(TB[[#This Row],[时间戳]])</f>
        <v>1</v>
      </c>
      <c r="K1100">
        <v>4341</v>
      </c>
      <c r="L1100">
        <v>3</v>
      </c>
      <c r="M1100">
        <f>TB[[#This Row],[售价]]*TB[[#This Row],[销量]]</f>
        <v>13023</v>
      </c>
      <c r="N1100" t="str">
        <f>IF(TB[[#This Row],[售价]]&lt;1000,"低价商品",IF(TB[[#This Row],[售价]]&lt;5000,"中价商品",IF(TB[[#This Row],[售价]]&lt;10000,"高价商品","超高价商品")))</f>
        <v>中价商品</v>
      </c>
    </row>
    <row r="1101" spans="1:14" x14ac:dyDescent="0.2">
      <c r="A1101">
        <v>135</v>
      </c>
      <c r="B1101">
        <v>106</v>
      </c>
      <c r="C1101" t="s">
        <v>44</v>
      </c>
      <c r="D1101" t="s">
        <v>161</v>
      </c>
      <c r="E1101" t="s">
        <v>31</v>
      </c>
      <c r="F1101">
        <v>4</v>
      </c>
      <c r="G1101" t="s">
        <v>13</v>
      </c>
      <c r="H1101" s="1">
        <v>45951.07916666667</v>
      </c>
      <c r="I1101" s="5">
        <f>INT(TB[[#This Row],[时间戳]])</f>
        <v>45951</v>
      </c>
      <c r="J1101" s="2">
        <f>HOUR(TB[[#This Row],[时间戳]])</f>
        <v>1</v>
      </c>
      <c r="K1101">
        <v>1257</v>
      </c>
      <c r="L1101">
        <v>4</v>
      </c>
      <c r="M1101">
        <f>TB[[#This Row],[售价]]*TB[[#This Row],[销量]]</f>
        <v>5028</v>
      </c>
      <c r="N1101" t="str">
        <f>IF(TB[[#This Row],[售价]]&lt;1000,"低价商品",IF(TB[[#This Row],[售价]]&lt;5000,"中价商品",IF(TB[[#This Row],[售价]]&lt;10000,"高价商品","超高价商品")))</f>
        <v>中价商品</v>
      </c>
    </row>
    <row r="1102" spans="1:14" x14ac:dyDescent="0.2">
      <c r="A1102">
        <v>142</v>
      </c>
      <c r="B1102">
        <v>159</v>
      </c>
      <c r="C1102" t="s">
        <v>20</v>
      </c>
      <c r="D1102" t="s">
        <v>340</v>
      </c>
      <c r="E1102" t="s">
        <v>19</v>
      </c>
      <c r="F1102">
        <v>3</v>
      </c>
      <c r="G1102" t="s">
        <v>13</v>
      </c>
      <c r="H1102" s="1">
        <v>45951.079861111109</v>
      </c>
      <c r="I1102" s="5">
        <f>INT(TB[[#This Row],[时间戳]])</f>
        <v>45951</v>
      </c>
      <c r="J1102" s="2">
        <f>HOUR(TB[[#This Row],[时间戳]])</f>
        <v>1</v>
      </c>
      <c r="K1102">
        <v>2732</v>
      </c>
      <c r="L1102">
        <v>2</v>
      </c>
      <c r="M1102">
        <f>TB[[#This Row],[售价]]*TB[[#This Row],[销量]]</f>
        <v>5464</v>
      </c>
      <c r="N1102" t="str">
        <f>IF(TB[[#This Row],[售价]]&lt;1000,"低价商品",IF(TB[[#This Row],[售价]]&lt;5000,"中价商品",IF(TB[[#This Row],[售价]]&lt;10000,"高价商品","超高价商品")))</f>
        <v>中价商品</v>
      </c>
    </row>
    <row r="1103" spans="1:14" x14ac:dyDescent="0.2">
      <c r="A1103">
        <v>441</v>
      </c>
      <c r="B1103">
        <v>75</v>
      </c>
      <c r="C1103" t="s">
        <v>20</v>
      </c>
      <c r="D1103" t="s">
        <v>64</v>
      </c>
      <c r="E1103" t="s">
        <v>31</v>
      </c>
      <c r="F1103">
        <v>4</v>
      </c>
      <c r="G1103" t="s">
        <v>13</v>
      </c>
      <c r="H1103" s="1">
        <v>45951.144444444442</v>
      </c>
      <c r="I1103" s="5">
        <f>INT(TB[[#This Row],[时间戳]])</f>
        <v>45951</v>
      </c>
      <c r="J1103" s="2">
        <f>HOUR(TB[[#This Row],[时间戳]])</f>
        <v>3</v>
      </c>
      <c r="K1103">
        <v>1500</v>
      </c>
      <c r="L1103">
        <v>2</v>
      </c>
      <c r="M1103">
        <f>TB[[#This Row],[售价]]*TB[[#This Row],[销量]]</f>
        <v>3000</v>
      </c>
      <c r="N1103" t="str">
        <f>IF(TB[[#This Row],[售价]]&lt;1000,"低价商品",IF(TB[[#This Row],[售价]]&lt;5000,"中价商品",IF(TB[[#This Row],[售价]]&lt;10000,"高价商品","超高价商品")))</f>
        <v>中价商品</v>
      </c>
    </row>
    <row r="1104" spans="1:14" x14ac:dyDescent="0.2">
      <c r="A1104">
        <v>70</v>
      </c>
      <c r="B1104">
        <v>286</v>
      </c>
      <c r="C1104" t="s">
        <v>26</v>
      </c>
      <c r="D1104" t="s">
        <v>227</v>
      </c>
      <c r="E1104" t="s">
        <v>12</v>
      </c>
      <c r="F1104">
        <v>2</v>
      </c>
      <c r="G1104" t="s">
        <v>13</v>
      </c>
      <c r="H1104" s="1">
        <v>45951.184027777781</v>
      </c>
      <c r="I1104" s="5">
        <f>INT(TB[[#This Row],[时间戳]])</f>
        <v>45951</v>
      </c>
      <c r="J1104" s="2">
        <f>HOUR(TB[[#This Row],[时间戳]])</f>
        <v>4</v>
      </c>
      <c r="K1104">
        <v>14840</v>
      </c>
      <c r="L1104">
        <v>1</v>
      </c>
      <c r="M1104">
        <f>TB[[#This Row],[售价]]*TB[[#This Row],[销量]]</f>
        <v>14840</v>
      </c>
      <c r="N1104" t="str">
        <f>IF(TB[[#This Row],[售价]]&lt;1000,"低价商品",IF(TB[[#This Row],[售价]]&lt;5000,"中价商品",IF(TB[[#This Row],[售价]]&lt;10000,"高价商品","超高价商品")))</f>
        <v>超高价商品</v>
      </c>
    </row>
    <row r="1105" spans="1:14" x14ac:dyDescent="0.2">
      <c r="A1105">
        <v>326</v>
      </c>
      <c r="B1105">
        <v>75</v>
      </c>
      <c r="C1105" t="s">
        <v>14</v>
      </c>
      <c r="D1105" t="s">
        <v>384</v>
      </c>
      <c r="E1105" t="s">
        <v>39</v>
      </c>
      <c r="F1105">
        <v>5</v>
      </c>
      <c r="G1105" t="s">
        <v>13</v>
      </c>
      <c r="H1105" s="1">
        <v>45951.231944444444</v>
      </c>
      <c r="I1105" s="5">
        <f>INT(TB[[#This Row],[时间戳]])</f>
        <v>45951</v>
      </c>
      <c r="J1105" s="2">
        <f>HOUR(TB[[#This Row],[时间戳]])</f>
        <v>5</v>
      </c>
      <c r="K1105">
        <v>3151</v>
      </c>
      <c r="L1105">
        <v>2</v>
      </c>
      <c r="M1105">
        <f>TB[[#This Row],[售价]]*TB[[#This Row],[销量]]</f>
        <v>6302</v>
      </c>
      <c r="N1105" t="str">
        <f>IF(TB[[#This Row],[售价]]&lt;1000,"低价商品",IF(TB[[#This Row],[售价]]&lt;5000,"中价商品",IF(TB[[#This Row],[售价]]&lt;10000,"高价商品","超高价商品")))</f>
        <v>中价商品</v>
      </c>
    </row>
    <row r="1106" spans="1:14" x14ac:dyDescent="0.2">
      <c r="A1106">
        <v>422</v>
      </c>
      <c r="B1106">
        <v>156</v>
      </c>
      <c r="C1106" t="s">
        <v>34</v>
      </c>
      <c r="D1106" t="s">
        <v>62</v>
      </c>
      <c r="E1106" t="s">
        <v>31</v>
      </c>
      <c r="F1106">
        <v>4</v>
      </c>
      <c r="G1106" t="s">
        <v>13</v>
      </c>
      <c r="H1106" s="1">
        <v>45951.32916666667</v>
      </c>
      <c r="I1106" s="5">
        <f>INT(TB[[#This Row],[时间戳]])</f>
        <v>45951</v>
      </c>
      <c r="J1106" s="2">
        <f>HOUR(TB[[#This Row],[时间戳]])</f>
        <v>7</v>
      </c>
      <c r="K1106">
        <v>301</v>
      </c>
      <c r="L1106">
        <v>2</v>
      </c>
      <c r="M1106">
        <f>TB[[#This Row],[售价]]*TB[[#This Row],[销量]]</f>
        <v>602</v>
      </c>
      <c r="N1106" t="str">
        <f>IF(TB[[#This Row],[售价]]&lt;1000,"低价商品",IF(TB[[#This Row],[售价]]&lt;5000,"中价商品",IF(TB[[#This Row],[售价]]&lt;10000,"高价商品","超高价商品")))</f>
        <v>低价商品</v>
      </c>
    </row>
    <row r="1107" spans="1:14" x14ac:dyDescent="0.2">
      <c r="A1107">
        <v>798</v>
      </c>
      <c r="B1107">
        <v>97</v>
      </c>
      <c r="C1107" t="s">
        <v>36</v>
      </c>
      <c r="D1107" t="s">
        <v>238</v>
      </c>
      <c r="E1107" t="s">
        <v>12</v>
      </c>
      <c r="F1107">
        <v>2</v>
      </c>
      <c r="G1107" t="s">
        <v>13</v>
      </c>
      <c r="H1107" s="1">
        <v>45951.332638888889</v>
      </c>
      <c r="I1107" s="5">
        <f>INT(TB[[#This Row],[时间戳]])</f>
        <v>45951</v>
      </c>
      <c r="J1107" s="2">
        <f>HOUR(TB[[#This Row],[时间戳]])</f>
        <v>7</v>
      </c>
      <c r="K1107">
        <v>11439</v>
      </c>
      <c r="L1107">
        <v>1</v>
      </c>
      <c r="M1107">
        <f>TB[[#This Row],[售价]]*TB[[#This Row],[销量]]</f>
        <v>11439</v>
      </c>
      <c r="N1107" t="str">
        <f>IF(TB[[#This Row],[售价]]&lt;1000,"低价商品",IF(TB[[#This Row],[售价]]&lt;5000,"中价商品",IF(TB[[#This Row],[售价]]&lt;10000,"高价商品","超高价商品")))</f>
        <v>超高价商品</v>
      </c>
    </row>
    <row r="1108" spans="1:14" x14ac:dyDescent="0.2">
      <c r="A1108">
        <v>781</v>
      </c>
      <c r="B1108">
        <v>137</v>
      </c>
      <c r="C1108" t="s">
        <v>26</v>
      </c>
      <c r="D1108" t="s">
        <v>155</v>
      </c>
      <c r="E1108" t="s">
        <v>12</v>
      </c>
      <c r="F1108">
        <v>2</v>
      </c>
      <c r="G1108" t="s">
        <v>13</v>
      </c>
      <c r="H1108" s="1">
        <v>45951.342361111114</v>
      </c>
      <c r="I1108" s="5">
        <f>INT(TB[[#This Row],[时间戳]])</f>
        <v>45951</v>
      </c>
      <c r="J1108" s="2">
        <f>HOUR(TB[[#This Row],[时间戳]])</f>
        <v>8</v>
      </c>
      <c r="K1108">
        <v>5616</v>
      </c>
      <c r="L1108">
        <v>3</v>
      </c>
      <c r="M1108">
        <f>TB[[#This Row],[售价]]*TB[[#This Row],[销量]]</f>
        <v>16848</v>
      </c>
      <c r="N1108" t="str">
        <f>IF(TB[[#This Row],[售价]]&lt;1000,"低价商品",IF(TB[[#This Row],[售价]]&lt;5000,"中价商品",IF(TB[[#This Row],[售价]]&lt;10000,"高价商品","超高价商品")))</f>
        <v>高价商品</v>
      </c>
    </row>
    <row r="1109" spans="1:14" x14ac:dyDescent="0.2">
      <c r="A1109">
        <v>611</v>
      </c>
      <c r="B1109">
        <v>119</v>
      </c>
      <c r="C1109" t="s">
        <v>46</v>
      </c>
      <c r="D1109" t="s">
        <v>117</v>
      </c>
      <c r="E1109" t="s">
        <v>39</v>
      </c>
      <c r="F1109">
        <v>5</v>
      </c>
      <c r="G1109" t="s">
        <v>13</v>
      </c>
      <c r="H1109" s="1">
        <v>45951.368055555555</v>
      </c>
      <c r="I1109" s="5">
        <f>INT(TB[[#This Row],[时间戳]])</f>
        <v>45951</v>
      </c>
      <c r="J1109" s="2">
        <f>HOUR(TB[[#This Row],[时间戳]])</f>
        <v>8</v>
      </c>
      <c r="K1109">
        <v>3370</v>
      </c>
      <c r="L1109">
        <v>1</v>
      </c>
      <c r="M1109">
        <f>TB[[#This Row],[售价]]*TB[[#This Row],[销量]]</f>
        <v>3370</v>
      </c>
      <c r="N1109" t="str">
        <f>IF(TB[[#This Row],[售价]]&lt;1000,"低价商品",IF(TB[[#This Row],[售价]]&lt;5000,"中价商品",IF(TB[[#This Row],[售价]]&lt;10000,"高价商品","超高价商品")))</f>
        <v>中价商品</v>
      </c>
    </row>
    <row r="1110" spans="1:14" x14ac:dyDescent="0.2">
      <c r="A1110">
        <v>82</v>
      </c>
      <c r="B1110">
        <v>245</v>
      </c>
      <c r="C1110" t="s">
        <v>10</v>
      </c>
      <c r="D1110" t="s">
        <v>247</v>
      </c>
      <c r="E1110" t="s">
        <v>31</v>
      </c>
      <c r="F1110">
        <v>4</v>
      </c>
      <c r="G1110" t="s">
        <v>13</v>
      </c>
      <c r="H1110" s="1">
        <v>45951.390277777777</v>
      </c>
      <c r="I1110" s="5">
        <f>INT(TB[[#This Row],[时间戳]])</f>
        <v>45951</v>
      </c>
      <c r="J1110" s="2">
        <f>HOUR(TB[[#This Row],[时间戳]])</f>
        <v>9</v>
      </c>
      <c r="K1110">
        <v>673</v>
      </c>
      <c r="L1110">
        <v>1</v>
      </c>
      <c r="M1110">
        <f>TB[[#This Row],[售价]]*TB[[#This Row],[销量]]</f>
        <v>673</v>
      </c>
      <c r="N1110" t="str">
        <f>IF(TB[[#This Row],[售价]]&lt;1000,"低价商品",IF(TB[[#This Row],[售价]]&lt;5000,"中价商品",IF(TB[[#This Row],[售价]]&lt;10000,"高价商品","超高价商品")))</f>
        <v>低价商品</v>
      </c>
    </row>
    <row r="1111" spans="1:14" x14ac:dyDescent="0.2">
      <c r="A1111">
        <v>730</v>
      </c>
      <c r="B1111">
        <v>192</v>
      </c>
      <c r="C1111" t="s">
        <v>46</v>
      </c>
      <c r="D1111" t="s">
        <v>217</v>
      </c>
      <c r="E1111" t="s">
        <v>19</v>
      </c>
      <c r="F1111">
        <v>3</v>
      </c>
      <c r="G1111" t="s">
        <v>42</v>
      </c>
      <c r="H1111" s="1">
        <v>45951.393055555556</v>
      </c>
      <c r="I1111" s="5">
        <f>INT(TB[[#This Row],[时间戳]])</f>
        <v>45951</v>
      </c>
      <c r="J1111" s="2">
        <f>HOUR(TB[[#This Row],[时间戳]])</f>
        <v>9</v>
      </c>
      <c r="K1111">
        <v>2655</v>
      </c>
      <c r="L1111">
        <v>0</v>
      </c>
      <c r="M1111">
        <f>TB[[#This Row],[售价]]*TB[[#This Row],[销量]]</f>
        <v>0</v>
      </c>
      <c r="N1111" t="str">
        <f>IF(TB[[#This Row],[售价]]&lt;1000,"低价商品",IF(TB[[#This Row],[售价]]&lt;5000,"中价商品",IF(TB[[#This Row],[售价]]&lt;10000,"高价商品","超高价商品")))</f>
        <v>中价商品</v>
      </c>
    </row>
    <row r="1112" spans="1:14" x14ac:dyDescent="0.2">
      <c r="A1112">
        <v>141</v>
      </c>
      <c r="B1112">
        <v>84</v>
      </c>
      <c r="C1112" t="s">
        <v>44</v>
      </c>
      <c r="D1112" t="s">
        <v>73</v>
      </c>
      <c r="E1112" t="s">
        <v>39</v>
      </c>
      <c r="F1112">
        <v>5</v>
      </c>
      <c r="G1112" t="s">
        <v>13</v>
      </c>
      <c r="H1112" s="1">
        <v>45951.424305555556</v>
      </c>
      <c r="I1112" s="5">
        <f>INT(TB[[#This Row],[时间戳]])</f>
        <v>45951</v>
      </c>
      <c r="J1112" s="2">
        <f>HOUR(TB[[#This Row],[时间戳]])</f>
        <v>10</v>
      </c>
      <c r="K1112">
        <v>1551</v>
      </c>
      <c r="L1112">
        <v>5</v>
      </c>
      <c r="M1112">
        <f>TB[[#This Row],[售价]]*TB[[#This Row],[销量]]</f>
        <v>7755</v>
      </c>
      <c r="N1112" t="str">
        <f>IF(TB[[#This Row],[售价]]&lt;1000,"低价商品",IF(TB[[#This Row],[售价]]&lt;5000,"中价商品",IF(TB[[#This Row],[售价]]&lt;10000,"高价商品","超高价商品")))</f>
        <v>中价商品</v>
      </c>
    </row>
    <row r="1113" spans="1:14" x14ac:dyDescent="0.2">
      <c r="A1113">
        <v>783</v>
      </c>
      <c r="B1113">
        <v>8</v>
      </c>
      <c r="C1113" t="s">
        <v>10</v>
      </c>
      <c r="D1113" t="s">
        <v>183</v>
      </c>
      <c r="E1113" t="s">
        <v>22</v>
      </c>
      <c r="F1113">
        <v>1</v>
      </c>
      <c r="G1113" t="s">
        <v>13</v>
      </c>
      <c r="H1113" s="1">
        <v>45951.429166666669</v>
      </c>
      <c r="I1113" s="5">
        <f>INT(TB[[#This Row],[时间戳]])</f>
        <v>45951</v>
      </c>
      <c r="J1113" s="2">
        <f>HOUR(TB[[#This Row],[时间戳]])</f>
        <v>10</v>
      </c>
      <c r="K1113">
        <v>2498</v>
      </c>
      <c r="L1113">
        <v>2</v>
      </c>
      <c r="M1113">
        <f>TB[[#This Row],[售价]]*TB[[#This Row],[销量]]</f>
        <v>4996</v>
      </c>
      <c r="N1113" t="str">
        <f>IF(TB[[#This Row],[售价]]&lt;1000,"低价商品",IF(TB[[#This Row],[售价]]&lt;5000,"中价商品",IF(TB[[#This Row],[售价]]&lt;10000,"高价商品","超高价商品")))</f>
        <v>中价商品</v>
      </c>
    </row>
    <row r="1114" spans="1:14" x14ac:dyDescent="0.2">
      <c r="A1114">
        <v>776</v>
      </c>
      <c r="B1114">
        <v>105</v>
      </c>
      <c r="C1114" t="s">
        <v>32</v>
      </c>
      <c r="D1114" t="s">
        <v>170</v>
      </c>
      <c r="E1114" t="s">
        <v>31</v>
      </c>
      <c r="F1114">
        <v>4</v>
      </c>
      <c r="G1114" t="s">
        <v>42</v>
      </c>
      <c r="H1114" s="1">
        <v>45951.433333333334</v>
      </c>
      <c r="I1114" s="5">
        <f>INT(TB[[#This Row],[时间戳]])</f>
        <v>45951</v>
      </c>
      <c r="J1114" s="2">
        <f>HOUR(TB[[#This Row],[时间戳]])</f>
        <v>10</v>
      </c>
      <c r="K1114">
        <v>613</v>
      </c>
      <c r="L1114">
        <v>0</v>
      </c>
      <c r="M1114">
        <f>TB[[#This Row],[售价]]*TB[[#This Row],[销量]]</f>
        <v>0</v>
      </c>
      <c r="N1114" t="str">
        <f>IF(TB[[#This Row],[售价]]&lt;1000,"低价商品",IF(TB[[#This Row],[售价]]&lt;5000,"中价商品",IF(TB[[#This Row],[售价]]&lt;10000,"高价商品","超高价商品")))</f>
        <v>低价商品</v>
      </c>
    </row>
    <row r="1115" spans="1:14" x14ac:dyDescent="0.2">
      <c r="A1115">
        <v>502</v>
      </c>
      <c r="B1115">
        <v>167</v>
      </c>
      <c r="C1115" t="s">
        <v>44</v>
      </c>
      <c r="D1115" t="s">
        <v>250</v>
      </c>
      <c r="E1115" t="s">
        <v>25</v>
      </c>
      <c r="F1115">
        <v>7</v>
      </c>
      <c r="G1115" t="s">
        <v>42</v>
      </c>
      <c r="H1115" s="1">
        <v>45951.447916666664</v>
      </c>
      <c r="I1115" s="5">
        <f>INT(TB[[#This Row],[时间戳]])</f>
        <v>45951</v>
      </c>
      <c r="J1115" s="2">
        <f>HOUR(TB[[#This Row],[时间戳]])</f>
        <v>10</v>
      </c>
      <c r="K1115">
        <v>1931</v>
      </c>
      <c r="L1115">
        <v>0</v>
      </c>
      <c r="M1115">
        <f>TB[[#This Row],[售价]]*TB[[#This Row],[销量]]</f>
        <v>0</v>
      </c>
      <c r="N1115" t="str">
        <f>IF(TB[[#This Row],[售价]]&lt;1000,"低价商品",IF(TB[[#This Row],[售价]]&lt;5000,"中价商品",IF(TB[[#This Row],[售价]]&lt;10000,"高价商品","超高价商品")))</f>
        <v>中价商品</v>
      </c>
    </row>
    <row r="1116" spans="1:14" x14ac:dyDescent="0.2">
      <c r="A1116">
        <v>795</v>
      </c>
      <c r="B1116">
        <v>22</v>
      </c>
      <c r="C1116" t="s">
        <v>17</v>
      </c>
      <c r="D1116" t="s">
        <v>226</v>
      </c>
      <c r="E1116" t="s">
        <v>16</v>
      </c>
      <c r="F1116">
        <v>6</v>
      </c>
      <c r="G1116" t="s">
        <v>42</v>
      </c>
      <c r="H1116" s="1">
        <v>45951.464583333334</v>
      </c>
      <c r="I1116" s="5">
        <f>INT(TB[[#This Row],[时间戳]])</f>
        <v>45951</v>
      </c>
      <c r="J1116" s="2">
        <f>HOUR(TB[[#This Row],[时间戳]])</f>
        <v>11</v>
      </c>
      <c r="K1116">
        <v>9422</v>
      </c>
      <c r="L1116">
        <v>0</v>
      </c>
      <c r="M1116">
        <f>TB[[#This Row],[售价]]*TB[[#This Row],[销量]]</f>
        <v>0</v>
      </c>
      <c r="N1116" t="str">
        <f>IF(TB[[#This Row],[售价]]&lt;1000,"低价商品",IF(TB[[#This Row],[售价]]&lt;5000,"中价商品",IF(TB[[#This Row],[售价]]&lt;10000,"高价商品","超高价商品")))</f>
        <v>高价商品</v>
      </c>
    </row>
    <row r="1117" spans="1:14" x14ac:dyDescent="0.2">
      <c r="A1117">
        <v>321</v>
      </c>
      <c r="B1117">
        <v>202</v>
      </c>
      <c r="C1117" t="s">
        <v>17</v>
      </c>
      <c r="D1117" t="s">
        <v>98</v>
      </c>
      <c r="E1117" t="s">
        <v>22</v>
      </c>
      <c r="F1117">
        <v>1</v>
      </c>
      <c r="G1117" t="s">
        <v>13</v>
      </c>
      <c r="H1117" s="1">
        <v>45951.480555555558</v>
      </c>
      <c r="I1117" s="5">
        <f>INT(TB[[#This Row],[时间戳]])</f>
        <v>45951</v>
      </c>
      <c r="J1117" s="2">
        <f>HOUR(TB[[#This Row],[时间戳]])</f>
        <v>11</v>
      </c>
      <c r="K1117">
        <v>6156</v>
      </c>
      <c r="L1117">
        <v>3</v>
      </c>
      <c r="M1117">
        <f>TB[[#This Row],[售价]]*TB[[#This Row],[销量]]</f>
        <v>18468</v>
      </c>
      <c r="N1117" t="str">
        <f>IF(TB[[#This Row],[售价]]&lt;1000,"低价商品",IF(TB[[#This Row],[售价]]&lt;5000,"中价商品",IF(TB[[#This Row],[售价]]&lt;10000,"高价商品","超高价商品")))</f>
        <v>高价商品</v>
      </c>
    </row>
    <row r="1118" spans="1:14" x14ac:dyDescent="0.2">
      <c r="A1118">
        <v>550</v>
      </c>
      <c r="B1118">
        <v>269</v>
      </c>
      <c r="C1118" t="s">
        <v>46</v>
      </c>
      <c r="D1118" t="s">
        <v>84</v>
      </c>
      <c r="E1118" t="s">
        <v>39</v>
      </c>
      <c r="F1118">
        <v>5</v>
      </c>
      <c r="G1118" t="s">
        <v>13</v>
      </c>
      <c r="H1118" s="1">
        <v>45951.481944444444</v>
      </c>
      <c r="I1118" s="5">
        <f>INT(TB[[#This Row],[时间戳]])</f>
        <v>45951</v>
      </c>
      <c r="J1118" s="2">
        <f>HOUR(TB[[#This Row],[时间戳]])</f>
        <v>11</v>
      </c>
      <c r="K1118">
        <v>3484</v>
      </c>
      <c r="L1118">
        <v>1</v>
      </c>
      <c r="M1118">
        <f>TB[[#This Row],[售价]]*TB[[#This Row],[销量]]</f>
        <v>3484</v>
      </c>
      <c r="N1118" t="str">
        <f>IF(TB[[#This Row],[售价]]&lt;1000,"低价商品",IF(TB[[#This Row],[售价]]&lt;5000,"中价商品",IF(TB[[#This Row],[售价]]&lt;10000,"高价商品","超高价商品")))</f>
        <v>中价商品</v>
      </c>
    </row>
    <row r="1119" spans="1:14" x14ac:dyDescent="0.2">
      <c r="A1119">
        <v>112</v>
      </c>
      <c r="B1119">
        <v>232</v>
      </c>
      <c r="C1119" t="s">
        <v>10</v>
      </c>
      <c r="D1119" t="s">
        <v>321</v>
      </c>
      <c r="E1119" t="s">
        <v>39</v>
      </c>
      <c r="F1119">
        <v>5</v>
      </c>
      <c r="G1119" t="s">
        <v>13</v>
      </c>
      <c r="H1119" s="1">
        <v>45951.520833333336</v>
      </c>
      <c r="I1119" s="5">
        <f>INT(TB[[#This Row],[时间戳]])</f>
        <v>45951</v>
      </c>
      <c r="J1119" s="2">
        <f>HOUR(TB[[#This Row],[时间戳]])</f>
        <v>12</v>
      </c>
      <c r="K1119">
        <v>3587</v>
      </c>
      <c r="L1119">
        <v>2</v>
      </c>
      <c r="M1119">
        <f>TB[[#This Row],[售价]]*TB[[#This Row],[销量]]</f>
        <v>7174</v>
      </c>
      <c r="N1119" t="str">
        <f>IF(TB[[#This Row],[售价]]&lt;1000,"低价商品",IF(TB[[#This Row],[售价]]&lt;5000,"中价商品",IF(TB[[#This Row],[售价]]&lt;10000,"高价商品","超高价商品")))</f>
        <v>中价商品</v>
      </c>
    </row>
    <row r="1120" spans="1:14" x14ac:dyDescent="0.2">
      <c r="A1120">
        <v>551</v>
      </c>
      <c r="B1120">
        <v>203</v>
      </c>
      <c r="C1120" t="s">
        <v>32</v>
      </c>
      <c r="D1120" t="s">
        <v>63</v>
      </c>
      <c r="E1120" t="s">
        <v>12</v>
      </c>
      <c r="F1120">
        <v>2</v>
      </c>
      <c r="G1120" t="s">
        <v>13</v>
      </c>
      <c r="H1120" s="1">
        <v>45951.526388888888</v>
      </c>
      <c r="I1120" s="5">
        <f>INT(TB[[#This Row],[时间戳]])</f>
        <v>45951</v>
      </c>
      <c r="J1120" s="2">
        <f>HOUR(TB[[#This Row],[时间戳]])</f>
        <v>12</v>
      </c>
      <c r="K1120">
        <v>11306</v>
      </c>
      <c r="L1120">
        <v>2</v>
      </c>
      <c r="M1120">
        <f>TB[[#This Row],[售价]]*TB[[#This Row],[销量]]</f>
        <v>22612</v>
      </c>
      <c r="N1120" t="str">
        <f>IF(TB[[#This Row],[售价]]&lt;1000,"低价商品",IF(TB[[#This Row],[售价]]&lt;5000,"中价商品",IF(TB[[#This Row],[售价]]&lt;10000,"高价商品","超高价商品")))</f>
        <v>超高价商品</v>
      </c>
    </row>
    <row r="1121" spans="1:14" x14ac:dyDescent="0.2">
      <c r="A1121">
        <v>529</v>
      </c>
      <c r="B1121">
        <v>26</v>
      </c>
      <c r="C1121" t="s">
        <v>20</v>
      </c>
      <c r="D1121" t="s">
        <v>261</v>
      </c>
      <c r="E1121" t="s">
        <v>22</v>
      </c>
      <c r="F1121">
        <v>1</v>
      </c>
      <c r="G1121" t="s">
        <v>13</v>
      </c>
      <c r="H1121" s="1">
        <v>45951.529166666667</v>
      </c>
      <c r="I1121" s="5">
        <f>INT(TB[[#This Row],[时间戳]])</f>
        <v>45951</v>
      </c>
      <c r="J1121" s="2">
        <f>HOUR(TB[[#This Row],[时间戳]])</f>
        <v>12</v>
      </c>
      <c r="K1121">
        <v>6842</v>
      </c>
      <c r="L1121">
        <v>2</v>
      </c>
      <c r="M1121">
        <f>TB[[#This Row],[售价]]*TB[[#This Row],[销量]]</f>
        <v>13684</v>
      </c>
      <c r="N1121" t="str">
        <f>IF(TB[[#This Row],[售价]]&lt;1000,"低价商品",IF(TB[[#This Row],[售价]]&lt;5000,"中价商品",IF(TB[[#This Row],[售价]]&lt;10000,"高价商品","超高价商品")))</f>
        <v>高价商品</v>
      </c>
    </row>
    <row r="1122" spans="1:14" x14ac:dyDescent="0.2">
      <c r="A1122">
        <v>312</v>
      </c>
      <c r="B1122">
        <v>147</v>
      </c>
      <c r="C1122" t="s">
        <v>44</v>
      </c>
      <c r="D1122" t="s">
        <v>73</v>
      </c>
      <c r="E1122" t="s">
        <v>39</v>
      </c>
      <c r="F1122">
        <v>5</v>
      </c>
      <c r="G1122" t="s">
        <v>13</v>
      </c>
      <c r="H1122" s="1">
        <v>45951.569444444445</v>
      </c>
      <c r="I1122" s="5">
        <f>INT(TB[[#This Row],[时间戳]])</f>
        <v>45951</v>
      </c>
      <c r="J1122" s="2">
        <f>HOUR(TB[[#This Row],[时间戳]])</f>
        <v>13</v>
      </c>
      <c r="K1122">
        <v>1526</v>
      </c>
      <c r="L1122">
        <v>3</v>
      </c>
      <c r="M1122">
        <f>TB[[#This Row],[售价]]*TB[[#This Row],[销量]]</f>
        <v>4578</v>
      </c>
      <c r="N1122" t="str">
        <f>IF(TB[[#This Row],[售价]]&lt;1000,"低价商品",IF(TB[[#This Row],[售价]]&lt;5000,"中价商品",IF(TB[[#This Row],[售价]]&lt;10000,"高价商品","超高价商品")))</f>
        <v>中价商品</v>
      </c>
    </row>
    <row r="1123" spans="1:14" x14ac:dyDescent="0.2">
      <c r="A1123">
        <v>628</v>
      </c>
      <c r="B1123">
        <v>28</v>
      </c>
      <c r="C1123" t="s">
        <v>17</v>
      </c>
      <c r="D1123" t="s">
        <v>279</v>
      </c>
      <c r="E1123" t="s">
        <v>22</v>
      </c>
      <c r="F1123">
        <v>1</v>
      </c>
      <c r="G1123" t="s">
        <v>42</v>
      </c>
      <c r="H1123" s="1">
        <v>45951.626388888886</v>
      </c>
      <c r="I1123" s="5">
        <f>INT(TB[[#This Row],[时间戳]])</f>
        <v>45951</v>
      </c>
      <c r="J1123" s="2">
        <f>HOUR(TB[[#This Row],[时间戳]])</f>
        <v>15</v>
      </c>
      <c r="K1123">
        <v>4664</v>
      </c>
      <c r="L1123">
        <v>0</v>
      </c>
      <c r="M1123">
        <f>TB[[#This Row],[售价]]*TB[[#This Row],[销量]]</f>
        <v>0</v>
      </c>
      <c r="N1123" t="str">
        <f>IF(TB[[#This Row],[售价]]&lt;1000,"低价商品",IF(TB[[#This Row],[售价]]&lt;5000,"中价商品",IF(TB[[#This Row],[售价]]&lt;10000,"高价商品","超高价商品")))</f>
        <v>中价商品</v>
      </c>
    </row>
    <row r="1124" spans="1:14" x14ac:dyDescent="0.2">
      <c r="A1124">
        <v>662</v>
      </c>
      <c r="B1124">
        <v>232</v>
      </c>
      <c r="C1124" t="s">
        <v>26</v>
      </c>
      <c r="D1124" t="s">
        <v>245</v>
      </c>
      <c r="E1124" t="s">
        <v>39</v>
      </c>
      <c r="F1124">
        <v>5</v>
      </c>
      <c r="G1124" t="s">
        <v>13</v>
      </c>
      <c r="H1124" s="1">
        <v>45951.663194444445</v>
      </c>
      <c r="I1124" s="5">
        <f>INT(TB[[#This Row],[时间戳]])</f>
        <v>45951</v>
      </c>
      <c r="J1124" s="2">
        <f>HOUR(TB[[#This Row],[时间戳]])</f>
        <v>15</v>
      </c>
      <c r="K1124">
        <v>3690</v>
      </c>
      <c r="L1124">
        <v>2</v>
      </c>
      <c r="M1124">
        <f>TB[[#This Row],[售价]]*TB[[#This Row],[销量]]</f>
        <v>7380</v>
      </c>
      <c r="N1124" t="str">
        <f>IF(TB[[#This Row],[售价]]&lt;1000,"低价商品",IF(TB[[#This Row],[售价]]&lt;5000,"中价商品",IF(TB[[#This Row],[售价]]&lt;10000,"高价商品","超高价商品")))</f>
        <v>中价商品</v>
      </c>
    </row>
    <row r="1125" spans="1:14" x14ac:dyDescent="0.2">
      <c r="A1125">
        <v>185</v>
      </c>
      <c r="B1125">
        <v>300</v>
      </c>
      <c r="C1125" t="s">
        <v>20</v>
      </c>
      <c r="D1125" t="s">
        <v>319</v>
      </c>
      <c r="E1125" t="s">
        <v>31</v>
      </c>
      <c r="F1125">
        <v>4</v>
      </c>
      <c r="G1125" t="s">
        <v>13</v>
      </c>
      <c r="H1125" s="1">
        <v>45951.693749999999</v>
      </c>
      <c r="I1125" s="5">
        <f>INT(TB[[#This Row],[时间戳]])</f>
        <v>45951</v>
      </c>
      <c r="J1125" s="2">
        <f>HOUR(TB[[#This Row],[时间戳]])</f>
        <v>16</v>
      </c>
      <c r="K1125">
        <v>404</v>
      </c>
      <c r="L1125">
        <v>3</v>
      </c>
      <c r="M1125">
        <f>TB[[#This Row],[售价]]*TB[[#This Row],[销量]]</f>
        <v>1212</v>
      </c>
      <c r="N1125" t="str">
        <f>IF(TB[[#This Row],[售价]]&lt;1000,"低价商品",IF(TB[[#This Row],[售价]]&lt;5000,"中价商品",IF(TB[[#This Row],[售价]]&lt;10000,"高价商品","超高价商品")))</f>
        <v>低价商品</v>
      </c>
    </row>
    <row r="1126" spans="1:14" x14ac:dyDescent="0.2">
      <c r="A1126">
        <v>424</v>
      </c>
      <c r="B1126">
        <v>166</v>
      </c>
      <c r="C1126" t="s">
        <v>26</v>
      </c>
      <c r="D1126" t="s">
        <v>95</v>
      </c>
      <c r="E1126" t="s">
        <v>22</v>
      </c>
      <c r="F1126">
        <v>1</v>
      </c>
      <c r="G1126" t="s">
        <v>13</v>
      </c>
      <c r="H1126" s="1">
        <v>45951.713194444441</v>
      </c>
      <c r="I1126" s="5">
        <f>INT(TB[[#This Row],[时间戳]])</f>
        <v>45951</v>
      </c>
      <c r="J1126" s="2">
        <f>HOUR(TB[[#This Row],[时间戳]])</f>
        <v>17</v>
      </c>
      <c r="K1126">
        <v>6781</v>
      </c>
      <c r="L1126">
        <v>3</v>
      </c>
      <c r="M1126">
        <f>TB[[#This Row],[售价]]*TB[[#This Row],[销量]]</f>
        <v>20343</v>
      </c>
      <c r="N1126" t="str">
        <f>IF(TB[[#This Row],[售价]]&lt;1000,"低价商品",IF(TB[[#This Row],[售价]]&lt;5000,"中价商品",IF(TB[[#This Row],[售价]]&lt;10000,"高价商品","超高价商品")))</f>
        <v>高价商品</v>
      </c>
    </row>
    <row r="1127" spans="1:14" x14ac:dyDescent="0.2">
      <c r="A1127">
        <v>605</v>
      </c>
      <c r="B1127">
        <v>104</v>
      </c>
      <c r="C1127" t="s">
        <v>26</v>
      </c>
      <c r="D1127" t="s">
        <v>122</v>
      </c>
      <c r="E1127" t="s">
        <v>31</v>
      </c>
      <c r="F1127">
        <v>4</v>
      </c>
      <c r="G1127" t="s">
        <v>13</v>
      </c>
      <c r="H1127" s="1">
        <v>45951.727777777778</v>
      </c>
      <c r="I1127" s="5">
        <f>INT(TB[[#This Row],[时间戳]])</f>
        <v>45951</v>
      </c>
      <c r="J1127" s="2">
        <f>HOUR(TB[[#This Row],[时间戳]])</f>
        <v>17</v>
      </c>
      <c r="K1127">
        <v>785</v>
      </c>
      <c r="L1127">
        <v>3</v>
      </c>
      <c r="M1127">
        <f>TB[[#This Row],[售价]]*TB[[#This Row],[销量]]</f>
        <v>2355</v>
      </c>
      <c r="N1127" t="str">
        <f>IF(TB[[#This Row],[售价]]&lt;1000,"低价商品",IF(TB[[#This Row],[售价]]&lt;5000,"中价商品",IF(TB[[#This Row],[售价]]&lt;10000,"高价商品","超高价商品")))</f>
        <v>低价商品</v>
      </c>
    </row>
    <row r="1128" spans="1:14" x14ac:dyDescent="0.2">
      <c r="A1128">
        <v>709</v>
      </c>
      <c r="B1128">
        <v>84</v>
      </c>
      <c r="C1128" t="s">
        <v>36</v>
      </c>
      <c r="D1128" t="s">
        <v>337</v>
      </c>
      <c r="E1128" t="s">
        <v>25</v>
      </c>
      <c r="F1128">
        <v>7</v>
      </c>
      <c r="G1128" t="s">
        <v>13</v>
      </c>
      <c r="H1128" s="1">
        <v>45951.729861111111</v>
      </c>
      <c r="I1128" s="5">
        <f>INT(TB[[#This Row],[时间戳]])</f>
        <v>45951</v>
      </c>
      <c r="J1128" s="2">
        <f>HOUR(TB[[#This Row],[时间戳]])</f>
        <v>17</v>
      </c>
      <c r="K1128">
        <v>5070</v>
      </c>
      <c r="L1128">
        <v>4</v>
      </c>
      <c r="M1128">
        <f>TB[[#This Row],[售价]]*TB[[#This Row],[销量]]</f>
        <v>20280</v>
      </c>
      <c r="N1128" t="str">
        <f>IF(TB[[#This Row],[售价]]&lt;1000,"低价商品",IF(TB[[#This Row],[售价]]&lt;5000,"中价商品",IF(TB[[#This Row],[售价]]&lt;10000,"高价商品","超高价商品")))</f>
        <v>高价商品</v>
      </c>
    </row>
    <row r="1129" spans="1:14" x14ac:dyDescent="0.2">
      <c r="A1129">
        <v>461</v>
      </c>
      <c r="B1129">
        <v>186</v>
      </c>
      <c r="C1129" t="s">
        <v>14</v>
      </c>
      <c r="D1129" t="s">
        <v>385</v>
      </c>
      <c r="E1129" t="s">
        <v>12</v>
      </c>
      <c r="F1129">
        <v>2</v>
      </c>
      <c r="G1129" t="s">
        <v>42</v>
      </c>
      <c r="H1129" s="1">
        <v>45951.739583333336</v>
      </c>
      <c r="I1129" s="5">
        <f>INT(TB[[#This Row],[时间戳]])</f>
        <v>45951</v>
      </c>
      <c r="J1129" s="2">
        <f>HOUR(TB[[#This Row],[时间戳]])</f>
        <v>17</v>
      </c>
      <c r="K1129">
        <v>5870</v>
      </c>
      <c r="L1129">
        <v>0</v>
      </c>
      <c r="M1129">
        <f>TB[[#This Row],[售价]]*TB[[#This Row],[销量]]</f>
        <v>0</v>
      </c>
      <c r="N1129" t="str">
        <f>IF(TB[[#This Row],[售价]]&lt;1000,"低价商品",IF(TB[[#This Row],[售价]]&lt;5000,"中价商品",IF(TB[[#This Row],[售价]]&lt;10000,"高价商品","超高价商品")))</f>
        <v>高价商品</v>
      </c>
    </row>
    <row r="1130" spans="1:14" x14ac:dyDescent="0.2">
      <c r="A1130">
        <v>524</v>
      </c>
      <c r="B1130">
        <v>82</v>
      </c>
      <c r="C1130" t="s">
        <v>17</v>
      </c>
      <c r="D1130" t="s">
        <v>98</v>
      </c>
      <c r="E1130" t="s">
        <v>22</v>
      </c>
      <c r="F1130">
        <v>1</v>
      </c>
      <c r="G1130" t="s">
        <v>13</v>
      </c>
      <c r="H1130" s="1">
        <v>45951.747916666667</v>
      </c>
      <c r="I1130" s="5">
        <f>INT(TB[[#This Row],[时间戳]])</f>
        <v>45951</v>
      </c>
      <c r="J1130" s="2">
        <f>HOUR(TB[[#This Row],[时间戳]])</f>
        <v>17</v>
      </c>
      <c r="K1130">
        <v>1766</v>
      </c>
      <c r="L1130">
        <v>3</v>
      </c>
      <c r="M1130">
        <f>TB[[#This Row],[售价]]*TB[[#This Row],[销量]]</f>
        <v>5298</v>
      </c>
      <c r="N1130" t="str">
        <f>IF(TB[[#This Row],[售价]]&lt;1000,"低价商品",IF(TB[[#This Row],[售价]]&lt;5000,"中价商品",IF(TB[[#This Row],[售价]]&lt;10000,"高价商品","超高价商品")))</f>
        <v>中价商品</v>
      </c>
    </row>
    <row r="1131" spans="1:14" x14ac:dyDescent="0.2">
      <c r="A1131">
        <v>787</v>
      </c>
      <c r="B1131">
        <v>88</v>
      </c>
      <c r="C1131" t="s">
        <v>17</v>
      </c>
      <c r="D1131" t="s">
        <v>194</v>
      </c>
      <c r="E1131" t="s">
        <v>16</v>
      </c>
      <c r="F1131">
        <v>6</v>
      </c>
      <c r="G1131" t="s">
        <v>13</v>
      </c>
      <c r="H1131" s="1">
        <v>45951.753472222219</v>
      </c>
      <c r="I1131" s="5">
        <f>INT(TB[[#This Row],[时间戳]])</f>
        <v>45951</v>
      </c>
      <c r="J1131" s="2">
        <f>HOUR(TB[[#This Row],[时间戳]])</f>
        <v>18</v>
      </c>
      <c r="K1131">
        <v>8285</v>
      </c>
      <c r="L1131">
        <v>3</v>
      </c>
      <c r="M1131">
        <f>TB[[#This Row],[售价]]*TB[[#This Row],[销量]]</f>
        <v>24855</v>
      </c>
      <c r="N1131" t="str">
        <f>IF(TB[[#This Row],[售价]]&lt;1000,"低价商品",IF(TB[[#This Row],[售价]]&lt;5000,"中价商品",IF(TB[[#This Row],[售价]]&lt;10000,"高价商品","超高价商品")))</f>
        <v>高价商品</v>
      </c>
    </row>
    <row r="1132" spans="1:14" x14ac:dyDescent="0.2">
      <c r="A1132">
        <v>149</v>
      </c>
      <c r="B1132">
        <v>92</v>
      </c>
      <c r="C1132" t="s">
        <v>26</v>
      </c>
      <c r="D1132" t="s">
        <v>27</v>
      </c>
      <c r="E1132" t="s">
        <v>22</v>
      </c>
      <c r="F1132">
        <v>1</v>
      </c>
      <c r="G1132" t="s">
        <v>13</v>
      </c>
      <c r="H1132" s="1">
        <v>45951.777083333334</v>
      </c>
      <c r="I1132" s="5">
        <f>INT(TB[[#This Row],[时间戳]])</f>
        <v>45951</v>
      </c>
      <c r="J1132" s="2">
        <f>HOUR(TB[[#This Row],[时间戳]])</f>
        <v>18</v>
      </c>
      <c r="K1132">
        <v>3834</v>
      </c>
      <c r="L1132">
        <v>2</v>
      </c>
      <c r="M1132">
        <f>TB[[#This Row],[售价]]*TB[[#This Row],[销量]]</f>
        <v>7668</v>
      </c>
      <c r="N1132" t="str">
        <f>IF(TB[[#This Row],[售价]]&lt;1000,"低价商品",IF(TB[[#This Row],[售价]]&lt;5000,"中价商品",IF(TB[[#This Row],[售价]]&lt;10000,"高价商品","超高价商品")))</f>
        <v>中价商品</v>
      </c>
    </row>
    <row r="1133" spans="1:14" x14ac:dyDescent="0.2">
      <c r="A1133">
        <v>748</v>
      </c>
      <c r="B1133">
        <v>229</v>
      </c>
      <c r="C1133" t="s">
        <v>36</v>
      </c>
      <c r="D1133" t="s">
        <v>304</v>
      </c>
      <c r="E1133" t="s">
        <v>16</v>
      </c>
      <c r="F1133">
        <v>6</v>
      </c>
      <c r="G1133" t="s">
        <v>13</v>
      </c>
      <c r="H1133" s="1">
        <v>45951.789583333331</v>
      </c>
      <c r="I1133" s="5">
        <f>INT(TB[[#This Row],[时间戳]])</f>
        <v>45951</v>
      </c>
      <c r="J1133" s="2">
        <f>HOUR(TB[[#This Row],[时间戳]])</f>
        <v>18</v>
      </c>
      <c r="K1133">
        <v>2854</v>
      </c>
      <c r="L1133">
        <v>3</v>
      </c>
      <c r="M1133">
        <f>TB[[#This Row],[售价]]*TB[[#This Row],[销量]]</f>
        <v>8562</v>
      </c>
      <c r="N1133" t="str">
        <f>IF(TB[[#This Row],[售价]]&lt;1000,"低价商品",IF(TB[[#This Row],[售价]]&lt;5000,"中价商品",IF(TB[[#This Row],[售价]]&lt;10000,"高价商品","超高价商品")))</f>
        <v>中价商品</v>
      </c>
    </row>
    <row r="1134" spans="1:14" x14ac:dyDescent="0.2">
      <c r="A1134">
        <v>135</v>
      </c>
      <c r="B1134">
        <v>104</v>
      </c>
      <c r="C1134" t="s">
        <v>26</v>
      </c>
      <c r="D1134" t="s">
        <v>131</v>
      </c>
      <c r="E1134" t="s">
        <v>22</v>
      </c>
      <c r="F1134">
        <v>1</v>
      </c>
      <c r="G1134" t="s">
        <v>42</v>
      </c>
      <c r="H1134" s="1">
        <v>45951.790972222225</v>
      </c>
      <c r="I1134" s="5">
        <f>INT(TB[[#This Row],[时间戳]])</f>
        <v>45951</v>
      </c>
      <c r="J1134" s="2">
        <f>HOUR(TB[[#This Row],[时间戳]])</f>
        <v>18</v>
      </c>
      <c r="K1134">
        <v>3485</v>
      </c>
      <c r="L1134">
        <v>0</v>
      </c>
      <c r="M1134">
        <f>TB[[#This Row],[售价]]*TB[[#This Row],[销量]]</f>
        <v>0</v>
      </c>
      <c r="N1134" t="str">
        <f>IF(TB[[#This Row],[售价]]&lt;1000,"低价商品",IF(TB[[#This Row],[售价]]&lt;5000,"中价商品",IF(TB[[#This Row],[售价]]&lt;10000,"高价商品","超高价商品")))</f>
        <v>中价商品</v>
      </c>
    </row>
    <row r="1135" spans="1:14" x14ac:dyDescent="0.2">
      <c r="A1135">
        <v>470</v>
      </c>
      <c r="B1135">
        <v>255</v>
      </c>
      <c r="C1135" t="s">
        <v>36</v>
      </c>
      <c r="D1135" t="s">
        <v>386</v>
      </c>
      <c r="E1135" t="s">
        <v>22</v>
      </c>
      <c r="F1135">
        <v>1</v>
      </c>
      <c r="G1135" t="s">
        <v>13</v>
      </c>
      <c r="H1135" s="1">
        <v>45951.79583333333</v>
      </c>
      <c r="I1135" s="5">
        <f>INT(TB[[#This Row],[时间戳]])</f>
        <v>45951</v>
      </c>
      <c r="J1135" s="2">
        <f>HOUR(TB[[#This Row],[时间戳]])</f>
        <v>19</v>
      </c>
      <c r="K1135">
        <v>1146</v>
      </c>
      <c r="L1135">
        <v>2</v>
      </c>
      <c r="M1135">
        <f>TB[[#This Row],[售价]]*TB[[#This Row],[销量]]</f>
        <v>2292</v>
      </c>
      <c r="N1135" t="str">
        <f>IF(TB[[#This Row],[售价]]&lt;1000,"低价商品",IF(TB[[#This Row],[售价]]&lt;5000,"中价商品",IF(TB[[#This Row],[售价]]&lt;10000,"高价商品","超高价商品")))</f>
        <v>中价商品</v>
      </c>
    </row>
    <row r="1136" spans="1:14" x14ac:dyDescent="0.2">
      <c r="A1136">
        <v>506</v>
      </c>
      <c r="B1136">
        <v>122</v>
      </c>
      <c r="C1136" t="s">
        <v>10</v>
      </c>
      <c r="D1136" t="s">
        <v>387</v>
      </c>
      <c r="E1136" t="s">
        <v>16</v>
      </c>
      <c r="F1136">
        <v>6</v>
      </c>
      <c r="G1136" t="s">
        <v>13</v>
      </c>
      <c r="H1136" s="1">
        <v>45951.816666666666</v>
      </c>
      <c r="I1136" s="5">
        <f>INT(TB[[#This Row],[时间戳]])</f>
        <v>45951</v>
      </c>
      <c r="J1136" s="2">
        <f>HOUR(TB[[#This Row],[时间戳]])</f>
        <v>19</v>
      </c>
      <c r="K1136">
        <v>10247</v>
      </c>
      <c r="L1136">
        <v>1</v>
      </c>
      <c r="M1136">
        <f>TB[[#This Row],[售价]]*TB[[#This Row],[销量]]</f>
        <v>10247</v>
      </c>
      <c r="N1136" t="str">
        <f>IF(TB[[#This Row],[售价]]&lt;1000,"低价商品",IF(TB[[#This Row],[售价]]&lt;5000,"中价商品",IF(TB[[#This Row],[售价]]&lt;10000,"高价商品","超高价商品")))</f>
        <v>超高价商品</v>
      </c>
    </row>
    <row r="1137" spans="1:14" x14ac:dyDescent="0.2">
      <c r="A1137">
        <v>420</v>
      </c>
      <c r="B1137">
        <v>227</v>
      </c>
      <c r="C1137" t="s">
        <v>44</v>
      </c>
      <c r="D1137" t="s">
        <v>163</v>
      </c>
      <c r="E1137" t="s">
        <v>12</v>
      </c>
      <c r="F1137">
        <v>2</v>
      </c>
      <c r="G1137" t="s">
        <v>13</v>
      </c>
      <c r="H1137" s="1">
        <v>45951.818749999999</v>
      </c>
      <c r="I1137" s="5">
        <f>INT(TB[[#This Row],[时间戳]])</f>
        <v>45951</v>
      </c>
      <c r="J1137" s="2">
        <f>HOUR(TB[[#This Row],[时间戳]])</f>
        <v>19</v>
      </c>
      <c r="K1137">
        <v>7654</v>
      </c>
      <c r="L1137">
        <v>2</v>
      </c>
      <c r="M1137">
        <f>TB[[#This Row],[售价]]*TB[[#This Row],[销量]]</f>
        <v>15308</v>
      </c>
      <c r="N1137" t="str">
        <f>IF(TB[[#This Row],[售价]]&lt;1000,"低价商品",IF(TB[[#This Row],[售价]]&lt;5000,"中价商品",IF(TB[[#This Row],[售价]]&lt;10000,"高价商品","超高价商品")))</f>
        <v>高价商品</v>
      </c>
    </row>
    <row r="1138" spans="1:14" x14ac:dyDescent="0.2">
      <c r="A1138">
        <v>251</v>
      </c>
      <c r="B1138">
        <v>281</v>
      </c>
      <c r="C1138" t="s">
        <v>46</v>
      </c>
      <c r="D1138" t="s">
        <v>159</v>
      </c>
      <c r="E1138" t="s">
        <v>16</v>
      </c>
      <c r="F1138">
        <v>6</v>
      </c>
      <c r="G1138" t="s">
        <v>42</v>
      </c>
      <c r="H1138" s="1">
        <v>45951.853472222225</v>
      </c>
      <c r="I1138" s="5">
        <f>INT(TB[[#This Row],[时间戳]])</f>
        <v>45951</v>
      </c>
      <c r="J1138" s="2">
        <f>HOUR(TB[[#This Row],[时间戳]])</f>
        <v>20</v>
      </c>
      <c r="K1138">
        <v>3407</v>
      </c>
      <c r="L1138">
        <v>0</v>
      </c>
      <c r="M1138">
        <f>TB[[#This Row],[售价]]*TB[[#This Row],[销量]]</f>
        <v>0</v>
      </c>
      <c r="N1138" t="str">
        <f>IF(TB[[#This Row],[售价]]&lt;1000,"低价商品",IF(TB[[#This Row],[售价]]&lt;5000,"中价商品",IF(TB[[#This Row],[售价]]&lt;10000,"高价商品","超高价商品")))</f>
        <v>中价商品</v>
      </c>
    </row>
    <row r="1139" spans="1:14" x14ac:dyDescent="0.2">
      <c r="A1139">
        <v>51</v>
      </c>
      <c r="B1139">
        <v>95</v>
      </c>
      <c r="C1139" t="s">
        <v>20</v>
      </c>
      <c r="D1139" t="s">
        <v>277</v>
      </c>
      <c r="E1139" t="s">
        <v>12</v>
      </c>
      <c r="F1139">
        <v>2</v>
      </c>
      <c r="G1139" t="s">
        <v>13</v>
      </c>
      <c r="H1139" s="1">
        <v>45951.865972222222</v>
      </c>
      <c r="I1139" s="5">
        <f>INT(TB[[#This Row],[时间戳]])</f>
        <v>45951</v>
      </c>
      <c r="J1139" s="2">
        <f>HOUR(TB[[#This Row],[时间戳]])</f>
        <v>20</v>
      </c>
      <c r="K1139">
        <v>8673</v>
      </c>
      <c r="L1139">
        <v>4</v>
      </c>
      <c r="M1139">
        <f>TB[[#This Row],[售价]]*TB[[#This Row],[销量]]</f>
        <v>34692</v>
      </c>
      <c r="N1139" t="str">
        <f>IF(TB[[#This Row],[售价]]&lt;1000,"低价商品",IF(TB[[#This Row],[售价]]&lt;5000,"中价商品",IF(TB[[#This Row],[售价]]&lt;10000,"高价商品","超高价商品")))</f>
        <v>高价商品</v>
      </c>
    </row>
    <row r="1140" spans="1:14" x14ac:dyDescent="0.2">
      <c r="A1140">
        <v>149</v>
      </c>
      <c r="B1140">
        <v>17</v>
      </c>
      <c r="C1140" t="s">
        <v>34</v>
      </c>
      <c r="D1140" t="s">
        <v>139</v>
      </c>
      <c r="E1140" t="s">
        <v>39</v>
      </c>
      <c r="F1140">
        <v>5</v>
      </c>
      <c r="G1140" t="s">
        <v>13</v>
      </c>
      <c r="H1140" s="1">
        <v>45951.87777777778</v>
      </c>
      <c r="I1140" s="5">
        <f>INT(TB[[#This Row],[时间戳]])</f>
        <v>45951</v>
      </c>
      <c r="J1140" s="2">
        <f>HOUR(TB[[#This Row],[时间戳]])</f>
        <v>21</v>
      </c>
      <c r="K1140">
        <v>1235</v>
      </c>
      <c r="L1140">
        <v>1</v>
      </c>
      <c r="M1140">
        <f>TB[[#This Row],[售价]]*TB[[#This Row],[销量]]</f>
        <v>1235</v>
      </c>
      <c r="N1140" t="str">
        <f>IF(TB[[#This Row],[售价]]&lt;1000,"低价商品",IF(TB[[#This Row],[售价]]&lt;5000,"中价商品",IF(TB[[#This Row],[售价]]&lt;10000,"高价商品","超高价商品")))</f>
        <v>中价商品</v>
      </c>
    </row>
    <row r="1141" spans="1:14" x14ac:dyDescent="0.2">
      <c r="A1141">
        <v>340</v>
      </c>
      <c r="B1141">
        <v>45</v>
      </c>
      <c r="C1141" t="s">
        <v>46</v>
      </c>
      <c r="D1141" t="s">
        <v>260</v>
      </c>
      <c r="E1141" t="s">
        <v>22</v>
      </c>
      <c r="F1141">
        <v>1</v>
      </c>
      <c r="G1141" t="s">
        <v>13</v>
      </c>
      <c r="H1141" s="1">
        <v>45951.894444444442</v>
      </c>
      <c r="I1141" s="5">
        <f>INT(TB[[#This Row],[时间戳]])</f>
        <v>45951</v>
      </c>
      <c r="J1141" s="2">
        <f>HOUR(TB[[#This Row],[时间戳]])</f>
        <v>21</v>
      </c>
      <c r="K1141">
        <v>6559</v>
      </c>
      <c r="L1141">
        <v>2</v>
      </c>
      <c r="M1141">
        <f>TB[[#This Row],[售价]]*TB[[#This Row],[销量]]</f>
        <v>13118</v>
      </c>
      <c r="N1141" t="str">
        <f>IF(TB[[#This Row],[售价]]&lt;1000,"低价商品",IF(TB[[#This Row],[售价]]&lt;5000,"中价商品",IF(TB[[#This Row],[售价]]&lt;10000,"高价商品","超高价商品")))</f>
        <v>高价商品</v>
      </c>
    </row>
    <row r="1142" spans="1:14" x14ac:dyDescent="0.2">
      <c r="A1142">
        <v>166</v>
      </c>
      <c r="B1142">
        <v>146</v>
      </c>
      <c r="C1142" t="s">
        <v>17</v>
      </c>
      <c r="D1142" t="s">
        <v>61</v>
      </c>
      <c r="E1142" t="s">
        <v>31</v>
      </c>
      <c r="F1142">
        <v>4</v>
      </c>
      <c r="G1142" t="s">
        <v>13</v>
      </c>
      <c r="H1142" s="1">
        <v>45951.926388888889</v>
      </c>
      <c r="I1142" s="5">
        <f>INT(TB[[#This Row],[时间戳]])</f>
        <v>45951</v>
      </c>
      <c r="J1142" s="2">
        <f>HOUR(TB[[#This Row],[时间戳]])</f>
        <v>22</v>
      </c>
      <c r="K1142">
        <v>50</v>
      </c>
      <c r="L1142">
        <v>2</v>
      </c>
      <c r="M1142">
        <f>TB[[#This Row],[售价]]*TB[[#This Row],[销量]]</f>
        <v>100</v>
      </c>
      <c r="N1142" t="str">
        <f>IF(TB[[#This Row],[售价]]&lt;1000,"低价商品",IF(TB[[#This Row],[售价]]&lt;5000,"中价商品",IF(TB[[#This Row],[售价]]&lt;10000,"高价商品","超高价商品")))</f>
        <v>低价商品</v>
      </c>
    </row>
    <row r="1143" spans="1:14" x14ac:dyDescent="0.2">
      <c r="A1143">
        <v>576</v>
      </c>
      <c r="B1143">
        <v>91</v>
      </c>
      <c r="C1143" t="s">
        <v>46</v>
      </c>
      <c r="D1143" t="s">
        <v>141</v>
      </c>
      <c r="E1143" t="s">
        <v>22</v>
      </c>
      <c r="F1143">
        <v>1</v>
      </c>
      <c r="G1143" t="s">
        <v>13</v>
      </c>
      <c r="H1143" s="1">
        <v>45951.93472222222</v>
      </c>
      <c r="I1143" s="5">
        <f>INT(TB[[#This Row],[时间戳]])</f>
        <v>45951</v>
      </c>
      <c r="J1143" s="2">
        <f>HOUR(TB[[#This Row],[时间戳]])</f>
        <v>22</v>
      </c>
      <c r="K1143">
        <v>6144</v>
      </c>
      <c r="L1143">
        <v>1</v>
      </c>
      <c r="M1143">
        <f>TB[[#This Row],[售价]]*TB[[#This Row],[销量]]</f>
        <v>6144</v>
      </c>
      <c r="N1143" t="str">
        <f>IF(TB[[#This Row],[售价]]&lt;1000,"低价商品",IF(TB[[#This Row],[售价]]&lt;5000,"中价商品",IF(TB[[#This Row],[售价]]&lt;10000,"高价商品","超高价商品")))</f>
        <v>高价商品</v>
      </c>
    </row>
    <row r="1144" spans="1:14" x14ac:dyDescent="0.2">
      <c r="A1144">
        <v>37</v>
      </c>
      <c r="B1144">
        <v>48</v>
      </c>
      <c r="C1144" t="s">
        <v>46</v>
      </c>
      <c r="D1144" t="s">
        <v>142</v>
      </c>
      <c r="E1144" t="s">
        <v>31</v>
      </c>
      <c r="F1144">
        <v>4</v>
      </c>
      <c r="G1144" t="s">
        <v>13</v>
      </c>
      <c r="H1144" s="1">
        <v>45951.955555555556</v>
      </c>
      <c r="I1144" s="5">
        <f>INT(TB[[#This Row],[时间戳]])</f>
        <v>45951</v>
      </c>
      <c r="J1144" s="2">
        <f>HOUR(TB[[#This Row],[时间戳]])</f>
        <v>22</v>
      </c>
      <c r="K1144">
        <v>1165</v>
      </c>
      <c r="L1144">
        <v>2</v>
      </c>
      <c r="M1144">
        <f>TB[[#This Row],[售价]]*TB[[#This Row],[销量]]</f>
        <v>2330</v>
      </c>
      <c r="N1144" t="str">
        <f>IF(TB[[#This Row],[售价]]&lt;1000,"低价商品",IF(TB[[#This Row],[售价]]&lt;5000,"中价商品",IF(TB[[#This Row],[售价]]&lt;10000,"高价商品","超高价商品")))</f>
        <v>中价商品</v>
      </c>
    </row>
    <row r="1145" spans="1:14" x14ac:dyDescent="0.2">
      <c r="A1145">
        <v>70</v>
      </c>
      <c r="B1145">
        <v>219</v>
      </c>
      <c r="C1145" t="s">
        <v>34</v>
      </c>
      <c r="D1145" t="s">
        <v>62</v>
      </c>
      <c r="E1145" t="s">
        <v>31</v>
      </c>
      <c r="F1145">
        <v>4</v>
      </c>
      <c r="G1145" t="s">
        <v>13</v>
      </c>
      <c r="H1145" s="1">
        <v>45951.970833333333</v>
      </c>
      <c r="I1145" s="5">
        <f>INT(TB[[#This Row],[时间戳]])</f>
        <v>45951</v>
      </c>
      <c r="J1145" s="2">
        <f>HOUR(TB[[#This Row],[时间戳]])</f>
        <v>23</v>
      </c>
      <c r="K1145">
        <v>627</v>
      </c>
      <c r="L1145">
        <v>1</v>
      </c>
      <c r="M1145">
        <f>TB[[#This Row],[售价]]*TB[[#This Row],[销量]]</f>
        <v>627</v>
      </c>
      <c r="N1145" t="str">
        <f>IF(TB[[#This Row],[售价]]&lt;1000,"低价商品",IF(TB[[#This Row],[售价]]&lt;5000,"中价商品",IF(TB[[#This Row],[售价]]&lt;10000,"高价商品","超高价商品")))</f>
        <v>低价商品</v>
      </c>
    </row>
    <row r="1146" spans="1:14" x14ac:dyDescent="0.2">
      <c r="A1146">
        <v>125</v>
      </c>
      <c r="B1146">
        <v>141</v>
      </c>
      <c r="C1146" t="s">
        <v>44</v>
      </c>
      <c r="D1146" t="s">
        <v>143</v>
      </c>
      <c r="E1146" t="s">
        <v>19</v>
      </c>
      <c r="F1146">
        <v>3</v>
      </c>
      <c r="G1146" t="s">
        <v>13</v>
      </c>
      <c r="H1146" s="1">
        <v>45951.976388888892</v>
      </c>
      <c r="I1146" s="5">
        <f>INT(TB[[#This Row],[时间戳]])</f>
        <v>45951</v>
      </c>
      <c r="J1146" s="2">
        <f>HOUR(TB[[#This Row],[时间戳]])</f>
        <v>23</v>
      </c>
      <c r="K1146">
        <v>1980</v>
      </c>
      <c r="L1146">
        <v>2</v>
      </c>
      <c r="M1146">
        <f>TB[[#This Row],[售价]]*TB[[#This Row],[销量]]</f>
        <v>3960</v>
      </c>
      <c r="N1146" t="str">
        <f>IF(TB[[#This Row],[售价]]&lt;1000,"低价商品",IF(TB[[#This Row],[售价]]&lt;5000,"中价商品",IF(TB[[#This Row],[售价]]&lt;10000,"高价商品","超高价商品")))</f>
        <v>中价商品</v>
      </c>
    </row>
    <row r="1147" spans="1:14" x14ac:dyDescent="0.2">
      <c r="A1147">
        <v>215</v>
      </c>
      <c r="B1147">
        <v>108</v>
      </c>
      <c r="C1147" t="s">
        <v>17</v>
      </c>
      <c r="D1147" t="s">
        <v>255</v>
      </c>
      <c r="E1147" t="s">
        <v>31</v>
      </c>
      <c r="F1147">
        <v>4</v>
      </c>
      <c r="G1147" t="s">
        <v>13</v>
      </c>
      <c r="H1147" s="1">
        <v>45952.015277777777</v>
      </c>
      <c r="I1147" s="5">
        <f>INT(TB[[#This Row],[时间戳]])</f>
        <v>45952</v>
      </c>
      <c r="J1147" s="2">
        <f>HOUR(TB[[#This Row],[时间戳]])</f>
        <v>0</v>
      </c>
      <c r="K1147">
        <v>793</v>
      </c>
      <c r="L1147">
        <v>3</v>
      </c>
      <c r="M1147">
        <f>TB[[#This Row],[售价]]*TB[[#This Row],[销量]]</f>
        <v>2379</v>
      </c>
      <c r="N1147" t="str">
        <f>IF(TB[[#This Row],[售价]]&lt;1000,"低价商品",IF(TB[[#This Row],[售价]]&lt;5000,"中价商品",IF(TB[[#This Row],[售价]]&lt;10000,"高价商品","超高价商品")))</f>
        <v>低价商品</v>
      </c>
    </row>
    <row r="1148" spans="1:14" x14ac:dyDescent="0.2">
      <c r="A1148">
        <v>90</v>
      </c>
      <c r="B1148">
        <v>248</v>
      </c>
      <c r="C1148" t="s">
        <v>46</v>
      </c>
      <c r="D1148" t="s">
        <v>77</v>
      </c>
      <c r="E1148" t="s">
        <v>19</v>
      </c>
      <c r="F1148">
        <v>3</v>
      </c>
      <c r="G1148" t="s">
        <v>42</v>
      </c>
      <c r="H1148" s="1">
        <v>45952.044444444444</v>
      </c>
      <c r="I1148" s="5">
        <f>INT(TB[[#This Row],[时间戳]])</f>
        <v>45952</v>
      </c>
      <c r="J1148" s="2">
        <f>HOUR(TB[[#This Row],[时间戳]])</f>
        <v>1</v>
      </c>
      <c r="K1148">
        <v>1831</v>
      </c>
      <c r="L1148">
        <v>0</v>
      </c>
      <c r="M1148">
        <f>TB[[#This Row],[售价]]*TB[[#This Row],[销量]]</f>
        <v>0</v>
      </c>
      <c r="N1148" t="str">
        <f>IF(TB[[#This Row],[售价]]&lt;1000,"低价商品",IF(TB[[#This Row],[售价]]&lt;5000,"中价商品",IF(TB[[#This Row],[售价]]&lt;10000,"高价商品","超高价商品")))</f>
        <v>中价商品</v>
      </c>
    </row>
    <row r="1149" spans="1:14" x14ac:dyDescent="0.2">
      <c r="A1149">
        <v>438</v>
      </c>
      <c r="B1149">
        <v>163</v>
      </c>
      <c r="C1149" t="s">
        <v>46</v>
      </c>
      <c r="D1149" t="s">
        <v>220</v>
      </c>
      <c r="E1149" t="s">
        <v>39</v>
      </c>
      <c r="F1149">
        <v>5</v>
      </c>
      <c r="G1149" t="s">
        <v>13</v>
      </c>
      <c r="H1149" s="1">
        <v>45952.064583333333</v>
      </c>
      <c r="I1149" s="5">
        <f>INT(TB[[#This Row],[时间戳]])</f>
        <v>45952</v>
      </c>
      <c r="J1149" s="2">
        <f>HOUR(TB[[#This Row],[时间戳]])</f>
        <v>1</v>
      </c>
      <c r="K1149">
        <v>3917</v>
      </c>
      <c r="L1149">
        <v>4</v>
      </c>
      <c r="M1149">
        <f>TB[[#This Row],[售价]]*TB[[#This Row],[销量]]</f>
        <v>15668</v>
      </c>
      <c r="N1149" t="str">
        <f>IF(TB[[#This Row],[售价]]&lt;1000,"低价商品",IF(TB[[#This Row],[售价]]&lt;5000,"中价商品",IF(TB[[#This Row],[售价]]&lt;10000,"高价商品","超高价商品")))</f>
        <v>中价商品</v>
      </c>
    </row>
    <row r="1150" spans="1:14" x14ac:dyDescent="0.2">
      <c r="A1150">
        <v>363</v>
      </c>
      <c r="B1150">
        <v>67</v>
      </c>
      <c r="C1150" t="s">
        <v>46</v>
      </c>
      <c r="D1150" t="s">
        <v>141</v>
      </c>
      <c r="E1150" t="s">
        <v>22</v>
      </c>
      <c r="F1150">
        <v>1</v>
      </c>
      <c r="G1150" t="s">
        <v>13</v>
      </c>
      <c r="H1150" s="1">
        <v>45952.099305555559</v>
      </c>
      <c r="I1150" s="5">
        <f>INT(TB[[#This Row],[时间戳]])</f>
        <v>45952</v>
      </c>
      <c r="J1150" s="2">
        <f>HOUR(TB[[#This Row],[时间戳]])</f>
        <v>2</v>
      </c>
      <c r="K1150">
        <v>3196</v>
      </c>
      <c r="L1150">
        <v>1</v>
      </c>
      <c r="M1150">
        <f>TB[[#This Row],[售价]]*TB[[#This Row],[销量]]</f>
        <v>3196</v>
      </c>
      <c r="N1150" t="str">
        <f>IF(TB[[#This Row],[售价]]&lt;1000,"低价商品",IF(TB[[#This Row],[售价]]&lt;5000,"中价商品",IF(TB[[#This Row],[售价]]&lt;10000,"高价商品","超高价商品")))</f>
        <v>中价商品</v>
      </c>
    </row>
    <row r="1151" spans="1:14" x14ac:dyDescent="0.2">
      <c r="A1151">
        <v>747</v>
      </c>
      <c r="B1151">
        <v>255</v>
      </c>
      <c r="C1151" t="s">
        <v>44</v>
      </c>
      <c r="D1151" t="s">
        <v>60</v>
      </c>
      <c r="E1151" t="s">
        <v>12</v>
      </c>
      <c r="F1151">
        <v>2</v>
      </c>
      <c r="G1151" t="s">
        <v>13</v>
      </c>
      <c r="H1151" s="1">
        <v>45952.136805555558</v>
      </c>
      <c r="I1151" s="5">
        <f>INT(TB[[#This Row],[时间戳]])</f>
        <v>45952</v>
      </c>
      <c r="J1151" s="2">
        <f>HOUR(TB[[#This Row],[时间戳]])</f>
        <v>3</v>
      </c>
      <c r="K1151">
        <v>14152</v>
      </c>
      <c r="L1151">
        <v>2</v>
      </c>
      <c r="M1151">
        <f>TB[[#This Row],[售价]]*TB[[#This Row],[销量]]</f>
        <v>28304</v>
      </c>
      <c r="N1151" t="str">
        <f>IF(TB[[#This Row],[售价]]&lt;1000,"低价商品",IF(TB[[#This Row],[售价]]&lt;5000,"中价商品",IF(TB[[#This Row],[售价]]&lt;10000,"高价商品","超高价商品")))</f>
        <v>超高价商品</v>
      </c>
    </row>
    <row r="1152" spans="1:14" x14ac:dyDescent="0.2">
      <c r="A1152">
        <v>726</v>
      </c>
      <c r="B1152">
        <v>149</v>
      </c>
      <c r="C1152" t="s">
        <v>46</v>
      </c>
      <c r="D1152" t="s">
        <v>135</v>
      </c>
      <c r="E1152" t="s">
        <v>22</v>
      </c>
      <c r="F1152">
        <v>1</v>
      </c>
      <c r="G1152" t="s">
        <v>13</v>
      </c>
      <c r="H1152" s="1">
        <v>45952.15902777778</v>
      </c>
      <c r="I1152" s="5">
        <f>INT(TB[[#This Row],[时间戳]])</f>
        <v>45952</v>
      </c>
      <c r="J1152" s="2">
        <f>HOUR(TB[[#This Row],[时间戳]])</f>
        <v>3</v>
      </c>
      <c r="K1152">
        <v>4926</v>
      </c>
      <c r="L1152">
        <v>1</v>
      </c>
      <c r="M1152">
        <f>TB[[#This Row],[售价]]*TB[[#This Row],[销量]]</f>
        <v>4926</v>
      </c>
      <c r="N1152" t="str">
        <f>IF(TB[[#This Row],[售价]]&lt;1000,"低价商品",IF(TB[[#This Row],[售价]]&lt;5000,"中价商品",IF(TB[[#This Row],[售价]]&lt;10000,"高价商品","超高价商品")))</f>
        <v>中价商品</v>
      </c>
    </row>
    <row r="1153" spans="1:14" x14ac:dyDescent="0.2">
      <c r="A1153">
        <v>477</v>
      </c>
      <c r="B1153">
        <v>61</v>
      </c>
      <c r="C1153" t="s">
        <v>14</v>
      </c>
      <c r="D1153" t="s">
        <v>89</v>
      </c>
      <c r="E1153" t="s">
        <v>22</v>
      </c>
      <c r="F1153">
        <v>1</v>
      </c>
      <c r="G1153" t="s">
        <v>13</v>
      </c>
      <c r="H1153" s="1">
        <v>45952.192361111112</v>
      </c>
      <c r="I1153" s="5">
        <f>INT(TB[[#This Row],[时间戳]])</f>
        <v>45952</v>
      </c>
      <c r="J1153" s="2">
        <f>HOUR(TB[[#This Row],[时间戳]])</f>
        <v>4</v>
      </c>
      <c r="K1153">
        <v>2385</v>
      </c>
      <c r="L1153">
        <v>2</v>
      </c>
      <c r="M1153">
        <f>TB[[#This Row],[售价]]*TB[[#This Row],[销量]]</f>
        <v>4770</v>
      </c>
      <c r="N1153" t="str">
        <f>IF(TB[[#This Row],[售价]]&lt;1000,"低价商品",IF(TB[[#This Row],[售价]]&lt;5000,"中价商品",IF(TB[[#This Row],[售价]]&lt;10000,"高价商品","超高价商品")))</f>
        <v>中价商品</v>
      </c>
    </row>
    <row r="1154" spans="1:14" x14ac:dyDescent="0.2">
      <c r="A1154">
        <v>424</v>
      </c>
      <c r="B1154">
        <v>24</v>
      </c>
      <c r="C1154" t="s">
        <v>46</v>
      </c>
      <c r="D1154" t="s">
        <v>47</v>
      </c>
      <c r="E1154" t="s">
        <v>22</v>
      </c>
      <c r="F1154">
        <v>1</v>
      </c>
      <c r="G1154" t="s">
        <v>42</v>
      </c>
      <c r="H1154" s="1">
        <v>45952.214583333334</v>
      </c>
      <c r="I1154" s="5">
        <f>INT(TB[[#This Row],[时间戳]])</f>
        <v>45952</v>
      </c>
      <c r="J1154" s="2">
        <f>HOUR(TB[[#This Row],[时间戳]])</f>
        <v>5</v>
      </c>
      <c r="K1154">
        <v>6947</v>
      </c>
      <c r="L1154">
        <v>0</v>
      </c>
      <c r="M1154">
        <f>TB[[#This Row],[售价]]*TB[[#This Row],[销量]]</f>
        <v>0</v>
      </c>
      <c r="N1154" t="str">
        <f>IF(TB[[#This Row],[售价]]&lt;1000,"低价商品",IF(TB[[#This Row],[售价]]&lt;5000,"中价商品",IF(TB[[#This Row],[售价]]&lt;10000,"高价商品","超高价商品")))</f>
        <v>高价商品</v>
      </c>
    </row>
    <row r="1155" spans="1:14" x14ac:dyDescent="0.2">
      <c r="A1155">
        <v>12</v>
      </c>
      <c r="B1155">
        <v>104</v>
      </c>
      <c r="C1155" t="s">
        <v>20</v>
      </c>
      <c r="D1155" t="s">
        <v>267</v>
      </c>
      <c r="E1155" t="s">
        <v>39</v>
      </c>
      <c r="F1155">
        <v>5</v>
      </c>
      <c r="G1155" t="s">
        <v>13</v>
      </c>
      <c r="H1155" s="1">
        <v>45952.23541666667</v>
      </c>
      <c r="I1155" s="5">
        <f>INT(TB[[#This Row],[时间戳]])</f>
        <v>45952</v>
      </c>
      <c r="J1155" s="2">
        <f>HOUR(TB[[#This Row],[时间戳]])</f>
        <v>5</v>
      </c>
      <c r="K1155">
        <v>2146</v>
      </c>
      <c r="L1155">
        <v>2</v>
      </c>
      <c r="M1155">
        <f>TB[[#This Row],[售价]]*TB[[#This Row],[销量]]</f>
        <v>4292</v>
      </c>
      <c r="N1155" t="str">
        <f>IF(TB[[#This Row],[售价]]&lt;1000,"低价商品",IF(TB[[#This Row],[售价]]&lt;5000,"中价商品",IF(TB[[#This Row],[售价]]&lt;10000,"高价商品","超高价商品")))</f>
        <v>中价商品</v>
      </c>
    </row>
    <row r="1156" spans="1:14" x14ac:dyDescent="0.2">
      <c r="A1156">
        <v>316</v>
      </c>
      <c r="B1156">
        <v>154</v>
      </c>
      <c r="C1156" t="s">
        <v>36</v>
      </c>
      <c r="D1156" t="s">
        <v>37</v>
      </c>
      <c r="E1156" t="s">
        <v>31</v>
      </c>
      <c r="F1156">
        <v>4</v>
      </c>
      <c r="G1156" t="s">
        <v>13</v>
      </c>
      <c r="H1156" s="1">
        <v>45952.253472222219</v>
      </c>
      <c r="I1156" s="5">
        <f>INT(TB[[#This Row],[时间戳]])</f>
        <v>45952</v>
      </c>
      <c r="J1156" s="2">
        <f>HOUR(TB[[#This Row],[时间戳]])</f>
        <v>6</v>
      </c>
      <c r="K1156">
        <v>1407</v>
      </c>
      <c r="L1156">
        <v>1</v>
      </c>
      <c r="M1156">
        <f>TB[[#This Row],[售价]]*TB[[#This Row],[销量]]</f>
        <v>1407</v>
      </c>
      <c r="N1156" t="str">
        <f>IF(TB[[#This Row],[售价]]&lt;1000,"低价商品",IF(TB[[#This Row],[售价]]&lt;5000,"中价商品",IF(TB[[#This Row],[售价]]&lt;10000,"高价商品","超高价商品")))</f>
        <v>中价商品</v>
      </c>
    </row>
    <row r="1157" spans="1:14" x14ac:dyDescent="0.2">
      <c r="A1157">
        <v>117</v>
      </c>
      <c r="B1157">
        <v>171</v>
      </c>
      <c r="C1157" t="s">
        <v>34</v>
      </c>
      <c r="D1157" t="s">
        <v>196</v>
      </c>
      <c r="E1157" t="s">
        <v>16</v>
      </c>
      <c r="F1157">
        <v>6</v>
      </c>
      <c r="G1157" t="s">
        <v>13</v>
      </c>
      <c r="H1157" s="1">
        <v>45952.279166666667</v>
      </c>
      <c r="I1157" s="5">
        <f>INT(TB[[#This Row],[时间戳]])</f>
        <v>45952</v>
      </c>
      <c r="J1157" s="2">
        <f>HOUR(TB[[#This Row],[时间戳]])</f>
        <v>6</v>
      </c>
      <c r="K1157">
        <v>10382</v>
      </c>
      <c r="L1157">
        <v>3</v>
      </c>
      <c r="M1157">
        <f>TB[[#This Row],[售价]]*TB[[#This Row],[销量]]</f>
        <v>31146</v>
      </c>
      <c r="N1157" t="str">
        <f>IF(TB[[#This Row],[售价]]&lt;1000,"低价商品",IF(TB[[#This Row],[售价]]&lt;5000,"中价商品",IF(TB[[#This Row],[售价]]&lt;10000,"高价商品","超高价商品")))</f>
        <v>超高价商品</v>
      </c>
    </row>
    <row r="1158" spans="1:14" x14ac:dyDescent="0.2">
      <c r="A1158">
        <v>30</v>
      </c>
      <c r="B1158">
        <v>90</v>
      </c>
      <c r="C1158" t="s">
        <v>46</v>
      </c>
      <c r="D1158" t="s">
        <v>81</v>
      </c>
      <c r="E1158" t="s">
        <v>12</v>
      </c>
      <c r="F1158">
        <v>2</v>
      </c>
      <c r="G1158" t="s">
        <v>13</v>
      </c>
      <c r="H1158" s="1">
        <v>45952.281944444447</v>
      </c>
      <c r="I1158" s="5">
        <f>INT(TB[[#This Row],[时间戳]])</f>
        <v>45952</v>
      </c>
      <c r="J1158" s="2">
        <f>HOUR(TB[[#This Row],[时间戳]])</f>
        <v>6</v>
      </c>
      <c r="K1158">
        <v>9594</v>
      </c>
      <c r="L1158">
        <v>1</v>
      </c>
      <c r="M1158">
        <f>TB[[#This Row],[售价]]*TB[[#This Row],[销量]]</f>
        <v>9594</v>
      </c>
      <c r="N1158" t="str">
        <f>IF(TB[[#This Row],[售价]]&lt;1000,"低价商品",IF(TB[[#This Row],[售价]]&lt;5000,"中价商品",IF(TB[[#This Row],[售价]]&lt;10000,"高价商品","超高价商品")))</f>
        <v>高价商品</v>
      </c>
    </row>
    <row r="1159" spans="1:14" x14ac:dyDescent="0.2">
      <c r="A1159">
        <v>486</v>
      </c>
      <c r="B1159">
        <v>19</v>
      </c>
      <c r="C1159" t="s">
        <v>34</v>
      </c>
      <c r="D1159" t="s">
        <v>165</v>
      </c>
      <c r="E1159" t="s">
        <v>39</v>
      </c>
      <c r="F1159">
        <v>5</v>
      </c>
      <c r="G1159" t="s">
        <v>13</v>
      </c>
      <c r="H1159" s="1">
        <v>45952.321527777778</v>
      </c>
      <c r="I1159" s="5">
        <f>INT(TB[[#This Row],[时间戳]])</f>
        <v>45952</v>
      </c>
      <c r="J1159" s="2">
        <f>HOUR(TB[[#This Row],[时间戳]])</f>
        <v>7</v>
      </c>
      <c r="K1159">
        <v>1563</v>
      </c>
      <c r="L1159">
        <v>5</v>
      </c>
      <c r="M1159">
        <f>TB[[#This Row],[售价]]*TB[[#This Row],[销量]]</f>
        <v>7815</v>
      </c>
      <c r="N1159" t="str">
        <f>IF(TB[[#This Row],[售价]]&lt;1000,"低价商品",IF(TB[[#This Row],[售价]]&lt;5000,"中价商品",IF(TB[[#This Row],[售价]]&lt;10000,"高价商品","超高价商品")))</f>
        <v>中价商品</v>
      </c>
    </row>
    <row r="1160" spans="1:14" x14ac:dyDescent="0.2">
      <c r="A1160">
        <v>550</v>
      </c>
      <c r="B1160">
        <v>172</v>
      </c>
      <c r="C1160" t="s">
        <v>26</v>
      </c>
      <c r="D1160" t="s">
        <v>299</v>
      </c>
      <c r="E1160" t="s">
        <v>19</v>
      </c>
      <c r="F1160">
        <v>3</v>
      </c>
      <c r="G1160" t="s">
        <v>13</v>
      </c>
      <c r="H1160" s="1">
        <v>45952.359027777777</v>
      </c>
      <c r="I1160" s="5">
        <f>INT(TB[[#This Row],[时间戳]])</f>
        <v>45952</v>
      </c>
      <c r="J1160" s="2">
        <f>HOUR(TB[[#This Row],[时间戳]])</f>
        <v>8</v>
      </c>
      <c r="K1160">
        <v>2658</v>
      </c>
      <c r="L1160">
        <v>2</v>
      </c>
      <c r="M1160">
        <f>TB[[#This Row],[售价]]*TB[[#This Row],[销量]]</f>
        <v>5316</v>
      </c>
      <c r="N1160" t="str">
        <f>IF(TB[[#This Row],[售价]]&lt;1000,"低价商品",IF(TB[[#This Row],[售价]]&lt;5000,"中价商品",IF(TB[[#This Row],[售价]]&lt;10000,"高价商品","超高价商品")))</f>
        <v>中价商品</v>
      </c>
    </row>
    <row r="1161" spans="1:14" x14ac:dyDescent="0.2">
      <c r="A1161">
        <v>307</v>
      </c>
      <c r="B1161">
        <v>290</v>
      </c>
      <c r="C1161" t="s">
        <v>10</v>
      </c>
      <c r="D1161" t="s">
        <v>363</v>
      </c>
      <c r="E1161" t="s">
        <v>25</v>
      </c>
      <c r="F1161">
        <v>7</v>
      </c>
      <c r="G1161" t="s">
        <v>13</v>
      </c>
      <c r="H1161" s="1">
        <v>45952.359722222223</v>
      </c>
      <c r="I1161" s="5">
        <f>INT(TB[[#This Row],[时间戳]])</f>
        <v>45952</v>
      </c>
      <c r="J1161" s="2">
        <f>HOUR(TB[[#This Row],[时间戳]])</f>
        <v>8</v>
      </c>
      <c r="K1161">
        <v>5299</v>
      </c>
      <c r="L1161">
        <v>3</v>
      </c>
      <c r="M1161">
        <f>TB[[#This Row],[售价]]*TB[[#This Row],[销量]]</f>
        <v>15897</v>
      </c>
      <c r="N1161" t="str">
        <f>IF(TB[[#This Row],[售价]]&lt;1000,"低价商品",IF(TB[[#This Row],[售价]]&lt;5000,"中价商品",IF(TB[[#This Row],[售价]]&lt;10000,"高价商品","超高价商品")))</f>
        <v>高价商品</v>
      </c>
    </row>
    <row r="1162" spans="1:14" x14ac:dyDescent="0.2">
      <c r="A1162">
        <v>549</v>
      </c>
      <c r="B1162">
        <v>10</v>
      </c>
      <c r="C1162" t="s">
        <v>34</v>
      </c>
      <c r="D1162" t="s">
        <v>164</v>
      </c>
      <c r="E1162" t="s">
        <v>22</v>
      </c>
      <c r="F1162">
        <v>1</v>
      </c>
      <c r="G1162" t="s">
        <v>13</v>
      </c>
      <c r="H1162" s="1">
        <v>45952.39166666667</v>
      </c>
      <c r="I1162" s="5">
        <f>INT(TB[[#This Row],[时间戳]])</f>
        <v>45952</v>
      </c>
      <c r="J1162" s="2">
        <f>HOUR(TB[[#This Row],[时间戳]])</f>
        <v>9</v>
      </c>
      <c r="K1162">
        <v>7085</v>
      </c>
      <c r="L1162">
        <v>1</v>
      </c>
      <c r="M1162">
        <f>TB[[#This Row],[售价]]*TB[[#This Row],[销量]]</f>
        <v>7085</v>
      </c>
      <c r="N1162" t="str">
        <f>IF(TB[[#This Row],[售价]]&lt;1000,"低价商品",IF(TB[[#This Row],[售价]]&lt;5000,"中价商品",IF(TB[[#This Row],[售价]]&lt;10000,"高价商品","超高价商品")))</f>
        <v>高价商品</v>
      </c>
    </row>
    <row r="1163" spans="1:14" x14ac:dyDescent="0.2">
      <c r="A1163">
        <v>68</v>
      </c>
      <c r="B1163">
        <v>77</v>
      </c>
      <c r="C1163" t="s">
        <v>34</v>
      </c>
      <c r="D1163" t="s">
        <v>291</v>
      </c>
      <c r="E1163" t="s">
        <v>31</v>
      </c>
      <c r="F1163">
        <v>4</v>
      </c>
      <c r="G1163" t="s">
        <v>13</v>
      </c>
      <c r="H1163" s="1">
        <v>45952.394444444442</v>
      </c>
      <c r="I1163" s="5">
        <f>INT(TB[[#This Row],[时间戳]])</f>
        <v>45952</v>
      </c>
      <c r="J1163" s="2">
        <f>HOUR(TB[[#This Row],[时间戳]])</f>
        <v>9</v>
      </c>
      <c r="K1163">
        <v>571</v>
      </c>
      <c r="L1163">
        <v>3</v>
      </c>
      <c r="M1163">
        <f>TB[[#This Row],[售价]]*TB[[#This Row],[销量]]</f>
        <v>1713</v>
      </c>
      <c r="N1163" t="str">
        <f>IF(TB[[#This Row],[售价]]&lt;1000,"低价商品",IF(TB[[#This Row],[售价]]&lt;5000,"中价商品",IF(TB[[#This Row],[售价]]&lt;10000,"高价商品","超高价商品")))</f>
        <v>低价商品</v>
      </c>
    </row>
    <row r="1164" spans="1:14" x14ac:dyDescent="0.2">
      <c r="A1164">
        <v>642</v>
      </c>
      <c r="B1164">
        <v>274</v>
      </c>
      <c r="C1164" t="s">
        <v>34</v>
      </c>
      <c r="D1164" t="s">
        <v>346</v>
      </c>
      <c r="E1164" t="s">
        <v>22</v>
      </c>
      <c r="F1164">
        <v>1</v>
      </c>
      <c r="G1164" t="s">
        <v>13</v>
      </c>
      <c r="H1164" s="1">
        <v>45952.402083333334</v>
      </c>
      <c r="I1164" s="5">
        <f>INT(TB[[#This Row],[时间戳]])</f>
        <v>45952</v>
      </c>
      <c r="J1164" s="2">
        <f>HOUR(TB[[#This Row],[时间戳]])</f>
        <v>9</v>
      </c>
      <c r="K1164">
        <v>3112</v>
      </c>
      <c r="L1164">
        <v>2</v>
      </c>
      <c r="M1164">
        <f>TB[[#This Row],[售价]]*TB[[#This Row],[销量]]</f>
        <v>6224</v>
      </c>
      <c r="N1164" t="str">
        <f>IF(TB[[#This Row],[售价]]&lt;1000,"低价商品",IF(TB[[#This Row],[售价]]&lt;5000,"中价商品",IF(TB[[#This Row],[售价]]&lt;10000,"高价商品","超高价商品")))</f>
        <v>中价商品</v>
      </c>
    </row>
    <row r="1165" spans="1:14" x14ac:dyDescent="0.2">
      <c r="A1165">
        <v>399</v>
      </c>
      <c r="B1165">
        <v>96</v>
      </c>
      <c r="C1165" t="s">
        <v>46</v>
      </c>
      <c r="D1165" t="s">
        <v>141</v>
      </c>
      <c r="E1165" t="s">
        <v>22</v>
      </c>
      <c r="F1165">
        <v>1</v>
      </c>
      <c r="G1165" t="s">
        <v>13</v>
      </c>
      <c r="H1165" s="1">
        <v>45952.427083333336</v>
      </c>
      <c r="I1165" s="5">
        <f>INT(TB[[#This Row],[时间戳]])</f>
        <v>45952</v>
      </c>
      <c r="J1165" s="2">
        <f>HOUR(TB[[#This Row],[时间戳]])</f>
        <v>10</v>
      </c>
      <c r="K1165">
        <v>7784</v>
      </c>
      <c r="L1165">
        <v>1</v>
      </c>
      <c r="M1165">
        <f>TB[[#This Row],[售价]]*TB[[#This Row],[销量]]</f>
        <v>7784</v>
      </c>
      <c r="N1165" t="str">
        <f>IF(TB[[#This Row],[售价]]&lt;1000,"低价商品",IF(TB[[#This Row],[售价]]&lt;5000,"中价商品",IF(TB[[#This Row],[售价]]&lt;10000,"高价商品","超高价商品")))</f>
        <v>高价商品</v>
      </c>
    </row>
    <row r="1166" spans="1:14" x14ac:dyDescent="0.2">
      <c r="A1166">
        <v>727</v>
      </c>
      <c r="B1166">
        <v>17</v>
      </c>
      <c r="C1166" t="s">
        <v>36</v>
      </c>
      <c r="D1166" t="s">
        <v>210</v>
      </c>
      <c r="E1166" t="s">
        <v>31</v>
      </c>
      <c r="F1166">
        <v>4</v>
      </c>
      <c r="G1166" t="s">
        <v>13</v>
      </c>
      <c r="H1166" s="1">
        <v>45952.429861111108</v>
      </c>
      <c r="I1166" s="5">
        <f>INT(TB[[#This Row],[时间戳]])</f>
        <v>45952</v>
      </c>
      <c r="J1166" s="2">
        <f>HOUR(TB[[#This Row],[时间戳]])</f>
        <v>10</v>
      </c>
      <c r="K1166">
        <v>1127</v>
      </c>
      <c r="L1166">
        <v>2</v>
      </c>
      <c r="M1166">
        <f>TB[[#This Row],[售价]]*TB[[#This Row],[销量]]</f>
        <v>2254</v>
      </c>
      <c r="N1166" t="str">
        <f>IF(TB[[#This Row],[售价]]&lt;1000,"低价商品",IF(TB[[#This Row],[售价]]&lt;5000,"中价商品",IF(TB[[#This Row],[售价]]&lt;10000,"高价商品","超高价商品")))</f>
        <v>中价商品</v>
      </c>
    </row>
    <row r="1167" spans="1:14" x14ac:dyDescent="0.2">
      <c r="A1167">
        <v>244</v>
      </c>
      <c r="B1167">
        <v>191</v>
      </c>
      <c r="C1167" t="s">
        <v>14</v>
      </c>
      <c r="D1167" t="s">
        <v>207</v>
      </c>
      <c r="E1167" t="s">
        <v>25</v>
      </c>
      <c r="F1167">
        <v>7</v>
      </c>
      <c r="G1167" t="s">
        <v>13</v>
      </c>
      <c r="H1167" s="1">
        <v>45952.461805555555</v>
      </c>
      <c r="I1167" s="5">
        <f>INT(TB[[#This Row],[时间戳]])</f>
        <v>45952</v>
      </c>
      <c r="J1167" s="2">
        <f>HOUR(TB[[#This Row],[时间戳]])</f>
        <v>11</v>
      </c>
      <c r="K1167">
        <v>3735</v>
      </c>
      <c r="L1167">
        <v>3</v>
      </c>
      <c r="M1167">
        <f>TB[[#This Row],[售价]]*TB[[#This Row],[销量]]</f>
        <v>11205</v>
      </c>
      <c r="N1167" t="str">
        <f>IF(TB[[#This Row],[售价]]&lt;1000,"低价商品",IF(TB[[#This Row],[售价]]&lt;5000,"中价商品",IF(TB[[#This Row],[售价]]&lt;10000,"高价商品","超高价商品")))</f>
        <v>中价商品</v>
      </c>
    </row>
    <row r="1168" spans="1:14" x14ac:dyDescent="0.2">
      <c r="A1168">
        <v>310</v>
      </c>
      <c r="B1168">
        <v>90</v>
      </c>
      <c r="C1168" t="s">
        <v>32</v>
      </c>
      <c r="D1168" t="s">
        <v>200</v>
      </c>
      <c r="E1168" t="s">
        <v>25</v>
      </c>
      <c r="F1168">
        <v>7</v>
      </c>
      <c r="G1168" t="s">
        <v>13</v>
      </c>
      <c r="H1168" s="1">
        <v>45952.494444444441</v>
      </c>
      <c r="I1168" s="5">
        <f>INT(TB[[#This Row],[时间戳]])</f>
        <v>45952</v>
      </c>
      <c r="J1168" s="2">
        <f>HOUR(TB[[#This Row],[时间戳]])</f>
        <v>11</v>
      </c>
      <c r="K1168">
        <v>5156</v>
      </c>
      <c r="L1168">
        <v>2</v>
      </c>
      <c r="M1168">
        <f>TB[[#This Row],[售价]]*TB[[#This Row],[销量]]</f>
        <v>10312</v>
      </c>
      <c r="N1168" t="str">
        <f>IF(TB[[#This Row],[售价]]&lt;1000,"低价商品",IF(TB[[#This Row],[售价]]&lt;5000,"中价商品",IF(TB[[#This Row],[售价]]&lt;10000,"高价商品","超高价商品")))</f>
        <v>高价商品</v>
      </c>
    </row>
    <row r="1169" spans="1:14" x14ac:dyDescent="0.2">
      <c r="A1169">
        <v>95</v>
      </c>
      <c r="B1169">
        <v>228</v>
      </c>
      <c r="C1169" t="s">
        <v>10</v>
      </c>
      <c r="D1169" t="s">
        <v>116</v>
      </c>
      <c r="E1169" t="s">
        <v>31</v>
      </c>
      <c r="F1169">
        <v>4</v>
      </c>
      <c r="G1169" t="s">
        <v>13</v>
      </c>
      <c r="H1169" s="1">
        <v>45952.507638888892</v>
      </c>
      <c r="I1169" s="5">
        <f>INT(TB[[#This Row],[时间戳]])</f>
        <v>45952</v>
      </c>
      <c r="J1169" s="2">
        <f>HOUR(TB[[#This Row],[时间戳]])</f>
        <v>12</v>
      </c>
      <c r="K1169">
        <v>270</v>
      </c>
      <c r="L1169">
        <v>1</v>
      </c>
      <c r="M1169">
        <f>TB[[#This Row],[售价]]*TB[[#This Row],[销量]]</f>
        <v>270</v>
      </c>
      <c r="N1169" t="str">
        <f>IF(TB[[#This Row],[售价]]&lt;1000,"低价商品",IF(TB[[#This Row],[售价]]&lt;5000,"中价商品",IF(TB[[#This Row],[售价]]&lt;10000,"高价商品","超高价商品")))</f>
        <v>低价商品</v>
      </c>
    </row>
    <row r="1170" spans="1:14" x14ac:dyDescent="0.2">
      <c r="A1170">
        <v>158</v>
      </c>
      <c r="B1170">
        <v>98</v>
      </c>
      <c r="C1170" t="s">
        <v>44</v>
      </c>
      <c r="D1170" t="s">
        <v>161</v>
      </c>
      <c r="E1170" t="s">
        <v>31</v>
      </c>
      <c r="F1170">
        <v>4</v>
      </c>
      <c r="G1170" t="s">
        <v>13</v>
      </c>
      <c r="H1170" s="1">
        <v>45952.507638888892</v>
      </c>
      <c r="I1170" s="5">
        <f>INT(TB[[#This Row],[时间戳]])</f>
        <v>45952</v>
      </c>
      <c r="J1170" s="2">
        <f>HOUR(TB[[#This Row],[时间戳]])</f>
        <v>12</v>
      </c>
      <c r="K1170">
        <v>898</v>
      </c>
      <c r="L1170">
        <v>1</v>
      </c>
      <c r="M1170">
        <f>TB[[#This Row],[售价]]*TB[[#This Row],[销量]]</f>
        <v>898</v>
      </c>
      <c r="N1170" t="str">
        <f>IF(TB[[#This Row],[售价]]&lt;1000,"低价商品",IF(TB[[#This Row],[售价]]&lt;5000,"中价商品",IF(TB[[#This Row],[售价]]&lt;10000,"高价商品","超高价商品")))</f>
        <v>低价商品</v>
      </c>
    </row>
    <row r="1171" spans="1:14" x14ac:dyDescent="0.2">
      <c r="A1171">
        <v>795</v>
      </c>
      <c r="B1171">
        <v>168</v>
      </c>
      <c r="C1171" t="s">
        <v>20</v>
      </c>
      <c r="D1171" t="s">
        <v>85</v>
      </c>
      <c r="E1171" t="s">
        <v>31</v>
      </c>
      <c r="F1171">
        <v>4</v>
      </c>
      <c r="G1171" t="s">
        <v>13</v>
      </c>
      <c r="H1171" s="1">
        <v>45952.513888888891</v>
      </c>
      <c r="I1171" s="5">
        <f>INT(TB[[#This Row],[时间戳]])</f>
        <v>45952</v>
      </c>
      <c r="J1171" s="2">
        <f>HOUR(TB[[#This Row],[时间戳]])</f>
        <v>12</v>
      </c>
      <c r="K1171">
        <v>793</v>
      </c>
      <c r="L1171">
        <v>1</v>
      </c>
      <c r="M1171">
        <f>TB[[#This Row],[售价]]*TB[[#This Row],[销量]]</f>
        <v>793</v>
      </c>
      <c r="N1171" t="str">
        <f>IF(TB[[#This Row],[售价]]&lt;1000,"低价商品",IF(TB[[#This Row],[售价]]&lt;5000,"中价商品",IF(TB[[#This Row],[售价]]&lt;10000,"高价商品","超高价商品")))</f>
        <v>低价商品</v>
      </c>
    </row>
    <row r="1172" spans="1:14" x14ac:dyDescent="0.2">
      <c r="A1172">
        <v>693</v>
      </c>
      <c r="B1172">
        <v>68</v>
      </c>
      <c r="C1172" t="s">
        <v>14</v>
      </c>
      <c r="D1172" t="s">
        <v>388</v>
      </c>
      <c r="E1172" t="s">
        <v>19</v>
      </c>
      <c r="F1172">
        <v>3</v>
      </c>
      <c r="G1172" t="s">
        <v>13</v>
      </c>
      <c r="H1172" s="1">
        <v>45952.53125</v>
      </c>
      <c r="I1172" s="5">
        <f>INT(TB[[#This Row],[时间戳]])</f>
        <v>45952</v>
      </c>
      <c r="J1172" s="2">
        <f>HOUR(TB[[#This Row],[时间戳]])</f>
        <v>12</v>
      </c>
      <c r="K1172">
        <v>2866</v>
      </c>
      <c r="L1172">
        <v>2</v>
      </c>
      <c r="M1172">
        <f>TB[[#This Row],[售价]]*TB[[#This Row],[销量]]</f>
        <v>5732</v>
      </c>
      <c r="N1172" t="str">
        <f>IF(TB[[#This Row],[售价]]&lt;1000,"低价商品",IF(TB[[#This Row],[售价]]&lt;5000,"中价商品",IF(TB[[#This Row],[售价]]&lt;10000,"高价商品","超高价商品")))</f>
        <v>中价商品</v>
      </c>
    </row>
    <row r="1173" spans="1:14" x14ac:dyDescent="0.2">
      <c r="A1173">
        <v>397</v>
      </c>
      <c r="B1173">
        <v>268</v>
      </c>
      <c r="C1173" t="s">
        <v>10</v>
      </c>
      <c r="D1173" t="s">
        <v>312</v>
      </c>
      <c r="E1173" t="s">
        <v>12</v>
      </c>
      <c r="F1173">
        <v>2</v>
      </c>
      <c r="G1173" t="s">
        <v>13</v>
      </c>
      <c r="H1173" s="1">
        <v>45952.604166666664</v>
      </c>
      <c r="I1173" s="5">
        <f>INT(TB[[#This Row],[时间戳]])</f>
        <v>45952</v>
      </c>
      <c r="J1173" s="2">
        <f>HOUR(TB[[#This Row],[时间戳]])</f>
        <v>14</v>
      </c>
      <c r="K1173">
        <v>7531</v>
      </c>
      <c r="L1173">
        <v>3</v>
      </c>
      <c r="M1173">
        <f>TB[[#This Row],[售价]]*TB[[#This Row],[销量]]</f>
        <v>22593</v>
      </c>
      <c r="N1173" t="str">
        <f>IF(TB[[#This Row],[售价]]&lt;1000,"低价商品",IF(TB[[#This Row],[售价]]&lt;5000,"中价商品",IF(TB[[#This Row],[售价]]&lt;10000,"高价商品","超高价商品")))</f>
        <v>高价商品</v>
      </c>
    </row>
    <row r="1174" spans="1:14" x14ac:dyDescent="0.2">
      <c r="A1174">
        <v>704</v>
      </c>
      <c r="B1174">
        <v>45</v>
      </c>
      <c r="C1174" t="s">
        <v>36</v>
      </c>
      <c r="D1174" t="s">
        <v>173</v>
      </c>
      <c r="E1174" t="s">
        <v>19</v>
      </c>
      <c r="F1174">
        <v>3</v>
      </c>
      <c r="G1174" t="s">
        <v>42</v>
      </c>
      <c r="H1174" s="1">
        <v>45952.622916666667</v>
      </c>
      <c r="I1174" s="5">
        <f>INT(TB[[#This Row],[时间戳]])</f>
        <v>45952</v>
      </c>
      <c r="J1174" s="2">
        <f>HOUR(TB[[#This Row],[时间戳]])</f>
        <v>14</v>
      </c>
      <c r="K1174">
        <v>2250</v>
      </c>
      <c r="L1174">
        <v>0</v>
      </c>
      <c r="M1174">
        <f>TB[[#This Row],[售价]]*TB[[#This Row],[销量]]</f>
        <v>0</v>
      </c>
      <c r="N1174" t="str">
        <f>IF(TB[[#This Row],[售价]]&lt;1000,"低价商品",IF(TB[[#This Row],[售价]]&lt;5000,"中价商品",IF(TB[[#This Row],[售价]]&lt;10000,"高价商品","超高价商品")))</f>
        <v>中价商品</v>
      </c>
    </row>
    <row r="1175" spans="1:14" x14ac:dyDescent="0.2">
      <c r="A1175">
        <v>534</v>
      </c>
      <c r="B1175">
        <v>160</v>
      </c>
      <c r="C1175" t="s">
        <v>10</v>
      </c>
      <c r="D1175" t="s">
        <v>134</v>
      </c>
      <c r="E1175" t="s">
        <v>22</v>
      </c>
      <c r="F1175">
        <v>1</v>
      </c>
      <c r="G1175" t="s">
        <v>42</v>
      </c>
      <c r="H1175" s="1">
        <v>45952.628472222219</v>
      </c>
      <c r="I1175" s="5">
        <f>INT(TB[[#This Row],[时间戳]])</f>
        <v>45952</v>
      </c>
      <c r="J1175" s="2">
        <f>HOUR(TB[[#This Row],[时间戳]])</f>
        <v>15</v>
      </c>
      <c r="K1175">
        <v>3769</v>
      </c>
      <c r="L1175">
        <v>0</v>
      </c>
      <c r="M1175">
        <f>TB[[#This Row],[售价]]*TB[[#This Row],[销量]]</f>
        <v>0</v>
      </c>
      <c r="N1175" t="str">
        <f>IF(TB[[#This Row],[售价]]&lt;1000,"低价商品",IF(TB[[#This Row],[售价]]&lt;5000,"中价商品",IF(TB[[#This Row],[售价]]&lt;10000,"高价商品","超高价商品")))</f>
        <v>中价商品</v>
      </c>
    </row>
    <row r="1176" spans="1:14" x14ac:dyDescent="0.2">
      <c r="A1176">
        <v>215</v>
      </c>
      <c r="B1176">
        <v>165</v>
      </c>
      <c r="C1176" t="s">
        <v>36</v>
      </c>
      <c r="D1176" t="s">
        <v>162</v>
      </c>
      <c r="E1176" t="s">
        <v>25</v>
      </c>
      <c r="F1176">
        <v>7</v>
      </c>
      <c r="G1176" t="s">
        <v>13</v>
      </c>
      <c r="H1176" s="1">
        <v>45952.646527777775</v>
      </c>
      <c r="I1176" s="5">
        <f>INT(TB[[#This Row],[时间戳]])</f>
        <v>45952</v>
      </c>
      <c r="J1176" s="2">
        <f>HOUR(TB[[#This Row],[时间戳]])</f>
        <v>15</v>
      </c>
      <c r="K1176">
        <v>1779</v>
      </c>
      <c r="L1176">
        <v>3</v>
      </c>
      <c r="M1176">
        <f>TB[[#This Row],[售价]]*TB[[#This Row],[销量]]</f>
        <v>5337</v>
      </c>
      <c r="N1176" t="str">
        <f>IF(TB[[#This Row],[售价]]&lt;1000,"低价商品",IF(TB[[#This Row],[售价]]&lt;5000,"中价商品",IF(TB[[#This Row],[售价]]&lt;10000,"高价商品","超高价商品")))</f>
        <v>中价商品</v>
      </c>
    </row>
    <row r="1177" spans="1:14" x14ac:dyDescent="0.2">
      <c r="A1177">
        <v>546</v>
      </c>
      <c r="B1177">
        <v>164</v>
      </c>
      <c r="C1177" t="s">
        <v>36</v>
      </c>
      <c r="D1177" t="s">
        <v>102</v>
      </c>
      <c r="E1177" t="s">
        <v>19</v>
      </c>
      <c r="F1177">
        <v>3</v>
      </c>
      <c r="G1177" t="s">
        <v>13</v>
      </c>
      <c r="H1177" s="1">
        <v>45952.661111111112</v>
      </c>
      <c r="I1177" s="5">
        <f>INT(TB[[#This Row],[时间戳]])</f>
        <v>45952</v>
      </c>
      <c r="J1177" s="2">
        <f>HOUR(TB[[#This Row],[时间戳]])</f>
        <v>15</v>
      </c>
      <c r="K1177">
        <v>3040</v>
      </c>
      <c r="L1177">
        <v>3</v>
      </c>
      <c r="M1177">
        <f>TB[[#This Row],[售价]]*TB[[#This Row],[销量]]</f>
        <v>9120</v>
      </c>
      <c r="N1177" t="str">
        <f>IF(TB[[#This Row],[售价]]&lt;1000,"低价商品",IF(TB[[#This Row],[售价]]&lt;5000,"中价商品",IF(TB[[#This Row],[售价]]&lt;10000,"高价商品","超高价商品")))</f>
        <v>中价商品</v>
      </c>
    </row>
    <row r="1178" spans="1:14" x14ac:dyDescent="0.2">
      <c r="A1178">
        <v>153</v>
      </c>
      <c r="B1178">
        <v>81</v>
      </c>
      <c r="C1178" t="s">
        <v>14</v>
      </c>
      <c r="D1178" t="s">
        <v>228</v>
      </c>
      <c r="E1178" t="s">
        <v>31</v>
      </c>
      <c r="F1178">
        <v>4</v>
      </c>
      <c r="G1178" t="s">
        <v>13</v>
      </c>
      <c r="H1178" s="1">
        <v>45952.688888888886</v>
      </c>
      <c r="I1178" s="5">
        <f>INT(TB[[#This Row],[时间戳]])</f>
        <v>45952</v>
      </c>
      <c r="J1178" s="2">
        <f>HOUR(TB[[#This Row],[时间戳]])</f>
        <v>16</v>
      </c>
      <c r="K1178">
        <v>1096</v>
      </c>
      <c r="L1178">
        <v>2</v>
      </c>
      <c r="M1178">
        <f>TB[[#This Row],[售价]]*TB[[#This Row],[销量]]</f>
        <v>2192</v>
      </c>
      <c r="N1178" t="str">
        <f>IF(TB[[#This Row],[售价]]&lt;1000,"低价商品",IF(TB[[#This Row],[售价]]&lt;5000,"中价商品",IF(TB[[#This Row],[售价]]&lt;10000,"高价商品","超高价商品")))</f>
        <v>中价商品</v>
      </c>
    </row>
    <row r="1179" spans="1:14" x14ac:dyDescent="0.2">
      <c r="A1179">
        <v>574</v>
      </c>
      <c r="B1179">
        <v>264</v>
      </c>
      <c r="C1179" t="s">
        <v>10</v>
      </c>
      <c r="D1179" t="s">
        <v>278</v>
      </c>
      <c r="E1179" t="s">
        <v>19</v>
      </c>
      <c r="F1179">
        <v>3</v>
      </c>
      <c r="G1179" t="s">
        <v>13</v>
      </c>
      <c r="H1179" s="1">
        <v>45952.690972222219</v>
      </c>
      <c r="I1179" s="5">
        <f>INT(TB[[#This Row],[时间戳]])</f>
        <v>45952</v>
      </c>
      <c r="J1179" s="2">
        <f>HOUR(TB[[#This Row],[时间戳]])</f>
        <v>16</v>
      </c>
      <c r="K1179">
        <v>3599</v>
      </c>
      <c r="L1179">
        <v>1</v>
      </c>
      <c r="M1179">
        <f>TB[[#This Row],[售价]]*TB[[#This Row],[销量]]</f>
        <v>3599</v>
      </c>
      <c r="N1179" t="str">
        <f>IF(TB[[#This Row],[售价]]&lt;1000,"低价商品",IF(TB[[#This Row],[售价]]&lt;5000,"中价商品",IF(TB[[#This Row],[售价]]&lt;10000,"高价商品","超高价商品")))</f>
        <v>中价商品</v>
      </c>
    </row>
    <row r="1180" spans="1:14" x14ac:dyDescent="0.2">
      <c r="A1180">
        <v>563</v>
      </c>
      <c r="B1180">
        <v>164</v>
      </c>
      <c r="C1180" t="s">
        <v>20</v>
      </c>
      <c r="D1180" t="s">
        <v>147</v>
      </c>
      <c r="E1180" t="s">
        <v>22</v>
      </c>
      <c r="F1180">
        <v>1</v>
      </c>
      <c r="G1180" t="s">
        <v>13</v>
      </c>
      <c r="H1180" s="1">
        <v>45952.717361111114</v>
      </c>
      <c r="I1180" s="5">
        <f>INT(TB[[#This Row],[时间戳]])</f>
        <v>45952</v>
      </c>
      <c r="J1180" s="2">
        <f>HOUR(TB[[#This Row],[时间戳]])</f>
        <v>17</v>
      </c>
      <c r="K1180">
        <v>1743</v>
      </c>
      <c r="L1180">
        <v>3</v>
      </c>
      <c r="M1180">
        <f>TB[[#This Row],[售价]]*TB[[#This Row],[销量]]</f>
        <v>5229</v>
      </c>
      <c r="N1180" t="str">
        <f>IF(TB[[#This Row],[售价]]&lt;1000,"低价商品",IF(TB[[#This Row],[售价]]&lt;5000,"中价商品",IF(TB[[#This Row],[售价]]&lt;10000,"高价商品","超高价商品")))</f>
        <v>中价商品</v>
      </c>
    </row>
    <row r="1181" spans="1:14" x14ac:dyDescent="0.2">
      <c r="A1181">
        <v>251</v>
      </c>
      <c r="B1181">
        <v>88</v>
      </c>
      <c r="C1181" t="s">
        <v>36</v>
      </c>
      <c r="D1181" t="s">
        <v>114</v>
      </c>
      <c r="E1181" t="s">
        <v>25</v>
      </c>
      <c r="F1181">
        <v>7</v>
      </c>
      <c r="G1181" t="s">
        <v>13</v>
      </c>
      <c r="H1181" s="1">
        <v>45952.731944444444</v>
      </c>
      <c r="I1181" s="5">
        <f>INT(TB[[#This Row],[时间戳]])</f>
        <v>45952</v>
      </c>
      <c r="J1181" s="2">
        <f>HOUR(TB[[#This Row],[时间戳]])</f>
        <v>17</v>
      </c>
      <c r="K1181">
        <v>3592</v>
      </c>
      <c r="L1181">
        <v>4</v>
      </c>
      <c r="M1181">
        <f>TB[[#This Row],[售价]]*TB[[#This Row],[销量]]</f>
        <v>14368</v>
      </c>
      <c r="N1181" t="str">
        <f>IF(TB[[#This Row],[售价]]&lt;1000,"低价商品",IF(TB[[#This Row],[售价]]&lt;5000,"中价商品",IF(TB[[#This Row],[售价]]&lt;10000,"高价商品","超高价商品")))</f>
        <v>中价商品</v>
      </c>
    </row>
    <row r="1182" spans="1:14" x14ac:dyDescent="0.2">
      <c r="A1182">
        <v>554</v>
      </c>
      <c r="B1182">
        <v>228</v>
      </c>
      <c r="C1182" t="s">
        <v>46</v>
      </c>
      <c r="D1182" t="s">
        <v>142</v>
      </c>
      <c r="E1182" t="s">
        <v>31</v>
      </c>
      <c r="F1182">
        <v>4</v>
      </c>
      <c r="G1182" t="s">
        <v>13</v>
      </c>
      <c r="H1182" s="1">
        <v>45952.792361111111</v>
      </c>
      <c r="I1182" s="5">
        <f>INT(TB[[#This Row],[时间戳]])</f>
        <v>45952</v>
      </c>
      <c r="J1182" s="2">
        <f>HOUR(TB[[#This Row],[时间戳]])</f>
        <v>19</v>
      </c>
      <c r="K1182">
        <v>154</v>
      </c>
      <c r="L1182">
        <v>3</v>
      </c>
      <c r="M1182">
        <f>TB[[#This Row],[售价]]*TB[[#This Row],[销量]]</f>
        <v>462</v>
      </c>
      <c r="N1182" t="str">
        <f>IF(TB[[#This Row],[售价]]&lt;1000,"低价商品",IF(TB[[#This Row],[售价]]&lt;5000,"中价商品",IF(TB[[#This Row],[售价]]&lt;10000,"高价商品","超高价商品")))</f>
        <v>低价商品</v>
      </c>
    </row>
    <row r="1183" spans="1:14" x14ac:dyDescent="0.2">
      <c r="A1183">
        <v>692</v>
      </c>
      <c r="B1183">
        <v>26</v>
      </c>
      <c r="C1183" t="s">
        <v>10</v>
      </c>
      <c r="D1183" t="s">
        <v>351</v>
      </c>
      <c r="E1183" t="s">
        <v>31</v>
      </c>
      <c r="F1183">
        <v>4</v>
      </c>
      <c r="G1183" t="s">
        <v>13</v>
      </c>
      <c r="H1183" s="1">
        <v>45952.800000000003</v>
      </c>
      <c r="I1183" s="5">
        <f>INT(TB[[#This Row],[时间戳]])</f>
        <v>45952</v>
      </c>
      <c r="J1183" s="2">
        <f>HOUR(TB[[#This Row],[时间戳]])</f>
        <v>19</v>
      </c>
      <c r="K1183">
        <v>50</v>
      </c>
      <c r="L1183">
        <v>2</v>
      </c>
      <c r="M1183">
        <f>TB[[#This Row],[售价]]*TB[[#This Row],[销量]]</f>
        <v>100</v>
      </c>
      <c r="N1183" t="str">
        <f>IF(TB[[#This Row],[售价]]&lt;1000,"低价商品",IF(TB[[#This Row],[售价]]&lt;5000,"中价商品",IF(TB[[#This Row],[售价]]&lt;10000,"高价商品","超高价商品")))</f>
        <v>低价商品</v>
      </c>
    </row>
    <row r="1184" spans="1:14" x14ac:dyDescent="0.2">
      <c r="A1184">
        <v>437</v>
      </c>
      <c r="B1184">
        <v>201</v>
      </c>
      <c r="C1184" t="s">
        <v>10</v>
      </c>
      <c r="D1184" t="s">
        <v>201</v>
      </c>
      <c r="E1184" t="s">
        <v>31</v>
      </c>
      <c r="F1184">
        <v>4</v>
      </c>
      <c r="G1184" t="s">
        <v>42</v>
      </c>
      <c r="H1184" s="1">
        <v>45952.818749999999</v>
      </c>
      <c r="I1184" s="5">
        <f>INT(TB[[#This Row],[时间戳]])</f>
        <v>45952</v>
      </c>
      <c r="J1184" s="2">
        <f>HOUR(TB[[#This Row],[时间戳]])</f>
        <v>19</v>
      </c>
      <c r="K1184">
        <v>262</v>
      </c>
      <c r="L1184">
        <v>0</v>
      </c>
      <c r="M1184">
        <f>TB[[#This Row],[售价]]*TB[[#This Row],[销量]]</f>
        <v>0</v>
      </c>
      <c r="N1184" t="str">
        <f>IF(TB[[#This Row],[售价]]&lt;1000,"低价商品",IF(TB[[#This Row],[售价]]&lt;5000,"中价商品",IF(TB[[#This Row],[售价]]&lt;10000,"高价商品","超高价商品")))</f>
        <v>低价商品</v>
      </c>
    </row>
    <row r="1185" spans="1:14" x14ac:dyDescent="0.2">
      <c r="A1185">
        <v>645</v>
      </c>
      <c r="B1185">
        <v>229</v>
      </c>
      <c r="C1185" t="s">
        <v>46</v>
      </c>
      <c r="D1185" t="s">
        <v>77</v>
      </c>
      <c r="E1185" t="s">
        <v>19</v>
      </c>
      <c r="F1185">
        <v>3</v>
      </c>
      <c r="G1185" t="s">
        <v>13</v>
      </c>
      <c r="H1185" s="1">
        <v>45952.868055555555</v>
      </c>
      <c r="I1185" s="5">
        <f>INT(TB[[#This Row],[时间戳]])</f>
        <v>45952</v>
      </c>
      <c r="J1185" s="2">
        <f>HOUR(TB[[#This Row],[时间戳]])</f>
        <v>20</v>
      </c>
      <c r="K1185">
        <v>3126</v>
      </c>
      <c r="L1185">
        <v>2</v>
      </c>
      <c r="M1185">
        <f>TB[[#This Row],[售价]]*TB[[#This Row],[销量]]</f>
        <v>6252</v>
      </c>
      <c r="N1185" t="str">
        <f>IF(TB[[#This Row],[售价]]&lt;1000,"低价商品",IF(TB[[#This Row],[售价]]&lt;5000,"中价商品",IF(TB[[#This Row],[售价]]&lt;10000,"高价商品","超高价商品")))</f>
        <v>中价商品</v>
      </c>
    </row>
    <row r="1186" spans="1:14" x14ac:dyDescent="0.2">
      <c r="A1186">
        <v>203</v>
      </c>
      <c r="B1186">
        <v>274</v>
      </c>
      <c r="C1186" t="s">
        <v>36</v>
      </c>
      <c r="D1186" t="s">
        <v>112</v>
      </c>
      <c r="E1186" t="s">
        <v>22</v>
      </c>
      <c r="F1186">
        <v>1</v>
      </c>
      <c r="G1186" t="s">
        <v>13</v>
      </c>
      <c r="H1186" s="1">
        <v>45952.870138888888</v>
      </c>
      <c r="I1186" s="5">
        <f>INT(TB[[#This Row],[时间戳]])</f>
        <v>45952</v>
      </c>
      <c r="J1186" s="2">
        <f>HOUR(TB[[#This Row],[时间戳]])</f>
        <v>20</v>
      </c>
      <c r="K1186">
        <v>6030</v>
      </c>
      <c r="L1186">
        <v>2</v>
      </c>
      <c r="M1186">
        <f>TB[[#This Row],[售价]]*TB[[#This Row],[销量]]</f>
        <v>12060</v>
      </c>
      <c r="N1186" t="str">
        <f>IF(TB[[#This Row],[售价]]&lt;1000,"低价商品",IF(TB[[#This Row],[售价]]&lt;5000,"中价商品",IF(TB[[#This Row],[售价]]&lt;10000,"高价商品","超高价商品")))</f>
        <v>高价商品</v>
      </c>
    </row>
    <row r="1187" spans="1:14" x14ac:dyDescent="0.2">
      <c r="A1187">
        <v>135</v>
      </c>
      <c r="B1187">
        <v>48</v>
      </c>
      <c r="C1187" t="s">
        <v>44</v>
      </c>
      <c r="D1187" t="s">
        <v>239</v>
      </c>
      <c r="E1187" t="s">
        <v>39</v>
      </c>
      <c r="F1187">
        <v>5</v>
      </c>
      <c r="G1187" t="s">
        <v>13</v>
      </c>
      <c r="H1187" s="1">
        <v>45952.92083333333</v>
      </c>
      <c r="I1187" s="5">
        <f>INT(TB[[#This Row],[时间戳]])</f>
        <v>45952</v>
      </c>
      <c r="J1187" s="2">
        <f>HOUR(TB[[#This Row],[时间戳]])</f>
        <v>22</v>
      </c>
      <c r="K1187">
        <v>1307</v>
      </c>
      <c r="L1187">
        <v>1</v>
      </c>
      <c r="M1187">
        <f>TB[[#This Row],[售价]]*TB[[#This Row],[销量]]</f>
        <v>1307</v>
      </c>
      <c r="N1187" t="str">
        <f>IF(TB[[#This Row],[售价]]&lt;1000,"低价商品",IF(TB[[#This Row],[售价]]&lt;5000,"中价商品",IF(TB[[#This Row],[售价]]&lt;10000,"高价商品","超高价商品")))</f>
        <v>中价商品</v>
      </c>
    </row>
    <row r="1188" spans="1:14" x14ac:dyDescent="0.2">
      <c r="A1188">
        <v>467</v>
      </c>
      <c r="B1188">
        <v>159</v>
      </c>
      <c r="C1188" t="s">
        <v>44</v>
      </c>
      <c r="D1188" t="s">
        <v>59</v>
      </c>
      <c r="E1188" t="s">
        <v>22</v>
      </c>
      <c r="F1188">
        <v>1</v>
      </c>
      <c r="G1188" t="s">
        <v>13</v>
      </c>
      <c r="H1188" s="1">
        <v>45952.942361111112</v>
      </c>
      <c r="I1188" s="5">
        <f>INT(TB[[#This Row],[时间戳]])</f>
        <v>45952</v>
      </c>
      <c r="J1188" s="2">
        <f>HOUR(TB[[#This Row],[时间戳]])</f>
        <v>22</v>
      </c>
      <c r="K1188">
        <v>7815</v>
      </c>
      <c r="L1188">
        <v>2</v>
      </c>
      <c r="M1188">
        <f>TB[[#This Row],[售价]]*TB[[#This Row],[销量]]</f>
        <v>15630</v>
      </c>
      <c r="N1188" t="str">
        <f>IF(TB[[#This Row],[售价]]&lt;1000,"低价商品",IF(TB[[#This Row],[售价]]&lt;5000,"中价商品",IF(TB[[#This Row],[售价]]&lt;10000,"高价商品","超高价商品")))</f>
        <v>高价商品</v>
      </c>
    </row>
    <row r="1189" spans="1:14" x14ac:dyDescent="0.2">
      <c r="A1189">
        <v>238</v>
      </c>
      <c r="B1189">
        <v>115</v>
      </c>
      <c r="C1189" t="s">
        <v>44</v>
      </c>
      <c r="D1189" t="s">
        <v>66</v>
      </c>
      <c r="E1189" t="s">
        <v>22</v>
      </c>
      <c r="F1189">
        <v>1</v>
      </c>
      <c r="G1189" t="s">
        <v>42</v>
      </c>
      <c r="H1189" s="1">
        <v>45952.943749999999</v>
      </c>
      <c r="I1189" s="5">
        <f>INT(TB[[#This Row],[时间戳]])</f>
        <v>45952</v>
      </c>
      <c r="J1189" s="2">
        <f>HOUR(TB[[#This Row],[时间戳]])</f>
        <v>22</v>
      </c>
      <c r="K1189">
        <v>6736</v>
      </c>
      <c r="L1189">
        <v>0</v>
      </c>
      <c r="M1189">
        <f>TB[[#This Row],[售价]]*TB[[#This Row],[销量]]</f>
        <v>0</v>
      </c>
      <c r="N1189" t="str">
        <f>IF(TB[[#This Row],[售价]]&lt;1000,"低价商品",IF(TB[[#This Row],[售价]]&lt;5000,"中价商品",IF(TB[[#This Row],[售价]]&lt;10000,"高价商品","超高价商品")))</f>
        <v>高价商品</v>
      </c>
    </row>
    <row r="1190" spans="1:14" x14ac:dyDescent="0.2">
      <c r="A1190">
        <v>402</v>
      </c>
      <c r="B1190">
        <v>94</v>
      </c>
      <c r="C1190" t="s">
        <v>36</v>
      </c>
      <c r="D1190" t="s">
        <v>304</v>
      </c>
      <c r="E1190" t="s">
        <v>16</v>
      </c>
      <c r="F1190">
        <v>6</v>
      </c>
      <c r="G1190" t="s">
        <v>13</v>
      </c>
      <c r="H1190" s="1">
        <v>45952.95</v>
      </c>
      <c r="I1190" s="5">
        <f>INT(TB[[#This Row],[时间戳]])</f>
        <v>45952</v>
      </c>
      <c r="J1190" s="2">
        <f>HOUR(TB[[#This Row],[时间戳]])</f>
        <v>22</v>
      </c>
      <c r="K1190">
        <v>4469</v>
      </c>
      <c r="L1190">
        <v>2</v>
      </c>
      <c r="M1190">
        <f>TB[[#This Row],[售价]]*TB[[#This Row],[销量]]</f>
        <v>8938</v>
      </c>
      <c r="N1190" t="str">
        <f>IF(TB[[#This Row],[售价]]&lt;1000,"低价商品",IF(TB[[#This Row],[售价]]&lt;5000,"中价商品",IF(TB[[#This Row],[售价]]&lt;10000,"高价商品","超高价商品")))</f>
        <v>中价商品</v>
      </c>
    </row>
    <row r="1191" spans="1:14" x14ac:dyDescent="0.2">
      <c r="A1191">
        <v>465</v>
      </c>
      <c r="B1191">
        <v>250</v>
      </c>
      <c r="C1191" t="s">
        <v>34</v>
      </c>
      <c r="D1191" t="s">
        <v>389</v>
      </c>
      <c r="E1191" t="s">
        <v>39</v>
      </c>
      <c r="F1191">
        <v>5</v>
      </c>
      <c r="G1191" t="s">
        <v>13</v>
      </c>
      <c r="H1191" s="1">
        <v>45952.972916666666</v>
      </c>
      <c r="I1191" s="5">
        <f>INT(TB[[#This Row],[时间戳]])</f>
        <v>45952</v>
      </c>
      <c r="J1191" s="2">
        <f>HOUR(TB[[#This Row],[时间戳]])</f>
        <v>23</v>
      </c>
      <c r="K1191">
        <v>3805</v>
      </c>
      <c r="L1191">
        <v>1</v>
      </c>
      <c r="M1191">
        <f>TB[[#This Row],[售价]]*TB[[#This Row],[销量]]</f>
        <v>3805</v>
      </c>
      <c r="N1191" t="str">
        <f>IF(TB[[#This Row],[售价]]&lt;1000,"低价商品",IF(TB[[#This Row],[售价]]&lt;5000,"中价商品",IF(TB[[#This Row],[售价]]&lt;10000,"高价商品","超高价商品")))</f>
        <v>中价商品</v>
      </c>
    </row>
    <row r="1192" spans="1:14" x14ac:dyDescent="0.2">
      <c r="A1192">
        <v>360</v>
      </c>
      <c r="B1192">
        <v>246</v>
      </c>
      <c r="C1192" t="s">
        <v>44</v>
      </c>
      <c r="D1192" t="s">
        <v>347</v>
      </c>
      <c r="E1192" t="s">
        <v>39</v>
      </c>
      <c r="F1192">
        <v>5</v>
      </c>
      <c r="G1192" t="s">
        <v>13</v>
      </c>
      <c r="H1192" s="1">
        <v>45952.974305555559</v>
      </c>
      <c r="I1192" s="5">
        <f>INT(TB[[#This Row],[时间戳]])</f>
        <v>45952</v>
      </c>
      <c r="J1192" s="2">
        <f>HOUR(TB[[#This Row],[时间戳]])</f>
        <v>23</v>
      </c>
      <c r="K1192">
        <v>800</v>
      </c>
      <c r="L1192">
        <v>1</v>
      </c>
      <c r="M1192">
        <f>TB[[#This Row],[售价]]*TB[[#This Row],[销量]]</f>
        <v>800</v>
      </c>
      <c r="N1192" t="str">
        <f>IF(TB[[#This Row],[售价]]&lt;1000,"低价商品",IF(TB[[#This Row],[售价]]&lt;5000,"中价商品",IF(TB[[#This Row],[售价]]&lt;10000,"高价商品","超高价商品")))</f>
        <v>低价商品</v>
      </c>
    </row>
    <row r="1193" spans="1:14" x14ac:dyDescent="0.2">
      <c r="A1193">
        <v>619</v>
      </c>
      <c r="B1193">
        <v>295</v>
      </c>
      <c r="C1193" t="s">
        <v>36</v>
      </c>
      <c r="D1193" t="s">
        <v>377</v>
      </c>
      <c r="E1193" t="s">
        <v>12</v>
      </c>
      <c r="F1193">
        <v>2</v>
      </c>
      <c r="G1193" t="s">
        <v>13</v>
      </c>
      <c r="H1193" s="1">
        <v>45952.990277777775</v>
      </c>
      <c r="I1193" s="5">
        <f>INT(TB[[#This Row],[时间戳]])</f>
        <v>45952</v>
      </c>
      <c r="J1193" s="2">
        <f>HOUR(TB[[#This Row],[时间戳]])</f>
        <v>23</v>
      </c>
      <c r="K1193">
        <v>11443</v>
      </c>
      <c r="L1193">
        <v>2</v>
      </c>
      <c r="M1193">
        <f>TB[[#This Row],[售价]]*TB[[#This Row],[销量]]</f>
        <v>22886</v>
      </c>
      <c r="N1193" t="str">
        <f>IF(TB[[#This Row],[售价]]&lt;1000,"低价商品",IF(TB[[#This Row],[售价]]&lt;5000,"中价商品",IF(TB[[#This Row],[售价]]&lt;10000,"高价商品","超高价商品")))</f>
        <v>超高价商品</v>
      </c>
    </row>
    <row r="1194" spans="1:14" x14ac:dyDescent="0.2">
      <c r="A1194">
        <v>732</v>
      </c>
      <c r="B1194">
        <v>55</v>
      </c>
      <c r="C1194" t="s">
        <v>14</v>
      </c>
      <c r="D1194" t="s">
        <v>280</v>
      </c>
      <c r="E1194" t="s">
        <v>12</v>
      </c>
      <c r="F1194">
        <v>2</v>
      </c>
      <c r="G1194" t="s">
        <v>13</v>
      </c>
      <c r="H1194" s="1">
        <v>45952.997916666667</v>
      </c>
      <c r="I1194" s="5">
        <f>INT(TB[[#This Row],[时间戳]])</f>
        <v>45952</v>
      </c>
      <c r="J1194" s="2">
        <f>HOUR(TB[[#This Row],[时间戳]])</f>
        <v>23</v>
      </c>
      <c r="K1194">
        <v>6147</v>
      </c>
      <c r="L1194">
        <v>2</v>
      </c>
      <c r="M1194">
        <f>TB[[#This Row],[售价]]*TB[[#This Row],[销量]]</f>
        <v>12294</v>
      </c>
      <c r="N1194" t="str">
        <f>IF(TB[[#This Row],[售价]]&lt;1000,"低价商品",IF(TB[[#This Row],[售价]]&lt;5000,"中价商品",IF(TB[[#This Row],[售价]]&lt;10000,"高价商品","超高价商品")))</f>
        <v>高价商品</v>
      </c>
    </row>
    <row r="1195" spans="1:14" x14ac:dyDescent="0.2">
      <c r="A1195">
        <v>546</v>
      </c>
      <c r="B1195">
        <v>237</v>
      </c>
      <c r="C1195" t="s">
        <v>14</v>
      </c>
      <c r="D1195" t="s">
        <v>145</v>
      </c>
      <c r="E1195" t="s">
        <v>22</v>
      </c>
      <c r="F1195">
        <v>1</v>
      </c>
      <c r="G1195" t="s">
        <v>13</v>
      </c>
      <c r="H1195" s="1">
        <v>45953.015972222223</v>
      </c>
      <c r="I1195" s="5">
        <f>INT(TB[[#This Row],[时间戳]])</f>
        <v>45953</v>
      </c>
      <c r="J1195" s="2">
        <f>HOUR(TB[[#This Row],[时间戳]])</f>
        <v>0</v>
      </c>
      <c r="K1195">
        <v>3753</v>
      </c>
      <c r="L1195">
        <v>4</v>
      </c>
      <c r="M1195">
        <f>TB[[#This Row],[售价]]*TB[[#This Row],[销量]]</f>
        <v>15012</v>
      </c>
      <c r="N1195" t="str">
        <f>IF(TB[[#This Row],[售价]]&lt;1000,"低价商品",IF(TB[[#This Row],[售价]]&lt;5000,"中价商品",IF(TB[[#This Row],[售价]]&lt;10000,"高价商品","超高价商品")))</f>
        <v>中价商品</v>
      </c>
    </row>
    <row r="1196" spans="1:14" x14ac:dyDescent="0.2">
      <c r="A1196">
        <v>636</v>
      </c>
      <c r="B1196">
        <v>125</v>
      </c>
      <c r="C1196" t="s">
        <v>17</v>
      </c>
      <c r="D1196" t="s">
        <v>390</v>
      </c>
      <c r="E1196" t="s">
        <v>39</v>
      </c>
      <c r="F1196">
        <v>5</v>
      </c>
      <c r="G1196" t="s">
        <v>13</v>
      </c>
      <c r="H1196" s="1">
        <v>45953.01666666667</v>
      </c>
      <c r="I1196" s="5">
        <f>INT(TB[[#This Row],[时间戳]])</f>
        <v>45953</v>
      </c>
      <c r="J1196" s="2">
        <f>HOUR(TB[[#This Row],[时间戳]])</f>
        <v>0</v>
      </c>
      <c r="K1196">
        <v>2543</v>
      </c>
      <c r="L1196">
        <v>1</v>
      </c>
      <c r="M1196">
        <f>TB[[#This Row],[售价]]*TB[[#This Row],[销量]]</f>
        <v>2543</v>
      </c>
      <c r="N1196" t="str">
        <f>IF(TB[[#This Row],[售价]]&lt;1000,"低价商品",IF(TB[[#This Row],[售价]]&lt;5000,"中价商品",IF(TB[[#This Row],[售价]]&lt;10000,"高价商品","超高价商品")))</f>
        <v>中价商品</v>
      </c>
    </row>
    <row r="1197" spans="1:14" x14ac:dyDescent="0.2">
      <c r="A1197">
        <v>68</v>
      </c>
      <c r="B1197">
        <v>175</v>
      </c>
      <c r="C1197" t="s">
        <v>44</v>
      </c>
      <c r="D1197" t="s">
        <v>254</v>
      </c>
      <c r="E1197" t="s">
        <v>25</v>
      </c>
      <c r="F1197">
        <v>7</v>
      </c>
      <c r="G1197" t="s">
        <v>13</v>
      </c>
      <c r="H1197" s="1">
        <v>45953.054166666669</v>
      </c>
      <c r="I1197" s="5">
        <f>INT(TB[[#This Row],[时间戳]])</f>
        <v>45953</v>
      </c>
      <c r="J1197" s="2">
        <f>HOUR(TB[[#This Row],[时间戳]])</f>
        <v>1</v>
      </c>
      <c r="K1197">
        <v>5869</v>
      </c>
      <c r="L1197">
        <v>5</v>
      </c>
      <c r="M1197">
        <f>TB[[#This Row],[售价]]*TB[[#This Row],[销量]]</f>
        <v>29345</v>
      </c>
      <c r="N1197" t="str">
        <f>IF(TB[[#This Row],[售价]]&lt;1000,"低价商品",IF(TB[[#This Row],[售价]]&lt;5000,"中价商品",IF(TB[[#This Row],[售价]]&lt;10000,"高价商品","超高价商品")))</f>
        <v>高价商品</v>
      </c>
    </row>
    <row r="1198" spans="1:14" x14ac:dyDescent="0.2">
      <c r="A1198">
        <v>446</v>
      </c>
      <c r="B1198">
        <v>291</v>
      </c>
      <c r="C1198" t="s">
        <v>46</v>
      </c>
      <c r="D1198" t="s">
        <v>217</v>
      </c>
      <c r="E1198" t="s">
        <v>19</v>
      </c>
      <c r="F1198">
        <v>3</v>
      </c>
      <c r="G1198" t="s">
        <v>13</v>
      </c>
      <c r="H1198" s="1">
        <v>45953.121527777781</v>
      </c>
      <c r="I1198" s="5">
        <f>INT(TB[[#This Row],[时间戳]])</f>
        <v>45953</v>
      </c>
      <c r="J1198" s="2">
        <f>HOUR(TB[[#This Row],[时间戳]])</f>
        <v>2</v>
      </c>
      <c r="K1198">
        <v>3360</v>
      </c>
      <c r="L1198">
        <v>2</v>
      </c>
      <c r="M1198">
        <f>TB[[#This Row],[售价]]*TB[[#This Row],[销量]]</f>
        <v>6720</v>
      </c>
      <c r="N1198" t="str">
        <f>IF(TB[[#This Row],[售价]]&lt;1000,"低价商品",IF(TB[[#This Row],[售价]]&lt;5000,"中价商品",IF(TB[[#This Row],[售价]]&lt;10000,"高价商品","超高价商品")))</f>
        <v>中价商品</v>
      </c>
    </row>
    <row r="1199" spans="1:14" x14ac:dyDescent="0.2">
      <c r="A1199">
        <v>679</v>
      </c>
      <c r="B1199">
        <v>40</v>
      </c>
      <c r="C1199" t="s">
        <v>32</v>
      </c>
      <c r="D1199" t="s">
        <v>208</v>
      </c>
      <c r="E1199" t="s">
        <v>12</v>
      </c>
      <c r="F1199">
        <v>2</v>
      </c>
      <c r="G1199" t="s">
        <v>13</v>
      </c>
      <c r="H1199" s="1">
        <v>45953.185416666667</v>
      </c>
      <c r="I1199" s="5">
        <f>INT(TB[[#This Row],[时间戳]])</f>
        <v>45953</v>
      </c>
      <c r="J1199" s="2">
        <f>HOUR(TB[[#This Row],[时间戳]])</f>
        <v>4</v>
      </c>
      <c r="K1199">
        <v>9684</v>
      </c>
      <c r="L1199">
        <v>3</v>
      </c>
      <c r="M1199">
        <f>TB[[#This Row],[售价]]*TB[[#This Row],[销量]]</f>
        <v>29052</v>
      </c>
      <c r="N1199" t="str">
        <f>IF(TB[[#This Row],[售价]]&lt;1000,"低价商品",IF(TB[[#This Row],[售价]]&lt;5000,"中价商品",IF(TB[[#This Row],[售价]]&lt;10000,"高价商品","超高价商品")))</f>
        <v>高价商品</v>
      </c>
    </row>
    <row r="1200" spans="1:14" x14ac:dyDescent="0.2">
      <c r="A1200">
        <v>611</v>
      </c>
      <c r="B1200">
        <v>238</v>
      </c>
      <c r="C1200" t="s">
        <v>14</v>
      </c>
      <c r="D1200" t="s">
        <v>178</v>
      </c>
      <c r="E1200" t="s">
        <v>12</v>
      </c>
      <c r="F1200">
        <v>2</v>
      </c>
      <c r="G1200" t="s">
        <v>13</v>
      </c>
      <c r="H1200" s="1">
        <v>45953.210416666669</v>
      </c>
      <c r="I1200" s="5">
        <f>INT(TB[[#This Row],[时间戳]])</f>
        <v>45953</v>
      </c>
      <c r="J1200" s="2">
        <f>HOUR(TB[[#This Row],[时间戳]])</f>
        <v>5</v>
      </c>
      <c r="K1200">
        <v>13456</v>
      </c>
      <c r="L1200">
        <v>2</v>
      </c>
      <c r="M1200">
        <f>TB[[#This Row],[售价]]*TB[[#This Row],[销量]]</f>
        <v>26912</v>
      </c>
      <c r="N1200" t="str">
        <f>IF(TB[[#This Row],[售价]]&lt;1000,"低价商品",IF(TB[[#This Row],[售价]]&lt;5000,"中价商品",IF(TB[[#This Row],[售价]]&lt;10000,"高价商品","超高价商品")))</f>
        <v>超高价商品</v>
      </c>
    </row>
    <row r="1201" spans="1:14" x14ac:dyDescent="0.2">
      <c r="A1201">
        <v>181</v>
      </c>
      <c r="B1201">
        <v>158</v>
      </c>
      <c r="C1201" t="s">
        <v>14</v>
      </c>
      <c r="D1201" t="s">
        <v>202</v>
      </c>
      <c r="E1201" t="s">
        <v>31</v>
      </c>
      <c r="F1201">
        <v>4</v>
      </c>
      <c r="G1201" t="s">
        <v>13</v>
      </c>
      <c r="H1201" s="1">
        <v>45953.213194444441</v>
      </c>
      <c r="I1201" s="5">
        <f>INT(TB[[#This Row],[时间戳]])</f>
        <v>45953</v>
      </c>
      <c r="J1201" s="2">
        <f>HOUR(TB[[#This Row],[时间戳]])</f>
        <v>5</v>
      </c>
      <c r="K1201">
        <v>800</v>
      </c>
      <c r="L1201">
        <v>1</v>
      </c>
      <c r="M1201">
        <f>TB[[#This Row],[售价]]*TB[[#This Row],[销量]]</f>
        <v>800</v>
      </c>
      <c r="N1201" t="str">
        <f>IF(TB[[#This Row],[售价]]&lt;1000,"低价商品",IF(TB[[#This Row],[售价]]&lt;5000,"中价商品",IF(TB[[#This Row],[售价]]&lt;10000,"高价商品","超高价商品")))</f>
        <v>低价商品</v>
      </c>
    </row>
    <row r="1202" spans="1:14" x14ac:dyDescent="0.2">
      <c r="A1202">
        <v>702</v>
      </c>
      <c r="B1202">
        <v>195</v>
      </c>
      <c r="C1202" t="s">
        <v>46</v>
      </c>
      <c r="D1202" t="s">
        <v>359</v>
      </c>
      <c r="E1202" t="s">
        <v>25</v>
      </c>
      <c r="F1202">
        <v>7</v>
      </c>
      <c r="G1202" t="s">
        <v>13</v>
      </c>
      <c r="H1202" s="1">
        <v>45953.239583333336</v>
      </c>
      <c r="I1202" s="5">
        <f>INT(TB[[#This Row],[时间戳]])</f>
        <v>45953</v>
      </c>
      <c r="J1202" s="2">
        <f>HOUR(TB[[#This Row],[时间戳]])</f>
        <v>5</v>
      </c>
      <c r="K1202">
        <v>4659</v>
      </c>
      <c r="L1202">
        <v>2</v>
      </c>
      <c r="M1202">
        <f>TB[[#This Row],[售价]]*TB[[#This Row],[销量]]</f>
        <v>9318</v>
      </c>
      <c r="N1202" t="str">
        <f>IF(TB[[#This Row],[售价]]&lt;1000,"低价商品",IF(TB[[#This Row],[售价]]&lt;5000,"中价商品",IF(TB[[#This Row],[售价]]&lt;10000,"高价商品","超高价商品")))</f>
        <v>中价商品</v>
      </c>
    </row>
    <row r="1203" spans="1:14" x14ac:dyDescent="0.2">
      <c r="A1203">
        <v>223</v>
      </c>
      <c r="B1203">
        <v>72</v>
      </c>
      <c r="C1203" t="s">
        <v>10</v>
      </c>
      <c r="D1203" t="s">
        <v>302</v>
      </c>
      <c r="E1203" t="s">
        <v>19</v>
      </c>
      <c r="F1203">
        <v>3</v>
      </c>
      <c r="G1203" t="s">
        <v>13</v>
      </c>
      <c r="H1203" s="1">
        <v>45953.239583333336</v>
      </c>
      <c r="I1203" s="5">
        <f>INT(TB[[#This Row],[时间戳]])</f>
        <v>45953</v>
      </c>
      <c r="J1203" s="2">
        <f>HOUR(TB[[#This Row],[时间戳]])</f>
        <v>5</v>
      </c>
      <c r="K1203">
        <v>4235</v>
      </c>
      <c r="L1203">
        <v>2</v>
      </c>
      <c r="M1203">
        <f>TB[[#This Row],[售价]]*TB[[#This Row],[销量]]</f>
        <v>8470</v>
      </c>
      <c r="N1203" t="str">
        <f>IF(TB[[#This Row],[售价]]&lt;1000,"低价商品",IF(TB[[#This Row],[售价]]&lt;5000,"中价商品",IF(TB[[#This Row],[售价]]&lt;10000,"高价商品","超高价商品")))</f>
        <v>中价商品</v>
      </c>
    </row>
    <row r="1204" spans="1:14" x14ac:dyDescent="0.2">
      <c r="A1204">
        <v>677</v>
      </c>
      <c r="B1204">
        <v>77</v>
      </c>
      <c r="C1204" t="s">
        <v>10</v>
      </c>
      <c r="D1204" t="s">
        <v>298</v>
      </c>
      <c r="E1204" t="s">
        <v>12</v>
      </c>
      <c r="F1204">
        <v>2</v>
      </c>
      <c r="G1204" t="s">
        <v>13</v>
      </c>
      <c r="H1204" s="1">
        <v>45953.240277777775</v>
      </c>
      <c r="I1204" s="5">
        <f>INT(TB[[#This Row],[时间戳]])</f>
        <v>45953</v>
      </c>
      <c r="J1204" s="2">
        <f>HOUR(TB[[#This Row],[时间戳]])</f>
        <v>5</v>
      </c>
      <c r="K1204">
        <v>13701</v>
      </c>
      <c r="L1204">
        <v>3</v>
      </c>
      <c r="M1204">
        <f>TB[[#This Row],[售价]]*TB[[#This Row],[销量]]</f>
        <v>41103</v>
      </c>
      <c r="N1204" t="str">
        <f>IF(TB[[#This Row],[售价]]&lt;1000,"低价商品",IF(TB[[#This Row],[售价]]&lt;5000,"中价商品",IF(TB[[#This Row],[售价]]&lt;10000,"高价商品","超高价商品")))</f>
        <v>超高价商品</v>
      </c>
    </row>
    <row r="1205" spans="1:14" x14ac:dyDescent="0.2">
      <c r="A1205">
        <v>631</v>
      </c>
      <c r="B1205">
        <v>296</v>
      </c>
      <c r="C1205" t="s">
        <v>36</v>
      </c>
      <c r="D1205" t="s">
        <v>83</v>
      </c>
      <c r="E1205" t="s">
        <v>22</v>
      </c>
      <c r="F1205">
        <v>1</v>
      </c>
      <c r="G1205" t="s">
        <v>13</v>
      </c>
      <c r="H1205" s="1">
        <v>45953.24722222222</v>
      </c>
      <c r="I1205" s="5">
        <f>INT(TB[[#This Row],[时间戳]])</f>
        <v>45953</v>
      </c>
      <c r="J1205" s="2">
        <f>HOUR(TB[[#This Row],[时间戳]])</f>
        <v>5</v>
      </c>
      <c r="K1205">
        <v>4782</v>
      </c>
      <c r="L1205">
        <v>1</v>
      </c>
      <c r="M1205">
        <f>TB[[#This Row],[售价]]*TB[[#This Row],[销量]]</f>
        <v>4782</v>
      </c>
      <c r="N1205" t="str">
        <f>IF(TB[[#This Row],[售价]]&lt;1000,"低价商品",IF(TB[[#This Row],[售价]]&lt;5000,"中价商品",IF(TB[[#This Row],[售价]]&lt;10000,"高价商品","超高价商品")))</f>
        <v>中价商品</v>
      </c>
    </row>
    <row r="1206" spans="1:14" x14ac:dyDescent="0.2">
      <c r="A1206">
        <v>325</v>
      </c>
      <c r="B1206">
        <v>154</v>
      </c>
      <c r="C1206" t="s">
        <v>32</v>
      </c>
      <c r="D1206" t="s">
        <v>193</v>
      </c>
      <c r="E1206" t="s">
        <v>22</v>
      </c>
      <c r="F1206">
        <v>1</v>
      </c>
      <c r="G1206" t="s">
        <v>13</v>
      </c>
      <c r="H1206" s="1">
        <v>45953.259722222225</v>
      </c>
      <c r="I1206" s="5">
        <f>INT(TB[[#This Row],[时间戳]])</f>
        <v>45953</v>
      </c>
      <c r="J1206" s="2">
        <f>HOUR(TB[[#This Row],[时间戳]])</f>
        <v>6</v>
      </c>
      <c r="K1206">
        <v>4563</v>
      </c>
      <c r="L1206">
        <v>2</v>
      </c>
      <c r="M1206">
        <f>TB[[#This Row],[售价]]*TB[[#This Row],[销量]]</f>
        <v>9126</v>
      </c>
      <c r="N1206" t="str">
        <f>IF(TB[[#This Row],[售价]]&lt;1000,"低价商品",IF(TB[[#This Row],[售价]]&lt;5000,"中价商品",IF(TB[[#This Row],[售价]]&lt;10000,"高价商品","超高价商品")))</f>
        <v>中价商品</v>
      </c>
    </row>
    <row r="1207" spans="1:14" x14ac:dyDescent="0.2">
      <c r="A1207">
        <v>736</v>
      </c>
      <c r="B1207">
        <v>177</v>
      </c>
      <c r="C1207" t="s">
        <v>36</v>
      </c>
      <c r="D1207" t="s">
        <v>172</v>
      </c>
      <c r="E1207" t="s">
        <v>25</v>
      </c>
      <c r="F1207">
        <v>7</v>
      </c>
      <c r="G1207" t="s">
        <v>13</v>
      </c>
      <c r="H1207" s="1">
        <v>45953.286805555559</v>
      </c>
      <c r="I1207" s="5">
        <f>INT(TB[[#This Row],[时间戳]])</f>
        <v>45953</v>
      </c>
      <c r="J1207" s="2">
        <f>HOUR(TB[[#This Row],[时间戳]])</f>
        <v>6</v>
      </c>
      <c r="K1207">
        <v>6318</v>
      </c>
      <c r="L1207">
        <v>3</v>
      </c>
      <c r="M1207">
        <f>TB[[#This Row],[售价]]*TB[[#This Row],[销量]]</f>
        <v>18954</v>
      </c>
      <c r="N1207" t="str">
        <f>IF(TB[[#This Row],[售价]]&lt;1000,"低价商品",IF(TB[[#This Row],[售价]]&lt;5000,"中价商品",IF(TB[[#This Row],[售价]]&lt;10000,"高价商品","超高价商品")))</f>
        <v>高价商品</v>
      </c>
    </row>
    <row r="1208" spans="1:14" x14ac:dyDescent="0.2">
      <c r="A1208">
        <v>523</v>
      </c>
      <c r="B1208">
        <v>207</v>
      </c>
      <c r="C1208" t="s">
        <v>10</v>
      </c>
      <c r="D1208" t="s">
        <v>352</v>
      </c>
      <c r="E1208" t="s">
        <v>12</v>
      </c>
      <c r="F1208">
        <v>2</v>
      </c>
      <c r="G1208" t="s">
        <v>13</v>
      </c>
      <c r="H1208" s="1">
        <v>45953.307638888888</v>
      </c>
      <c r="I1208" s="5">
        <f>INT(TB[[#This Row],[时间戳]])</f>
        <v>45953</v>
      </c>
      <c r="J1208" s="2">
        <f>HOUR(TB[[#This Row],[时间戳]])</f>
        <v>7</v>
      </c>
      <c r="K1208">
        <v>5560</v>
      </c>
      <c r="L1208">
        <v>1</v>
      </c>
      <c r="M1208">
        <f>TB[[#This Row],[售价]]*TB[[#This Row],[销量]]</f>
        <v>5560</v>
      </c>
      <c r="N1208" t="str">
        <f>IF(TB[[#This Row],[售价]]&lt;1000,"低价商品",IF(TB[[#This Row],[售价]]&lt;5000,"中价商品",IF(TB[[#This Row],[售价]]&lt;10000,"高价商品","超高价商品")))</f>
        <v>高价商品</v>
      </c>
    </row>
    <row r="1209" spans="1:14" x14ac:dyDescent="0.2">
      <c r="A1209">
        <v>563</v>
      </c>
      <c r="B1209">
        <v>28</v>
      </c>
      <c r="C1209" t="s">
        <v>10</v>
      </c>
      <c r="D1209" t="s">
        <v>241</v>
      </c>
      <c r="E1209" t="s">
        <v>12</v>
      </c>
      <c r="F1209">
        <v>2</v>
      </c>
      <c r="G1209" t="s">
        <v>13</v>
      </c>
      <c r="H1209" s="1">
        <v>45953.318749999999</v>
      </c>
      <c r="I1209" s="5">
        <f>INT(TB[[#This Row],[时间戳]])</f>
        <v>45953</v>
      </c>
      <c r="J1209" s="2">
        <f>HOUR(TB[[#This Row],[时间戳]])</f>
        <v>7</v>
      </c>
      <c r="K1209">
        <v>6039</v>
      </c>
      <c r="L1209">
        <v>1</v>
      </c>
      <c r="M1209">
        <f>TB[[#This Row],[售价]]*TB[[#This Row],[销量]]</f>
        <v>6039</v>
      </c>
      <c r="N1209" t="str">
        <f>IF(TB[[#This Row],[售价]]&lt;1000,"低价商品",IF(TB[[#This Row],[售价]]&lt;5000,"中价商品",IF(TB[[#This Row],[售价]]&lt;10000,"高价商品","超高价商品")))</f>
        <v>高价商品</v>
      </c>
    </row>
    <row r="1210" spans="1:14" x14ac:dyDescent="0.2">
      <c r="A1210">
        <v>113</v>
      </c>
      <c r="B1210">
        <v>145</v>
      </c>
      <c r="C1210" t="s">
        <v>20</v>
      </c>
      <c r="D1210" t="s">
        <v>147</v>
      </c>
      <c r="E1210" t="s">
        <v>22</v>
      </c>
      <c r="F1210">
        <v>1</v>
      </c>
      <c r="G1210" t="s">
        <v>13</v>
      </c>
      <c r="H1210" s="1">
        <v>45953.324999999997</v>
      </c>
      <c r="I1210" s="5">
        <f>INT(TB[[#This Row],[时间戳]])</f>
        <v>45953</v>
      </c>
      <c r="J1210" s="2">
        <f>HOUR(TB[[#This Row],[时间戳]])</f>
        <v>7</v>
      </c>
      <c r="K1210">
        <v>1166</v>
      </c>
      <c r="L1210">
        <v>3</v>
      </c>
      <c r="M1210">
        <f>TB[[#This Row],[售价]]*TB[[#This Row],[销量]]</f>
        <v>3498</v>
      </c>
      <c r="N1210" t="str">
        <f>IF(TB[[#This Row],[售价]]&lt;1000,"低价商品",IF(TB[[#This Row],[售价]]&lt;5000,"中价商品",IF(TB[[#This Row],[售价]]&lt;10000,"高价商品","超高价商品")))</f>
        <v>中价商品</v>
      </c>
    </row>
    <row r="1211" spans="1:14" x14ac:dyDescent="0.2">
      <c r="A1211">
        <v>605</v>
      </c>
      <c r="B1211">
        <v>202</v>
      </c>
      <c r="C1211" t="s">
        <v>17</v>
      </c>
      <c r="D1211" t="s">
        <v>75</v>
      </c>
      <c r="E1211" t="s">
        <v>12</v>
      </c>
      <c r="F1211">
        <v>2</v>
      </c>
      <c r="G1211" t="s">
        <v>13</v>
      </c>
      <c r="H1211" s="1">
        <v>45953.432638888888</v>
      </c>
      <c r="I1211" s="5">
        <f>INT(TB[[#This Row],[时间戳]])</f>
        <v>45953</v>
      </c>
      <c r="J1211" s="2">
        <f>HOUR(TB[[#This Row],[时间戳]])</f>
        <v>10</v>
      </c>
      <c r="K1211">
        <v>4430</v>
      </c>
      <c r="L1211">
        <v>2</v>
      </c>
      <c r="M1211">
        <f>TB[[#This Row],[售价]]*TB[[#This Row],[销量]]</f>
        <v>8860</v>
      </c>
      <c r="N1211" t="str">
        <f>IF(TB[[#This Row],[售价]]&lt;1000,"低价商品",IF(TB[[#This Row],[售价]]&lt;5000,"中价商品",IF(TB[[#This Row],[售价]]&lt;10000,"高价商品","超高价商品")))</f>
        <v>中价商品</v>
      </c>
    </row>
    <row r="1212" spans="1:14" x14ac:dyDescent="0.2">
      <c r="A1212">
        <v>391</v>
      </c>
      <c r="B1212">
        <v>223</v>
      </c>
      <c r="C1212" t="s">
        <v>17</v>
      </c>
      <c r="D1212" t="s">
        <v>391</v>
      </c>
      <c r="E1212" t="s">
        <v>25</v>
      </c>
      <c r="F1212">
        <v>7</v>
      </c>
      <c r="G1212" t="s">
        <v>13</v>
      </c>
      <c r="H1212" s="1">
        <v>45953.442361111112</v>
      </c>
      <c r="I1212" s="5">
        <f>INT(TB[[#This Row],[时间戳]])</f>
        <v>45953</v>
      </c>
      <c r="J1212" s="2">
        <f>HOUR(TB[[#This Row],[时间戳]])</f>
        <v>10</v>
      </c>
      <c r="K1212">
        <v>6583</v>
      </c>
      <c r="L1212">
        <v>2</v>
      </c>
      <c r="M1212">
        <f>TB[[#This Row],[售价]]*TB[[#This Row],[销量]]</f>
        <v>13166</v>
      </c>
      <c r="N1212" t="str">
        <f>IF(TB[[#This Row],[售价]]&lt;1000,"低价商品",IF(TB[[#This Row],[售价]]&lt;5000,"中价商品",IF(TB[[#This Row],[售价]]&lt;10000,"高价商品","超高价商品")))</f>
        <v>高价商品</v>
      </c>
    </row>
    <row r="1213" spans="1:14" x14ac:dyDescent="0.2">
      <c r="A1213">
        <v>143</v>
      </c>
      <c r="B1213">
        <v>97</v>
      </c>
      <c r="C1213" t="s">
        <v>26</v>
      </c>
      <c r="D1213" t="s">
        <v>122</v>
      </c>
      <c r="E1213" t="s">
        <v>31</v>
      </c>
      <c r="F1213">
        <v>4</v>
      </c>
      <c r="G1213" t="s">
        <v>13</v>
      </c>
      <c r="H1213" s="1">
        <v>45953.453472222223</v>
      </c>
      <c r="I1213" s="5">
        <f>INT(TB[[#This Row],[时间戳]])</f>
        <v>45953</v>
      </c>
      <c r="J1213" s="2">
        <f>HOUR(TB[[#This Row],[时间戳]])</f>
        <v>10</v>
      </c>
      <c r="K1213">
        <v>1074</v>
      </c>
      <c r="L1213">
        <v>2</v>
      </c>
      <c r="M1213">
        <f>TB[[#This Row],[售价]]*TB[[#This Row],[销量]]</f>
        <v>2148</v>
      </c>
      <c r="N1213" t="str">
        <f>IF(TB[[#This Row],[售价]]&lt;1000,"低价商品",IF(TB[[#This Row],[售价]]&lt;5000,"中价商品",IF(TB[[#This Row],[售价]]&lt;10000,"高价商品","超高价商品")))</f>
        <v>中价商品</v>
      </c>
    </row>
    <row r="1214" spans="1:14" x14ac:dyDescent="0.2">
      <c r="A1214">
        <v>158</v>
      </c>
      <c r="B1214">
        <v>148</v>
      </c>
      <c r="C1214" t="s">
        <v>34</v>
      </c>
      <c r="D1214" t="s">
        <v>62</v>
      </c>
      <c r="E1214" t="s">
        <v>31</v>
      </c>
      <c r="F1214">
        <v>4</v>
      </c>
      <c r="G1214" t="s">
        <v>13</v>
      </c>
      <c r="H1214" s="1">
        <v>45953.456944444442</v>
      </c>
      <c r="I1214" s="5">
        <f>INT(TB[[#This Row],[时间戳]])</f>
        <v>45953</v>
      </c>
      <c r="J1214" s="2">
        <f>HOUR(TB[[#This Row],[时间戳]])</f>
        <v>10</v>
      </c>
      <c r="K1214">
        <v>1183</v>
      </c>
      <c r="L1214">
        <v>1</v>
      </c>
      <c r="M1214">
        <f>TB[[#This Row],[售价]]*TB[[#This Row],[销量]]</f>
        <v>1183</v>
      </c>
      <c r="N1214" t="str">
        <f>IF(TB[[#This Row],[售价]]&lt;1000,"低价商品",IF(TB[[#This Row],[售价]]&lt;5000,"中价商品",IF(TB[[#This Row],[售价]]&lt;10000,"高价商品","超高价商品")))</f>
        <v>中价商品</v>
      </c>
    </row>
    <row r="1215" spans="1:14" x14ac:dyDescent="0.2">
      <c r="A1215">
        <v>74</v>
      </c>
      <c r="B1215">
        <v>9</v>
      </c>
      <c r="C1215" t="s">
        <v>26</v>
      </c>
      <c r="D1215" t="s">
        <v>155</v>
      </c>
      <c r="E1215" t="s">
        <v>12</v>
      </c>
      <c r="F1215">
        <v>2</v>
      </c>
      <c r="G1215" t="s">
        <v>13</v>
      </c>
      <c r="H1215" s="1">
        <v>45953.486111111109</v>
      </c>
      <c r="I1215" s="5">
        <f>INT(TB[[#This Row],[时间戳]])</f>
        <v>45953</v>
      </c>
      <c r="J1215" s="2">
        <f>HOUR(TB[[#This Row],[时间戳]])</f>
        <v>11</v>
      </c>
      <c r="K1215">
        <v>14842</v>
      </c>
      <c r="L1215">
        <v>4</v>
      </c>
      <c r="M1215">
        <f>TB[[#This Row],[售价]]*TB[[#This Row],[销量]]</f>
        <v>59368</v>
      </c>
      <c r="N1215" t="str">
        <f>IF(TB[[#This Row],[售价]]&lt;1000,"低价商品",IF(TB[[#This Row],[售价]]&lt;5000,"中价商品",IF(TB[[#This Row],[售价]]&lt;10000,"高价商品","超高价商品")))</f>
        <v>超高价商品</v>
      </c>
    </row>
    <row r="1216" spans="1:14" x14ac:dyDescent="0.2">
      <c r="A1216">
        <v>448</v>
      </c>
      <c r="B1216">
        <v>70</v>
      </c>
      <c r="C1216" t="s">
        <v>44</v>
      </c>
      <c r="D1216" t="s">
        <v>242</v>
      </c>
      <c r="E1216" t="s">
        <v>16</v>
      </c>
      <c r="F1216">
        <v>6</v>
      </c>
      <c r="G1216" t="s">
        <v>13</v>
      </c>
      <c r="H1216" s="1">
        <v>45953.507638888892</v>
      </c>
      <c r="I1216" s="5">
        <f>INT(TB[[#This Row],[时间戳]])</f>
        <v>45953</v>
      </c>
      <c r="J1216" s="2">
        <f>HOUR(TB[[#This Row],[时间戳]])</f>
        <v>12</v>
      </c>
      <c r="K1216">
        <v>4528</v>
      </c>
      <c r="L1216">
        <v>2</v>
      </c>
      <c r="M1216">
        <f>TB[[#This Row],[售价]]*TB[[#This Row],[销量]]</f>
        <v>9056</v>
      </c>
      <c r="N1216" t="str">
        <f>IF(TB[[#This Row],[售价]]&lt;1000,"低价商品",IF(TB[[#This Row],[售价]]&lt;5000,"中价商品",IF(TB[[#This Row],[售价]]&lt;10000,"高价商品","超高价商品")))</f>
        <v>中价商品</v>
      </c>
    </row>
    <row r="1217" spans="1:14" x14ac:dyDescent="0.2">
      <c r="A1217">
        <v>713</v>
      </c>
      <c r="B1217">
        <v>218</v>
      </c>
      <c r="C1217" t="s">
        <v>17</v>
      </c>
      <c r="D1217" t="s">
        <v>126</v>
      </c>
      <c r="E1217" t="s">
        <v>39</v>
      </c>
      <c r="F1217">
        <v>5</v>
      </c>
      <c r="G1217" t="s">
        <v>13</v>
      </c>
      <c r="H1217" s="1">
        <v>45953.512499999997</v>
      </c>
      <c r="I1217" s="5">
        <f>INT(TB[[#This Row],[时间戳]])</f>
        <v>45953</v>
      </c>
      <c r="J1217" s="2">
        <f>HOUR(TB[[#This Row],[时间戳]])</f>
        <v>12</v>
      </c>
      <c r="K1217">
        <v>1016</v>
      </c>
      <c r="L1217">
        <v>3</v>
      </c>
      <c r="M1217">
        <f>TB[[#This Row],[售价]]*TB[[#This Row],[销量]]</f>
        <v>3048</v>
      </c>
      <c r="N1217" t="str">
        <f>IF(TB[[#This Row],[售价]]&lt;1000,"低价商品",IF(TB[[#This Row],[售价]]&lt;5000,"中价商品",IF(TB[[#This Row],[售价]]&lt;10000,"高价商品","超高价商品")))</f>
        <v>中价商品</v>
      </c>
    </row>
    <row r="1218" spans="1:14" x14ac:dyDescent="0.2">
      <c r="A1218">
        <v>435</v>
      </c>
      <c r="B1218">
        <v>283</v>
      </c>
      <c r="C1218" t="s">
        <v>44</v>
      </c>
      <c r="D1218" t="s">
        <v>239</v>
      </c>
      <c r="E1218" t="s">
        <v>39</v>
      </c>
      <c r="F1218">
        <v>5</v>
      </c>
      <c r="G1218" t="s">
        <v>13</v>
      </c>
      <c r="H1218" s="1">
        <v>45953.513888888891</v>
      </c>
      <c r="I1218" s="5">
        <f>INT(TB[[#This Row],[时间戳]])</f>
        <v>45953</v>
      </c>
      <c r="J1218" s="2">
        <f>HOUR(TB[[#This Row],[时间戳]])</f>
        <v>12</v>
      </c>
      <c r="K1218">
        <v>3244</v>
      </c>
      <c r="L1218">
        <v>2</v>
      </c>
      <c r="M1218">
        <f>TB[[#This Row],[售价]]*TB[[#This Row],[销量]]</f>
        <v>6488</v>
      </c>
      <c r="N1218" t="str">
        <f>IF(TB[[#This Row],[售价]]&lt;1000,"低价商品",IF(TB[[#This Row],[售价]]&lt;5000,"中价商品",IF(TB[[#This Row],[售价]]&lt;10000,"高价商品","超高价商品")))</f>
        <v>中价商品</v>
      </c>
    </row>
    <row r="1219" spans="1:14" x14ac:dyDescent="0.2">
      <c r="A1219">
        <v>232</v>
      </c>
      <c r="B1219">
        <v>96</v>
      </c>
      <c r="C1219" t="s">
        <v>17</v>
      </c>
      <c r="D1219" t="s">
        <v>279</v>
      </c>
      <c r="E1219" t="s">
        <v>22</v>
      </c>
      <c r="F1219">
        <v>1</v>
      </c>
      <c r="G1219" t="s">
        <v>13</v>
      </c>
      <c r="H1219" s="1">
        <v>45953.534722222219</v>
      </c>
      <c r="I1219" s="5">
        <f>INT(TB[[#This Row],[时间戳]])</f>
        <v>45953</v>
      </c>
      <c r="J1219" s="2">
        <f>HOUR(TB[[#This Row],[时间戳]])</f>
        <v>12</v>
      </c>
      <c r="K1219">
        <v>7748</v>
      </c>
      <c r="L1219">
        <v>2</v>
      </c>
      <c r="M1219">
        <f>TB[[#This Row],[售价]]*TB[[#This Row],[销量]]</f>
        <v>15496</v>
      </c>
      <c r="N1219" t="str">
        <f>IF(TB[[#This Row],[售价]]&lt;1000,"低价商品",IF(TB[[#This Row],[售价]]&lt;5000,"中价商品",IF(TB[[#This Row],[售价]]&lt;10000,"高价商品","超高价商品")))</f>
        <v>高价商品</v>
      </c>
    </row>
    <row r="1220" spans="1:14" x14ac:dyDescent="0.2">
      <c r="A1220">
        <v>511</v>
      </c>
      <c r="B1220">
        <v>122</v>
      </c>
      <c r="C1220" t="s">
        <v>10</v>
      </c>
      <c r="D1220" t="s">
        <v>189</v>
      </c>
      <c r="E1220" t="s">
        <v>22</v>
      </c>
      <c r="F1220">
        <v>1</v>
      </c>
      <c r="G1220" t="s">
        <v>42</v>
      </c>
      <c r="H1220" s="1">
        <v>45953.554861111108</v>
      </c>
      <c r="I1220" s="5">
        <f>INT(TB[[#This Row],[时间戳]])</f>
        <v>45953</v>
      </c>
      <c r="J1220" s="2">
        <f>HOUR(TB[[#This Row],[时间戳]])</f>
        <v>13</v>
      </c>
      <c r="K1220">
        <v>4588</v>
      </c>
      <c r="L1220">
        <v>0</v>
      </c>
      <c r="M1220">
        <f>TB[[#This Row],[售价]]*TB[[#This Row],[销量]]</f>
        <v>0</v>
      </c>
      <c r="N1220" t="str">
        <f>IF(TB[[#This Row],[售价]]&lt;1000,"低价商品",IF(TB[[#This Row],[售价]]&lt;5000,"中价商品",IF(TB[[#This Row],[售价]]&lt;10000,"高价商品","超高价商品")))</f>
        <v>中价商品</v>
      </c>
    </row>
    <row r="1221" spans="1:14" x14ac:dyDescent="0.2">
      <c r="A1221">
        <v>591</v>
      </c>
      <c r="B1221">
        <v>188</v>
      </c>
      <c r="C1221" t="s">
        <v>17</v>
      </c>
      <c r="D1221" t="s">
        <v>93</v>
      </c>
      <c r="E1221" t="s">
        <v>12</v>
      </c>
      <c r="F1221">
        <v>2</v>
      </c>
      <c r="G1221" t="s">
        <v>13</v>
      </c>
      <c r="H1221" s="1">
        <v>45953.560416666667</v>
      </c>
      <c r="I1221" s="5">
        <f>INT(TB[[#This Row],[时间戳]])</f>
        <v>45953</v>
      </c>
      <c r="J1221" s="2">
        <f>HOUR(TB[[#This Row],[时间戳]])</f>
        <v>13</v>
      </c>
      <c r="K1221">
        <v>12157</v>
      </c>
      <c r="L1221">
        <v>2</v>
      </c>
      <c r="M1221">
        <f>TB[[#This Row],[售价]]*TB[[#This Row],[销量]]</f>
        <v>24314</v>
      </c>
      <c r="N1221" t="str">
        <f>IF(TB[[#This Row],[售价]]&lt;1000,"低价商品",IF(TB[[#This Row],[售价]]&lt;5000,"中价商品",IF(TB[[#This Row],[售价]]&lt;10000,"高价商品","超高价商品")))</f>
        <v>超高价商品</v>
      </c>
    </row>
    <row r="1222" spans="1:14" x14ac:dyDescent="0.2">
      <c r="A1222">
        <v>722</v>
      </c>
      <c r="B1222">
        <v>189</v>
      </c>
      <c r="C1222" t="s">
        <v>46</v>
      </c>
      <c r="D1222" t="s">
        <v>47</v>
      </c>
      <c r="E1222" t="s">
        <v>22</v>
      </c>
      <c r="F1222">
        <v>1</v>
      </c>
      <c r="G1222" t="s">
        <v>13</v>
      </c>
      <c r="H1222" s="1">
        <v>45953.615972222222</v>
      </c>
      <c r="I1222" s="5">
        <f>INT(TB[[#This Row],[时间戳]])</f>
        <v>45953</v>
      </c>
      <c r="J1222" s="2">
        <f>HOUR(TB[[#This Row],[时间戳]])</f>
        <v>14</v>
      </c>
      <c r="K1222">
        <v>1093</v>
      </c>
      <c r="L1222">
        <v>1</v>
      </c>
      <c r="M1222">
        <f>TB[[#This Row],[售价]]*TB[[#This Row],[销量]]</f>
        <v>1093</v>
      </c>
      <c r="N1222" t="str">
        <f>IF(TB[[#This Row],[售价]]&lt;1000,"低价商品",IF(TB[[#This Row],[售价]]&lt;5000,"中价商品",IF(TB[[#This Row],[售价]]&lt;10000,"高价商品","超高价商品")))</f>
        <v>中价商品</v>
      </c>
    </row>
    <row r="1223" spans="1:14" x14ac:dyDescent="0.2">
      <c r="A1223">
        <v>146</v>
      </c>
      <c r="B1223">
        <v>270</v>
      </c>
      <c r="C1223" t="s">
        <v>44</v>
      </c>
      <c r="D1223" t="s">
        <v>347</v>
      </c>
      <c r="E1223" t="s">
        <v>39</v>
      </c>
      <c r="F1223">
        <v>5</v>
      </c>
      <c r="G1223" t="s">
        <v>13</v>
      </c>
      <c r="H1223" s="1">
        <v>45953.618750000001</v>
      </c>
      <c r="I1223" s="5">
        <f>INT(TB[[#This Row],[时间戳]])</f>
        <v>45953</v>
      </c>
      <c r="J1223" s="2">
        <f>HOUR(TB[[#This Row],[时间戳]])</f>
        <v>14</v>
      </c>
      <c r="K1223">
        <v>1360</v>
      </c>
      <c r="L1223">
        <v>3</v>
      </c>
      <c r="M1223">
        <f>TB[[#This Row],[售价]]*TB[[#This Row],[销量]]</f>
        <v>4080</v>
      </c>
      <c r="N1223" t="str">
        <f>IF(TB[[#This Row],[售价]]&lt;1000,"低价商品",IF(TB[[#This Row],[售价]]&lt;5000,"中价商品",IF(TB[[#This Row],[售价]]&lt;10000,"高价商品","超高价商品")))</f>
        <v>中价商品</v>
      </c>
    </row>
    <row r="1224" spans="1:14" x14ac:dyDescent="0.2">
      <c r="A1224">
        <v>530</v>
      </c>
      <c r="B1224">
        <v>41</v>
      </c>
      <c r="C1224" t="s">
        <v>36</v>
      </c>
      <c r="D1224" t="s">
        <v>83</v>
      </c>
      <c r="E1224" t="s">
        <v>22</v>
      </c>
      <c r="F1224">
        <v>1</v>
      </c>
      <c r="G1224" t="s">
        <v>42</v>
      </c>
      <c r="H1224" s="1">
        <v>45953.629166666666</v>
      </c>
      <c r="I1224" s="5">
        <f>INT(TB[[#This Row],[时间戳]])</f>
        <v>45953</v>
      </c>
      <c r="J1224" s="2">
        <f>HOUR(TB[[#This Row],[时间戳]])</f>
        <v>15</v>
      </c>
      <c r="K1224">
        <v>7346</v>
      </c>
      <c r="L1224">
        <v>0</v>
      </c>
      <c r="M1224">
        <f>TB[[#This Row],[售价]]*TB[[#This Row],[销量]]</f>
        <v>0</v>
      </c>
      <c r="N1224" t="str">
        <f>IF(TB[[#This Row],[售价]]&lt;1000,"低价商品",IF(TB[[#This Row],[售价]]&lt;5000,"中价商品",IF(TB[[#This Row],[售价]]&lt;10000,"高价商品","超高价商品")))</f>
        <v>高价商品</v>
      </c>
    </row>
    <row r="1225" spans="1:14" x14ac:dyDescent="0.2">
      <c r="A1225">
        <v>484</v>
      </c>
      <c r="B1225">
        <v>40</v>
      </c>
      <c r="C1225" t="s">
        <v>14</v>
      </c>
      <c r="D1225" t="s">
        <v>356</v>
      </c>
      <c r="E1225" t="s">
        <v>16</v>
      </c>
      <c r="F1225">
        <v>6</v>
      </c>
      <c r="G1225" t="s">
        <v>13</v>
      </c>
      <c r="H1225" s="1">
        <v>45953.681944444441</v>
      </c>
      <c r="I1225" s="5">
        <f>INT(TB[[#This Row],[时间戳]])</f>
        <v>45953</v>
      </c>
      <c r="J1225" s="2">
        <f>HOUR(TB[[#This Row],[时间戳]])</f>
        <v>16</v>
      </c>
      <c r="K1225">
        <v>10686</v>
      </c>
      <c r="L1225">
        <v>1</v>
      </c>
      <c r="M1225">
        <f>TB[[#This Row],[售价]]*TB[[#This Row],[销量]]</f>
        <v>10686</v>
      </c>
      <c r="N1225" t="str">
        <f>IF(TB[[#This Row],[售价]]&lt;1000,"低价商品",IF(TB[[#This Row],[售价]]&lt;5000,"中价商品",IF(TB[[#This Row],[售价]]&lt;10000,"高价商品","超高价商品")))</f>
        <v>超高价商品</v>
      </c>
    </row>
    <row r="1226" spans="1:14" x14ac:dyDescent="0.2">
      <c r="A1226">
        <v>320</v>
      </c>
      <c r="B1226">
        <v>28</v>
      </c>
      <c r="C1226" t="s">
        <v>20</v>
      </c>
      <c r="D1226" t="s">
        <v>21</v>
      </c>
      <c r="E1226" t="s">
        <v>22</v>
      </c>
      <c r="F1226">
        <v>1</v>
      </c>
      <c r="G1226" t="s">
        <v>13</v>
      </c>
      <c r="H1226" s="1">
        <v>45953.692361111112</v>
      </c>
      <c r="I1226" s="5">
        <f>INT(TB[[#This Row],[时间戳]])</f>
        <v>45953</v>
      </c>
      <c r="J1226" s="2">
        <f>HOUR(TB[[#This Row],[时间戳]])</f>
        <v>16</v>
      </c>
      <c r="K1226">
        <v>6727</v>
      </c>
      <c r="L1226">
        <v>3</v>
      </c>
      <c r="M1226">
        <f>TB[[#This Row],[售价]]*TB[[#This Row],[销量]]</f>
        <v>20181</v>
      </c>
      <c r="N1226" t="str">
        <f>IF(TB[[#This Row],[售价]]&lt;1000,"低价商品",IF(TB[[#This Row],[售价]]&lt;5000,"中价商品",IF(TB[[#This Row],[售价]]&lt;10000,"高价商品","超高价商品")))</f>
        <v>高价商品</v>
      </c>
    </row>
    <row r="1227" spans="1:14" x14ac:dyDescent="0.2">
      <c r="A1227">
        <v>465</v>
      </c>
      <c r="B1227">
        <v>263</v>
      </c>
      <c r="C1227" t="s">
        <v>10</v>
      </c>
      <c r="D1227" t="s">
        <v>216</v>
      </c>
      <c r="E1227" t="s">
        <v>39</v>
      </c>
      <c r="F1227">
        <v>5</v>
      </c>
      <c r="G1227" t="s">
        <v>13</v>
      </c>
      <c r="H1227" s="1">
        <v>45953.711111111108</v>
      </c>
      <c r="I1227" s="5">
        <f>INT(TB[[#This Row],[时间戳]])</f>
        <v>45953</v>
      </c>
      <c r="J1227" s="2">
        <f>HOUR(TB[[#This Row],[时间戳]])</f>
        <v>17</v>
      </c>
      <c r="K1227">
        <v>2280</v>
      </c>
      <c r="L1227">
        <v>2</v>
      </c>
      <c r="M1227">
        <f>TB[[#This Row],[售价]]*TB[[#This Row],[销量]]</f>
        <v>4560</v>
      </c>
      <c r="N1227" t="str">
        <f>IF(TB[[#This Row],[售价]]&lt;1000,"低价商品",IF(TB[[#This Row],[售价]]&lt;5000,"中价商品",IF(TB[[#This Row],[售价]]&lt;10000,"高价商品","超高价商品")))</f>
        <v>中价商品</v>
      </c>
    </row>
    <row r="1228" spans="1:14" x14ac:dyDescent="0.2">
      <c r="A1228">
        <v>362</v>
      </c>
      <c r="B1228">
        <v>151</v>
      </c>
      <c r="C1228" t="s">
        <v>34</v>
      </c>
      <c r="D1228" t="s">
        <v>57</v>
      </c>
      <c r="E1228" t="s">
        <v>12</v>
      </c>
      <c r="F1228">
        <v>2</v>
      </c>
      <c r="G1228" t="s">
        <v>13</v>
      </c>
      <c r="H1228" s="1">
        <v>45953.720138888886</v>
      </c>
      <c r="I1228" s="5">
        <f>INT(TB[[#This Row],[时间戳]])</f>
        <v>45953</v>
      </c>
      <c r="J1228" s="2">
        <f>HOUR(TB[[#This Row],[时间戳]])</f>
        <v>17</v>
      </c>
      <c r="K1228">
        <v>11780</v>
      </c>
      <c r="L1228">
        <v>1</v>
      </c>
      <c r="M1228">
        <f>TB[[#This Row],[售价]]*TB[[#This Row],[销量]]</f>
        <v>11780</v>
      </c>
      <c r="N1228" t="str">
        <f>IF(TB[[#This Row],[售价]]&lt;1000,"低价商品",IF(TB[[#This Row],[售价]]&lt;5000,"中价商品",IF(TB[[#This Row],[售价]]&lt;10000,"高价商品","超高价商品")))</f>
        <v>超高价商品</v>
      </c>
    </row>
    <row r="1229" spans="1:14" x14ac:dyDescent="0.2">
      <c r="A1229">
        <v>612</v>
      </c>
      <c r="B1229">
        <v>156</v>
      </c>
      <c r="C1229" t="s">
        <v>10</v>
      </c>
      <c r="D1229" t="s">
        <v>68</v>
      </c>
      <c r="E1229" t="s">
        <v>22</v>
      </c>
      <c r="F1229">
        <v>1</v>
      </c>
      <c r="G1229" t="s">
        <v>42</v>
      </c>
      <c r="H1229" s="1">
        <v>45953.726388888892</v>
      </c>
      <c r="I1229" s="5">
        <f>INT(TB[[#This Row],[时间戳]])</f>
        <v>45953</v>
      </c>
      <c r="J1229" s="2">
        <f>HOUR(TB[[#This Row],[时间戳]])</f>
        <v>17</v>
      </c>
      <c r="K1229">
        <v>3254</v>
      </c>
      <c r="L1229">
        <v>0</v>
      </c>
      <c r="M1229">
        <f>TB[[#This Row],[售价]]*TB[[#This Row],[销量]]</f>
        <v>0</v>
      </c>
      <c r="N1229" t="str">
        <f>IF(TB[[#This Row],[售价]]&lt;1000,"低价商品",IF(TB[[#This Row],[售价]]&lt;5000,"中价商品",IF(TB[[#This Row],[售价]]&lt;10000,"高价商品","超高价商品")))</f>
        <v>中价商品</v>
      </c>
    </row>
    <row r="1230" spans="1:14" x14ac:dyDescent="0.2">
      <c r="A1230">
        <v>593</v>
      </c>
      <c r="B1230">
        <v>87</v>
      </c>
      <c r="C1230" t="s">
        <v>10</v>
      </c>
      <c r="D1230" t="s">
        <v>351</v>
      </c>
      <c r="E1230" t="s">
        <v>31</v>
      </c>
      <c r="F1230">
        <v>4</v>
      </c>
      <c r="G1230" t="s">
        <v>13</v>
      </c>
      <c r="H1230" s="1">
        <v>45953.802083333336</v>
      </c>
      <c r="I1230" s="5">
        <f>INT(TB[[#This Row],[时间戳]])</f>
        <v>45953</v>
      </c>
      <c r="J1230" s="2">
        <f>HOUR(TB[[#This Row],[时间戳]])</f>
        <v>19</v>
      </c>
      <c r="K1230">
        <v>1137</v>
      </c>
      <c r="L1230">
        <v>3</v>
      </c>
      <c r="M1230">
        <f>TB[[#This Row],[售价]]*TB[[#This Row],[销量]]</f>
        <v>3411</v>
      </c>
      <c r="N1230" t="str">
        <f>IF(TB[[#This Row],[售价]]&lt;1000,"低价商品",IF(TB[[#This Row],[售价]]&lt;5000,"中价商品",IF(TB[[#This Row],[售价]]&lt;10000,"高价商品","超高价商品")))</f>
        <v>中价商品</v>
      </c>
    </row>
    <row r="1231" spans="1:14" x14ac:dyDescent="0.2">
      <c r="A1231">
        <v>640</v>
      </c>
      <c r="B1231">
        <v>14</v>
      </c>
      <c r="C1231" t="s">
        <v>36</v>
      </c>
      <c r="D1231" t="s">
        <v>146</v>
      </c>
      <c r="E1231" t="s">
        <v>22</v>
      </c>
      <c r="F1231">
        <v>1</v>
      </c>
      <c r="G1231" t="s">
        <v>42</v>
      </c>
      <c r="H1231" s="1">
        <v>45953.811805555553</v>
      </c>
      <c r="I1231" s="5">
        <f>INT(TB[[#This Row],[时间戳]])</f>
        <v>45953</v>
      </c>
      <c r="J1231" s="2">
        <f>HOUR(TB[[#This Row],[时间戳]])</f>
        <v>19</v>
      </c>
      <c r="K1231">
        <v>5518</v>
      </c>
      <c r="L1231">
        <v>0</v>
      </c>
      <c r="M1231">
        <f>TB[[#This Row],[售价]]*TB[[#This Row],[销量]]</f>
        <v>0</v>
      </c>
      <c r="N1231" t="str">
        <f>IF(TB[[#This Row],[售价]]&lt;1000,"低价商品",IF(TB[[#This Row],[售价]]&lt;5000,"中价商品",IF(TB[[#This Row],[售价]]&lt;10000,"高价商品","超高价商品")))</f>
        <v>高价商品</v>
      </c>
    </row>
    <row r="1232" spans="1:14" x14ac:dyDescent="0.2">
      <c r="A1232">
        <v>518</v>
      </c>
      <c r="B1232">
        <v>40</v>
      </c>
      <c r="C1232" t="s">
        <v>14</v>
      </c>
      <c r="D1232" t="s">
        <v>190</v>
      </c>
      <c r="E1232" t="s">
        <v>12</v>
      </c>
      <c r="F1232">
        <v>2</v>
      </c>
      <c r="G1232" t="s">
        <v>13</v>
      </c>
      <c r="H1232" s="1">
        <v>45953.853472222225</v>
      </c>
      <c r="I1232" s="5">
        <f>INT(TB[[#This Row],[时间戳]])</f>
        <v>45953</v>
      </c>
      <c r="J1232" s="2">
        <f>HOUR(TB[[#This Row],[时间戳]])</f>
        <v>20</v>
      </c>
      <c r="K1232">
        <v>8747</v>
      </c>
      <c r="L1232">
        <v>3</v>
      </c>
      <c r="M1232">
        <f>TB[[#This Row],[售价]]*TB[[#This Row],[销量]]</f>
        <v>26241</v>
      </c>
      <c r="N1232" t="str">
        <f>IF(TB[[#This Row],[售价]]&lt;1000,"低价商品",IF(TB[[#This Row],[售价]]&lt;5000,"中价商品",IF(TB[[#This Row],[售价]]&lt;10000,"高价商品","超高价商品")))</f>
        <v>高价商品</v>
      </c>
    </row>
    <row r="1233" spans="1:14" x14ac:dyDescent="0.2">
      <c r="A1233">
        <v>288</v>
      </c>
      <c r="B1233">
        <v>141</v>
      </c>
      <c r="C1233" t="s">
        <v>26</v>
      </c>
      <c r="D1233" t="s">
        <v>94</v>
      </c>
      <c r="E1233" t="s">
        <v>12</v>
      </c>
      <c r="F1233">
        <v>2</v>
      </c>
      <c r="G1233" t="s">
        <v>13</v>
      </c>
      <c r="H1233" s="1">
        <v>45953.85833333333</v>
      </c>
      <c r="I1233" s="5">
        <f>INT(TB[[#This Row],[时间戳]])</f>
        <v>45953</v>
      </c>
      <c r="J1233" s="2">
        <f>HOUR(TB[[#This Row],[时间戳]])</f>
        <v>20</v>
      </c>
      <c r="K1233">
        <v>8481</v>
      </c>
      <c r="L1233">
        <v>2</v>
      </c>
      <c r="M1233">
        <f>TB[[#This Row],[售价]]*TB[[#This Row],[销量]]</f>
        <v>16962</v>
      </c>
      <c r="N1233" t="str">
        <f>IF(TB[[#This Row],[售价]]&lt;1000,"低价商品",IF(TB[[#This Row],[售价]]&lt;5000,"中价商品",IF(TB[[#This Row],[售价]]&lt;10000,"高价商品","超高价商品")))</f>
        <v>高价商品</v>
      </c>
    </row>
    <row r="1234" spans="1:14" x14ac:dyDescent="0.2">
      <c r="A1234">
        <v>179</v>
      </c>
      <c r="B1234">
        <v>78</v>
      </c>
      <c r="C1234" t="s">
        <v>14</v>
      </c>
      <c r="D1234" t="s">
        <v>52</v>
      </c>
      <c r="E1234" t="s">
        <v>31</v>
      </c>
      <c r="F1234">
        <v>4</v>
      </c>
      <c r="G1234" t="s">
        <v>42</v>
      </c>
      <c r="H1234" s="1">
        <v>45953.862500000003</v>
      </c>
      <c r="I1234" s="5">
        <f>INT(TB[[#This Row],[时间戳]])</f>
        <v>45953</v>
      </c>
      <c r="J1234" s="2">
        <f>HOUR(TB[[#This Row],[时间戳]])</f>
        <v>20</v>
      </c>
      <c r="K1234">
        <v>383</v>
      </c>
      <c r="L1234">
        <v>0</v>
      </c>
      <c r="M1234">
        <f>TB[[#This Row],[售价]]*TB[[#This Row],[销量]]</f>
        <v>0</v>
      </c>
      <c r="N1234" t="str">
        <f>IF(TB[[#This Row],[售价]]&lt;1000,"低价商品",IF(TB[[#This Row],[售价]]&lt;5000,"中价商品",IF(TB[[#This Row],[售价]]&lt;10000,"高价商品","超高价商品")))</f>
        <v>低价商品</v>
      </c>
    </row>
    <row r="1235" spans="1:14" x14ac:dyDescent="0.2">
      <c r="A1235">
        <v>268</v>
      </c>
      <c r="B1235">
        <v>121</v>
      </c>
      <c r="C1235" t="s">
        <v>34</v>
      </c>
      <c r="D1235" t="s">
        <v>175</v>
      </c>
      <c r="E1235" t="s">
        <v>22</v>
      </c>
      <c r="F1235">
        <v>1</v>
      </c>
      <c r="G1235" t="s">
        <v>42</v>
      </c>
      <c r="H1235" s="1">
        <v>45953.863194444442</v>
      </c>
      <c r="I1235" s="5">
        <f>INT(TB[[#This Row],[时间戳]])</f>
        <v>45953</v>
      </c>
      <c r="J1235" s="2">
        <f>HOUR(TB[[#This Row],[时间戳]])</f>
        <v>20</v>
      </c>
      <c r="K1235">
        <v>6427</v>
      </c>
      <c r="L1235">
        <v>0</v>
      </c>
      <c r="M1235">
        <f>TB[[#This Row],[售价]]*TB[[#This Row],[销量]]</f>
        <v>0</v>
      </c>
      <c r="N1235" t="str">
        <f>IF(TB[[#This Row],[售价]]&lt;1000,"低价商品",IF(TB[[#This Row],[售价]]&lt;5000,"中价商品",IF(TB[[#This Row],[售价]]&lt;10000,"高价商品","超高价商品")))</f>
        <v>高价商品</v>
      </c>
    </row>
    <row r="1236" spans="1:14" x14ac:dyDescent="0.2">
      <c r="A1236">
        <v>352</v>
      </c>
      <c r="B1236">
        <v>44</v>
      </c>
      <c r="C1236" t="s">
        <v>20</v>
      </c>
      <c r="D1236" t="s">
        <v>72</v>
      </c>
      <c r="E1236" t="s">
        <v>25</v>
      </c>
      <c r="F1236">
        <v>7</v>
      </c>
      <c r="G1236" t="s">
        <v>42</v>
      </c>
      <c r="H1236" s="1">
        <v>45953.882638888892</v>
      </c>
      <c r="I1236" s="5">
        <f>INT(TB[[#This Row],[时间戳]])</f>
        <v>45953</v>
      </c>
      <c r="J1236" s="2">
        <f>HOUR(TB[[#This Row],[时间戳]])</f>
        <v>21</v>
      </c>
      <c r="K1236">
        <v>5364</v>
      </c>
      <c r="L1236">
        <v>0</v>
      </c>
      <c r="M1236">
        <f>TB[[#This Row],[售价]]*TB[[#This Row],[销量]]</f>
        <v>0</v>
      </c>
      <c r="N1236" t="str">
        <f>IF(TB[[#This Row],[售价]]&lt;1000,"低价商品",IF(TB[[#This Row],[售价]]&lt;5000,"中价商品",IF(TB[[#This Row],[售价]]&lt;10000,"高价商品","超高价商品")))</f>
        <v>高价商品</v>
      </c>
    </row>
    <row r="1237" spans="1:14" x14ac:dyDescent="0.2">
      <c r="A1237">
        <v>771</v>
      </c>
      <c r="B1237">
        <v>212</v>
      </c>
      <c r="C1237" t="s">
        <v>26</v>
      </c>
      <c r="D1237" t="s">
        <v>95</v>
      </c>
      <c r="E1237" t="s">
        <v>22</v>
      </c>
      <c r="F1237">
        <v>1</v>
      </c>
      <c r="G1237" t="s">
        <v>13</v>
      </c>
      <c r="H1237" s="1">
        <v>45953.890972222223</v>
      </c>
      <c r="I1237" s="5">
        <f>INT(TB[[#This Row],[时间戳]])</f>
        <v>45953</v>
      </c>
      <c r="J1237" s="2">
        <f>HOUR(TB[[#This Row],[时间戳]])</f>
        <v>21</v>
      </c>
      <c r="K1237">
        <v>2292</v>
      </c>
      <c r="L1237">
        <v>3</v>
      </c>
      <c r="M1237">
        <f>TB[[#This Row],[售价]]*TB[[#This Row],[销量]]</f>
        <v>6876</v>
      </c>
      <c r="N1237" t="str">
        <f>IF(TB[[#This Row],[售价]]&lt;1000,"低价商品",IF(TB[[#This Row],[售价]]&lt;5000,"中价商品",IF(TB[[#This Row],[售价]]&lt;10000,"高价商品","超高价商品")))</f>
        <v>中价商品</v>
      </c>
    </row>
    <row r="1238" spans="1:14" x14ac:dyDescent="0.2">
      <c r="A1238">
        <v>744</v>
      </c>
      <c r="B1238">
        <v>86</v>
      </c>
      <c r="C1238" t="s">
        <v>32</v>
      </c>
      <c r="D1238" t="s">
        <v>101</v>
      </c>
      <c r="E1238" t="s">
        <v>39</v>
      </c>
      <c r="F1238">
        <v>5</v>
      </c>
      <c r="G1238" t="s">
        <v>13</v>
      </c>
      <c r="H1238" s="1">
        <v>45953.927777777775</v>
      </c>
      <c r="I1238" s="5">
        <f>INT(TB[[#This Row],[时间戳]])</f>
        <v>45953</v>
      </c>
      <c r="J1238" s="2">
        <f>HOUR(TB[[#This Row],[时间戳]])</f>
        <v>22</v>
      </c>
      <c r="K1238">
        <v>3951</v>
      </c>
      <c r="L1238">
        <v>1</v>
      </c>
      <c r="M1238">
        <f>TB[[#This Row],[售价]]*TB[[#This Row],[销量]]</f>
        <v>3951</v>
      </c>
      <c r="N1238" t="str">
        <f>IF(TB[[#This Row],[售价]]&lt;1000,"低价商品",IF(TB[[#This Row],[售价]]&lt;5000,"中价商品",IF(TB[[#This Row],[售价]]&lt;10000,"高价商品","超高价商品")))</f>
        <v>中价商品</v>
      </c>
    </row>
    <row r="1239" spans="1:14" x14ac:dyDescent="0.2">
      <c r="A1239">
        <v>658</v>
      </c>
      <c r="B1239">
        <v>136</v>
      </c>
      <c r="C1239" t="s">
        <v>34</v>
      </c>
      <c r="D1239" t="s">
        <v>108</v>
      </c>
      <c r="E1239" t="s">
        <v>19</v>
      </c>
      <c r="F1239">
        <v>3</v>
      </c>
      <c r="G1239" t="s">
        <v>13</v>
      </c>
      <c r="H1239" s="1">
        <v>45953.939583333333</v>
      </c>
      <c r="I1239" s="5">
        <f>INT(TB[[#This Row],[时间戳]])</f>
        <v>45953</v>
      </c>
      <c r="J1239" s="2">
        <f>HOUR(TB[[#This Row],[时间戳]])</f>
        <v>22</v>
      </c>
      <c r="K1239">
        <v>3322</v>
      </c>
      <c r="L1239">
        <v>2</v>
      </c>
      <c r="M1239">
        <f>TB[[#This Row],[售价]]*TB[[#This Row],[销量]]</f>
        <v>6644</v>
      </c>
      <c r="N1239" t="str">
        <f>IF(TB[[#This Row],[售价]]&lt;1000,"低价商品",IF(TB[[#This Row],[售价]]&lt;5000,"中价商品",IF(TB[[#This Row],[售价]]&lt;10000,"高价商品","超高价商品")))</f>
        <v>中价商品</v>
      </c>
    </row>
    <row r="1240" spans="1:14" x14ac:dyDescent="0.2">
      <c r="A1240">
        <v>476</v>
      </c>
      <c r="B1240">
        <v>205</v>
      </c>
      <c r="C1240" t="s">
        <v>10</v>
      </c>
      <c r="D1240" t="s">
        <v>24</v>
      </c>
      <c r="E1240" t="s">
        <v>25</v>
      </c>
      <c r="F1240">
        <v>7</v>
      </c>
      <c r="G1240" t="s">
        <v>13</v>
      </c>
      <c r="H1240" s="1">
        <v>45954.00277777778</v>
      </c>
      <c r="I1240" s="5">
        <f>INT(TB[[#This Row],[时间戳]])</f>
        <v>45954</v>
      </c>
      <c r="J1240" s="2">
        <f>HOUR(TB[[#This Row],[时间戳]])</f>
        <v>0</v>
      </c>
      <c r="K1240">
        <v>7547</v>
      </c>
      <c r="L1240">
        <v>2</v>
      </c>
      <c r="M1240">
        <f>TB[[#This Row],[售价]]*TB[[#This Row],[销量]]</f>
        <v>15094</v>
      </c>
      <c r="N1240" t="str">
        <f>IF(TB[[#This Row],[售价]]&lt;1000,"低价商品",IF(TB[[#This Row],[售价]]&lt;5000,"中价商品",IF(TB[[#This Row],[售价]]&lt;10000,"高价商品","超高价商品")))</f>
        <v>高价商品</v>
      </c>
    </row>
    <row r="1241" spans="1:14" x14ac:dyDescent="0.2">
      <c r="A1241">
        <v>771</v>
      </c>
      <c r="B1241">
        <v>273</v>
      </c>
      <c r="C1241" t="s">
        <v>44</v>
      </c>
      <c r="D1241" t="s">
        <v>236</v>
      </c>
      <c r="E1241" t="s">
        <v>12</v>
      </c>
      <c r="F1241">
        <v>2</v>
      </c>
      <c r="G1241" t="s">
        <v>13</v>
      </c>
      <c r="H1241" s="1">
        <v>45954.006944444445</v>
      </c>
      <c r="I1241" s="5">
        <f>INT(TB[[#This Row],[时间戳]])</f>
        <v>45954</v>
      </c>
      <c r="J1241" s="2">
        <f>HOUR(TB[[#This Row],[时间戳]])</f>
        <v>0</v>
      </c>
      <c r="K1241">
        <v>11756</v>
      </c>
      <c r="L1241">
        <v>4</v>
      </c>
      <c r="M1241">
        <f>TB[[#This Row],[售价]]*TB[[#This Row],[销量]]</f>
        <v>47024</v>
      </c>
      <c r="N1241" t="str">
        <f>IF(TB[[#This Row],[售价]]&lt;1000,"低价商品",IF(TB[[#This Row],[售价]]&lt;5000,"中价商品",IF(TB[[#This Row],[售价]]&lt;10000,"高价商品","超高价商品")))</f>
        <v>超高价商品</v>
      </c>
    </row>
    <row r="1242" spans="1:14" x14ac:dyDescent="0.2">
      <c r="A1242">
        <v>269</v>
      </c>
      <c r="B1242">
        <v>75</v>
      </c>
      <c r="C1242" t="s">
        <v>17</v>
      </c>
      <c r="D1242" t="s">
        <v>177</v>
      </c>
      <c r="E1242" t="s">
        <v>22</v>
      </c>
      <c r="F1242">
        <v>1</v>
      </c>
      <c r="G1242" t="s">
        <v>13</v>
      </c>
      <c r="H1242" s="1">
        <v>45954.043749999997</v>
      </c>
      <c r="I1242" s="5">
        <f>INT(TB[[#This Row],[时间戳]])</f>
        <v>45954</v>
      </c>
      <c r="J1242" s="2">
        <f>HOUR(TB[[#This Row],[时间戳]])</f>
        <v>1</v>
      </c>
      <c r="K1242">
        <v>2908</v>
      </c>
      <c r="L1242">
        <v>1</v>
      </c>
      <c r="M1242">
        <f>TB[[#This Row],[售价]]*TB[[#This Row],[销量]]</f>
        <v>2908</v>
      </c>
      <c r="N1242" t="str">
        <f>IF(TB[[#This Row],[售价]]&lt;1000,"低价商品",IF(TB[[#This Row],[售价]]&lt;5000,"中价商品",IF(TB[[#This Row],[售价]]&lt;10000,"高价商品","超高价商品")))</f>
        <v>中价商品</v>
      </c>
    </row>
    <row r="1243" spans="1:14" x14ac:dyDescent="0.2">
      <c r="A1243">
        <v>460</v>
      </c>
      <c r="B1243">
        <v>196</v>
      </c>
      <c r="C1243" t="s">
        <v>10</v>
      </c>
      <c r="D1243" t="s">
        <v>241</v>
      </c>
      <c r="E1243" t="s">
        <v>12</v>
      </c>
      <c r="F1243">
        <v>2</v>
      </c>
      <c r="G1243" t="s">
        <v>13</v>
      </c>
      <c r="H1243" s="1">
        <v>45954.071527777778</v>
      </c>
      <c r="I1243" s="5">
        <f>INT(TB[[#This Row],[时间戳]])</f>
        <v>45954</v>
      </c>
      <c r="J1243" s="2">
        <f>HOUR(TB[[#This Row],[时间戳]])</f>
        <v>1</v>
      </c>
      <c r="K1243">
        <v>12712</v>
      </c>
      <c r="L1243">
        <v>1</v>
      </c>
      <c r="M1243">
        <f>TB[[#This Row],[售价]]*TB[[#This Row],[销量]]</f>
        <v>12712</v>
      </c>
      <c r="N1243" t="str">
        <f>IF(TB[[#This Row],[售价]]&lt;1000,"低价商品",IF(TB[[#This Row],[售价]]&lt;5000,"中价商品",IF(TB[[#This Row],[售价]]&lt;10000,"高价商品","超高价商品")))</f>
        <v>超高价商品</v>
      </c>
    </row>
    <row r="1244" spans="1:14" x14ac:dyDescent="0.2">
      <c r="A1244">
        <v>545</v>
      </c>
      <c r="B1244">
        <v>182</v>
      </c>
      <c r="C1244" t="s">
        <v>10</v>
      </c>
      <c r="D1244" t="s">
        <v>376</v>
      </c>
      <c r="E1244" t="s">
        <v>12</v>
      </c>
      <c r="F1244">
        <v>2</v>
      </c>
      <c r="G1244" t="s">
        <v>13</v>
      </c>
      <c r="H1244" s="1">
        <v>45954.098611111112</v>
      </c>
      <c r="I1244" s="5">
        <f>INT(TB[[#This Row],[时间戳]])</f>
        <v>45954</v>
      </c>
      <c r="J1244" s="2">
        <f>HOUR(TB[[#This Row],[时间戳]])</f>
        <v>2</v>
      </c>
      <c r="K1244">
        <v>9243</v>
      </c>
      <c r="L1244">
        <v>4</v>
      </c>
      <c r="M1244">
        <f>TB[[#This Row],[售价]]*TB[[#This Row],[销量]]</f>
        <v>36972</v>
      </c>
      <c r="N1244" t="str">
        <f>IF(TB[[#This Row],[售价]]&lt;1000,"低价商品",IF(TB[[#This Row],[售价]]&lt;5000,"中价商品",IF(TB[[#This Row],[售价]]&lt;10000,"高价商品","超高价商品")))</f>
        <v>高价商品</v>
      </c>
    </row>
    <row r="1245" spans="1:14" x14ac:dyDescent="0.2">
      <c r="A1245">
        <v>277</v>
      </c>
      <c r="B1245">
        <v>137</v>
      </c>
      <c r="C1245" t="s">
        <v>36</v>
      </c>
      <c r="D1245" t="s">
        <v>337</v>
      </c>
      <c r="E1245" t="s">
        <v>25</v>
      </c>
      <c r="F1245">
        <v>7</v>
      </c>
      <c r="G1245" t="s">
        <v>13</v>
      </c>
      <c r="H1245" s="1">
        <v>45954.133333333331</v>
      </c>
      <c r="I1245" s="5">
        <f>INT(TB[[#This Row],[时间戳]])</f>
        <v>45954</v>
      </c>
      <c r="J1245" s="2">
        <f>HOUR(TB[[#This Row],[时间戳]])</f>
        <v>3</v>
      </c>
      <c r="K1245">
        <v>5149</v>
      </c>
      <c r="L1245">
        <v>1</v>
      </c>
      <c r="M1245">
        <f>TB[[#This Row],[售价]]*TB[[#This Row],[销量]]</f>
        <v>5149</v>
      </c>
      <c r="N1245" t="str">
        <f>IF(TB[[#This Row],[售价]]&lt;1000,"低价商品",IF(TB[[#This Row],[售价]]&lt;5000,"中价商品",IF(TB[[#This Row],[售价]]&lt;10000,"高价商品","超高价商品")))</f>
        <v>高价商品</v>
      </c>
    </row>
    <row r="1246" spans="1:14" x14ac:dyDescent="0.2">
      <c r="A1246">
        <v>599</v>
      </c>
      <c r="B1246">
        <v>201</v>
      </c>
      <c r="C1246" t="s">
        <v>36</v>
      </c>
      <c r="D1246" t="s">
        <v>146</v>
      </c>
      <c r="E1246" t="s">
        <v>22</v>
      </c>
      <c r="F1246">
        <v>1</v>
      </c>
      <c r="G1246" t="s">
        <v>13</v>
      </c>
      <c r="H1246" s="1">
        <v>45954.15902777778</v>
      </c>
      <c r="I1246" s="5">
        <f>INT(TB[[#This Row],[时间戳]])</f>
        <v>45954</v>
      </c>
      <c r="J1246" s="2">
        <f>HOUR(TB[[#This Row],[时间戳]])</f>
        <v>3</v>
      </c>
      <c r="K1246">
        <v>7422</v>
      </c>
      <c r="L1246">
        <v>4</v>
      </c>
      <c r="M1246">
        <f>TB[[#This Row],[售价]]*TB[[#This Row],[销量]]</f>
        <v>29688</v>
      </c>
      <c r="N1246" t="str">
        <f>IF(TB[[#This Row],[售价]]&lt;1000,"低价商品",IF(TB[[#This Row],[售价]]&lt;5000,"中价商品",IF(TB[[#This Row],[售价]]&lt;10000,"高价商品","超高价商品")))</f>
        <v>高价商品</v>
      </c>
    </row>
    <row r="1247" spans="1:14" x14ac:dyDescent="0.2">
      <c r="A1247">
        <v>689</v>
      </c>
      <c r="B1247">
        <v>100</v>
      </c>
      <c r="C1247" t="s">
        <v>32</v>
      </c>
      <c r="D1247" t="s">
        <v>327</v>
      </c>
      <c r="E1247" t="s">
        <v>25</v>
      </c>
      <c r="F1247">
        <v>7</v>
      </c>
      <c r="G1247" t="s">
        <v>13</v>
      </c>
      <c r="H1247" s="1">
        <v>45954.177777777775</v>
      </c>
      <c r="I1247" s="5">
        <f>INT(TB[[#This Row],[时间戳]])</f>
        <v>45954</v>
      </c>
      <c r="J1247" s="2">
        <f>HOUR(TB[[#This Row],[时间戳]])</f>
        <v>4</v>
      </c>
      <c r="K1247">
        <v>5472</v>
      </c>
      <c r="L1247">
        <v>1</v>
      </c>
      <c r="M1247">
        <f>TB[[#This Row],[售价]]*TB[[#This Row],[销量]]</f>
        <v>5472</v>
      </c>
      <c r="N1247" t="str">
        <f>IF(TB[[#This Row],[售价]]&lt;1000,"低价商品",IF(TB[[#This Row],[售价]]&lt;5000,"中价商品",IF(TB[[#This Row],[售价]]&lt;10000,"高价商品","超高价商品")))</f>
        <v>高价商品</v>
      </c>
    </row>
    <row r="1248" spans="1:14" x14ac:dyDescent="0.2">
      <c r="A1248">
        <v>561</v>
      </c>
      <c r="B1248">
        <v>6</v>
      </c>
      <c r="C1248" t="s">
        <v>26</v>
      </c>
      <c r="D1248" t="s">
        <v>392</v>
      </c>
      <c r="E1248" t="s">
        <v>16</v>
      </c>
      <c r="F1248">
        <v>6</v>
      </c>
      <c r="G1248" t="s">
        <v>13</v>
      </c>
      <c r="H1248" s="1">
        <v>45954.179861111108</v>
      </c>
      <c r="I1248" s="5">
        <f>INT(TB[[#This Row],[时间戳]])</f>
        <v>45954</v>
      </c>
      <c r="J1248" s="2">
        <f>HOUR(TB[[#This Row],[时间戳]])</f>
        <v>4</v>
      </c>
      <c r="K1248">
        <v>10490</v>
      </c>
      <c r="L1248">
        <v>5</v>
      </c>
      <c r="M1248">
        <f>TB[[#This Row],[售价]]*TB[[#This Row],[销量]]</f>
        <v>52450</v>
      </c>
      <c r="N1248" t="str">
        <f>IF(TB[[#This Row],[售价]]&lt;1000,"低价商品",IF(TB[[#This Row],[售价]]&lt;5000,"中价商品",IF(TB[[#This Row],[售价]]&lt;10000,"高价商品","超高价商品")))</f>
        <v>超高价商品</v>
      </c>
    </row>
    <row r="1249" spans="1:14" x14ac:dyDescent="0.2">
      <c r="A1249">
        <v>101</v>
      </c>
      <c r="B1249">
        <v>269</v>
      </c>
      <c r="C1249" t="s">
        <v>10</v>
      </c>
      <c r="D1249" t="s">
        <v>312</v>
      </c>
      <c r="E1249" t="s">
        <v>12</v>
      </c>
      <c r="F1249">
        <v>2</v>
      </c>
      <c r="G1249" t="s">
        <v>13</v>
      </c>
      <c r="H1249" s="1">
        <v>45954.180555555555</v>
      </c>
      <c r="I1249" s="5">
        <f>INT(TB[[#This Row],[时间戳]])</f>
        <v>45954</v>
      </c>
      <c r="J1249" s="2">
        <f>HOUR(TB[[#This Row],[时间戳]])</f>
        <v>4</v>
      </c>
      <c r="K1249">
        <v>4000</v>
      </c>
      <c r="L1249">
        <v>4</v>
      </c>
      <c r="M1249">
        <f>TB[[#This Row],[售价]]*TB[[#This Row],[销量]]</f>
        <v>16000</v>
      </c>
      <c r="N1249" t="str">
        <f>IF(TB[[#This Row],[售价]]&lt;1000,"低价商品",IF(TB[[#This Row],[售价]]&lt;5000,"中价商品",IF(TB[[#This Row],[售价]]&lt;10000,"高价商品","超高价商品")))</f>
        <v>中价商品</v>
      </c>
    </row>
    <row r="1250" spans="1:14" x14ac:dyDescent="0.2">
      <c r="A1250">
        <v>225</v>
      </c>
      <c r="B1250">
        <v>146</v>
      </c>
      <c r="C1250" t="s">
        <v>44</v>
      </c>
      <c r="D1250" t="s">
        <v>100</v>
      </c>
      <c r="E1250" t="s">
        <v>19</v>
      </c>
      <c r="F1250">
        <v>3</v>
      </c>
      <c r="G1250" t="s">
        <v>13</v>
      </c>
      <c r="H1250" s="1">
        <v>45954.227083333331</v>
      </c>
      <c r="I1250" s="5">
        <f>INT(TB[[#This Row],[时间戳]])</f>
        <v>45954</v>
      </c>
      <c r="J1250" s="2">
        <f>HOUR(TB[[#This Row],[时间戳]])</f>
        <v>5</v>
      </c>
      <c r="K1250">
        <v>2501</v>
      </c>
      <c r="L1250">
        <v>2</v>
      </c>
      <c r="M1250">
        <f>TB[[#This Row],[售价]]*TB[[#This Row],[销量]]</f>
        <v>5002</v>
      </c>
      <c r="N1250" t="str">
        <f>IF(TB[[#This Row],[售价]]&lt;1000,"低价商品",IF(TB[[#This Row],[售价]]&lt;5000,"中价商品",IF(TB[[#This Row],[售价]]&lt;10000,"高价商品","超高价商品")))</f>
        <v>中价商品</v>
      </c>
    </row>
    <row r="1251" spans="1:14" x14ac:dyDescent="0.2">
      <c r="A1251">
        <v>635</v>
      </c>
      <c r="B1251">
        <v>48</v>
      </c>
      <c r="C1251" t="s">
        <v>10</v>
      </c>
      <c r="D1251" t="s">
        <v>258</v>
      </c>
      <c r="E1251" t="s">
        <v>39</v>
      </c>
      <c r="F1251">
        <v>5</v>
      </c>
      <c r="G1251" t="s">
        <v>13</v>
      </c>
      <c r="H1251" s="1">
        <v>45954.245138888888</v>
      </c>
      <c r="I1251" s="5">
        <f>INT(TB[[#This Row],[时间戳]])</f>
        <v>45954</v>
      </c>
      <c r="J1251" s="2">
        <f>HOUR(TB[[#This Row],[时间戳]])</f>
        <v>5</v>
      </c>
      <c r="K1251">
        <v>1729</v>
      </c>
      <c r="L1251">
        <v>3</v>
      </c>
      <c r="M1251">
        <f>TB[[#This Row],[售价]]*TB[[#This Row],[销量]]</f>
        <v>5187</v>
      </c>
      <c r="N1251" t="str">
        <f>IF(TB[[#This Row],[售价]]&lt;1000,"低价商品",IF(TB[[#This Row],[售价]]&lt;5000,"中价商品",IF(TB[[#This Row],[售价]]&lt;10000,"高价商品","超高价商品")))</f>
        <v>中价商品</v>
      </c>
    </row>
    <row r="1252" spans="1:14" x14ac:dyDescent="0.2">
      <c r="A1252">
        <v>654</v>
      </c>
      <c r="B1252">
        <v>63</v>
      </c>
      <c r="C1252" t="s">
        <v>32</v>
      </c>
      <c r="D1252" t="s">
        <v>200</v>
      </c>
      <c r="E1252" t="s">
        <v>25</v>
      </c>
      <c r="F1252">
        <v>7</v>
      </c>
      <c r="G1252" t="s">
        <v>13</v>
      </c>
      <c r="H1252" s="1">
        <v>45954.274305555555</v>
      </c>
      <c r="I1252" s="5">
        <f>INT(TB[[#This Row],[时间戳]])</f>
        <v>45954</v>
      </c>
      <c r="J1252" s="2">
        <f>HOUR(TB[[#This Row],[时间戳]])</f>
        <v>6</v>
      </c>
      <c r="K1252">
        <v>2069</v>
      </c>
      <c r="L1252">
        <v>1</v>
      </c>
      <c r="M1252">
        <f>TB[[#This Row],[售价]]*TB[[#This Row],[销量]]</f>
        <v>2069</v>
      </c>
      <c r="N1252" t="str">
        <f>IF(TB[[#This Row],[售价]]&lt;1000,"低价商品",IF(TB[[#This Row],[售价]]&lt;5000,"中价商品",IF(TB[[#This Row],[售价]]&lt;10000,"高价商品","超高价商品")))</f>
        <v>中价商品</v>
      </c>
    </row>
    <row r="1253" spans="1:14" x14ac:dyDescent="0.2">
      <c r="A1253">
        <v>385</v>
      </c>
      <c r="B1253">
        <v>290</v>
      </c>
      <c r="C1253" t="s">
        <v>46</v>
      </c>
      <c r="D1253" t="s">
        <v>231</v>
      </c>
      <c r="E1253" t="s">
        <v>16</v>
      </c>
      <c r="F1253">
        <v>6</v>
      </c>
      <c r="G1253" t="s">
        <v>13</v>
      </c>
      <c r="H1253" s="1">
        <v>45954.286111111112</v>
      </c>
      <c r="I1253" s="5">
        <f>INT(TB[[#This Row],[时间戳]])</f>
        <v>45954</v>
      </c>
      <c r="J1253" s="2">
        <f>HOUR(TB[[#This Row],[时间戳]])</f>
        <v>6</v>
      </c>
      <c r="K1253">
        <v>3809</v>
      </c>
      <c r="L1253">
        <v>5</v>
      </c>
      <c r="M1253">
        <f>TB[[#This Row],[售价]]*TB[[#This Row],[销量]]</f>
        <v>19045</v>
      </c>
      <c r="N1253" t="str">
        <f>IF(TB[[#This Row],[售价]]&lt;1000,"低价商品",IF(TB[[#This Row],[售价]]&lt;5000,"中价商品",IF(TB[[#This Row],[售价]]&lt;10000,"高价商品","超高价商品")))</f>
        <v>中价商品</v>
      </c>
    </row>
    <row r="1254" spans="1:14" x14ac:dyDescent="0.2">
      <c r="A1254">
        <v>302</v>
      </c>
      <c r="B1254">
        <v>240</v>
      </c>
      <c r="C1254" t="s">
        <v>26</v>
      </c>
      <c r="D1254" t="s">
        <v>166</v>
      </c>
      <c r="E1254" t="s">
        <v>39</v>
      </c>
      <c r="F1254">
        <v>5</v>
      </c>
      <c r="G1254" t="s">
        <v>13</v>
      </c>
      <c r="H1254" s="1">
        <v>45954.288888888892</v>
      </c>
      <c r="I1254" s="5">
        <f>INT(TB[[#This Row],[时间戳]])</f>
        <v>45954</v>
      </c>
      <c r="J1254" s="2">
        <f>HOUR(TB[[#This Row],[时间戳]])</f>
        <v>6</v>
      </c>
      <c r="K1254">
        <v>1412</v>
      </c>
      <c r="L1254">
        <v>3</v>
      </c>
      <c r="M1254">
        <f>TB[[#This Row],[售价]]*TB[[#This Row],[销量]]</f>
        <v>4236</v>
      </c>
      <c r="N1254" t="str">
        <f>IF(TB[[#This Row],[售价]]&lt;1000,"低价商品",IF(TB[[#This Row],[售价]]&lt;5000,"中价商品",IF(TB[[#This Row],[售价]]&lt;10000,"高价商品","超高价商品")))</f>
        <v>中价商品</v>
      </c>
    </row>
    <row r="1255" spans="1:14" x14ac:dyDescent="0.2">
      <c r="A1255">
        <v>788</v>
      </c>
      <c r="B1255">
        <v>219</v>
      </c>
      <c r="C1255" t="s">
        <v>44</v>
      </c>
      <c r="D1255" t="s">
        <v>158</v>
      </c>
      <c r="E1255" t="s">
        <v>31</v>
      </c>
      <c r="F1255">
        <v>4</v>
      </c>
      <c r="G1255" t="s">
        <v>13</v>
      </c>
      <c r="H1255" s="1">
        <v>45954.290972222225</v>
      </c>
      <c r="I1255" s="5">
        <f>INT(TB[[#This Row],[时间戳]])</f>
        <v>45954</v>
      </c>
      <c r="J1255" s="2">
        <f>HOUR(TB[[#This Row],[时间戳]])</f>
        <v>6</v>
      </c>
      <c r="K1255">
        <v>1240</v>
      </c>
      <c r="L1255">
        <v>3</v>
      </c>
      <c r="M1255">
        <f>TB[[#This Row],[售价]]*TB[[#This Row],[销量]]</f>
        <v>3720</v>
      </c>
      <c r="N1255" t="str">
        <f>IF(TB[[#This Row],[售价]]&lt;1000,"低价商品",IF(TB[[#This Row],[售价]]&lt;5000,"中价商品",IF(TB[[#This Row],[售价]]&lt;10000,"高价商品","超高价商品")))</f>
        <v>中价商品</v>
      </c>
    </row>
    <row r="1256" spans="1:14" x14ac:dyDescent="0.2">
      <c r="A1256">
        <v>166</v>
      </c>
      <c r="B1256">
        <v>38</v>
      </c>
      <c r="C1256" t="s">
        <v>34</v>
      </c>
      <c r="D1256" t="s">
        <v>291</v>
      </c>
      <c r="E1256" t="s">
        <v>31</v>
      </c>
      <c r="F1256">
        <v>4</v>
      </c>
      <c r="G1256" t="s">
        <v>42</v>
      </c>
      <c r="H1256" s="1">
        <v>45954.3125</v>
      </c>
      <c r="I1256" s="5">
        <f>INT(TB[[#This Row],[时间戳]])</f>
        <v>45954</v>
      </c>
      <c r="J1256" s="2">
        <f>HOUR(TB[[#This Row],[时间戳]])</f>
        <v>7</v>
      </c>
      <c r="K1256">
        <v>1500</v>
      </c>
      <c r="L1256">
        <v>0</v>
      </c>
      <c r="M1256">
        <f>TB[[#This Row],[售价]]*TB[[#This Row],[销量]]</f>
        <v>0</v>
      </c>
      <c r="N1256" t="str">
        <f>IF(TB[[#This Row],[售价]]&lt;1000,"低价商品",IF(TB[[#This Row],[售价]]&lt;5000,"中价商品",IF(TB[[#This Row],[售价]]&lt;10000,"高价商品","超高价商品")))</f>
        <v>中价商品</v>
      </c>
    </row>
    <row r="1257" spans="1:14" x14ac:dyDescent="0.2">
      <c r="A1257">
        <v>398</v>
      </c>
      <c r="B1257">
        <v>171</v>
      </c>
      <c r="C1257" t="s">
        <v>10</v>
      </c>
      <c r="D1257" t="s">
        <v>256</v>
      </c>
      <c r="E1257" t="s">
        <v>19</v>
      </c>
      <c r="F1257">
        <v>3</v>
      </c>
      <c r="G1257" t="s">
        <v>13</v>
      </c>
      <c r="H1257" s="1">
        <v>45954.322916666664</v>
      </c>
      <c r="I1257" s="5">
        <f>INT(TB[[#This Row],[时间戳]])</f>
        <v>45954</v>
      </c>
      <c r="J1257" s="2">
        <f>HOUR(TB[[#This Row],[时间戳]])</f>
        <v>7</v>
      </c>
      <c r="K1257">
        <v>3968</v>
      </c>
      <c r="L1257">
        <v>2</v>
      </c>
      <c r="M1257">
        <f>TB[[#This Row],[售价]]*TB[[#This Row],[销量]]</f>
        <v>7936</v>
      </c>
      <c r="N1257" t="str">
        <f>IF(TB[[#This Row],[售价]]&lt;1000,"低价商品",IF(TB[[#This Row],[售价]]&lt;5000,"中价商品",IF(TB[[#This Row],[售价]]&lt;10000,"高价商品","超高价商品")))</f>
        <v>中价商品</v>
      </c>
    </row>
    <row r="1258" spans="1:14" x14ac:dyDescent="0.2">
      <c r="A1258">
        <v>452</v>
      </c>
      <c r="B1258">
        <v>36</v>
      </c>
      <c r="C1258" t="s">
        <v>36</v>
      </c>
      <c r="D1258" t="s">
        <v>366</v>
      </c>
      <c r="E1258" t="s">
        <v>22</v>
      </c>
      <c r="F1258">
        <v>1</v>
      </c>
      <c r="G1258" t="s">
        <v>13</v>
      </c>
      <c r="H1258" s="1">
        <v>45954.32708333333</v>
      </c>
      <c r="I1258" s="5">
        <f>INT(TB[[#This Row],[时间戳]])</f>
        <v>45954</v>
      </c>
      <c r="J1258" s="2">
        <f>HOUR(TB[[#This Row],[时间戳]])</f>
        <v>7</v>
      </c>
      <c r="K1258">
        <v>1424</v>
      </c>
      <c r="L1258">
        <v>4</v>
      </c>
      <c r="M1258">
        <f>TB[[#This Row],[售价]]*TB[[#This Row],[销量]]</f>
        <v>5696</v>
      </c>
      <c r="N1258" t="str">
        <f>IF(TB[[#This Row],[售价]]&lt;1000,"低价商品",IF(TB[[#This Row],[售价]]&lt;5000,"中价商品",IF(TB[[#This Row],[售价]]&lt;10000,"高价商品","超高价商品")))</f>
        <v>中价商品</v>
      </c>
    </row>
    <row r="1259" spans="1:14" x14ac:dyDescent="0.2">
      <c r="A1259">
        <v>183</v>
      </c>
      <c r="B1259">
        <v>252</v>
      </c>
      <c r="C1259" t="s">
        <v>46</v>
      </c>
      <c r="D1259" t="s">
        <v>47</v>
      </c>
      <c r="E1259" t="s">
        <v>22</v>
      </c>
      <c r="F1259">
        <v>1</v>
      </c>
      <c r="G1259" t="s">
        <v>13</v>
      </c>
      <c r="H1259" s="1">
        <v>45954.339583333334</v>
      </c>
      <c r="I1259" s="5">
        <f>INT(TB[[#This Row],[时间戳]])</f>
        <v>45954</v>
      </c>
      <c r="J1259" s="2">
        <f>HOUR(TB[[#This Row],[时间戳]])</f>
        <v>8</v>
      </c>
      <c r="K1259">
        <v>4930</v>
      </c>
      <c r="L1259">
        <v>1</v>
      </c>
      <c r="M1259">
        <f>TB[[#This Row],[售价]]*TB[[#This Row],[销量]]</f>
        <v>4930</v>
      </c>
      <c r="N1259" t="str">
        <f>IF(TB[[#This Row],[售价]]&lt;1000,"低价商品",IF(TB[[#This Row],[售价]]&lt;5000,"中价商品",IF(TB[[#This Row],[售价]]&lt;10000,"高价商品","超高价商品")))</f>
        <v>中价商品</v>
      </c>
    </row>
    <row r="1260" spans="1:14" x14ac:dyDescent="0.2">
      <c r="A1260">
        <v>224</v>
      </c>
      <c r="B1260">
        <v>55</v>
      </c>
      <c r="C1260" t="s">
        <v>20</v>
      </c>
      <c r="D1260" t="s">
        <v>353</v>
      </c>
      <c r="E1260" t="s">
        <v>25</v>
      </c>
      <c r="F1260">
        <v>7</v>
      </c>
      <c r="G1260" t="s">
        <v>13</v>
      </c>
      <c r="H1260" s="1">
        <v>45954.340277777781</v>
      </c>
      <c r="I1260" s="5">
        <f>INT(TB[[#This Row],[时间戳]])</f>
        <v>45954</v>
      </c>
      <c r="J1260" s="2">
        <f>HOUR(TB[[#This Row],[时间戳]])</f>
        <v>8</v>
      </c>
      <c r="K1260">
        <v>2261</v>
      </c>
      <c r="L1260">
        <v>1</v>
      </c>
      <c r="M1260">
        <f>TB[[#This Row],[售价]]*TB[[#This Row],[销量]]</f>
        <v>2261</v>
      </c>
      <c r="N1260" t="str">
        <f>IF(TB[[#This Row],[售价]]&lt;1000,"低价商品",IF(TB[[#This Row],[售价]]&lt;5000,"中价商品",IF(TB[[#This Row],[售价]]&lt;10000,"高价商品","超高价商品")))</f>
        <v>中价商品</v>
      </c>
    </row>
    <row r="1261" spans="1:14" x14ac:dyDescent="0.2">
      <c r="A1261">
        <v>36</v>
      </c>
      <c r="B1261">
        <v>38</v>
      </c>
      <c r="C1261" t="s">
        <v>36</v>
      </c>
      <c r="D1261" t="s">
        <v>37</v>
      </c>
      <c r="E1261" t="s">
        <v>31</v>
      </c>
      <c r="F1261">
        <v>4</v>
      </c>
      <c r="G1261" t="s">
        <v>13</v>
      </c>
      <c r="H1261" s="1">
        <v>45954.356249999997</v>
      </c>
      <c r="I1261" s="5">
        <f>INT(TB[[#This Row],[时间戳]])</f>
        <v>45954</v>
      </c>
      <c r="J1261" s="2">
        <f>HOUR(TB[[#This Row],[时间戳]])</f>
        <v>8</v>
      </c>
      <c r="K1261">
        <v>1120</v>
      </c>
      <c r="L1261">
        <v>1</v>
      </c>
      <c r="M1261">
        <f>TB[[#This Row],[售价]]*TB[[#This Row],[销量]]</f>
        <v>1120</v>
      </c>
      <c r="N1261" t="str">
        <f>IF(TB[[#This Row],[售价]]&lt;1000,"低价商品",IF(TB[[#This Row],[售价]]&lt;5000,"中价商品",IF(TB[[#This Row],[售价]]&lt;10000,"高价商品","超高价商品")))</f>
        <v>中价商品</v>
      </c>
    </row>
    <row r="1262" spans="1:14" x14ac:dyDescent="0.2">
      <c r="A1262">
        <v>20</v>
      </c>
      <c r="B1262">
        <v>255</v>
      </c>
      <c r="C1262" t="s">
        <v>36</v>
      </c>
      <c r="D1262" t="s">
        <v>265</v>
      </c>
      <c r="E1262" t="s">
        <v>31</v>
      </c>
      <c r="F1262">
        <v>4</v>
      </c>
      <c r="G1262" t="s">
        <v>13</v>
      </c>
      <c r="H1262" s="1">
        <v>45954.362500000003</v>
      </c>
      <c r="I1262" s="5">
        <f>INT(TB[[#This Row],[时间戳]])</f>
        <v>45954</v>
      </c>
      <c r="J1262" s="2">
        <f>HOUR(TB[[#This Row],[时间戳]])</f>
        <v>8</v>
      </c>
      <c r="K1262">
        <v>286</v>
      </c>
      <c r="L1262">
        <v>1</v>
      </c>
      <c r="M1262">
        <f>TB[[#This Row],[售价]]*TB[[#This Row],[销量]]</f>
        <v>286</v>
      </c>
      <c r="N1262" t="str">
        <f>IF(TB[[#This Row],[售价]]&lt;1000,"低价商品",IF(TB[[#This Row],[售价]]&lt;5000,"中价商品",IF(TB[[#This Row],[售价]]&lt;10000,"高价商品","超高价商品")))</f>
        <v>低价商品</v>
      </c>
    </row>
    <row r="1263" spans="1:14" x14ac:dyDescent="0.2">
      <c r="A1263">
        <v>681</v>
      </c>
      <c r="B1263">
        <v>200</v>
      </c>
      <c r="C1263" t="s">
        <v>10</v>
      </c>
      <c r="D1263" t="s">
        <v>376</v>
      </c>
      <c r="E1263" t="s">
        <v>12</v>
      </c>
      <c r="F1263">
        <v>2</v>
      </c>
      <c r="G1263" t="s">
        <v>13</v>
      </c>
      <c r="H1263" s="1">
        <v>45954.39166666667</v>
      </c>
      <c r="I1263" s="5">
        <f>INT(TB[[#This Row],[时间戳]])</f>
        <v>45954</v>
      </c>
      <c r="J1263" s="2">
        <f>HOUR(TB[[#This Row],[时间戳]])</f>
        <v>9</v>
      </c>
      <c r="K1263">
        <v>6572</v>
      </c>
      <c r="L1263">
        <v>2</v>
      </c>
      <c r="M1263">
        <f>TB[[#This Row],[售价]]*TB[[#This Row],[销量]]</f>
        <v>13144</v>
      </c>
      <c r="N1263" t="str">
        <f>IF(TB[[#This Row],[售价]]&lt;1000,"低价商品",IF(TB[[#This Row],[售价]]&lt;5000,"中价商品",IF(TB[[#This Row],[售价]]&lt;10000,"高价商品","超高价商品")))</f>
        <v>高价商品</v>
      </c>
    </row>
    <row r="1264" spans="1:14" x14ac:dyDescent="0.2">
      <c r="A1264">
        <v>589</v>
      </c>
      <c r="B1264">
        <v>2</v>
      </c>
      <c r="C1264" t="s">
        <v>34</v>
      </c>
      <c r="D1264" t="s">
        <v>62</v>
      </c>
      <c r="E1264" t="s">
        <v>31</v>
      </c>
      <c r="F1264">
        <v>4</v>
      </c>
      <c r="G1264" t="s">
        <v>13</v>
      </c>
      <c r="H1264" s="1">
        <v>45954.398611111108</v>
      </c>
      <c r="I1264" s="5">
        <f>INT(TB[[#This Row],[时间戳]])</f>
        <v>45954</v>
      </c>
      <c r="J1264" s="2">
        <f>HOUR(TB[[#This Row],[时间戳]])</f>
        <v>9</v>
      </c>
      <c r="K1264">
        <v>472</v>
      </c>
      <c r="L1264">
        <v>2</v>
      </c>
      <c r="M1264">
        <f>TB[[#This Row],[售价]]*TB[[#This Row],[销量]]</f>
        <v>944</v>
      </c>
      <c r="N1264" t="str">
        <f>IF(TB[[#This Row],[售价]]&lt;1000,"低价商品",IF(TB[[#This Row],[售价]]&lt;5000,"中价商品",IF(TB[[#This Row],[售价]]&lt;10000,"高价商品","超高价商品")))</f>
        <v>低价商品</v>
      </c>
    </row>
    <row r="1265" spans="1:14" x14ac:dyDescent="0.2">
      <c r="A1265">
        <v>447</v>
      </c>
      <c r="B1265">
        <v>207</v>
      </c>
      <c r="C1265" t="s">
        <v>44</v>
      </c>
      <c r="D1265" t="s">
        <v>169</v>
      </c>
      <c r="E1265" t="s">
        <v>31</v>
      </c>
      <c r="F1265">
        <v>4</v>
      </c>
      <c r="G1265" t="s">
        <v>42</v>
      </c>
      <c r="H1265" s="1">
        <v>45954.409722222219</v>
      </c>
      <c r="I1265" s="5">
        <f>INT(TB[[#This Row],[时间戳]])</f>
        <v>45954</v>
      </c>
      <c r="J1265" s="2">
        <f>HOUR(TB[[#This Row],[时间戳]])</f>
        <v>9</v>
      </c>
      <c r="K1265">
        <v>1267</v>
      </c>
      <c r="L1265">
        <v>0</v>
      </c>
      <c r="M1265">
        <f>TB[[#This Row],[售价]]*TB[[#This Row],[销量]]</f>
        <v>0</v>
      </c>
      <c r="N1265" t="str">
        <f>IF(TB[[#This Row],[售价]]&lt;1000,"低价商品",IF(TB[[#This Row],[售价]]&lt;5000,"中价商品",IF(TB[[#This Row],[售价]]&lt;10000,"高价商品","超高价商品")))</f>
        <v>中价商品</v>
      </c>
    </row>
    <row r="1266" spans="1:14" x14ac:dyDescent="0.2">
      <c r="A1266">
        <v>394</v>
      </c>
      <c r="B1266">
        <v>247</v>
      </c>
      <c r="C1266" t="s">
        <v>32</v>
      </c>
      <c r="D1266" t="s">
        <v>33</v>
      </c>
      <c r="E1266" t="s">
        <v>16</v>
      </c>
      <c r="F1266">
        <v>6</v>
      </c>
      <c r="G1266" t="s">
        <v>13</v>
      </c>
      <c r="H1266" s="1">
        <v>45954.409722222219</v>
      </c>
      <c r="I1266" s="5">
        <f>INT(TB[[#This Row],[时间戳]])</f>
        <v>45954</v>
      </c>
      <c r="J1266" s="2">
        <f>HOUR(TB[[#This Row],[时间戳]])</f>
        <v>9</v>
      </c>
      <c r="K1266">
        <v>3224</v>
      </c>
      <c r="L1266">
        <v>1</v>
      </c>
      <c r="M1266">
        <f>TB[[#This Row],[售价]]*TB[[#This Row],[销量]]</f>
        <v>3224</v>
      </c>
      <c r="N1266" t="str">
        <f>IF(TB[[#This Row],[售价]]&lt;1000,"低价商品",IF(TB[[#This Row],[售价]]&lt;5000,"中价商品",IF(TB[[#This Row],[售价]]&lt;10000,"高价商品","超高价商品")))</f>
        <v>中价商品</v>
      </c>
    </row>
    <row r="1267" spans="1:14" x14ac:dyDescent="0.2">
      <c r="A1267">
        <v>342</v>
      </c>
      <c r="B1267">
        <v>156</v>
      </c>
      <c r="C1267" t="s">
        <v>20</v>
      </c>
      <c r="D1267" t="s">
        <v>263</v>
      </c>
      <c r="E1267" t="s">
        <v>39</v>
      </c>
      <c r="F1267">
        <v>5</v>
      </c>
      <c r="G1267" t="s">
        <v>13</v>
      </c>
      <c r="H1267" s="1">
        <v>45954.411111111112</v>
      </c>
      <c r="I1267" s="5">
        <f>INT(TB[[#This Row],[时间戳]])</f>
        <v>45954</v>
      </c>
      <c r="J1267" s="2">
        <f>HOUR(TB[[#This Row],[时间戳]])</f>
        <v>9</v>
      </c>
      <c r="K1267">
        <v>1386</v>
      </c>
      <c r="L1267">
        <v>4</v>
      </c>
      <c r="M1267">
        <f>TB[[#This Row],[售价]]*TB[[#This Row],[销量]]</f>
        <v>5544</v>
      </c>
      <c r="N1267" t="str">
        <f>IF(TB[[#This Row],[售价]]&lt;1000,"低价商品",IF(TB[[#This Row],[售价]]&lt;5000,"中价商品",IF(TB[[#This Row],[售价]]&lt;10000,"高价商品","超高价商品")))</f>
        <v>中价商品</v>
      </c>
    </row>
    <row r="1268" spans="1:14" x14ac:dyDescent="0.2">
      <c r="A1268">
        <v>548</v>
      </c>
      <c r="B1268">
        <v>175</v>
      </c>
      <c r="C1268" t="s">
        <v>14</v>
      </c>
      <c r="D1268" t="s">
        <v>235</v>
      </c>
      <c r="E1268" t="s">
        <v>39</v>
      </c>
      <c r="F1268">
        <v>5</v>
      </c>
      <c r="G1268" t="s">
        <v>13</v>
      </c>
      <c r="H1268" s="1">
        <v>45954.42083333333</v>
      </c>
      <c r="I1268" s="5">
        <f>INT(TB[[#This Row],[时间戳]])</f>
        <v>45954</v>
      </c>
      <c r="J1268" s="2">
        <f>HOUR(TB[[#This Row],[时间戳]])</f>
        <v>10</v>
      </c>
      <c r="K1268">
        <v>2268</v>
      </c>
      <c r="L1268">
        <v>2</v>
      </c>
      <c r="M1268">
        <f>TB[[#This Row],[售价]]*TB[[#This Row],[销量]]</f>
        <v>4536</v>
      </c>
      <c r="N1268" t="str">
        <f>IF(TB[[#This Row],[售价]]&lt;1000,"低价商品",IF(TB[[#This Row],[售价]]&lt;5000,"中价商品",IF(TB[[#This Row],[售价]]&lt;10000,"高价商品","超高价商品")))</f>
        <v>中价商品</v>
      </c>
    </row>
    <row r="1269" spans="1:14" x14ac:dyDescent="0.2">
      <c r="A1269">
        <v>208</v>
      </c>
      <c r="B1269">
        <v>91</v>
      </c>
      <c r="C1269" t="s">
        <v>36</v>
      </c>
      <c r="D1269" t="s">
        <v>146</v>
      </c>
      <c r="E1269" t="s">
        <v>22</v>
      </c>
      <c r="F1269">
        <v>1</v>
      </c>
      <c r="G1269" t="s">
        <v>13</v>
      </c>
      <c r="H1269" s="1">
        <v>45954.432638888888</v>
      </c>
      <c r="I1269" s="5">
        <f>INT(TB[[#This Row],[时间戳]])</f>
        <v>45954</v>
      </c>
      <c r="J1269" s="2">
        <f>HOUR(TB[[#This Row],[时间戳]])</f>
        <v>10</v>
      </c>
      <c r="K1269">
        <v>1694</v>
      </c>
      <c r="L1269">
        <v>1</v>
      </c>
      <c r="M1269">
        <f>TB[[#This Row],[售价]]*TB[[#This Row],[销量]]</f>
        <v>1694</v>
      </c>
      <c r="N1269" t="str">
        <f>IF(TB[[#This Row],[售价]]&lt;1000,"低价商品",IF(TB[[#This Row],[售价]]&lt;5000,"中价商品",IF(TB[[#This Row],[售价]]&lt;10000,"高价商品","超高价商品")))</f>
        <v>中价商品</v>
      </c>
    </row>
    <row r="1270" spans="1:14" x14ac:dyDescent="0.2">
      <c r="A1270">
        <v>307</v>
      </c>
      <c r="B1270">
        <v>200</v>
      </c>
      <c r="C1270" t="s">
        <v>17</v>
      </c>
      <c r="D1270" t="s">
        <v>61</v>
      </c>
      <c r="E1270" t="s">
        <v>31</v>
      </c>
      <c r="F1270">
        <v>4</v>
      </c>
      <c r="G1270" t="s">
        <v>42</v>
      </c>
      <c r="H1270" s="1">
        <v>45954.449305555558</v>
      </c>
      <c r="I1270" s="5">
        <f>INT(TB[[#This Row],[时间戳]])</f>
        <v>45954</v>
      </c>
      <c r="J1270" s="2">
        <f>HOUR(TB[[#This Row],[时间戳]])</f>
        <v>10</v>
      </c>
      <c r="K1270">
        <v>1005</v>
      </c>
      <c r="L1270">
        <v>0</v>
      </c>
      <c r="M1270">
        <f>TB[[#This Row],[售价]]*TB[[#This Row],[销量]]</f>
        <v>0</v>
      </c>
      <c r="N1270" t="str">
        <f>IF(TB[[#This Row],[售价]]&lt;1000,"低价商品",IF(TB[[#This Row],[售价]]&lt;5000,"中价商品",IF(TB[[#This Row],[售价]]&lt;10000,"高价商品","超高价商品")))</f>
        <v>中价商品</v>
      </c>
    </row>
    <row r="1271" spans="1:14" x14ac:dyDescent="0.2">
      <c r="A1271">
        <v>87</v>
      </c>
      <c r="B1271">
        <v>225</v>
      </c>
      <c r="C1271" t="s">
        <v>34</v>
      </c>
      <c r="D1271" t="s">
        <v>57</v>
      </c>
      <c r="E1271" t="s">
        <v>12</v>
      </c>
      <c r="F1271">
        <v>2</v>
      </c>
      <c r="G1271" t="s">
        <v>13</v>
      </c>
      <c r="H1271" s="1">
        <v>45954.455555555556</v>
      </c>
      <c r="I1271" s="5">
        <f>INT(TB[[#This Row],[时间戳]])</f>
        <v>45954</v>
      </c>
      <c r="J1271" s="2">
        <f>HOUR(TB[[#This Row],[时间戳]])</f>
        <v>10</v>
      </c>
      <c r="K1271">
        <v>5871</v>
      </c>
      <c r="L1271">
        <v>1</v>
      </c>
      <c r="M1271">
        <f>TB[[#This Row],[售价]]*TB[[#This Row],[销量]]</f>
        <v>5871</v>
      </c>
      <c r="N1271" t="str">
        <f>IF(TB[[#This Row],[售价]]&lt;1000,"低价商品",IF(TB[[#This Row],[售价]]&lt;5000,"中价商品",IF(TB[[#This Row],[售价]]&lt;10000,"高价商品","超高价商品")))</f>
        <v>高价商品</v>
      </c>
    </row>
    <row r="1272" spans="1:14" x14ac:dyDescent="0.2">
      <c r="A1272">
        <v>198</v>
      </c>
      <c r="B1272">
        <v>13</v>
      </c>
      <c r="C1272" t="s">
        <v>26</v>
      </c>
      <c r="D1272" t="s">
        <v>131</v>
      </c>
      <c r="E1272" t="s">
        <v>22</v>
      </c>
      <c r="F1272">
        <v>1</v>
      </c>
      <c r="G1272" t="s">
        <v>13</v>
      </c>
      <c r="H1272" s="1">
        <v>45954.477777777778</v>
      </c>
      <c r="I1272" s="5">
        <f>INT(TB[[#This Row],[时间戳]])</f>
        <v>45954</v>
      </c>
      <c r="J1272" s="2">
        <f>HOUR(TB[[#This Row],[时间戳]])</f>
        <v>11</v>
      </c>
      <c r="K1272">
        <v>6920</v>
      </c>
      <c r="L1272">
        <v>2</v>
      </c>
      <c r="M1272">
        <f>TB[[#This Row],[售价]]*TB[[#This Row],[销量]]</f>
        <v>13840</v>
      </c>
      <c r="N1272" t="str">
        <f>IF(TB[[#This Row],[售价]]&lt;1000,"低价商品",IF(TB[[#This Row],[售价]]&lt;5000,"中价商品",IF(TB[[#This Row],[售价]]&lt;10000,"高价商品","超高价商品")))</f>
        <v>高价商品</v>
      </c>
    </row>
    <row r="1273" spans="1:14" x14ac:dyDescent="0.2">
      <c r="A1273">
        <v>399</v>
      </c>
      <c r="B1273">
        <v>33</v>
      </c>
      <c r="C1273" t="s">
        <v>32</v>
      </c>
      <c r="D1273" t="s">
        <v>176</v>
      </c>
      <c r="E1273" t="s">
        <v>22</v>
      </c>
      <c r="F1273">
        <v>1</v>
      </c>
      <c r="G1273" t="s">
        <v>13</v>
      </c>
      <c r="H1273" s="1">
        <v>45954.513888888891</v>
      </c>
      <c r="I1273" s="5">
        <f>INT(TB[[#This Row],[时间戳]])</f>
        <v>45954</v>
      </c>
      <c r="J1273" s="2">
        <f>HOUR(TB[[#This Row],[时间戳]])</f>
        <v>12</v>
      </c>
      <c r="K1273">
        <v>6999</v>
      </c>
      <c r="L1273">
        <v>3</v>
      </c>
      <c r="M1273">
        <f>TB[[#This Row],[售价]]*TB[[#This Row],[销量]]</f>
        <v>20997</v>
      </c>
      <c r="N1273" t="str">
        <f>IF(TB[[#This Row],[售价]]&lt;1000,"低价商品",IF(TB[[#This Row],[售价]]&lt;5000,"中价商品",IF(TB[[#This Row],[售价]]&lt;10000,"高价商品","超高价商品")))</f>
        <v>高价商品</v>
      </c>
    </row>
    <row r="1274" spans="1:14" x14ac:dyDescent="0.2">
      <c r="A1274">
        <v>547</v>
      </c>
      <c r="B1274">
        <v>231</v>
      </c>
      <c r="C1274" t="s">
        <v>36</v>
      </c>
      <c r="D1274" t="s">
        <v>83</v>
      </c>
      <c r="E1274" t="s">
        <v>22</v>
      </c>
      <c r="F1274">
        <v>1</v>
      </c>
      <c r="G1274" t="s">
        <v>13</v>
      </c>
      <c r="H1274" s="1">
        <v>45954.541666666664</v>
      </c>
      <c r="I1274" s="5">
        <f>INT(TB[[#This Row],[时间戳]])</f>
        <v>45954</v>
      </c>
      <c r="J1274" s="2">
        <f>HOUR(TB[[#This Row],[时间戳]])</f>
        <v>13</v>
      </c>
      <c r="K1274">
        <v>7570</v>
      </c>
      <c r="L1274">
        <v>2</v>
      </c>
      <c r="M1274">
        <f>TB[[#This Row],[售价]]*TB[[#This Row],[销量]]</f>
        <v>15140</v>
      </c>
      <c r="N1274" t="str">
        <f>IF(TB[[#This Row],[售价]]&lt;1000,"低价商品",IF(TB[[#This Row],[售价]]&lt;5000,"中价商品",IF(TB[[#This Row],[售价]]&lt;10000,"高价商品","超高价商品")))</f>
        <v>高价商品</v>
      </c>
    </row>
    <row r="1275" spans="1:14" x14ac:dyDescent="0.2">
      <c r="A1275">
        <v>346</v>
      </c>
      <c r="B1275">
        <v>22</v>
      </c>
      <c r="C1275" t="s">
        <v>34</v>
      </c>
      <c r="D1275" t="s">
        <v>196</v>
      </c>
      <c r="E1275" t="s">
        <v>16</v>
      </c>
      <c r="F1275">
        <v>6</v>
      </c>
      <c r="G1275" t="s">
        <v>13</v>
      </c>
      <c r="H1275" s="1">
        <v>45954.542361111111</v>
      </c>
      <c r="I1275" s="5">
        <f>INT(TB[[#This Row],[时间戳]])</f>
        <v>45954</v>
      </c>
      <c r="J1275" s="2">
        <f>HOUR(TB[[#This Row],[时间戳]])</f>
        <v>13</v>
      </c>
      <c r="K1275">
        <v>2086</v>
      </c>
      <c r="L1275">
        <v>3</v>
      </c>
      <c r="M1275">
        <f>TB[[#This Row],[售价]]*TB[[#This Row],[销量]]</f>
        <v>6258</v>
      </c>
      <c r="N1275" t="str">
        <f>IF(TB[[#This Row],[售价]]&lt;1000,"低价商品",IF(TB[[#This Row],[售价]]&lt;5000,"中价商品",IF(TB[[#This Row],[售价]]&lt;10000,"高价商品","超高价商品")))</f>
        <v>中价商品</v>
      </c>
    </row>
    <row r="1276" spans="1:14" x14ac:dyDescent="0.2">
      <c r="A1276">
        <v>470</v>
      </c>
      <c r="B1276">
        <v>275</v>
      </c>
      <c r="C1276" t="s">
        <v>32</v>
      </c>
      <c r="D1276" t="s">
        <v>287</v>
      </c>
      <c r="E1276" t="s">
        <v>19</v>
      </c>
      <c r="F1276">
        <v>3</v>
      </c>
      <c r="G1276" t="s">
        <v>42</v>
      </c>
      <c r="H1276" s="1">
        <v>45954.554166666669</v>
      </c>
      <c r="I1276" s="5">
        <f>INT(TB[[#This Row],[时间戳]])</f>
        <v>45954</v>
      </c>
      <c r="J1276" s="2">
        <f>HOUR(TB[[#This Row],[时间戳]])</f>
        <v>13</v>
      </c>
      <c r="K1276">
        <v>4681</v>
      </c>
      <c r="L1276">
        <v>0</v>
      </c>
      <c r="M1276">
        <f>TB[[#This Row],[售价]]*TB[[#This Row],[销量]]</f>
        <v>0</v>
      </c>
      <c r="N1276" t="str">
        <f>IF(TB[[#This Row],[售价]]&lt;1000,"低价商品",IF(TB[[#This Row],[售价]]&lt;5000,"中价商品",IF(TB[[#This Row],[售价]]&lt;10000,"高价商品","超高价商品")))</f>
        <v>中价商品</v>
      </c>
    </row>
    <row r="1277" spans="1:14" x14ac:dyDescent="0.2">
      <c r="A1277">
        <v>74</v>
      </c>
      <c r="B1277">
        <v>19</v>
      </c>
      <c r="C1277" t="s">
        <v>46</v>
      </c>
      <c r="D1277" t="s">
        <v>231</v>
      </c>
      <c r="E1277" t="s">
        <v>16</v>
      </c>
      <c r="F1277">
        <v>6</v>
      </c>
      <c r="G1277" t="s">
        <v>42</v>
      </c>
      <c r="H1277" s="1">
        <v>45954.556250000001</v>
      </c>
      <c r="I1277" s="5">
        <f>INT(TB[[#This Row],[时间戳]])</f>
        <v>45954</v>
      </c>
      <c r="J1277" s="2">
        <f>HOUR(TB[[#This Row],[时间戳]])</f>
        <v>13</v>
      </c>
      <c r="K1277">
        <v>4619</v>
      </c>
      <c r="L1277">
        <v>0</v>
      </c>
      <c r="M1277">
        <f>TB[[#This Row],[售价]]*TB[[#This Row],[销量]]</f>
        <v>0</v>
      </c>
      <c r="N1277" t="str">
        <f>IF(TB[[#This Row],[售价]]&lt;1000,"低价商品",IF(TB[[#This Row],[售价]]&lt;5000,"中价商品",IF(TB[[#This Row],[售价]]&lt;10000,"高价商品","超高价商品")))</f>
        <v>中价商品</v>
      </c>
    </row>
    <row r="1278" spans="1:14" x14ac:dyDescent="0.2">
      <c r="A1278">
        <v>634</v>
      </c>
      <c r="B1278">
        <v>24</v>
      </c>
      <c r="C1278" t="s">
        <v>10</v>
      </c>
      <c r="D1278" t="s">
        <v>348</v>
      </c>
      <c r="E1278" t="s">
        <v>16</v>
      </c>
      <c r="F1278">
        <v>6</v>
      </c>
      <c r="G1278" t="s">
        <v>13</v>
      </c>
      <c r="H1278" s="1">
        <v>45954.561805555553</v>
      </c>
      <c r="I1278" s="5">
        <f>INT(TB[[#This Row],[时间戳]])</f>
        <v>45954</v>
      </c>
      <c r="J1278" s="2">
        <f>HOUR(TB[[#This Row],[时间戳]])</f>
        <v>13</v>
      </c>
      <c r="K1278">
        <v>4369</v>
      </c>
      <c r="L1278">
        <v>1</v>
      </c>
      <c r="M1278">
        <f>TB[[#This Row],[售价]]*TB[[#This Row],[销量]]</f>
        <v>4369</v>
      </c>
      <c r="N1278" t="str">
        <f>IF(TB[[#This Row],[售价]]&lt;1000,"低价商品",IF(TB[[#This Row],[售价]]&lt;5000,"中价商品",IF(TB[[#This Row],[售价]]&lt;10000,"高价商品","超高价商品")))</f>
        <v>中价商品</v>
      </c>
    </row>
    <row r="1279" spans="1:14" x14ac:dyDescent="0.2">
      <c r="A1279">
        <v>177</v>
      </c>
      <c r="B1279">
        <v>26</v>
      </c>
      <c r="C1279" t="s">
        <v>26</v>
      </c>
      <c r="D1279" t="s">
        <v>131</v>
      </c>
      <c r="E1279" t="s">
        <v>22</v>
      </c>
      <c r="F1279">
        <v>1</v>
      </c>
      <c r="G1279" t="s">
        <v>13</v>
      </c>
      <c r="H1279" s="1">
        <v>45954.640972222223</v>
      </c>
      <c r="I1279" s="5">
        <f>INT(TB[[#This Row],[时间戳]])</f>
        <v>45954</v>
      </c>
      <c r="J1279" s="2">
        <f>HOUR(TB[[#This Row],[时间戳]])</f>
        <v>15</v>
      </c>
      <c r="K1279">
        <v>3147</v>
      </c>
      <c r="L1279">
        <v>1</v>
      </c>
      <c r="M1279">
        <f>TB[[#This Row],[售价]]*TB[[#This Row],[销量]]</f>
        <v>3147</v>
      </c>
      <c r="N1279" t="str">
        <f>IF(TB[[#This Row],[售价]]&lt;1000,"低价商品",IF(TB[[#This Row],[售价]]&lt;5000,"中价商品",IF(TB[[#This Row],[售价]]&lt;10000,"高价商品","超高价商品")))</f>
        <v>中价商品</v>
      </c>
    </row>
    <row r="1280" spans="1:14" x14ac:dyDescent="0.2">
      <c r="A1280">
        <v>175</v>
      </c>
      <c r="B1280">
        <v>33</v>
      </c>
      <c r="C1280" t="s">
        <v>44</v>
      </c>
      <c r="D1280" t="s">
        <v>51</v>
      </c>
      <c r="E1280" t="s">
        <v>19</v>
      </c>
      <c r="F1280">
        <v>3</v>
      </c>
      <c r="G1280" t="s">
        <v>13</v>
      </c>
      <c r="H1280" s="1">
        <v>45954.643750000003</v>
      </c>
      <c r="I1280" s="5">
        <f>INT(TB[[#This Row],[时间戳]])</f>
        <v>45954</v>
      </c>
      <c r="J1280" s="2">
        <f>HOUR(TB[[#This Row],[时间戳]])</f>
        <v>15</v>
      </c>
      <c r="K1280">
        <v>3866</v>
      </c>
      <c r="L1280">
        <v>4</v>
      </c>
      <c r="M1280">
        <f>TB[[#This Row],[售价]]*TB[[#This Row],[销量]]</f>
        <v>15464</v>
      </c>
      <c r="N1280" t="str">
        <f>IF(TB[[#This Row],[售价]]&lt;1000,"低价商品",IF(TB[[#This Row],[售价]]&lt;5000,"中价商品",IF(TB[[#This Row],[售价]]&lt;10000,"高价商品","超高价商品")))</f>
        <v>中价商品</v>
      </c>
    </row>
    <row r="1281" spans="1:14" x14ac:dyDescent="0.2">
      <c r="A1281">
        <v>610</v>
      </c>
      <c r="B1281">
        <v>113</v>
      </c>
      <c r="C1281" t="s">
        <v>14</v>
      </c>
      <c r="D1281" t="s">
        <v>106</v>
      </c>
      <c r="E1281" t="s">
        <v>22</v>
      </c>
      <c r="F1281">
        <v>1</v>
      </c>
      <c r="G1281" t="s">
        <v>13</v>
      </c>
      <c r="H1281" s="1">
        <v>45954.65625</v>
      </c>
      <c r="I1281" s="5">
        <f>INT(TB[[#This Row],[时间戳]])</f>
        <v>45954</v>
      </c>
      <c r="J1281" s="2">
        <f>HOUR(TB[[#This Row],[时间戳]])</f>
        <v>15</v>
      </c>
      <c r="K1281">
        <v>7553</v>
      </c>
      <c r="L1281">
        <v>1</v>
      </c>
      <c r="M1281">
        <f>TB[[#This Row],[售价]]*TB[[#This Row],[销量]]</f>
        <v>7553</v>
      </c>
      <c r="N1281" t="str">
        <f>IF(TB[[#This Row],[售价]]&lt;1000,"低价商品",IF(TB[[#This Row],[售价]]&lt;5000,"中价商品",IF(TB[[#This Row],[售价]]&lt;10000,"高价商品","超高价商品")))</f>
        <v>高价商品</v>
      </c>
    </row>
    <row r="1282" spans="1:14" x14ac:dyDescent="0.2">
      <c r="A1282">
        <v>756</v>
      </c>
      <c r="B1282">
        <v>206</v>
      </c>
      <c r="C1282" t="s">
        <v>17</v>
      </c>
      <c r="D1282" t="s">
        <v>109</v>
      </c>
      <c r="E1282" t="s">
        <v>12</v>
      </c>
      <c r="F1282">
        <v>2</v>
      </c>
      <c r="G1282" t="s">
        <v>13</v>
      </c>
      <c r="H1282" s="1">
        <v>45954.674305555556</v>
      </c>
      <c r="I1282" s="5">
        <f>INT(TB[[#This Row],[时间戳]])</f>
        <v>45954</v>
      </c>
      <c r="J1282" s="2">
        <f>HOUR(TB[[#This Row],[时间戳]])</f>
        <v>16</v>
      </c>
      <c r="K1282">
        <v>4936</v>
      </c>
      <c r="L1282">
        <v>1</v>
      </c>
      <c r="M1282">
        <f>TB[[#This Row],[售价]]*TB[[#This Row],[销量]]</f>
        <v>4936</v>
      </c>
      <c r="N1282" t="str">
        <f>IF(TB[[#This Row],[售价]]&lt;1000,"低价商品",IF(TB[[#This Row],[售价]]&lt;5000,"中价商品",IF(TB[[#This Row],[售价]]&lt;10000,"高价商品","超高价商品")))</f>
        <v>中价商品</v>
      </c>
    </row>
    <row r="1283" spans="1:14" x14ac:dyDescent="0.2">
      <c r="A1283">
        <v>141</v>
      </c>
      <c r="B1283">
        <v>165</v>
      </c>
      <c r="C1283" t="s">
        <v>46</v>
      </c>
      <c r="D1283" t="s">
        <v>129</v>
      </c>
      <c r="E1283" t="s">
        <v>31</v>
      </c>
      <c r="F1283">
        <v>4</v>
      </c>
      <c r="G1283" t="s">
        <v>13</v>
      </c>
      <c r="H1283" s="1">
        <v>45954.696527777778</v>
      </c>
      <c r="I1283" s="5">
        <f>INT(TB[[#This Row],[时间戳]])</f>
        <v>45954</v>
      </c>
      <c r="J1283" s="2">
        <f>HOUR(TB[[#This Row],[时间戳]])</f>
        <v>16</v>
      </c>
      <c r="K1283">
        <v>575</v>
      </c>
      <c r="L1283">
        <v>3</v>
      </c>
      <c r="M1283">
        <f>TB[[#This Row],[售价]]*TB[[#This Row],[销量]]</f>
        <v>1725</v>
      </c>
      <c r="N1283" t="str">
        <f>IF(TB[[#This Row],[售价]]&lt;1000,"低价商品",IF(TB[[#This Row],[售价]]&lt;5000,"中价商品",IF(TB[[#This Row],[售价]]&lt;10000,"高价商品","超高价商品")))</f>
        <v>低价商品</v>
      </c>
    </row>
    <row r="1284" spans="1:14" x14ac:dyDescent="0.2">
      <c r="A1284">
        <v>178</v>
      </c>
      <c r="B1284">
        <v>172</v>
      </c>
      <c r="C1284" t="s">
        <v>10</v>
      </c>
      <c r="D1284" t="s">
        <v>352</v>
      </c>
      <c r="E1284" t="s">
        <v>12</v>
      </c>
      <c r="F1284">
        <v>2</v>
      </c>
      <c r="G1284" t="s">
        <v>13</v>
      </c>
      <c r="H1284" s="1">
        <v>45954.711805555555</v>
      </c>
      <c r="I1284" s="5">
        <f>INT(TB[[#This Row],[时间戳]])</f>
        <v>45954</v>
      </c>
      <c r="J1284" s="2">
        <f>HOUR(TB[[#This Row],[时间戳]])</f>
        <v>17</v>
      </c>
      <c r="K1284">
        <v>7684</v>
      </c>
      <c r="L1284">
        <v>2</v>
      </c>
      <c r="M1284">
        <f>TB[[#This Row],[售价]]*TB[[#This Row],[销量]]</f>
        <v>15368</v>
      </c>
      <c r="N1284" t="str">
        <f>IF(TB[[#This Row],[售价]]&lt;1000,"低价商品",IF(TB[[#This Row],[售价]]&lt;5000,"中价商品",IF(TB[[#This Row],[售价]]&lt;10000,"高价商品","超高价商品")))</f>
        <v>高价商品</v>
      </c>
    </row>
    <row r="1285" spans="1:14" x14ac:dyDescent="0.2">
      <c r="A1285">
        <v>776</v>
      </c>
      <c r="B1285">
        <v>213</v>
      </c>
      <c r="C1285" t="s">
        <v>36</v>
      </c>
      <c r="D1285" t="s">
        <v>310</v>
      </c>
      <c r="E1285" t="s">
        <v>39</v>
      </c>
      <c r="F1285">
        <v>5</v>
      </c>
      <c r="G1285" t="s">
        <v>13</v>
      </c>
      <c r="H1285" s="1">
        <v>45954.711805555555</v>
      </c>
      <c r="I1285" s="5">
        <f>INT(TB[[#This Row],[时间戳]])</f>
        <v>45954</v>
      </c>
      <c r="J1285" s="2">
        <f>HOUR(TB[[#This Row],[时间戳]])</f>
        <v>17</v>
      </c>
      <c r="K1285">
        <v>919</v>
      </c>
      <c r="L1285">
        <v>1</v>
      </c>
      <c r="M1285">
        <f>TB[[#This Row],[售价]]*TB[[#This Row],[销量]]</f>
        <v>919</v>
      </c>
      <c r="N1285" t="str">
        <f>IF(TB[[#This Row],[售价]]&lt;1000,"低价商品",IF(TB[[#This Row],[售价]]&lt;5000,"中价商品",IF(TB[[#This Row],[售价]]&lt;10000,"高价商品","超高价商品")))</f>
        <v>低价商品</v>
      </c>
    </row>
    <row r="1286" spans="1:14" x14ac:dyDescent="0.2">
      <c r="A1286">
        <v>169</v>
      </c>
      <c r="B1286">
        <v>225</v>
      </c>
      <c r="C1286" t="s">
        <v>34</v>
      </c>
      <c r="D1286" t="s">
        <v>125</v>
      </c>
      <c r="E1286" t="s">
        <v>31</v>
      </c>
      <c r="F1286">
        <v>4</v>
      </c>
      <c r="G1286" t="s">
        <v>13</v>
      </c>
      <c r="H1286" s="1">
        <v>45954.71875</v>
      </c>
      <c r="I1286" s="5">
        <f>INT(TB[[#This Row],[时间戳]])</f>
        <v>45954</v>
      </c>
      <c r="J1286" s="2">
        <f>HOUR(TB[[#This Row],[时间戳]])</f>
        <v>17</v>
      </c>
      <c r="K1286">
        <v>550</v>
      </c>
      <c r="L1286">
        <v>2</v>
      </c>
      <c r="M1286">
        <f>TB[[#This Row],[售价]]*TB[[#This Row],[销量]]</f>
        <v>1100</v>
      </c>
      <c r="N1286" t="str">
        <f>IF(TB[[#This Row],[售价]]&lt;1000,"低价商品",IF(TB[[#This Row],[售价]]&lt;5000,"中价商品",IF(TB[[#This Row],[售价]]&lt;10000,"高价商品","超高价商品")))</f>
        <v>低价商品</v>
      </c>
    </row>
    <row r="1287" spans="1:14" x14ac:dyDescent="0.2">
      <c r="A1287">
        <v>103</v>
      </c>
      <c r="B1287">
        <v>193</v>
      </c>
      <c r="C1287" t="s">
        <v>10</v>
      </c>
      <c r="D1287" t="s">
        <v>330</v>
      </c>
      <c r="E1287" t="s">
        <v>19</v>
      </c>
      <c r="F1287">
        <v>3</v>
      </c>
      <c r="G1287" t="s">
        <v>13</v>
      </c>
      <c r="H1287" s="1">
        <v>45954.732638888891</v>
      </c>
      <c r="I1287" s="5">
        <f>INT(TB[[#This Row],[时间戳]])</f>
        <v>45954</v>
      </c>
      <c r="J1287" s="2">
        <f>HOUR(TB[[#This Row],[时间戳]])</f>
        <v>17</v>
      </c>
      <c r="K1287">
        <v>3592</v>
      </c>
      <c r="L1287">
        <v>2</v>
      </c>
      <c r="M1287">
        <f>TB[[#This Row],[售价]]*TB[[#This Row],[销量]]</f>
        <v>7184</v>
      </c>
      <c r="N1287" t="str">
        <f>IF(TB[[#This Row],[售价]]&lt;1000,"低价商品",IF(TB[[#This Row],[售价]]&lt;5000,"中价商品",IF(TB[[#This Row],[售价]]&lt;10000,"高价商品","超高价商品")))</f>
        <v>中价商品</v>
      </c>
    </row>
    <row r="1288" spans="1:14" x14ac:dyDescent="0.2">
      <c r="A1288">
        <v>83</v>
      </c>
      <c r="B1288">
        <v>4</v>
      </c>
      <c r="C1288" t="s">
        <v>10</v>
      </c>
      <c r="D1288" t="s">
        <v>216</v>
      </c>
      <c r="E1288" t="s">
        <v>39</v>
      </c>
      <c r="F1288">
        <v>5</v>
      </c>
      <c r="G1288" t="s">
        <v>13</v>
      </c>
      <c r="H1288" s="1">
        <v>45954.734027777777</v>
      </c>
      <c r="I1288" s="5">
        <f>INT(TB[[#This Row],[时间戳]])</f>
        <v>45954</v>
      </c>
      <c r="J1288" s="2">
        <f>HOUR(TB[[#This Row],[时间戳]])</f>
        <v>17</v>
      </c>
      <c r="K1288">
        <v>3865</v>
      </c>
      <c r="L1288">
        <v>1</v>
      </c>
      <c r="M1288">
        <f>TB[[#This Row],[售价]]*TB[[#This Row],[销量]]</f>
        <v>3865</v>
      </c>
      <c r="N1288" t="str">
        <f>IF(TB[[#This Row],[售价]]&lt;1000,"低价商品",IF(TB[[#This Row],[售价]]&lt;5000,"中价商品",IF(TB[[#This Row],[售价]]&lt;10000,"高价商品","超高价商品")))</f>
        <v>中价商品</v>
      </c>
    </row>
    <row r="1289" spans="1:14" x14ac:dyDescent="0.2">
      <c r="A1289">
        <v>668</v>
      </c>
      <c r="B1289">
        <v>146</v>
      </c>
      <c r="C1289" t="s">
        <v>14</v>
      </c>
      <c r="D1289" t="s">
        <v>297</v>
      </c>
      <c r="E1289" t="s">
        <v>25</v>
      </c>
      <c r="F1289">
        <v>7</v>
      </c>
      <c r="G1289" t="s">
        <v>42</v>
      </c>
      <c r="H1289" s="1">
        <v>45954.742361111108</v>
      </c>
      <c r="I1289" s="5">
        <f>INT(TB[[#This Row],[时间戳]])</f>
        <v>45954</v>
      </c>
      <c r="J1289" s="2">
        <f>HOUR(TB[[#This Row],[时间戳]])</f>
        <v>17</v>
      </c>
      <c r="K1289">
        <v>1500</v>
      </c>
      <c r="L1289">
        <v>0</v>
      </c>
      <c r="M1289">
        <f>TB[[#This Row],[售价]]*TB[[#This Row],[销量]]</f>
        <v>0</v>
      </c>
      <c r="N1289" t="str">
        <f>IF(TB[[#This Row],[售价]]&lt;1000,"低价商品",IF(TB[[#This Row],[售价]]&lt;5000,"中价商品",IF(TB[[#This Row],[售价]]&lt;10000,"高价商品","超高价商品")))</f>
        <v>中价商品</v>
      </c>
    </row>
    <row r="1290" spans="1:14" x14ac:dyDescent="0.2">
      <c r="A1290">
        <v>130</v>
      </c>
      <c r="B1290">
        <v>106</v>
      </c>
      <c r="C1290" t="s">
        <v>44</v>
      </c>
      <c r="D1290" t="s">
        <v>372</v>
      </c>
      <c r="E1290" t="s">
        <v>22</v>
      </c>
      <c r="F1290">
        <v>1</v>
      </c>
      <c r="G1290" t="s">
        <v>13</v>
      </c>
      <c r="H1290" s="1">
        <v>45954.743055555555</v>
      </c>
      <c r="I1290" s="5">
        <f>INT(TB[[#This Row],[时间戳]])</f>
        <v>45954</v>
      </c>
      <c r="J1290" s="2">
        <f>HOUR(TB[[#This Row],[时间戳]])</f>
        <v>17</v>
      </c>
      <c r="K1290">
        <v>4564</v>
      </c>
      <c r="L1290">
        <v>1</v>
      </c>
      <c r="M1290">
        <f>TB[[#This Row],[售价]]*TB[[#This Row],[销量]]</f>
        <v>4564</v>
      </c>
      <c r="N1290" t="str">
        <f>IF(TB[[#This Row],[售价]]&lt;1000,"低价商品",IF(TB[[#This Row],[售价]]&lt;5000,"中价商品",IF(TB[[#This Row],[售价]]&lt;10000,"高价商品","超高价商品")))</f>
        <v>中价商品</v>
      </c>
    </row>
    <row r="1291" spans="1:14" x14ac:dyDescent="0.2">
      <c r="A1291">
        <v>462</v>
      </c>
      <c r="B1291">
        <v>211</v>
      </c>
      <c r="C1291" t="s">
        <v>36</v>
      </c>
      <c r="D1291" t="s">
        <v>87</v>
      </c>
      <c r="E1291" t="s">
        <v>19</v>
      </c>
      <c r="F1291">
        <v>3</v>
      </c>
      <c r="G1291" t="s">
        <v>13</v>
      </c>
      <c r="H1291" s="1">
        <v>45954.744444444441</v>
      </c>
      <c r="I1291" s="5">
        <f>INT(TB[[#This Row],[时间戳]])</f>
        <v>45954</v>
      </c>
      <c r="J1291" s="2">
        <f>HOUR(TB[[#This Row],[时间戳]])</f>
        <v>17</v>
      </c>
      <c r="K1291">
        <v>2799</v>
      </c>
      <c r="L1291">
        <v>3</v>
      </c>
      <c r="M1291">
        <f>TB[[#This Row],[售价]]*TB[[#This Row],[销量]]</f>
        <v>8397</v>
      </c>
      <c r="N1291" t="str">
        <f>IF(TB[[#This Row],[售价]]&lt;1000,"低价商品",IF(TB[[#This Row],[售价]]&lt;5000,"中价商品",IF(TB[[#This Row],[售价]]&lt;10000,"高价商品","超高价商品")))</f>
        <v>中价商品</v>
      </c>
    </row>
    <row r="1292" spans="1:14" x14ac:dyDescent="0.2">
      <c r="A1292">
        <v>611</v>
      </c>
      <c r="B1292">
        <v>93</v>
      </c>
      <c r="C1292" t="s">
        <v>46</v>
      </c>
      <c r="D1292" t="s">
        <v>180</v>
      </c>
      <c r="E1292" t="s">
        <v>31</v>
      </c>
      <c r="F1292">
        <v>4</v>
      </c>
      <c r="G1292" t="s">
        <v>13</v>
      </c>
      <c r="H1292" s="1">
        <v>45954.753472222219</v>
      </c>
      <c r="I1292" s="5">
        <f>INT(TB[[#This Row],[时间戳]])</f>
        <v>45954</v>
      </c>
      <c r="J1292" s="2">
        <f>HOUR(TB[[#This Row],[时间戳]])</f>
        <v>18</v>
      </c>
      <c r="K1292">
        <v>428</v>
      </c>
      <c r="L1292">
        <v>4</v>
      </c>
      <c r="M1292">
        <f>TB[[#This Row],[售价]]*TB[[#This Row],[销量]]</f>
        <v>1712</v>
      </c>
      <c r="N1292" t="str">
        <f>IF(TB[[#This Row],[售价]]&lt;1000,"低价商品",IF(TB[[#This Row],[售价]]&lt;5000,"中价商品",IF(TB[[#This Row],[售价]]&lt;10000,"高价商品","超高价商品")))</f>
        <v>低价商品</v>
      </c>
    </row>
    <row r="1293" spans="1:14" x14ac:dyDescent="0.2">
      <c r="A1293">
        <v>309</v>
      </c>
      <c r="B1293">
        <v>179</v>
      </c>
      <c r="C1293" t="s">
        <v>14</v>
      </c>
      <c r="D1293" t="s">
        <v>385</v>
      </c>
      <c r="E1293" t="s">
        <v>12</v>
      </c>
      <c r="F1293">
        <v>2</v>
      </c>
      <c r="G1293" t="s">
        <v>13</v>
      </c>
      <c r="H1293" s="1">
        <v>45954.756249999999</v>
      </c>
      <c r="I1293" s="5">
        <f>INT(TB[[#This Row],[时间戳]])</f>
        <v>45954</v>
      </c>
      <c r="J1293" s="2">
        <f>HOUR(TB[[#This Row],[时间戳]])</f>
        <v>18</v>
      </c>
      <c r="K1293">
        <v>12303</v>
      </c>
      <c r="L1293">
        <v>3</v>
      </c>
      <c r="M1293">
        <f>TB[[#This Row],[售价]]*TB[[#This Row],[销量]]</f>
        <v>36909</v>
      </c>
      <c r="N1293" t="str">
        <f>IF(TB[[#This Row],[售价]]&lt;1000,"低价商品",IF(TB[[#This Row],[售价]]&lt;5000,"中价商品",IF(TB[[#This Row],[售价]]&lt;10000,"高价商品","超高价商品")))</f>
        <v>超高价商品</v>
      </c>
    </row>
    <row r="1294" spans="1:14" x14ac:dyDescent="0.2">
      <c r="A1294">
        <v>197</v>
      </c>
      <c r="B1294">
        <v>61</v>
      </c>
      <c r="C1294" t="s">
        <v>20</v>
      </c>
      <c r="D1294" t="s">
        <v>340</v>
      </c>
      <c r="E1294" t="s">
        <v>19</v>
      </c>
      <c r="F1294">
        <v>3</v>
      </c>
      <c r="G1294" t="s">
        <v>13</v>
      </c>
      <c r="H1294" s="1">
        <v>45954.771527777775</v>
      </c>
      <c r="I1294" s="5">
        <f>INT(TB[[#This Row],[时间戳]])</f>
        <v>45954</v>
      </c>
      <c r="J1294" s="2">
        <f>HOUR(TB[[#This Row],[时间戳]])</f>
        <v>18</v>
      </c>
      <c r="K1294">
        <v>4732</v>
      </c>
      <c r="L1294">
        <v>1</v>
      </c>
      <c r="M1294">
        <f>TB[[#This Row],[售价]]*TB[[#This Row],[销量]]</f>
        <v>4732</v>
      </c>
      <c r="N1294" t="str">
        <f>IF(TB[[#This Row],[售价]]&lt;1000,"低价商品",IF(TB[[#This Row],[售价]]&lt;5000,"中价商品",IF(TB[[#This Row],[售价]]&lt;10000,"高价商品","超高价商品")))</f>
        <v>中价商品</v>
      </c>
    </row>
    <row r="1295" spans="1:14" x14ac:dyDescent="0.2">
      <c r="A1295">
        <v>780</v>
      </c>
      <c r="B1295">
        <v>277</v>
      </c>
      <c r="C1295" t="s">
        <v>46</v>
      </c>
      <c r="D1295" t="s">
        <v>111</v>
      </c>
      <c r="E1295" t="s">
        <v>16</v>
      </c>
      <c r="F1295">
        <v>6</v>
      </c>
      <c r="G1295" t="s">
        <v>42</v>
      </c>
      <c r="H1295" s="1">
        <v>45954.793055555558</v>
      </c>
      <c r="I1295" s="5">
        <f>INT(TB[[#This Row],[时间戳]])</f>
        <v>45954</v>
      </c>
      <c r="J1295" s="2">
        <f>HOUR(TB[[#This Row],[时间戳]])</f>
        <v>19</v>
      </c>
      <c r="K1295">
        <v>10534</v>
      </c>
      <c r="L1295">
        <v>0</v>
      </c>
      <c r="M1295">
        <f>TB[[#This Row],[售价]]*TB[[#This Row],[销量]]</f>
        <v>0</v>
      </c>
      <c r="N1295" t="str">
        <f>IF(TB[[#This Row],[售价]]&lt;1000,"低价商品",IF(TB[[#This Row],[售价]]&lt;5000,"中价商品",IF(TB[[#This Row],[售价]]&lt;10000,"高价商品","超高价商品")))</f>
        <v>超高价商品</v>
      </c>
    </row>
    <row r="1296" spans="1:14" x14ac:dyDescent="0.2">
      <c r="A1296">
        <v>676</v>
      </c>
      <c r="B1296">
        <v>107</v>
      </c>
      <c r="C1296" t="s">
        <v>44</v>
      </c>
      <c r="D1296" t="s">
        <v>393</v>
      </c>
      <c r="E1296" t="s">
        <v>25</v>
      </c>
      <c r="F1296">
        <v>7</v>
      </c>
      <c r="G1296" t="s">
        <v>13</v>
      </c>
      <c r="H1296" s="1">
        <v>45954.822916666664</v>
      </c>
      <c r="I1296" s="5">
        <f>INT(TB[[#This Row],[时间戳]])</f>
        <v>45954</v>
      </c>
      <c r="J1296" s="2">
        <f>HOUR(TB[[#This Row],[时间戳]])</f>
        <v>19</v>
      </c>
      <c r="K1296">
        <v>5569</v>
      </c>
      <c r="L1296">
        <v>1</v>
      </c>
      <c r="M1296">
        <f>TB[[#This Row],[售价]]*TB[[#This Row],[销量]]</f>
        <v>5569</v>
      </c>
      <c r="N1296" t="str">
        <f>IF(TB[[#This Row],[售价]]&lt;1000,"低价商品",IF(TB[[#This Row],[售价]]&lt;5000,"中价商品",IF(TB[[#This Row],[售价]]&lt;10000,"高价商品","超高价商品")))</f>
        <v>高价商品</v>
      </c>
    </row>
    <row r="1297" spans="1:14" x14ac:dyDescent="0.2">
      <c r="A1297">
        <v>153</v>
      </c>
      <c r="B1297">
        <v>243</v>
      </c>
      <c r="C1297" t="s">
        <v>32</v>
      </c>
      <c r="D1297" t="s">
        <v>138</v>
      </c>
      <c r="E1297" t="s">
        <v>12</v>
      </c>
      <c r="F1297">
        <v>2</v>
      </c>
      <c r="G1297" t="s">
        <v>13</v>
      </c>
      <c r="H1297" s="1">
        <v>45954.82708333333</v>
      </c>
      <c r="I1297" s="5">
        <f>INT(TB[[#This Row],[时间戳]])</f>
        <v>45954</v>
      </c>
      <c r="J1297" s="2">
        <f>HOUR(TB[[#This Row],[时间戳]])</f>
        <v>19</v>
      </c>
      <c r="K1297">
        <v>8355</v>
      </c>
      <c r="L1297">
        <v>1</v>
      </c>
      <c r="M1297">
        <f>TB[[#This Row],[售价]]*TB[[#This Row],[销量]]</f>
        <v>8355</v>
      </c>
      <c r="N1297" t="str">
        <f>IF(TB[[#This Row],[售价]]&lt;1000,"低价商品",IF(TB[[#This Row],[售价]]&lt;5000,"中价商品",IF(TB[[#This Row],[售价]]&lt;10000,"高价商品","超高价商品")))</f>
        <v>高价商品</v>
      </c>
    </row>
    <row r="1298" spans="1:14" x14ac:dyDescent="0.2">
      <c r="A1298">
        <v>56</v>
      </c>
      <c r="B1298">
        <v>187</v>
      </c>
      <c r="C1298" t="s">
        <v>26</v>
      </c>
      <c r="D1298" t="s">
        <v>225</v>
      </c>
      <c r="E1298" t="s">
        <v>31</v>
      </c>
      <c r="F1298">
        <v>4</v>
      </c>
      <c r="G1298" t="s">
        <v>13</v>
      </c>
      <c r="H1298" s="1">
        <v>45954.830555555556</v>
      </c>
      <c r="I1298" s="5">
        <f>INT(TB[[#This Row],[时间戳]])</f>
        <v>45954</v>
      </c>
      <c r="J1298" s="2">
        <f>HOUR(TB[[#This Row],[时间戳]])</f>
        <v>19</v>
      </c>
      <c r="K1298">
        <v>958</v>
      </c>
      <c r="L1298">
        <v>2</v>
      </c>
      <c r="M1298">
        <f>TB[[#This Row],[售价]]*TB[[#This Row],[销量]]</f>
        <v>1916</v>
      </c>
      <c r="N1298" t="str">
        <f>IF(TB[[#This Row],[售价]]&lt;1000,"低价商品",IF(TB[[#This Row],[售价]]&lt;5000,"中价商品",IF(TB[[#This Row],[售价]]&lt;10000,"高价商品","超高价商品")))</f>
        <v>低价商品</v>
      </c>
    </row>
    <row r="1299" spans="1:14" x14ac:dyDescent="0.2">
      <c r="A1299">
        <v>343</v>
      </c>
      <c r="B1299">
        <v>233</v>
      </c>
      <c r="C1299" t="s">
        <v>17</v>
      </c>
      <c r="D1299" t="s">
        <v>133</v>
      </c>
      <c r="E1299" t="s">
        <v>31</v>
      </c>
      <c r="F1299">
        <v>4</v>
      </c>
      <c r="G1299" t="s">
        <v>13</v>
      </c>
      <c r="H1299" s="1">
        <v>45954.832638888889</v>
      </c>
      <c r="I1299" s="5">
        <f>INT(TB[[#This Row],[时间戳]])</f>
        <v>45954</v>
      </c>
      <c r="J1299" s="2">
        <f>HOUR(TB[[#This Row],[时间戳]])</f>
        <v>19</v>
      </c>
      <c r="K1299">
        <v>540</v>
      </c>
      <c r="L1299">
        <v>5</v>
      </c>
      <c r="M1299">
        <f>TB[[#This Row],[售价]]*TB[[#This Row],[销量]]</f>
        <v>2700</v>
      </c>
      <c r="N1299" t="str">
        <f>IF(TB[[#This Row],[售价]]&lt;1000,"低价商品",IF(TB[[#This Row],[售价]]&lt;5000,"中价商品",IF(TB[[#This Row],[售价]]&lt;10000,"高价商品","超高价商品")))</f>
        <v>低价商品</v>
      </c>
    </row>
    <row r="1300" spans="1:14" x14ac:dyDescent="0.2">
      <c r="A1300">
        <v>181</v>
      </c>
      <c r="B1300">
        <v>81</v>
      </c>
      <c r="C1300" t="s">
        <v>10</v>
      </c>
      <c r="D1300" t="s">
        <v>294</v>
      </c>
      <c r="E1300" t="s">
        <v>31</v>
      </c>
      <c r="F1300">
        <v>4</v>
      </c>
      <c r="G1300" t="s">
        <v>13</v>
      </c>
      <c r="H1300" s="1">
        <v>45954.850694444445</v>
      </c>
      <c r="I1300" s="5">
        <f>INT(TB[[#This Row],[时间戳]])</f>
        <v>45954</v>
      </c>
      <c r="J1300" s="2">
        <f>HOUR(TB[[#This Row],[时间戳]])</f>
        <v>20</v>
      </c>
      <c r="K1300">
        <v>50</v>
      </c>
      <c r="L1300">
        <v>1</v>
      </c>
      <c r="M1300">
        <f>TB[[#This Row],[售价]]*TB[[#This Row],[销量]]</f>
        <v>50</v>
      </c>
      <c r="N1300" t="str">
        <f>IF(TB[[#This Row],[售价]]&lt;1000,"低价商品",IF(TB[[#This Row],[售价]]&lt;5000,"中价商品",IF(TB[[#This Row],[售价]]&lt;10000,"高价商品","超高价商品")))</f>
        <v>低价商品</v>
      </c>
    </row>
    <row r="1301" spans="1:14" x14ac:dyDescent="0.2">
      <c r="A1301">
        <v>119</v>
      </c>
      <c r="B1301">
        <v>37</v>
      </c>
      <c r="C1301" t="s">
        <v>44</v>
      </c>
      <c r="D1301" t="s">
        <v>301</v>
      </c>
      <c r="E1301" t="s">
        <v>22</v>
      </c>
      <c r="F1301">
        <v>1</v>
      </c>
      <c r="G1301" t="s">
        <v>13</v>
      </c>
      <c r="H1301" s="1">
        <v>45954.873611111114</v>
      </c>
      <c r="I1301" s="5">
        <f>INT(TB[[#This Row],[时间戳]])</f>
        <v>45954</v>
      </c>
      <c r="J1301" s="2">
        <f>HOUR(TB[[#This Row],[时间戳]])</f>
        <v>20</v>
      </c>
      <c r="K1301">
        <v>7248</v>
      </c>
      <c r="L1301">
        <v>1</v>
      </c>
      <c r="M1301">
        <f>TB[[#This Row],[售价]]*TB[[#This Row],[销量]]</f>
        <v>7248</v>
      </c>
      <c r="N1301" t="str">
        <f>IF(TB[[#This Row],[售价]]&lt;1000,"低价商品",IF(TB[[#This Row],[售价]]&lt;5000,"中价商品",IF(TB[[#This Row],[售价]]&lt;10000,"高价商品","超高价商品")))</f>
        <v>高价商品</v>
      </c>
    </row>
    <row r="1302" spans="1:14" x14ac:dyDescent="0.2">
      <c r="A1302">
        <v>594</v>
      </c>
      <c r="B1302">
        <v>167</v>
      </c>
      <c r="C1302" t="s">
        <v>44</v>
      </c>
      <c r="D1302" t="s">
        <v>301</v>
      </c>
      <c r="E1302" t="s">
        <v>22</v>
      </c>
      <c r="F1302">
        <v>1</v>
      </c>
      <c r="G1302" t="s">
        <v>13</v>
      </c>
      <c r="H1302" s="1">
        <v>45954.874305555553</v>
      </c>
      <c r="I1302" s="5">
        <f>INT(TB[[#This Row],[时间戳]])</f>
        <v>45954</v>
      </c>
      <c r="J1302" s="2">
        <f>HOUR(TB[[#This Row],[时间戳]])</f>
        <v>20</v>
      </c>
      <c r="K1302">
        <v>3096</v>
      </c>
      <c r="L1302">
        <v>2</v>
      </c>
      <c r="M1302">
        <f>TB[[#This Row],[售价]]*TB[[#This Row],[销量]]</f>
        <v>6192</v>
      </c>
      <c r="N1302" t="str">
        <f>IF(TB[[#This Row],[售价]]&lt;1000,"低价商品",IF(TB[[#This Row],[售价]]&lt;5000,"中价商品",IF(TB[[#This Row],[售价]]&lt;10000,"高价商品","超高价商品")))</f>
        <v>中价商品</v>
      </c>
    </row>
    <row r="1303" spans="1:14" x14ac:dyDescent="0.2">
      <c r="A1303">
        <v>798</v>
      </c>
      <c r="B1303">
        <v>57</v>
      </c>
      <c r="C1303" t="s">
        <v>34</v>
      </c>
      <c r="D1303" t="s">
        <v>323</v>
      </c>
      <c r="E1303" t="s">
        <v>39</v>
      </c>
      <c r="F1303">
        <v>5</v>
      </c>
      <c r="G1303" t="s">
        <v>13</v>
      </c>
      <c r="H1303" s="1">
        <v>45954.925000000003</v>
      </c>
      <c r="I1303" s="5">
        <f>INT(TB[[#This Row],[时间戳]])</f>
        <v>45954</v>
      </c>
      <c r="J1303" s="2">
        <f>HOUR(TB[[#This Row],[时间戳]])</f>
        <v>22</v>
      </c>
      <c r="K1303">
        <v>2417</v>
      </c>
      <c r="L1303">
        <v>5</v>
      </c>
      <c r="M1303">
        <f>TB[[#This Row],[售价]]*TB[[#This Row],[销量]]</f>
        <v>12085</v>
      </c>
      <c r="N1303" t="str">
        <f>IF(TB[[#This Row],[售价]]&lt;1000,"低价商品",IF(TB[[#This Row],[售价]]&lt;5000,"中价商品",IF(TB[[#This Row],[售价]]&lt;10000,"高价商品","超高价商品")))</f>
        <v>中价商品</v>
      </c>
    </row>
    <row r="1304" spans="1:14" x14ac:dyDescent="0.2">
      <c r="A1304">
        <v>756</v>
      </c>
      <c r="B1304">
        <v>212</v>
      </c>
      <c r="C1304" t="s">
        <v>14</v>
      </c>
      <c r="D1304" t="s">
        <v>186</v>
      </c>
      <c r="E1304" t="s">
        <v>25</v>
      </c>
      <c r="F1304">
        <v>7</v>
      </c>
      <c r="G1304" t="s">
        <v>42</v>
      </c>
      <c r="H1304" s="1">
        <v>45954.925694444442</v>
      </c>
      <c r="I1304" s="5">
        <f>INT(TB[[#This Row],[时间戳]])</f>
        <v>45954</v>
      </c>
      <c r="J1304" s="2">
        <f>HOUR(TB[[#This Row],[时间戳]])</f>
        <v>22</v>
      </c>
      <c r="K1304">
        <v>4087</v>
      </c>
      <c r="L1304">
        <v>0</v>
      </c>
      <c r="M1304">
        <f>TB[[#This Row],[售价]]*TB[[#This Row],[销量]]</f>
        <v>0</v>
      </c>
      <c r="N1304" t="str">
        <f>IF(TB[[#This Row],[售价]]&lt;1000,"低价商品",IF(TB[[#This Row],[售价]]&lt;5000,"中价商品",IF(TB[[#This Row],[售价]]&lt;10000,"高价商品","超高价商品")))</f>
        <v>中价商品</v>
      </c>
    </row>
    <row r="1305" spans="1:14" x14ac:dyDescent="0.2">
      <c r="A1305">
        <v>483</v>
      </c>
      <c r="B1305">
        <v>300</v>
      </c>
      <c r="C1305" t="s">
        <v>32</v>
      </c>
      <c r="D1305" t="s">
        <v>33</v>
      </c>
      <c r="E1305" t="s">
        <v>16</v>
      </c>
      <c r="F1305">
        <v>6</v>
      </c>
      <c r="G1305" t="s">
        <v>13</v>
      </c>
      <c r="H1305" s="1">
        <v>45954.94027777778</v>
      </c>
      <c r="I1305" s="5">
        <f>INT(TB[[#This Row],[时间戳]])</f>
        <v>45954</v>
      </c>
      <c r="J1305" s="2">
        <f>HOUR(TB[[#This Row],[时间戳]])</f>
        <v>22</v>
      </c>
      <c r="K1305">
        <v>5268</v>
      </c>
      <c r="L1305">
        <v>3</v>
      </c>
      <c r="M1305">
        <f>TB[[#This Row],[售价]]*TB[[#This Row],[销量]]</f>
        <v>15804</v>
      </c>
      <c r="N1305" t="str">
        <f>IF(TB[[#This Row],[售价]]&lt;1000,"低价商品",IF(TB[[#This Row],[售价]]&lt;5000,"中价商品",IF(TB[[#This Row],[售价]]&lt;10000,"高价商品","超高价商品")))</f>
        <v>高价商品</v>
      </c>
    </row>
    <row r="1306" spans="1:14" x14ac:dyDescent="0.2">
      <c r="A1306">
        <v>222</v>
      </c>
      <c r="B1306">
        <v>233</v>
      </c>
      <c r="C1306" t="s">
        <v>17</v>
      </c>
      <c r="D1306" t="s">
        <v>61</v>
      </c>
      <c r="E1306" t="s">
        <v>31</v>
      </c>
      <c r="F1306">
        <v>4</v>
      </c>
      <c r="G1306" t="s">
        <v>13</v>
      </c>
      <c r="H1306" s="1">
        <v>45954.962500000001</v>
      </c>
      <c r="I1306" s="5">
        <f>INT(TB[[#This Row],[时间戳]])</f>
        <v>45954</v>
      </c>
      <c r="J1306" s="2">
        <f>HOUR(TB[[#This Row],[时间戳]])</f>
        <v>23</v>
      </c>
      <c r="K1306">
        <v>869</v>
      </c>
      <c r="L1306">
        <v>2</v>
      </c>
      <c r="M1306">
        <f>TB[[#This Row],[售价]]*TB[[#This Row],[销量]]</f>
        <v>1738</v>
      </c>
      <c r="N1306" t="str">
        <f>IF(TB[[#This Row],[售价]]&lt;1000,"低价商品",IF(TB[[#This Row],[售价]]&lt;5000,"中价商品",IF(TB[[#This Row],[售价]]&lt;10000,"高价商品","超高价商品")))</f>
        <v>低价商品</v>
      </c>
    </row>
    <row r="1307" spans="1:14" x14ac:dyDescent="0.2">
      <c r="A1307">
        <v>469</v>
      </c>
      <c r="B1307">
        <v>100</v>
      </c>
      <c r="C1307" t="s">
        <v>34</v>
      </c>
      <c r="D1307" t="s">
        <v>175</v>
      </c>
      <c r="E1307" t="s">
        <v>22</v>
      </c>
      <c r="F1307">
        <v>1</v>
      </c>
      <c r="G1307" t="s">
        <v>13</v>
      </c>
      <c r="H1307" s="1">
        <v>45955.000694444447</v>
      </c>
      <c r="I1307" s="5">
        <f>INT(TB[[#This Row],[时间戳]])</f>
        <v>45955</v>
      </c>
      <c r="J1307" s="2">
        <f>HOUR(TB[[#This Row],[时间戳]])</f>
        <v>0</v>
      </c>
      <c r="K1307">
        <v>2456</v>
      </c>
      <c r="L1307">
        <v>3</v>
      </c>
      <c r="M1307">
        <f>TB[[#This Row],[售价]]*TB[[#This Row],[销量]]</f>
        <v>7368</v>
      </c>
      <c r="N1307" t="str">
        <f>IF(TB[[#This Row],[售价]]&lt;1000,"低价商品",IF(TB[[#This Row],[售价]]&lt;5000,"中价商品",IF(TB[[#This Row],[售价]]&lt;10000,"高价商品","超高价商品")))</f>
        <v>中价商品</v>
      </c>
    </row>
    <row r="1308" spans="1:14" x14ac:dyDescent="0.2">
      <c r="A1308">
        <v>344</v>
      </c>
      <c r="B1308">
        <v>66</v>
      </c>
      <c r="C1308" t="s">
        <v>36</v>
      </c>
      <c r="D1308" t="s">
        <v>366</v>
      </c>
      <c r="E1308" t="s">
        <v>22</v>
      </c>
      <c r="F1308">
        <v>1</v>
      </c>
      <c r="G1308" t="s">
        <v>13</v>
      </c>
      <c r="H1308" s="1">
        <v>45955.023611111108</v>
      </c>
      <c r="I1308" s="5">
        <f>INT(TB[[#This Row],[时间戳]])</f>
        <v>45955</v>
      </c>
      <c r="J1308" s="2">
        <f>HOUR(TB[[#This Row],[时间戳]])</f>
        <v>0</v>
      </c>
      <c r="K1308">
        <v>6160</v>
      </c>
      <c r="L1308">
        <v>5</v>
      </c>
      <c r="M1308">
        <f>TB[[#This Row],[售价]]*TB[[#This Row],[销量]]</f>
        <v>30800</v>
      </c>
      <c r="N1308" t="str">
        <f>IF(TB[[#This Row],[售价]]&lt;1000,"低价商品",IF(TB[[#This Row],[售价]]&lt;5000,"中价商品",IF(TB[[#This Row],[售价]]&lt;10000,"高价商品","超高价商品")))</f>
        <v>高价商品</v>
      </c>
    </row>
    <row r="1309" spans="1:14" x14ac:dyDescent="0.2">
      <c r="A1309">
        <v>288</v>
      </c>
      <c r="B1309">
        <v>70</v>
      </c>
      <c r="C1309" t="s">
        <v>46</v>
      </c>
      <c r="D1309" t="s">
        <v>180</v>
      </c>
      <c r="E1309" t="s">
        <v>31</v>
      </c>
      <c r="F1309">
        <v>4</v>
      </c>
      <c r="G1309" t="s">
        <v>13</v>
      </c>
      <c r="H1309" s="1">
        <v>45955.053472222222</v>
      </c>
      <c r="I1309" s="5">
        <f>INT(TB[[#This Row],[时间戳]])</f>
        <v>45955</v>
      </c>
      <c r="J1309" s="2">
        <f>HOUR(TB[[#This Row],[时间戳]])</f>
        <v>1</v>
      </c>
      <c r="K1309">
        <v>269</v>
      </c>
      <c r="L1309">
        <v>3</v>
      </c>
      <c r="M1309">
        <f>TB[[#This Row],[售价]]*TB[[#This Row],[销量]]</f>
        <v>807</v>
      </c>
      <c r="N1309" t="str">
        <f>IF(TB[[#This Row],[售价]]&lt;1000,"低价商品",IF(TB[[#This Row],[售价]]&lt;5000,"中价商品",IF(TB[[#This Row],[售价]]&lt;10000,"高价商品","超高价商品")))</f>
        <v>低价商品</v>
      </c>
    </row>
    <row r="1310" spans="1:14" x14ac:dyDescent="0.2">
      <c r="A1310">
        <v>176</v>
      </c>
      <c r="B1310">
        <v>176</v>
      </c>
      <c r="C1310" t="s">
        <v>44</v>
      </c>
      <c r="D1310" t="s">
        <v>163</v>
      </c>
      <c r="E1310" t="s">
        <v>12</v>
      </c>
      <c r="F1310">
        <v>2</v>
      </c>
      <c r="G1310" t="s">
        <v>13</v>
      </c>
      <c r="H1310" s="1">
        <v>45955.061111111114</v>
      </c>
      <c r="I1310" s="5">
        <f>INT(TB[[#This Row],[时间戳]])</f>
        <v>45955</v>
      </c>
      <c r="J1310" s="2">
        <f>HOUR(TB[[#This Row],[时间戳]])</f>
        <v>1</v>
      </c>
      <c r="K1310">
        <v>5858</v>
      </c>
      <c r="L1310">
        <v>1</v>
      </c>
      <c r="M1310">
        <f>TB[[#This Row],[售价]]*TB[[#This Row],[销量]]</f>
        <v>5858</v>
      </c>
      <c r="N1310" t="str">
        <f>IF(TB[[#This Row],[售价]]&lt;1000,"低价商品",IF(TB[[#This Row],[售价]]&lt;5000,"中价商品",IF(TB[[#This Row],[售价]]&lt;10000,"高价商品","超高价商品")))</f>
        <v>高价商品</v>
      </c>
    </row>
    <row r="1311" spans="1:14" x14ac:dyDescent="0.2">
      <c r="A1311">
        <v>654</v>
      </c>
      <c r="B1311">
        <v>88</v>
      </c>
      <c r="C1311" t="s">
        <v>46</v>
      </c>
      <c r="D1311" t="s">
        <v>341</v>
      </c>
      <c r="E1311" t="s">
        <v>31</v>
      </c>
      <c r="F1311">
        <v>4</v>
      </c>
      <c r="G1311" t="s">
        <v>13</v>
      </c>
      <c r="H1311" s="1">
        <v>45955.091666666667</v>
      </c>
      <c r="I1311" s="5">
        <f>INT(TB[[#This Row],[时间戳]])</f>
        <v>45955</v>
      </c>
      <c r="J1311" s="2">
        <f>HOUR(TB[[#This Row],[时间戳]])</f>
        <v>2</v>
      </c>
      <c r="K1311">
        <v>451</v>
      </c>
      <c r="L1311">
        <v>1</v>
      </c>
      <c r="M1311">
        <f>TB[[#This Row],[售价]]*TB[[#This Row],[销量]]</f>
        <v>451</v>
      </c>
      <c r="N1311" t="str">
        <f>IF(TB[[#This Row],[售价]]&lt;1000,"低价商品",IF(TB[[#This Row],[售价]]&lt;5000,"中价商品",IF(TB[[#This Row],[售价]]&lt;10000,"高价商品","超高价商品")))</f>
        <v>低价商品</v>
      </c>
    </row>
    <row r="1312" spans="1:14" x14ac:dyDescent="0.2">
      <c r="A1312">
        <v>422</v>
      </c>
      <c r="B1312">
        <v>268</v>
      </c>
      <c r="C1312" t="s">
        <v>32</v>
      </c>
      <c r="D1312" t="s">
        <v>58</v>
      </c>
      <c r="E1312" t="s">
        <v>31</v>
      </c>
      <c r="F1312">
        <v>4</v>
      </c>
      <c r="G1312" t="s">
        <v>13</v>
      </c>
      <c r="H1312" s="1">
        <v>45955.09375</v>
      </c>
      <c r="I1312" s="5">
        <f>INT(TB[[#This Row],[时间戳]])</f>
        <v>45955</v>
      </c>
      <c r="J1312" s="2">
        <f>HOUR(TB[[#This Row],[时间戳]])</f>
        <v>2</v>
      </c>
      <c r="K1312">
        <v>1316</v>
      </c>
      <c r="L1312">
        <v>5</v>
      </c>
      <c r="M1312">
        <f>TB[[#This Row],[售价]]*TB[[#This Row],[销量]]</f>
        <v>6580</v>
      </c>
      <c r="N1312" t="str">
        <f>IF(TB[[#This Row],[售价]]&lt;1000,"低价商品",IF(TB[[#This Row],[售价]]&lt;5000,"中价商品",IF(TB[[#This Row],[售价]]&lt;10000,"高价商品","超高价商品")))</f>
        <v>中价商品</v>
      </c>
    </row>
    <row r="1313" spans="1:14" x14ac:dyDescent="0.2">
      <c r="A1313">
        <v>474</v>
      </c>
      <c r="B1313">
        <v>143</v>
      </c>
      <c r="C1313" t="s">
        <v>46</v>
      </c>
      <c r="D1313" t="s">
        <v>211</v>
      </c>
      <c r="E1313" t="s">
        <v>31</v>
      </c>
      <c r="F1313">
        <v>4</v>
      </c>
      <c r="G1313" t="s">
        <v>13</v>
      </c>
      <c r="H1313" s="1">
        <v>45955.134722222225</v>
      </c>
      <c r="I1313" s="5">
        <f>INT(TB[[#This Row],[时间戳]])</f>
        <v>45955</v>
      </c>
      <c r="J1313" s="2">
        <f>HOUR(TB[[#This Row],[时间戳]])</f>
        <v>3</v>
      </c>
      <c r="K1313">
        <v>961</v>
      </c>
      <c r="L1313">
        <v>2</v>
      </c>
      <c r="M1313">
        <f>TB[[#This Row],[售价]]*TB[[#This Row],[销量]]</f>
        <v>1922</v>
      </c>
      <c r="N1313" t="str">
        <f>IF(TB[[#This Row],[售价]]&lt;1000,"低价商品",IF(TB[[#This Row],[售价]]&lt;5000,"中价商品",IF(TB[[#This Row],[售价]]&lt;10000,"高价商品","超高价商品")))</f>
        <v>低价商品</v>
      </c>
    </row>
    <row r="1314" spans="1:14" x14ac:dyDescent="0.2">
      <c r="A1314">
        <v>253</v>
      </c>
      <c r="B1314">
        <v>127</v>
      </c>
      <c r="C1314" t="s">
        <v>17</v>
      </c>
      <c r="D1314" t="s">
        <v>98</v>
      </c>
      <c r="E1314" t="s">
        <v>22</v>
      </c>
      <c r="F1314">
        <v>1</v>
      </c>
      <c r="G1314" t="s">
        <v>13</v>
      </c>
      <c r="H1314" s="1">
        <v>45955.149305555555</v>
      </c>
      <c r="I1314" s="5">
        <f>INT(TB[[#This Row],[时间戳]])</f>
        <v>45955</v>
      </c>
      <c r="J1314" s="2">
        <f>HOUR(TB[[#This Row],[时间戳]])</f>
        <v>3</v>
      </c>
      <c r="K1314">
        <v>1291</v>
      </c>
      <c r="L1314">
        <v>1</v>
      </c>
      <c r="M1314">
        <f>TB[[#This Row],[售价]]*TB[[#This Row],[销量]]</f>
        <v>1291</v>
      </c>
      <c r="N1314" t="str">
        <f>IF(TB[[#This Row],[售价]]&lt;1000,"低价商品",IF(TB[[#This Row],[售价]]&lt;5000,"中价商品",IF(TB[[#This Row],[售价]]&lt;10000,"高价商品","超高价商品")))</f>
        <v>中价商品</v>
      </c>
    </row>
    <row r="1315" spans="1:14" x14ac:dyDescent="0.2">
      <c r="A1315">
        <v>606</v>
      </c>
      <c r="B1315">
        <v>77</v>
      </c>
      <c r="C1315" t="s">
        <v>46</v>
      </c>
      <c r="D1315" t="s">
        <v>350</v>
      </c>
      <c r="E1315" t="s">
        <v>25</v>
      </c>
      <c r="F1315">
        <v>7</v>
      </c>
      <c r="G1315" t="s">
        <v>13</v>
      </c>
      <c r="H1315" s="1">
        <v>45955.180555555555</v>
      </c>
      <c r="I1315" s="5">
        <f>INT(TB[[#This Row],[时间戳]])</f>
        <v>45955</v>
      </c>
      <c r="J1315" s="2">
        <f>HOUR(TB[[#This Row],[时间戳]])</f>
        <v>4</v>
      </c>
      <c r="K1315">
        <v>4203</v>
      </c>
      <c r="L1315">
        <v>3</v>
      </c>
      <c r="M1315">
        <f>TB[[#This Row],[售价]]*TB[[#This Row],[销量]]</f>
        <v>12609</v>
      </c>
      <c r="N1315" t="str">
        <f>IF(TB[[#This Row],[售价]]&lt;1000,"低价商品",IF(TB[[#This Row],[售价]]&lt;5000,"中价商品",IF(TB[[#This Row],[售价]]&lt;10000,"高价商品","超高价商品")))</f>
        <v>中价商品</v>
      </c>
    </row>
    <row r="1316" spans="1:14" x14ac:dyDescent="0.2">
      <c r="A1316">
        <v>42</v>
      </c>
      <c r="B1316">
        <v>241</v>
      </c>
      <c r="C1316" t="s">
        <v>17</v>
      </c>
      <c r="D1316" t="s">
        <v>74</v>
      </c>
      <c r="E1316" t="s">
        <v>22</v>
      </c>
      <c r="F1316">
        <v>1</v>
      </c>
      <c r="G1316" t="s">
        <v>13</v>
      </c>
      <c r="H1316" s="1">
        <v>45955.191666666666</v>
      </c>
      <c r="I1316" s="5">
        <f>INT(TB[[#This Row],[时间戳]])</f>
        <v>45955</v>
      </c>
      <c r="J1316" s="2">
        <f>HOUR(TB[[#This Row],[时间戳]])</f>
        <v>4</v>
      </c>
      <c r="K1316">
        <v>5501</v>
      </c>
      <c r="L1316">
        <v>2</v>
      </c>
      <c r="M1316">
        <f>TB[[#This Row],[售价]]*TB[[#This Row],[销量]]</f>
        <v>11002</v>
      </c>
      <c r="N1316" t="str">
        <f>IF(TB[[#This Row],[售价]]&lt;1000,"低价商品",IF(TB[[#This Row],[售价]]&lt;5000,"中价商品",IF(TB[[#This Row],[售价]]&lt;10000,"高价商品","超高价商品")))</f>
        <v>高价商品</v>
      </c>
    </row>
    <row r="1317" spans="1:14" x14ac:dyDescent="0.2">
      <c r="A1317">
        <v>436</v>
      </c>
      <c r="B1317">
        <v>272</v>
      </c>
      <c r="C1317" t="s">
        <v>20</v>
      </c>
      <c r="D1317" t="s">
        <v>394</v>
      </c>
      <c r="E1317" t="s">
        <v>39</v>
      </c>
      <c r="F1317">
        <v>5</v>
      </c>
      <c r="G1317" t="s">
        <v>13</v>
      </c>
      <c r="H1317" s="1">
        <v>45955.211111111108</v>
      </c>
      <c r="I1317" s="5">
        <f>INT(TB[[#This Row],[时间戳]])</f>
        <v>45955</v>
      </c>
      <c r="J1317" s="2">
        <f>HOUR(TB[[#This Row],[时间戳]])</f>
        <v>5</v>
      </c>
      <c r="K1317">
        <v>3997</v>
      </c>
      <c r="L1317">
        <v>1</v>
      </c>
      <c r="M1317">
        <f>TB[[#This Row],[售价]]*TB[[#This Row],[销量]]</f>
        <v>3997</v>
      </c>
      <c r="N1317" t="str">
        <f>IF(TB[[#This Row],[售价]]&lt;1000,"低价商品",IF(TB[[#This Row],[售价]]&lt;5000,"中价商品",IF(TB[[#This Row],[售价]]&lt;10000,"高价商品","超高价商品")))</f>
        <v>中价商品</v>
      </c>
    </row>
    <row r="1318" spans="1:14" x14ac:dyDescent="0.2">
      <c r="A1318">
        <v>508</v>
      </c>
      <c r="B1318">
        <v>124</v>
      </c>
      <c r="C1318" t="s">
        <v>14</v>
      </c>
      <c r="D1318" t="s">
        <v>106</v>
      </c>
      <c r="E1318" t="s">
        <v>22</v>
      </c>
      <c r="F1318">
        <v>1</v>
      </c>
      <c r="G1318" t="s">
        <v>13</v>
      </c>
      <c r="H1318" s="1">
        <v>45955.224305555559</v>
      </c>
      <c r="I1318" s="5">
        <f>INT(TB[[#This Row],[时间戳]])</f>
        <v>45955</v>
      </c>
      <c r="J1318" s="2">
        <f>HOUR(TB[[#This Row],[时间戳]])</f>
        <v>5</v>
      </c>
      <c r="K1318">
        <v>4275</v>
      </c>
      <c r="L1318">
        <v>3</v>
      </c>
      <c r="M1318">
        <f>TB[[#This Row],[售价]]*TB[[#This Row],[销量]]</f>
        <v>12825</v>
      </c>
      <c r="N1318" t="str">
        <f>IF(TB[[#This Row],[售价]]&lt;1000,"低价商品",IF(TB[[#This Row],[售价]]&lt;5000,"中价商品",IF(TB[[#This Row],[售价]]&lt;10000,"高价商品","超高价商品")))</f>
        <v>中价商品</v>
      </c>
    </row>
    <row r="1319" spans="1:14" x14ac:dyDescent="0.2">
      <c r="A1319">
        <v>224</v>
      </c>
      <c r="B1319">
        <v>68</v>
      </c>
      <c r="C1319" t="s">
        <v>10</v>
      </c>
      <c r="D1319" t="s">
        <v>351</v>
      </c>
      <c r="E1319" t="s">
        <v>31</v>
      </c>
      <c r="F1319">
        <v>4</v>
      </c>
      <c r="G1319" t="s">
        <v>13</v>
      </c>
      <c r="H1319" s="1">
        <v>45955.248611111114</v>
      </c>
      <c r="I1319" s="5">
        <f>INT(TB[[#This Row],[时间戳]])</f>
        <v>45955</v>
      </c>
      <c r="J1319" s="2">
        <f>HOUR(TB[[#This Row],[时间戳]])</f>
        <v>5</v>
      </c>
      <c r="K1319">
        <v>305</v>
      </c>
      <c r="L1319">
        <v>1</v>
      </c>
      <c r="M1319">
        <f>TB[[#This Row],[售价]]*TB[[#This Row],[销量]]</f>
        <v>305</v>
      </c>
      <c r="N1319" t="str">
        <f>IF(TB[[#This Row],[售价]]&lt;1000,"低价商品",IF(TB[[#This Row],[售价]]&lt;5000,"中价商品",IF(TB[[#This Row],[售价]]&lt;10000,"高价商品","超高价商品")))</f>
        <v>低价商品</v>
      </c>
    </row>
    <row r="1320" spans="1:14" x14ac:dyDescent="0.2">
      <c r="A1320">
        <v>93</v>
      </c>
      <c r="B1320">
        <v>9</v>
      </c>
      <c r="C1320" t="s">
        <v>32</v>
      </c>
      <c r="D1320" t="s">
        <v>193</v>
      </c>
      <c r="E1320" t="s">
        <v>22</v>
      </c>
      <c r="F1320">
        <v>1</v>
      </c>
      <c r="G1320" t="s">
        <v>42</v>
      </c>
      <c r="H1320" s="1">
        <v>45955.25</v>
      </c>
      <c r="I1320" s="5">
        <f>INT(TB[[#This Row],[时间戳]])</f>
        <v>45955</v>
      </c>
      <c r="J1320" s="2">
        <f>HOUR(TB[[#This Row],[时间戳]])</f>
        <v>6</v>
      </c>
      <c r="K1320">
        <v>3887</v>
      </c>
      <c r="L1320">
        <v>0</v>
      </c>
      <c r="M1320">
        <f>TB[[#This Row],[售价]]*TB[[#This Row],[销量]]</f>
        <v>0</v>
      </c>
      <c r="N1320" t="str">
        <f>IF(TB[[#This Row],[售价]]&lt;1000,"低价商品",IF(TB[[#This Row],[售价]]&lt;5000,"中价商品",IF(TB[[#This Row],[售价]]&lt;10000,"高价商品","超高价商品")))</f>
        <v>中价商品</v>
      </c>
    </row>
    <row r="1321" spans="1:14" x14ac:dyDescent="0.2">
      <c r="A1321">
        <v>721</v>
      </c>
      <c r="B1321">
        <v>236</v>
      </c>
      <c r="C1321" t="s">
        <v>36</v>
      </c>
      <c r="D1321" t="s">
        <v>153</v>
      </c>
      <c r="E1321" t="s">
        <v>31</v>
      </c>
      <c r="F1321">
        <v>4</v>
      </c>
      <c r="G1321" t="s">
        <v>42</v>
      </c>
      <c r="H1321" s="1">
        <v>45955.251388888886</v>
      </c>
      <c r="I1321" s="5">
        <f>INT(TB[[#This Row],[时间戳]])</f>
        <v>45955</v>
      </c>
      <c r="J1321" s="2">
        <f>HOUR(TB[[#This Row],[时间戳]])</f>
        <v>6</v>
      </c>
      <c r="K1321">
        <v>1174</v>
      </c>
      <c r="L1321">
        <v>0</v>
      </c>
      <c r="M1321">
        <f>TB[[#This Row],[售价]]*TB[[#This Row],[销量]]</f>
        <v>0</v>
      </c>
      <c r="N1321" t="str">
        <f>IF(TB[[#This Row],[售价]]&lt;1000,"低价商品",IF(TB[[#This Row],[售价]]&lt;5000,"中价商品",IF(TB[[#This Row],[售价]]&lt;10000,"高价商品","超高价商品")))</f>
        <v>中价商品</v>
      </c>
    </row>
    <row r="1322" spans="1:14" x14ac:dyDescent="0.2">
      <c r="A1322">
        <v>466</v>
      </c>
      <c r="B1322">
        <v>238</v>
      </c>
      <c r="C1322" t="s">
        <v>46</v>
      </c>
      <c r="D1322" t="s">
        <v>315</v>
      </c>
      <c r="E1322" t="s">
        <v>12</v>
      </c>
      <c r="F1322">
        <v>2</v>
      </c>
      <c r="G1322" t="s">
        <v>13</v>
      </c>
      <c r="H1322" s="1">
        <v>45955.256944444445</v>
      </c>
      <c r="I1322" s="5">
        <f>INT(TB[[#This Row],[时间戳]])</f>
        <v>45955</v>
      </c>
      <c r="J1322" s="2">
        <f>HOUR(TB[[#This Row],[时间戳]])</f>
        <v>6</v>
      </c>
      <c r="K1322">
        <v>13527</v>
      </c>
      <c r="L1322">
        <v>1</v>
      </c>
      <c r="M1322">
        <f>TB[[#This Row],[售价]]*TB[[#This Row],[销量]]</f>
        <v>13527</v>
      </c>
      <c r="N1322" t="str">
        <f>IF(TB[[#This Row],[售价]]&lt;1000,"低价商品",IF(TB[[#This Row],[售价]]&lt;5000,"中价商品",IF(TB[[#This Row],[售价]]&lt;10000,"高价商品","超高价商品")))</f>
        <v>超高价商品</v>
      </c>
    </row>
    <row r="1323" spans="1:14" x14ac:dyDescent="0.2">
      <c r="A1323">
        <v>380</v>
      </c>
      <c r="B1323">
        <v>238</v>
      </c>
      <c r="C1323" t="s">
        <v>17</v>
      </c>
      <c r="D1323" t="s">
        <v>119</v>
      </c>
      <c r="E1323" t="s">
        <v>12</v>
      </c>
      <c r="F1323">
        <v>2</v>
      </c>
      <c r="G1323" t="s">
        <v>13</v>
      </c>
      <c r="H1323" s="1">
        <v>45955.259722222225</v>
      </c>
      <c r="I1323" s="5">
        <f>INT(TB[[#This Row],[时间戳]])</f>
        <v>45955</v>
      </c>
      <c r="J1323" s="2">
        <f>HOUR(TB[[#This Row],[时间戳]])</f>
        <v>6</v>
      </c>
      <c r="K1323">
        <v>6431</v>
      </c>
      <c r="L1323">
        <v>2</v>
      </c>
      <c r="M1323">
        <f>TB[[#This Row],[售价]]*TB[[#This Row],[销量]]</f>
        <v>12862</v>
      </c>
      <c r="N1323" t="str">
        <f>IF(TB[[#This Row],[售价]]&lt;1000,"低价商品",IF(TB[[#This Row],[售价]]&lt;5000,"中价商品",IF(TB[[#This Row],[售价]]&lt;10000,"高价商品","超高价商品")))</f>
        <v>高价商品</v>
      </c>
    </row>
    <row r="1324" spans="1:14" x14ac:dyDescent="0.2">
      <c r="A1324">
        <v>708</v>
      </c>
      <c r="B1324">
        <v>171</v>
      </c>
      <c r="C1324" t="s">
        <v>14</v>
      </c>
      <c r="D1324" t="s">
        <v>280</v>
      </c>
      <c r="E1324" t="s">
        <v>12</v>
      </c>
      <c r="F1324">
        <v>2</v>
      </c>
      <c r="G1324" t="s">
        <v>13</v>
      </c>
      <c r="H1324" s="1">
        <v>45955.29791666667</v>
      </c>
      <c r="I1324" s="5">
        <f>INT(TB[[#This Row],[时间戳]])</f>
        <v>45955</v>
      </c>
      <c r="J1324" s="2">
        <f>HOUR(TB[[#This Row],[时间戳]])</f>
        <v>7</v>
      </c>
      <c r="K1324">
        <v>14177</v>
      </c>
      <c r="L1324">
        <v>3</v>
      </c>
      <c r="M1324">
        <f>TB[[#This Row],[售价]]*TB[[#This Row],[销量]]</f>
        <v>42531</v>
      </c>
      <c r="N1324" t="str">
        <f>IF(TB[[#This Row],[售价]]&lt;1000,"低价商品",IF(TB[[#This Row],[售价]]&lt;5000,"中价商品",IF(TB[[#This Row],[售价]]&lt;10000,"高价商品","超高价商品")))</f>
        <v>超高价商品</v>
      </c>
    </row>
    <row r="1325" spans="1:14" x14ac:dyDescent="0.2">
      <c r="A1325">
        <v>771</v>
      </c>
      <c r="B1325">
        <v>139</v>
      </c>
      <c r="C1325" t="s">
        <v>36</v>
      </c>
      <c r="D1325" t="s">
        <v>83</v>
      </c>
      <c r="E1325" t="s">
        <v>22</v>
      </c>
      <c r="F1325">
        <v>1</v>
      </c>
      <c r="G1325" t="s">
        <v>13</v>
      </c>
      <c r="H1325" s="1">
        <v>45955.302083333336</v>
      </c>
      <c r="I1325" s="5">
        <f>INT(TB[[#This Row],[时间戳]])</f>
        <v>45955</v>
      </c>
      <c r="J1325" s="2">
        <f>HOUR(TB[[#This Row],[时间戳]])</f>
        <v>7</v>
      </c>
      <c r="K1325">
        <v>5165</v>
      </c>
      <c r="L1325">
        <v>2</v>
      </c>
      <c r="M1325">
        <f>TB[[#This Row],[售价]]*TB[[#This Row],[销量]]</f>
        <v>10330</v>
      </c>
      <c r="N1325" t="str">
        <f>IF(TB[[#This Row],[售价]]&lt;1000,"低价商品",IF(TB[[#This Row],[售价]]&lt;5000,"中价商品",IF(TB[[#This Row],[售价]]&lt;10000,"高价商品","超高价商品")))</f>
        <v>高价商品</v>
      </c>
    </row>
    <row r="1326" spans="1:14" x14ac:dyDescent="0.2">
      <c r="A1326">
        <v>213</v>
      </c>
      <c r="B1326">
        <v>42</v>
      </c>
      <c r="C1326" t="s">
        <v>20</v>
      </c>
      <c r="D1326" t="s">
        <v>355</v>
      </c>
      <c r="E1326" t="s">
        <v>39</v>
      </c>
      <c r="F1326">
        <v>5</v>
      </c>
      <c r="G1326" t="s">
        <v>13</v>
      </c>
      <c r="H1326" s="1">
        <v>45955.370833333334</v>
      </c>
      <c r="I1326" s="5">
        <f>INT(TB[[#This Row],[时间戳]])</f>
        <v>45955</v>
      </c>
      <c r="J1326" s="2">
        <f>HOUR(TB[[#This Row],[时间戳]])</f>
        <v>8</v>
      </c>
      <c r="K1326">
        <v>3772</v>
      </c>
      <c r="L1326">
        <v>1</v>
      </c>
      <c r="M1326">
        <f>TB[[#This Row],[售价]]*TB[[#This Row],[销量]]</f>
        <v>3772</v>
      </c>
      <c r="N1326" t="str">
        <f>IF(TB[[#This Row],[售价]]&lt;1000,"低价商品",IF(TB[[#This Row],[售价]]&lt;5000,"中价商品",IF(TB[[#This Row],[售价]]&lt;10000,"高价商品","超高价商品")))</f>
        <v>中价商品</v>
      </c>
    </row>
    <row r="1327" spans="1:14" x14ac:dyDescent="0.2">
      <c r="A1327">
        <v>691</v>
      </c>
      <c r="B1327">
        <v>187</v>
      </c>
      <c r="C1327" t="s">
        <v>10</v>
      </c>
      <c r="D1327" t="s">
        <v>387</v>
      </c>
      <c r="E1327" t="s">
        <v>16</v>
      </c>
      <c r="F1327">
        <v>6</v>
      </c>
      <c r="G1327" t="s">
        <v>13</v>
      </c>
      <c r="H1327" s="1">
        <v>45955.378472222219</v>
      </c>
      <c r="I1327" s="5">
        <f>INT(TB[[#This Row],[时间戳]])</f>
        <v>45955</v>
      </c>
      <c r="J1327" s="2">
        <f>HOUR(TB[[#This Row],[时间戳]])</f>
        <v>9</v>
      </c>
      <c r="K1327">
        <v>7676</v>
      </c>
      <c r="L1327">
        <v>1</v>
      </c>
      <c r="M1327">
        <f>TB[[#This Row],[售价]]*TB[[#This Row],[销量]]</f>
        <v>7676</v>
      </c>
      <c r="N1327" t="str">
        <f>IF(TB[[#This Row],[售价]]&lt;1000,"低价商品",IF(TB[[#This Row],[售价]]&lt;5000,"中价商品",IF(TB[[#This Row],[售价]]&lt;10000,"高价商品","超高价商品")))</f>
        <v>高价商品</v>
      </c>
    </row>
    <row r="1328" spans="1:14" x14ac:dyDescent="0.2">
      <c r="A1328">
        <v>477</v>
      </c>
      <c r="B1328">
        <v>21</v>
      </c>
      <c r="C1328" t="s">
        <v>17</v>
      </c>
      <c r="D1328" t="s">
        <v>309</v>
      </c>
      <c r="E1328" t="s">
        <v>16</v>
      </c>
      <c r="F1328">
        <v>6</v>
      </c>
      <c r="G1328" t="s">
        <v>13</v>
      </c>
      <c r="H1328" s="1">
        <v>45955.381944444445</v>
      </c>
      <c r="I1328" s="5">
        <f>INT(TB[[#This Row],[时间戳]])</f>
        <v>45955</v>
      </c>
      <c r="J1328" s="2">
        <f>HOUR(TB[[#This Row],[时间戳]])</f>
        <v>9</v>
      </c>
      <c r="K1328">
        <v>2700</v>
      </c>
      <c r="L1328">
        <v>5</v>
      </c>
      <c r="M1328">
        <f>TB[[#This Row],[售价]]*TB[[#This Row],[销量]]</f>
        <v>13500</v>
      </c>
      <c r="N1328" t="str">
        <f>IF(TB[[#This Row],[售价]]&lt;1000,"低价商品",IF(TB[[#This Row],[售价]]&lt;5000,"中价商品",IF(TB[[#This Row],[售价]]&lt;10000,"高价商品","超高价商品")))</f>
        <v>中价商品</v>
      </c>
    </row>
    <row r="1329" spans="1:14" x14ac:dyDescent="0.2">
      <c r="A1329">
        <v>722</v>
      </c>
      <c r="B1329">
        <v>35</v>
      </c>
      <c r="C1329" t="s">
        <v>26</v>
      </c>
      <c r="D1329" t="s">
        <v>48</v>
      </c>
      <c r="E1329" t="s">
        <v>31</v>
      </c>
      <c r="F1329">
        <v>4</v>
      </c>
      <c r="G1329" t="s">
        <v>13</v>
      </c>
      <c r="H1329" s="1">
        <v>45955.410416666666</v>
      </c>
      <c r="I1329" s="5">
        <f>INT(TB[[#This Row],[时间戳]])</f>
        <v>45955</v>
      </c>
      <c r="J1329" s="2">
        <f>HOUR(TB[[#This Row],[时间戳]])</f>
        <v>9</v>
      </c>
      <c r="K1329">
        <v>785</v>
      </c>
      <c r="L1329">
        <v>1</v>
      </c>
      <c r="M1329">
        <f>TB[[#This Row],[售价]]*TB[[#This Row],[销量]]</f>
        <v>785</v>
      </c>
      <c r="N1329" t="str">
        <f>IF(TB[[#This Row],[售价]]&lt;1000,"低价商品",IF(TB[[#This Row],[售价]]&lt;5000,"中价商品",IF(TB[[#This Row],[售价]]&lt;10000,"高价商品","超高价商品")))</f>
        <v>低价商品</v>
      </c>
    </row>
    <row r="1330" spans="1:14" x14ac:dyDescent="0.2">
      <c r="A1330">
        <v>343</v>
      </c>
      <c r="B1330">
        <v>123</v>
      </c>
      <c r="C1330" t="s">
        <v>32</v>
      </c>
      <c r="D1330" t="s">
        <v>275</v>
      </c>
      <c r="E1330" t="s">
        <v>22</v>
      </c>
      <c r="F1330">
        <v>1</v>
      </c>
      <c r="G1330" t="s">
        <v>13</v>
      </c>
      <c r="H1330" s="1">
        <v>45955.430555555555</v>
      </c>
      <c r="I1330" s="5">
        <f>INT(TB[[#This Row],[时间戳]])</f>
        <v>45955</v>
      </c>
      <c r="J1330" s="2">
        <f>HOUR(TB[[#This Row],[时间戳]])</f>
        <v>10</v>
      </c>
      <c r="K1330">
        <v>5756</v>
      </c>
      <c r="L1330">
        <v>3</v>
      </c>
      <c r="M1330">
        <f>TB[[#This Row],[售价]]*TB[[#This Row],[销量]]</f>
        <v>17268</v>
      </c>
      <c r="N1330" t="str">
        <f>IF(TB[[#This Row],[售价]]&lt;1000,"低价商品",IF(TB[[#This Row],[售价]]&lt;5000,"中价商品",IF(TB[[#This Row],[售价]]&lt;10000,"高价商品","超高价商品")))</f>
        <v>高价商品</v>
      </c>
    </row>
    <row r="1331" spans="1:14" x14ac:dyDescent="0.2">
      <c r="A1331">
        <v>771</v>
      </c>
      <c r="B1331">
        <v>298</v>
      </c>
      <c r="C1331" t="s">
        <v>44</v>
      </c>
      <c r="D1331" t="s">
        <v>372</v>
      </c>
      <c r="E1331" t="s">
        <v>22</v>
      </c>
      <c r="F1331">
        <v>1</v>
      </c>
      <c r="G1331" t="s">
        <v>13</v>
      </c>
      <c r="H1331" s="1">
        <v>45955.443055555559</v>
      </c>
      <c r="I1331" s="5">
        <f>INT(TB[[#This Row],[时间戳]])</f>
        <v>45955</v>
      </c>
      <c r="J1331" s="2">
        <f>HOUR(TB[[#This Row],[时间戳]])</f>
        <v>10</v>
      </c>
      <c r="K1331">
        <v>5278</v>
      </c>
      <c r="L1331">
        <v>3</v>
      </c>
      <c r="M1331">
        <f>TB[[#This Row],[售价]]*TB[[#This Row],[销量]]</f>
        <v>15834</v>
      </c>
      <c r="N1331" t="str">
        <f>IF(TB[[#This Row],[售价]]&lt;1000,"低价商品",IF(TB[[#This Row],[售价]]&lt;5000,"中价商品",IF(TB[[#This Row],[售价]]&lt;10000,"高价商品","超高价商品")))</f>
        <v>高价商品</v>
      </c>
    </row>
    <row r="1332" spans="1:14" x14ac:dyDescent="0.2">
      <c r="A1332">
        <v>362</v>
      </c>
      <c r="B1332">
        <v>137</v>
      </c>
      <c r="C1332" t="s">
        <v>32</v>
      </c>
      <c r="D1332" t="s">
        <v>342</v>
      </c>
      <c r="E1332" t="s">
        <v>39</v>
      </c>
      <c r="F1332">
        <v>5</v>
      </c>
      <c r="G1332" t="s">
        <v>13</v>
      </c>
      <c r="H1332" s="1">
        <v>45955.458333333336</v>
      </c>
      <c r="I1332" s="5">
        <f>INT(TB[[#This Row],[时间戳]])</f>
        <v>45955</v>
      </c>
      <c r="J1332" s="2">
        <f>HOUR(TB[[#This Row],[时间戳]])</f>
        <v>11</v>
      </c>
      <c r="K1332">
        <v>3585</v>
      </c>
      <c r="L1332">
        <v>3</v>
      </c>
      <c r="M1332">
        <f>TB[[#This Row],[售价]]*TB[[#This Row],[销量]]</f>
        <v>10755</v>
      </c>
      <c r="N1332" t="str">
        <f>IF(TB[[#This Row],[售价]]&lt;1000,"低价商品",IF(TB[[#This Row],[售价]]&lt;5000,"中价商品",IF(TB[[#This Row],[售价]]&lt;10000,"高价商品","超高价商品")))</f>
        <v>中价商品</v>
      </c>
    </row>
    <row r="1333" spans="1:14" x14ac:dyDescent="0.2">
      <c r="A1333">
        <v>56</v>
      </c>
      <c r="B1333">
        <v>33</v>
      </c>
      <c r="C1333" t="s">
        <v>17</v>
      </c>
      <c r="D1333" t="s">
        <v>309</v>
      </c>
      <c r="E1333" t="s">
        <v>16</v>
      </c>
      <c r="F1333">
        <v>6</v>
      </c>
      <c r="G1333" t="s">
        <v>13</v>
      </c>
      <c r="H1333" s="1">
        <v>45955.481249999997</v>
      </c>
      <c r="I1333" s="5">
        <f>INT(TB[[#This Row],[时间戳]])</f>
        <v>45955</v>
      </c>
      <c r="J1333" s="2">
        <f>HOUR(TB[[#This Row],[时间戳]])</f>
        <v>11</v>
      </c>
      <c r="K1333">
        <v>10398</v>
      </c>
      <c r="L1333">
        <v>1</v>
      </c>
      <c r="M1333">
        <f>TB[[#This Row],[售价]]*TB[[#This Row],[销量]]</f>
        <v>10398</v>
      </c>
      <c r="N1333" t="str">
        <f>IF(TB[[#This Row],[售价]]&lt;1000,"低价商品",IF(TB[[#This Row],[售价]]&lt;5000,"中价商品",IF(TB[[#This Row],[售价]]&lt;10000,"高价商品","超高价商品")))</f>
        <v>超高价商品</v>
      </c>
    </row>
    <row r="1334" spans="1:14" x14ac:dyDescent="0.2">
      <c r="A1334">
        <v>514</v>
      </c>
      <c r="B1334">
        <v>270</v>
      </c>
      <c r="C1334" t="s">
        <v>44</v>
      </c>
      <c r="D1334" t="s">
        <v>66</v>
      </c>
      <c r="E1334" t="s">
        <v>22</v>
      </c>
      <c r="F1334">
        <v>1</v>
      </c>
      <c r="G1334" t="s">
        <v>13</v>
      </c>
      <c r="H1334" s="1">
        <v>45955.486111111109</v>
      </c>
      <c r="I1334" s="5">
        <f>INT(TB[[#This Row],[时间戳]])</f>
        <v>45955</v>
      </c>
      <c r="J1334" s="2">
        <f>HOUR(TB[[#This Row],[时间戳]])</f>
        <v>11</v>
      </c>
      <c r="K1334">
        <v>4030</v>
      </c>
      <c r="L1334">
        <v>2</v>
      </c>
      <c r="M1334">
        <f>TB[[#This Row],[售价]]*TB[[#This Row],[销量]]</f>
        <v>8060</v>
      </c>
      <c r="N1334" t="str">
        <f>IF(TB[[#This Row],[售价]]&lt;1000,"低价商品",IF(TB[[#This Row],[售价]]&lt;5000,"中价商品",IF(TB[[#This Row],[售价]]&lt;10000,"高价商品","超高价商品")))</f>
        <v>中价商品</v>
      </c>
    </row>
    <row r="1335" spans="1:14" x14ac:dyDescent="0.2">
      <c r="A1335">
        <v>545</v>
      </c>
      <c r="B1335">
        <v>273</v>
      </c>
      <c r="C1335" t="s">
        <v>44</v>
      </c>
      <c r="D1335" t="s">
        <v>372</v>
      </c>
      <c r="E1335" t="s">
        <v>22</v>
      </c>
      <c r="F1335">
        <v>1</v>
      </c>
      <c r="G1335" t="s">
        <v>42</v>
      </c>
      <c r="H1335" s="1">
        <v>45955.589583333334</v>
      </c>
      <c r="I1335" s="5">
        <f>INT(TB[[#This Row],[时间戳]])</f>
        <v>45955</v>
      </c>
      <c r="J1335" s="2">
        <f>HOUR(TB[[#This Row],[时间戳]])</f>
        <v>14</v>
      </c>
      <c r="K1335">
        <v>7657</v>
      </c>
      <c r="L1335">
        <v>0</v>
      </c>
      <c r="M1335">
        <f>TB[[#This Row],[售价]]*TB[[#This Row],[销量]]</f>
        <v>0</v>
      </c>
      <c r="N1335" t="str">
        <f>IF(TB[[#This Row],[售价]]&lt;1000,"低价商品",IF(TB[[#This Row],[售价]]&lt;5000,"中价商品",IF(TB[[#This Row],[售价]]&lt;10000,"高价商品","超高价商品")))</f>
        <v>高价商品</v>
      </c>
    </row>
    <row r="1336" spans="1:14" x14ac:dyDescent="0.2">
      <c r="A1336">
        <v>690</v>
      </c>
      <c r="B1336">
        <v>34</v>
      </c>
      <c r="C1336" t="s">
        <v>46</v>
      </c>
      <c r="D1336" t="s">
        <v>111</v>
      </c>
      <c r="E1336" t="s">
        <v>16</v>
      </c>
      <c r="F1336">
        <v>6</v>
      </c>
      <c r="G1336" t="s">
        <v>13</v>
      </c>
      <c r="H1336" s="1">
        <v>45955.656944444447</v>
      </c>
      <c r="I1336" s="5">
        <f>INT(TB[[#This Row],[时间戳]])</f>
        <v>45955</v>
      </c>
      <c r="J1336" s="2">
        <f>HOUR(TB[[#This Row],[时间戳]])</f>
        <v>15</v>
      </c>
      <c r="K1336">
        <v>6819</v>
      </c>
      <c r="L1336">
        <v>2</v>
      </c>
      <c r="M1336">
        <f>TB[[#This Row],[售价]]*TB[[#This Row],[销量]]</f>
        <v>13638</v>
      </c>
      <c r="N1336" t="str">
        <f>IF(TB[[#This Row],[售价]]&lt;1000,"低价商品",IF(TB[[#This Row],[售价]]&lt;5000,"中价商品",IF(TB[[#This Row],[售价]]&lt;10000,"高价商品","超高价商品")))</f>
        <v>高价商品</v>
      </c>
    </row>
    <row r="1337" spans="1:14" x14ac:dyDescent="0.2">
      <c r="A1337">
        <v>401</v>
      </c>
      <c r="B1337">
        <v>92</v>
      </c>
      <c r="C1337" t="s">
        <v>14</v>
      </c>
      <c r="D1337" t="s">
        <v>395</v>
      </c>
      <c r="E1337" t="s">
        <v>12</v>
      </c>
      <c r="F1337">
        <v>2</v>
      </c>
      <c r="G1337" t="s">
        <v>42</v>
      </c>
      <c r="H1337" s="1">
        <v>45955.676388888889</v>
      </c>
      <c r="I1337" s="5">
        <f>INT(TB[[#This Row],[时间戳]])</f>
        <v>45955</v>
      </c>
      <c r="J1337" s="2">
        <f>HOUR(TB[[#This Row],[时间戳]])</f>
        <v>16</v>
      </c>
      <c r="K1337">
        <v>7119</v>
      </c>
      <c r="L1337">
        <v>0</v>
      </c>
      <c r="M1337">
        <f>TB[[#This Row],[售价]]*TB[[#This Row],[销量]]</f>
        <v>0</v>
      </c>
      <c r="N1337" t="str">
        <f>IF(TB[[#This Row],[售价]]&lt;1000,"低价商品",IF(TB[[#This Row],[售价]]&lt;5000,"中价商品",IF(TB[[#This Row],[售价]]&lt;10000,"高价商品","超高价商品")))</f>
        <v>高价商品</v>
      </c>
    </row>
    <row r="1338" spans="1:14" x14ac:dyDescent="0.2">
      <c r="A1338">
        <v>283</v>
      </c>
      <c r="B1338">
        <v>58</v>
      </c>
      <c r="C1338" t="s">
        <v>14</v>
      </c>
      <c r="D1338" t="s">
        <v>49</v>
      </c>
      <c r="E1338" t="s">
        <v>22</v>
      </c>
      <c r="F1338">
        <v>1</v>
      </c>
      <c r="G1338" t="s">
        <v>13</v>
      </c>
      <c r="H1338" s="1">
        <v>45955.680555555555</v>
      </c>
      <c r="I1338" s="5">
        <f>INT(TB[[#This Row],[时间戳]])</f>
        <v>45955</v>
      </c>
      <c r="J1338" s="2">
        <f>HOUR(TB[[#This Row],[时间戳]])</f>
        <v>16</v>
      </c>
      <c r="K1338">
        <v>3201</v>
      </c>
      <c r="L1338">
        <v>2</v>
      </c>
      <c r="M1338">
        <f>TB[[#This Row],[售价]]*TB[[#This Row],[销量]]</f>
        <v>6402</v>
      </c>
      <c r="N1338" t="str">
        <f>IF(TB[[#This Row],[售价]]&lt;1000,"低价商品",IF(TB[[#This Row],[售价]]&lt;5000,"中价商品",IF(TB[[#This Row],[售价]]&lt;10000,"高价商品","超高价商品")))</f>
        <v>中价商品</v>
      </c>
    </row>
    <row r="1339" spans="1:14" x14ac:dyDescent="0.2">
      <c r="A1339">
        <v>534</v>
      </c>
      <c r="B1339">
        <v>12</v>
      </c>
      <c r="C1339" t="s">
        <v>26</v>
      </c>
      <c r="D1339" t="s">
        <v>360</v>
      </c>
      <c r="E1339" t="s">
        <v>19</v>
      </c>
      <c r="F1339">
        <v>3</v>
      </c>
      <c r="G1339" t="s">
        <v>13</v>
      </c>
      <c r="H1339" s="1">
        <v>45955.701388888891</v>
      </c>
      <c r="I1339" s="5">
        <f>INT(TB[[#This Row],[时间戳]])</f>
        <v>45955</v>
      </c>
      <c r="J1339" s="2">
        <f>HOUR(TB[[#This Row],[时间戳]])</f>
        <v>16</v>
      </c>
      <c r="K1339">
        <v>2766</v>
      </c>
      <c r="L1339">
        <v>1</v>
      </c>
      <c r="M1339">
        <f>TB[[#This Row],[售价]]*TB[[#This Row],[销量]]</f>
        <v>2766</v>
      </c>
      <c r="N1339" t="str">
        <f>IF(TB[[#This Row],[售价]]&lt;1000,"低价商品",IF(TB[[#This Row],[售价]]&lt;5000,"中价商品",IF(TB[[#This Row],[售价]]&lt;10000,"高价商品","超高价商品")))</f>
        <v>中价商品</v>
      </c>
    </row>
    <row r="1340" spans="1:14" x14ac:dyDescent="0.2">
      <c r="A1340">
        <v>486</v>
      </c>
      <c r="B1340">
        <v>178</v>
      </c>
      <c r="C1340" t="s">
        <v>20</v>
      </c>
      <c r="D1340" t="s">
        <v>64</v>
      </c>
      <c r="E1340" t="s">
        <v>31</v>
      </c>
      <c r="F1340">
        <v>4</v>
      </c>
      <c r="G1340" t="s">
        <v>13</v>
      </c>
      <c r="H1340" s="1">
        <v>45955.702777777777</v>
      </c>
      <c r="I1340" s="5">
        <f>INT(TB[[#This Row],[时间戳]])</f>
        <v>45955</v>
      </c>
      <c r="J1340" s="2">
        <f>HOUR(TB[[#This Row],[时间戳]])</f>
        <v>16</v>
      </c>
      <c r="K1340">
        <v>663</v>
      </c>
      <c r="L1340">
        <v>1</v>
      </c>
      <c r="M1340">
        <f>TB[[#This Row],[售价]]*TB[[#This Row],[销量]]</f>
        <v>663</v>
      </c>
      <c r="N1340" t="str">
        <f>IF(TB[[#This Row],[售价]]&lt;1000,"低价商品",IF(TB[[#This Row],[售价]]&lt;5000,"中价商品",IF(TB[[#This Row],[售价]]&lt;10000,"高价商品","超高价商品")))</f>
        <v>低价商品</v>
      </c>
    </row>
    <row r="1341" spans="1:14" x14ac:dyDescent="0.2">
      <c r="A1341">
        <v>194</v>
      </c>
      <c r="B1341">
        <v>33</v>
      </c>
      <c r="C1341" t="s">
        <v>10</v>
      </c>
      <c r="D1341" t="s">
        <v>96</v>
      </c>
      <c r="E1341" t="s">
        <v>22</v>
      </c>
      <c r="F1341">
        <v>1</v>
      </c>
      <c r="G1341" t="s">
        <v>13</v>
      </c>
      <c r="H1341" s="1">
        <v>45955.703472222223</v>
      </c>
      <c r="I1341" s="5">
        <f>INT(TB[[#This Row],[时间戳]])</f>
        <v>45955</v>
      </c>
      <c r="J1341" s="2">
        <f>HOUR(TB[[#This Row],[时间戳]])</f>
        <v>16</v>
      </c>
      <c r="K1341">
        <v>4468</v>
      </c>
      <c r="L1341">
        <v>2</v>
      </c>
      <c r="M1341">
        <f>TB[[#This Row],[售价]]*TB[[#This Row],[销量]]</f>
        <v>8936</v>
      </c>
      <c r="N1341" t="str">
        <f>IF(TB[[#This Row],[售价]]&lt;1000,"低价商品",IF(TB[[#This Row],[售价]]&lt;5000,"中价商品",IF(TB[[#This Row],[售价]]&lt;10000,"高价商品","超高价商品")))</f>
        <v>中价商品</v>
      </c>
    </row>
    <row r="1342" spans="1:14" x14ac:dyDescent="0.2">
      <c r="A1342">
        <v>422</v>
      </c>
      <c r="B1342">
        <v>297</v>
      </c>
      <c r="C1342" t="s">
        <v>20</v>
      </c>
      <c r="D1342" t="s">
        <v>263</v>
      </c>
      <c r="E1342" t="s">
        <v>39</v>
      </c>
      <c r="F1342">
        <v>5</v>
      </c>
      <c r="G1342" t="s">
        <v>13</v>
      </c>
      <c r="H1342" s="1">
        <v>45955.709027777775</v>
      </c>
      <c r="I1342" s="5">
        <f>INT(TB[[#This Row],[时间戳]])</f>
        <v>45955</v>
      </c>
      <c r="J1342" s="2">
        <f>HOUR(TB[[#This Row],[时间戳]])</f>
        <v>17</v>
      </c>
      <c r="K1342">
        <v>808</v>
      </c>
      <c r="L1342">
        <v>2</v>
      </c>
      <c r="M1342">
        <f>TB[[#This Row],[售价]]*TB[[#This Row],[销量]]</f>
        <v>1616</v>
      </c>
      <c r="N1342" t="str">
        <f>IF(TB[[#This Row],[售价]]&lt;1000,"低价商品",IF(TB[[#This Row],[售价]]&lt;5000,"中价商品",IF(TB[[#This Row],[售价]]&lt;10000,"高价商品","超高价商品")))</f>
        <v>低价商品</v>
      </c>
    </row>
    <row r="1343" spans="1:14" x14ac:dyDescent="0.2">
      <c r="A1343">
        <v>608</v>
      </c>
      <c r="B1343">
        <v>272</v>
      </c>
      <c r="C1343" t="s">
        <v>34</v>
      </c>
      <c r="D1343" t="s">
        <v>57</v>
      </c>
      <c r="E1343" t="s">
        <v>12</v>
      </c>
      <c r="F1343">
        <v>2</v>
      </c>
      <c r="G1343" t="s">
        <v>13</v>
      </c>
      <c r="H1343" s="1">
        <v>45955.720138888886</v>
      </c>
      <c r="I1343" s="5">
        <f>INT(TB[[#This Row],[时间戳]])</f>
        <v>45955</v>
      </c>
      <c r="J1343" s="2">
        <f>HOUR(TB[[#This Row],[时间戳]])</f>
        <v>17</v>
      </c>
      <c r="K1343">
        <v>9751</v>
      </c>
      <c r="L1343">
        <v>4</v>
      </c>
      <c r="M1343">
        <f>TB[[#This Row],[售价]]*TB[[#This Row],[销量]]</f>
        <v>39004</v>
      </c>
      <c r="N1343" t="str">
        <f>IF(TB[[#This Row],[售价]]&lt;1000,"低价商品",IF(TB[[#This Row],[售价]]&lt;5000,"中价商品",IF(TB[[#This Row],[售价]]&lt;10000,"高价商品","超高价商品")))</f>
        <v>高价商品</v>
      </c>
    </row>
    <row r="1344" spans="1:14" x14ac:dyDescent="0.2">
      <c r="A1344">
        <v>312</v>
      </c>
      <c r="B1344">
        <v>291</v>
      </c>
      <c r="C1344" t="s">
        <v>44</v>
      </c>
      <c r="D1344" t="s">
        <v>66</v>
      </c>
      <c r="E1344" t="s">
        <v>22</v>
      </c>
      <c r="F1344">
        <v>1</v>
      </c>
      <c r="G1344" t="s">
        <v>13</v>
      </c>
      <c r="H1344" s="1">
        <v>45955.757638888892</v>
      </c>
      <c r="I1344" s="5">
        <f>INT(TB[[#This Row],[时间戳]])</f>
        <v>45955</v>
      </c>
      <c r="J1344" s="2">
        <f>HOUR(TB[[#This Row],[时间戳]])</f>
        <v>18</v>
      </c>
      <c r="K1344">
        <v>7976</v>
      </c>
      <c r="L1344">
        <v>2</v>
      </c>
      <c r="M1344">
        <f>TB[[#This Row],[售价]]*TB[[#This Row],[销量]]</f>
        <v>15952</v>
      </c>
      <c r="N1344" t="str">
        <f>IF(TB[[#This Row],[售价]]&lt;1000,"低价商品",IF(TB[[#This Row],[售价]]&lt;5000,"中价商品",IF(TB[[#This Row],[售价]]&lt;10000,"高价商品","超高价商品")))</f>
        <v>高价商品</v>
      </c>
    </row>
    <row r="1345" spans="1:14" x14ac:dyDescent="0.2">
      <c r="A1345">
        <v>233</v>
      </c>
      <c r="B1345">
        <v>248</v>
      </c>
      <c r="C1345" t="s">
        <v>26</v>
      </c>
      <c r="D1345" t="s">
        <v>392</v>
      </c>
      <c r="E1345" t="s">
        <v>16</v>
      </c>
      <c r="F1345">
        <v>6</v>
      </c>
      <c r="G1345" t="s">
        <v>13</v>
      </c>
      <c r="H1345" s="1">
        <v>45955.781944444447</v>
      </c>
      <c r="I1345" s="5">
        <f>INT(TB[[#This Row],[时间戳]])</f>
        <v>45955</v>
      </c>
      <c r="J1345" s="2">
        <f>HOUR(TB[[#This Row],[时间戳]])</f>
        <v>18</v>
      </c>
      <c r="K1345">
        <v>4117</v>
      </c>
      <c r="L1345">
        <v>4</v>
      </c>
      <c r="M1345">
        <f>TB[[#This Row],[售价]]*TB[[#This Row],[销量]]</f>
        <v>16468</v>
      </c>
      <c r="N1345" t="str">
        <f>IF(TB[[#This Row],[售价]]&lt;1000,"低价商品",IF(TB[[#This Row],[售价]]&lt;5000,"中价商品",IF(TB[[#This Row],[售价]]&lt;10000,"高价商品","超高价商品")))</f>
        <v>中价商品</v>
      </c>
    </row>
    <row r="1346" spans="1:14" x14ac:dyDescent="0.2">
      <c r="A1346">
        <v>362</v>
      </c>
      <c r="B1346">
        <v>146</v>
      </c>
      <c r="C1346" t="s">
        <v>10</v>
      </c>
      <c r="D1346" t="s">
        <v>41</v>
      </c>
      <c r="E1346" t="s">
        <v>22</v>
      </c>
      <c r="F1346">
        <v>1</v>
      </c>
      <c r="G1346" t="s">
        <v>13</v>
      </c>
      <c r="H1346" s="1">
        <v>45955.806944444441</v>
      </c>
      <c r="I1346" s="5">
        <f>INT(TB[[#This Row],[时间戳]])</f>
        <v>45955</v>
      </c>
      <c r="J1346" s="2">
        <f>HOUR(TB[[#This Row],[时间戳]])</f>
        <v>19</v>
      </c>
      <c r="K1346">
        <v>3993</v>
      </c>
      <c r="L1346">
        <v>1</v>
      </c>
      <c r="M1346">
        <f>TB[[#This Row],[售价]]*TB[[#This Row],[销量]]</f>
        <v>3993</v>
      </c>
      <c r="N1346" t="str">
        <f>IF(TB[[#This Row],[售价]]&lt;1000,"低价商品",IF(TB[[#This Row],[售价]]&lt;5000,"中价商品",IF(TB[[#This Row],[售价]]&lt;10000,"高价商品","超高价商品")))</f>
        <v>中价商品</v>
      </c>
    </row>
    <row r="1347" spans="1:14" x14ac:dyDescent="0.2">
      <c r="A1347">
        <v>729</v>
      </c>
      <c r="B1347">
        <v>275</v>
      </c>
      <c r="C1347" t="s">
        <v>46</v>
      </c>
      <c r="D1347" t="s">
        <v>157</v>
      </c>
      <c r="E1347" t="s">
        <v>12</v>
      </c>
      <c r="F1347">
        <v>2</v>
      </c>
      <c r="G1347" t="s">
        <v>13</v>
      </c>
      <c r="H1347" s="1">
        <v>45955.816666666666</v>
      </c>
      <c r="I1347" s="5">
        <f>INT(TB[[#This Row],[时间戳]])</f>
        <v>45955</v>
      </c>
      <c r="J1347" s="2">
        <f>HOUR(TB[[#This Row],[时间戳]])</f>
        <v>19</v>
      </c>
      <c r="K1347">
        <v>11354</v>
      </c>
      <c r="L1347">
        <v>1</v>
      </c>
      <c r="M1347">
        <f>TB[[#This Row],[售价]]*TB[[#This Row],[销量]]</f>
        <v>11354</v>
      </c>
      <c r="N1347" t="str">
        <f>IF(TB[[#This Row],[售价]]&lt;1000,"低价商品",IF(TB[[#This Row],[售价]]&lt;5000,"中价商品",IF(TB[[#This Row],[售价]]&lt;10000,"高价商品","超高价商品")))</f>
        <v>超高价商品</v>
      </c>
    </row>
    <row r="1348" spans="1:14" x14ac:dyDescent="0.2">
      <c r="A1348">
        <v>710</v>
      </c>
      <c r="B1348">
        <v>79</v>
      </c>
      <c r="C1348" t="s">
        <v>26</v>
      </c>
      <c r="D1348" t="s">
        <v>65</v>
      </c>
      <c r="E1348" t="s">
        <v>22</v>
      </c>
      <c r="F1348">
        <v>1</v>
      </c>
      <c r="G1348" t="s">
        <v>13</v>
      </c>
      <c r="H1348" s="1">
        <v>45955.824305555558</v>
      </c>
      <c r="I1348" s="5">
        <f>INT(TB[[#This Row],[时间戳]])</f>
        <v>45955</v>
      </c>
      <c r="J1348" s="2">
        <f>HOUR(TB[[#This Row],[时间戳]])</f>
        <v>19</v>
      </c>
      <c r="K1348">
        <v>3229</v>
      </c>
      <c r="L1348">
        <v>1</v>
      </c>
      <c r="M1348">
        <f>TB[[#This Row],[售价]]*TB[[#This Row],[销量]]</f>
        <v>3229</v>
      </c>
      <c r="N1348" t="str">
        <f>IF(TB[[#This Row],[售价]]&lt;1000,"低价商品",IF(TB[[#This Row],[售价]]&lt;5000,"中价商品",IF(TB[[#This Row],[售价]]&lt;10000,"高价商品","超高价商品")))</f>
        <v>中价商品</v>
      </c>
    </row>
    <row r="1349" spans="1:14" x14ac:dyDescent="0.2">
      <c r="A1349">
        <v>325</v>
      </c>
      <c r="B1349">
        <v>295</v>
      </c>
      <c r="C1349" t="s">
        <v>14</v>
      </c>
      <c r="D1349" t="s">
        <v>89</v>
      </c>
      <c r="E1349" t="s">
        <v>22</v>
      </c>
      <c r="F1349">
        <v>1</v>
      </c>
      <c r="G1349" t="s">
        <v>13</v>
      </c>
      <c r="H1349" s="1">
        <v>45955.833333333336</v>
      </c>
      <c r="I1349" s="5">
        <f>INT(TB[[#This Row],[时间戳]])</f>
        <v>45955</v>
      </c>
      <c r="J1349" s="2">
        <f>HOUR(TB[[#This Row],[时间戳]])</f>
        <v>20</v>
      </c>
      <c r="K1349">
        <v>2241</v>
      </c>
      <c r="L1349">
        <v>3</v>
      </c>
      <c r="M1349">
        <f>TB[[#This Row],[售价]]*TB[[#This Row],[销量]]</f>
        <v>6723</v>
      </c>
      <c r="N1349" t="str">
        <f>IF(TB[[#This Row],[售价]]&lt;1000,"低价商品",IF(TB[[#This Row],[售价]]&lt;5000,"中价商品",IF(TB[[#This Row],[售价]]&lt;10000,"高价商品","超高价商品")))</f>
        <v>中价商品</v>
      </c>
    </row>
    <row r="1350" spans="1:14" x14ac:dyDescent="0.2">
      <c r="A1350">
        <v>189</v>
      </c>
      <c r="B1350">
        <v>106</v>
      </c>
      <c r="C1350" t="s">
        <v>36</v>
      </c>
      <c r="D1350" t="s">
        <v>210</v>
      </c>
      <c r="E1350" t="s">
        <v>31</v>
      </c>
      <c r="F1350">
        <v>4</v>
      </c>
      <c r="G1350" t="s">
        <v>42</v>
      </c>
      <c r="H1350" s="1">
        <v>45955.913888888892</v>
      </c>
      <c r="I1350" s="5">
        <f>INT(TB[[#This Row],[时间戳]])</f>
        <v>45955</v>
      </c>
      <c r="J1350" s="2">
        <f>HOUR(TB[[#This Row],[时间戳]])</f>
        <v>21</v>
      </c>
      <c r="K1350">
        <v>334</v>
      </c>
      <c r="L1350">
        <v>0</v>
      </c>
      <c r="M1350">
        <f>TB[[#This Row],[售价]]*TB[[#This Row],[销量]]</f>
        <v>0</v>
      </c>
      <c r="N1350" t="str">
        <f>IF(TB[[#This Row],[售价]]&lt;1000,"低价商品",IF(TB[[#This Row],[售价]]&lt;5000,"中价商品",IF(TB[[#This Row],[售价]]&lt;10000,"高价商品","超高价商品")))</f>
        <v>低价商品</v>
      </c>
    </row>
    <row r="1351" spans="1:14" x14ac:dyDescent="0.2">
      <c r="A1351">
        <v>353</v>
      </c>
      <c r="B1351">
        <v>76</v>
      </c>
      <c r="C1351" t="s">
        <v>10</v>
      </c>
      <c r="D1351" t="s">
        <v>329</v>
      </c>
      <c r="E1351" t="s">
        <v>39</v>
      </c>
      <c r="F1351">
        <v>5</v>
      </c>
      <c r="G1351" t="s">
        <v>13</v>
      </c>
      <c r="H1351" s="1">
        <v>45955.914583333331</v>
      </c>
      <c r="I1351" s="5">
        <f>INT(TB[[#This Row],[时间戳]])</f>
        <v>45955</v>
      </c>
      <c r="J1351" s="2">
        <f>HOUR(TB[[#This Row],[时间戳]])</f>
        <v>21</v>
      </c>
      <c r="K1351">
        <v>3265</v>
      </c>
      <c r="L1351">
        <v>2</v>
      </c>
      <c r="M1351">
        <f>TB[[#This Row],[售价]]*TB[[#This Row],[销量]]</f>
        <v>6530</v>
      </c>
      <c r="N1351" t="str">
        <f>IF(TB[[#This Row],[售价]]&lt;1000,"低价商品",IF(TB[[#This Row],[售价]]&lt;5000,"中价商品",IF(TB[[#This Row],[售价]]&lt;10000,"高价商品","超高价商品")))</f>
        <v>中价商品</v>
      </c>
    </row>
    <row r="1352" spans="1:14" x14ac:dyDescent="0.2">
      <c r="A1352">
        <v>547</v>
      </c>
      <c r="B1352">
        <v>155</v>
      </c>
      <c r="C1352" t="s">
        <v>20</v>
      </c>
      <c r="D1352" t="s">
        <v>120</v>
      </c>
      <c r="E1352" t="s">
        <v>22</v>
      </c>
      <c r="F1352">
        <v>1</v>
      </c>
      <c r="G1352" t="s">
        <v>13</v>
      </c>
      <c r="H1352" s="1">
        <v>45955.95208333333</v>
      </c>
      <c r="I1352" s="5">
        <f>INT(TB[[#This Row],[时间戳]])</f>
        <v>45955</v>
      </c>
      <c r="J1352" s="2">
        <f>HOUR(TB[[#This Row],[时间戳]])</f>
        <v>22</v>
      </c>
      <c r="K1352">
        <v>4083</v>
      </c>
      <c r="L1352">
        <v>3</v>
      </c>
      <c r="M1352">
        <f>TB[[#This Row],[售价]]*TB[[#This Row],[销量]]</f>
        <v>12249</v>
      </c>
      <c r="N1352" t="str">
        <f>IF(TB[[#This Row],[售价]]&lt;1000,"低价商品",IF(TB[[#This Row],[售价]]&lt;5000,"中价商品",IF(TB[[#This Row],[售价]]&lt;10000,"高价商品","超高价商品")))</f>
        <v>中价商品</v>
      </c>
    </row>
    <row r="1353" spans="1:14" x14ac:dyDescent="0.2">
      <c r="A1353">
        <v>787</v>
      </c>
      <c r="B1353">
        <v>75</v>
      </c>
      <c r="C1353" t="s">
        <v>17</v>
      </c>
      <c r="D1353" t="s">
        <v>177</v>
      </c>
      <c r="E1353" t="s">
        <v>22</v>
      </c>
      <c r="F1353">
        <v>1</v>
      </c>
      <c r="G1353" t="s">
        <v>13</v>
      </c>
      <c r="H1353" s="1">
        <v>45955.968055555553</v>
      </c>
      <c r="I1353" s="5">
        <f>INT(TB[[#This Row],[时间戳]])</f>
        <v>45955</v>
      </c>
      <c r="J1353" s="2">
        <f>HOUR(TB[[#This Row],[时间戳]])</f>
        <v>23</v>
      </c>
      <c r="K1353">
        <v>1807</v>
      </c>
      <c r="L1353">
        <v>3</v>
      </c>
      <c r="M1353">
        <f>TB[[#This Row],[售价]]*TB[[#This Row],[销量]]</f>
        <v>5421</v>
      </c>
      <c r="N1353" t="str">
        <f>IF(TB[[#This Row],[售价]]&lt;1000,"低价商品",IF(TB[[#This Row],[售价]]&lt;5000,"中价商品",IF(TB[[#This Row],[售价]]&lt;10000,"高价商品","超高价商品")))</f>
        <v>中价商品</v>
      </c>
    </row>
    <row r="1354" spans="1:14" x14ac:dyDescent="0.2">
      <c r="A1354">
        <v>757</v>
      </c>
      <c r="B1354">
        <v>280</v>
      </c>
      <c r="C1354" t="s">
        <v>26</v>
      </c>
      <c r="D1354" t="s">
        <v>155</v>
      </c>
      <c r="E1354" t="s">
        <v>12</v>
      </c>
      <c r="F1354">
        <v>2</v>
      </c>
      <c r="G1354" t="s">
        <v>13</v>
      </c>
      <c r="H1354" s="1">
        <v>45955.978472222225</v>
      </c>
      <c r="I1354" s="5">
        <f>INT(TB[[#This Row],[时间戳]])</f>
        <v>45955</v>
      </c>
      <c r="J1354" s="2">
        <f>HOUR(TB[[#This Row],[时间戳]])</f>
        <v>23</v>
      </c>
      <c r="K1354">
        <v>11467</v>
      </c>
      <c r="L1354">
        <v>2</v>
      </c>
      <c r="M1354">
        <f>TB[[#This Row],[售价]]*TB[[#This Row],[销量]]</f>
        <v>22934</v>
      </c>
      <c r="N1354" t="str">
        <f>IF(TB[[#This Row],[售价]]&lt;1000,"低价商品",IF(TB[[#This Row],[售价]]&lt;5000,"中价商品",IF(TB[[#This Row],[售价]]&lt;10000,"高价商品","超高价商品")))</f>
        <v>超高价商品</v>
      </c>
    </row>
    <row r="1355" spans="1:14" x14ac:dyDescent="0.2">
      <c r="A1355">
        <v>297</v>
      </c>
      <c r="B1355">
        <v>294</v>
      </c>
      <c r="C1355" t="s">
        <v>36</v>
      </c>
      <c r="D1355" t="s">
        <v>269</v>
      </c>
      <c r="E1355" t="s">
        <v>19</v>
      </c>
      <c r="F1355">
        <v>3</v>
      </c>
      <c r="G1355" t="s">
        <v>13</v>
      </c>
      <c r="H1355" s="1">
        <v>45956.002083333333</v>
      </c>
      <c r="I1355" s="5">
        <f>INT(TB[[#This Row],[时间戳]])</f>
        <v>45956</v>
      </c>
      <c r="J1355" s="2">
        <f>HOUR(TB[[#This Row],[时间戳]])</f>
        <v>0</v>
      </c>
      <c r="K1355">
        <v>5625</v>
      </c>
      <c r="L1355">
        <v>3</v>
      </c>
      <c r="M1355">
        <f>TB[[#This Row],[售价]]*TB[[#This Row],[销量]]</f>
        <v>16875</v>
      </c>
      <c r="N1355" t="str">
        <f>IF(TB[[#This Row],[售价]]&lt;1000,"低价商品",IF(TB[[#This Row],[售价]]&lt;5000,"中价商品",IF(TB[[#This Row],[售价]]&lt;10000,"高价商品","超高价商品")))</f>
        <v>高价商品</v>
      </c>
    </row>
    <row r="1356" spans="1:14" x14ac:dyDescent="0.2">
      <c r="A1356">
        <v>706</v>
      </c>
      <c r="B1356">
        <v>58</v>
      </c>
      <c r="C1356" t="s">
        <v>44</v>
      </c>
      <c r="D1356" t="s">
        <v>272</v>
      </c>
      <c r="E1356" t="s">
        <v>16</v>
      </c>
      <c r="F1356">
        <v>6</v>
      </c>
      <c r="G1356" t="s">
        <v>13</v>
      </c>
      <c r="H1356" s="1">
        <v>45956.01458333333</v>
      </c>
      <c r="I1356" s="5">
        <f>INT(TB[[#This Row],[时间戳]])</f>
        <v>45956</v>
      </c>
      <c r="J1356" s="2">
        <f>HOUR(TB[[#This Row],[时间戳]])</f>
        <v>0</v>
      </c>
      <c r="K1356">
        <v>4498</v>
      </c>
      <c r="L1356">
        <v>2</v>
      </c>
      <c r="M1356">
        <f>TB[[#This Row],[售价]]*TB[[#This Row],[销量]]</f>
        <v>8996</v>
      </c>
      <c r="N1356" t="str">
        <f>IF(TB[[#This Row],[售价]]&lt;1000,"低价商品",IF(TB[[#This Row],[售价]]&lt;5000,"中价商品",IF(TB[[#This Row],[售价]]&lt;10000,"高价商品","超高价商品")))</f>
        <v>中价商品</v>
      </c>
    </row>
    <row r="1357" spans="1:14" x14ac:dyDescent="0.2">
      <c r="A1357">
        <v>120</v>
      </c>
      <c r="B1357">
        <v>158</v>
      </c>
      <c r="C1357" t="s">
        <v>26</v>
      </c>
      <c r="D1357" t="s">
        <v>160</v>
      </c>
      <c r="E1357" t="s">
        <v>19</v>
      </c>
      <c r="F1357">
        <v>3</v>
      </c>
      <c r="G1357" t="s">
        <v>13</v>
      </c>
      <c r="H1357" s="1">
        <v>45956.052777777775</v>
      </c>
      <c r="I1357" s="5">
        <f>INT(TB[[#This Row],[时间戳]])</f>
        <v>45956</v>
      </c>
      <c r="J1357" s="2">
        <f>HOUR(TB[[#This Row],[时间戳]])</f>
        <v>1</v>
      </c>
      <c r="K1357">
        <v>5243</v>
      </c>
      <c r="L1357">
        <v>1</v>
      </c>
      <c r="M1357">
        <f>TB[[#This Row],[售价]]*TB[[#This Row],[销量]]</f>
        <v>5243</v>
      </c>
      <c r="N1357" t="str">
        <f>IF(TB[[#This Row],[售价]]&lt;1000,"低价商品",IF(TB[[#This Row],[售价]]&lt;5000,"中价商品",IF(TB[[#This Row],[售价]]&lt;10000,"高价商品","超高价商品")))</f>
        <v>高价商品</v>
      </c>
    </row>
    <row r="1358" spans="1:14" x14ac:dyDescent="0.2">
      <c r="A1358">
        <v>457</v>
      </c>
      <c r="B1358">
        <v>183</v>
      </c>
      <c r="C1358" t="s">
        <v>46</v>
      </c>
      <c r="D1358" t="s">
        <v>350</v>
      </c>
      <c r="E1358" t="s">
        <v>25</v>
      </c>
      <c r="F1358">
        <v>7</v>
      </c>
      <c r="G1358" t="s">
        <v>13</v>
      </c>
      <c r="H1358" s="1">
        <v>45956.095138888886</v>
      </c>
      <c r="I1358" s="5">
        <f>INT(TB[[#This Row],[时间戳]])</f>
        <v>45956</v>
      </c>
      <c r="J1358" s="2">
        <f>HOUR(TB[[#This Row],[时间戳]])</f>
        <v>2</v>
      </c>
      <c r="K1358">
        <v>1708</v>
      </c>
      <c r="L1358">
        <v>3</v>
      </c>
      <c r="M1358">
        <f>TB[[#This Row],[售价]]*TB[[#This Row],[销量]]</f>
        <v>5124</v>
      </c>
      <c r="N1358" t="str">
        <f>IF(TB[[#This Row],[售价]]&lt;1000,"低价商品",IF(TB[[#This Row],[售价]]&lt;5000,"中价商品",IF(TB[[#This Row],[售价]]&lt;10000,"高价商品","超高价商品")))</f>
        <v>中价商品</v>
      </c>
    </row>
    <row r="1359" spans="1:14" x14ac:dyDescent="0.2">
      <c r="A1359">
        <v>657</v>
      </c>
      <c r="B1359">
        <v>100</v>
      </c>
      <c r="C1359" t="s">
        <v>10</v>
      </c>
      <c r="D1359" t="s">
        <v>294</v>
      </c>
      <c r="E1359" t="s">
        <v>31</v>
      </c>
      <c r="F1359">
        <v>4</v>
      </c>
      <c r="G1359" t="s">
        <v>13</v>
      </c>
      <c r="H1359" s="1">
        <v>45956.104861111111</v>
      </c>
      <c r="I1359" s="5">
        <f>INT(TB[[#This Row],[时间戳]])</f>
        <v>45956</v>
      </c>
      <c r="J1359" s="2">
        <f>HOUR(TB[[#This Row],[时间戳]])</f>
        <v>2</v>
      </c>
      <c r="K1359">
        <v>206</v>
      </c>
      <c r="L1359">
        <v>1</v>
      </c>
      <c r="M1359">
        <f>TB[[#This Row],[售价]]*TB[[#This Row],[销量]]</f>
        <v>206</v>
      </c>
      <c r="N1359" t="str">
        <f>IF(TB[[#This Row],[售价]]&lt;1000,"低价商品",IF(TB[[#This Row],[售价]]&lt;5000,"中价商品",IF(TB[[#This Row],[售价]]&lt;10000,"高价商品","超高价商品")))</f>
        <v>低价商品</v>
      </c>
    </row>
    <row r="1360" spans="1:14" x14ac:dyDescent="0.2">
      <c r="A1360">
        <v>24</v>
      </c>
      <c r="B1360">
        <v>43</v>
      </c>
      <c r="C1360" t="s">
        <v>36</v>
      </c>
      <c r="D1360" t="s">
        <v>317</v>
      </c>
      <c r="E1360" t="s">
        <v>19</v>
      </c>
      <c r="F1360">
        <v>3</v>
      </c>
      <c r="G1360" t="s">
        <v>42</v>
      </c>
      <c r="H1360" s="1">
        <v>45956.111111111109</v>
      </c>
      <c r="I1360" s="5">
        <f>INT(TB[[#This Row],[时间戳]])</f>
        <v>45956</v>
      </c>
      <c r="J1360" s="2">
        <f>HOUR(TB[[#This Row],[时间戳]])</f>
        <v>2</v>
      </c>
      <c r="K1360">
        <v>5725</v>
      </c>
      <c r="L1360">
        <v>0</v>
      </c>
      <c r="M1360">
        <f>TB[[#This Row],[售价]]*TB[[#This Row],[销量]]</f>
        <v>0</v>
      </c>
      <c r="N1360" t="str">
        <f>IF(TB[[#This Row],[售价]]&lt;1000,"低价商品",IF(TB[[#This Row],[售价]]&lt;5000,"中价商品",IF(TB[[#This Row],[售价]]&lt;10000,"高价商品","超高价商品")))</f>
        <v>高价商品</v>
      </c>
    </row>
    <row r="1361" spans="1:14" x14ac:dyDescent="0.2">
      <c r="A1361">
        <v>404</v>
      </c>
      <c r="B1361">
        <v>100</v>
      </c>
      <c r="C1361" t="s">
        <v>14</v>
      </c>
      <c r="D1361" t="s">
        <v>29</v>
      </c>
      <c r="E1361" t="s">
        <v>22</v>
      </c>
      <c r="F1361">
        <v>1</v>
      </c>
      <c r="G1361" t="s">
        <v>13</v>
      </c>
      <c r="H1361" s="1">
        <v>45956.12777777778</v>
      </c>
      <c r="I1361" s="5">
        <f>INT(TB[[#This Row],[时间戳]])</f>
        <v>45956</v>
      </c>
      <c r="J1361" s="2">
        <f>HOUR(TB[[#This Row],[时间戳]])</f>
        <v>3</v>
      </c>
      <c r="K1361">
        <v>5438</v>
      </c>
      <c r="L1361">
        <v>3</v>
      </c>
      <c r="M1361">
        <f>TB[[#This Row],[售价]]*TB[[#This Row],[销量]]</f>
        <v>16314</v>
      </c>
      <c r="N1361" t="str">
        <f>IF(TB[[#This Row],[售价]]&lt;1000,"低价商品",IF(TB[[#This Row],[售价]]&lt;5000,"中价商品",IF(TB[[#This Row],[售价]]&lt;10000,"高价商品","超高价商品")))</f>
        <v>高价商品</v>
      </c>
    </row>
    <row r="1362" spans="1:14" x14ac:dyDescent="0.2">
      <c r="A1362">
        <v>524</v>
      </c>
      <c r="B1362">
        <v>29</v>
      </c>
      <c r="C1362" t="s">
        <v>46</v>
      </c>
      <c r="D1362" t="s">
        <v>129</v>
      </c>
      <c r="E1362" t="s">
        <v>31</v>
      </c>
      <c r="F1362">
        <v>4</v>
      </c>
      <c r="G1362" t="s">
        <v>13</v>
      </c>
      <c r="H1362" s="1">
        <v>45956.172222222223</v>
      </c>
      <c r="I1362" s="5">
        <f>INT(TB[[#This Row],[时间戳]])</f>
        <v>45956</v>
      </c>
      <c r="J1362" s="2">
        <f>HOUR(TB[[#This Row],[时间戳]])</f>
        <v>4</v>
      </c>
      <c r="K1362">
        <v>1016</v>
      </c>
      <c r="L1362">
        <v>4</v>
      </c>
      <c r="M1362">
        <f>TB[[#This Row],[售价]]*TB[[#This Row],[销量]]</f>
        <v>4064</v>
      </c>
      <c r="N1362" t="str">
        <f>IF(TB[[#This Row],[售价]]&lt;1000,"低价商品",IF(TB[[#This Row],[售价]]&lt;5000,"中价商品",IF(TB[[#This Row],[售价]]&lt;10000,"高价商品","超高价商品")))</f>
        <v>中价商品</v>
      </c>
    </row>
    <row r="1363" spans="1:14" x14ac:dyDescent="0.2">
      <c r="A1363">
        <v>379</v>
      </c>
      <c r="B1363">
        <v>198</v>
      </c>
      <c r="C1363" t="s">
        <v>26</v>
      </c>
      <c r="D1363" t="s">
        <v>299</v>
      </c>
      <c r="E1363" t="s">
        <v>19</v>
      </c>
      <c r="F1363">
        <v>3</v>
      </c>
      <c r="G1363" t="s">
        <v>13</v>
      </c>
      <c r="H1363" s="1">
        <v>45956.176388888889</v>
      </c>
      <c r="I1363" s="5">
        <f>INT(TB[[#This Row],[时间戳]])</f>
        <v>45956</v>
      </c>
      <c r="J1363" s="2">
        <f>HOUR(TB[[#This Row],[时间戳]])</f>
        <v>4</v>
      </c>
      <c r="K1363">
        <v>4460</v>
      </c>
      <c r="L1363">
        <v>2</v>
      </c>
      <c r="M1363">
        <f>TB[[#This Row],[售价]]*TB[[#This Row],[销量]]</f>
        <v>8920</v>
      </c>
      <c r="N1363" t="str">
        <f>IF(TB[[#This Row],[售价]]&lt;1000,"低价商品",IF(TB[[#This Row],[售价]]&lt;5000,"中价商品",IF(TB[[#This Row],[售价]]&lt;10000,"高价商品","超高价商品")))</f>
        <v>中价商品</v>
      </c>
    </row>
    <row r="1364" spans="1:14" x14ac:dyDescent="0.2">
      <c r="A1364">
        <v>360</v>
      </c>
      <c r="B1364">
        <v>158</v>
      </c>
      <c r="C1364" t="s">
        <v>36</v>
      </c>
      <c r="D1364" t="s">
        <v>377</v>
      </c>
      <c r="E1364" t="s">
        <v>12</v>
      </c>
      <c r="F1364">
        <v>2</v>
      </c>
      <c r="G1364" t="s">
        <v>13</v>
      </c>
      <c r="H1364" s="1">
        <v>45956.194444444445</v>
      </c>
      <c r="I1364" s="5">
        <f>INT(TB[[#This Row],[时间戳]])</f>
        <v>45956</v>
      </c>
      <c r="J1364" s="2">
        <f>HOUR(TB[[#This Row],[时间戳]])</f>
        <v>4</v>
      </c>
      <c r="K1364">
        <v>9914</v>
      </c>
      <c r="L1364">
        <v>2</v>
      </c>
      <c r="M1364">
        <f>TB[[#This Row],[售价]]*TB[[#This Row],[销量]]</f>
        <v>19828</v>
      </c>
      <c r="N1364" t="str">
        <f>IF(TB[[#This Row],[售价]]&lt;1000,"低价商品",IF(TB[[#This Row],[售价]]&lt;5000,"中价商品",IF(TB[[#This Row],[售价]]&lt;10000,"高价商品","超高价商品")))</f>
        <v>高价商品</v>
      </c>
    </row>
    <row r="1365" spans="1:14" x14ac:dyDescent="0.2">
      <c r="A1365">
        <v>746</v>
      </c>
      <c r="B1365">
        <v>228</v>
      </c>
      <c r="C1365" t="s">
        <v>14</v>
      </c>
      <c r="D1365" t="s">
        <v>186</v>
      </c>
      <c r="E1365" t="s">
        <v>25</v>
      </c>
      <c r="F1365">
        <v>7</v>
      </c>
      <c r="G1365" t="s">
        <v>13</v>
      </c>
      <c r="H1365" s="1">
        <v>45956.213194444441</v>
      </c>
      <c r="I1365" s="5">
        <f>INT(TB[[#This Row],[时间戳]])</f>
        <v>45956</v>
      </c>
      <c r="J1365" s="2">
        <f>HOUR(TB[[#This Row],[时间戳]])</f>
        <v>5</v>
      </c>
      <c r="K1365">
        <v>5237</v>
      </c>
      <c r="L1365">
        <v>3</v>
      </c>
      <c r="M1365">
        <f>TB[[#This Row],[售价]]*TB[[#This Row],[销量]]</f>
        <v>15711</v>
      </c>
      <c r="N1365" t="str">
        <f>IF(TB[[#This Row],[售价]]&lt;1000,"低价商品",IF(TB[[#This Row],[售价]]&lt;5000,"中价商品",IF(TB[[#This Row],[售价]]&lt;10000,"高价商品","超高价商品")))</f>
        <v>高价商品</v>
      </c>
    </row>
    <row r="1366" spans="1:14" x14ac:dyDescent="0.2">
      <c r="A1366">
        <v>746</v>
      </c>
      <c r="B1366">
        <v>218</v>
      </c>
      <c r="C1366" t="s">
        <v>36</v>
      </c>
      <c r="D1366" t="s">
        <v>317</v>
      </c>
      <c r="E1366" t="s">
        <v>19</v>
      </c>
      <c r="F1366">
        <v>3</v>
      </c>
      <c r="G1366" t="s">
        <v>13</v>
      </c>
      <c r="H1366" s="1">
        <v>45956.237500000003</v>
      </c>
      <c r="I1366" s="5">
        <f>INT(TB[[#This Row],[时间戳]])</f>
        <v>45956</v>
      </c>
      <c r="J1366" s="2">
        <f>HOUR(TB[[#This Row],[时间戳]])</f>
        <v>5</v>
      </c>
      <c r="K1366">
        <v>4930</v>
      </c>
      <c r="L1366">
        <v>3</v>
      </c>
      <c r="M1366">
        <f>TB[[#This Row],[售价]]*TB[[#This Row],[销量]]</f>
        <v>14790</v>
      </c>
      <c r="N1366" t="str">
        <f>IF(TB[[#This Row],[售价]]&lt;1000,"低价商品",IF(TB[[#This Row],[售价]]&lt;5000,"中价商品",IF(TB[[#This Row],[售价]]&lt;10000,"高价商品","超高价商品")))</f>
        <v>中价商品</v>
      </c>
    </row>
    <row r="1367" spans="1:14" x14ac:dyDescent="0.2">
      <c r="A1367">
        <v>613</v>
      </c>
      <c r="B1367">
        <v>45</v>
      </c>
      <c r="C1367" t="s">
        <v>26</v>
      </c>
      <c r="D1367" t="s">
        <v>56</v>
      </c>
      <c r="E1367" t="s">
        <v>22</v>
      </c>
      <c r="F1367">
        <v>1</v>
      </c>
      <c r="G1367" t="s">
        <v>13</v>
      </c>
      <c r="H1367" s="1">
        <v>45956.239583333336</v>
      </c>
      <c r="I1367" s="5">
        <f>INT(TB[[#This Row],[时间戳]])</f>
        <v>45956</v>
      </c>
      <c r="J1367" s="2">
        <f>HOUR(TB[[#This Row],[时间戳]])</f>
        <v>5</v>
      </c>
      <c r="K1367">
        <v>6980</v>
      </c>
      <c r="L1367">
        <v>2</v>
      </c>
      <c r="M1367">
        <f>TB[[#This Row],[售价]]*TB[[#This Row],[销量]]</f>
        <v>13960</v>
      </c>
      <c r="N1367" t="str">
        <f>IF(TB[[#This Row],[售价]]&lt;1000,"低价商品",IF(TB[[#This Row],[售价]]&lt;5000,"中价商品",IF(TB[[#This Row],[售价]]&lt;10000,"高价商品","超高价商品")))</f>
        <v>高价商品</v>
      </c>
    </row>
    <row r="1368" spans="1:14" x14ac:dyDescent="0.2">
      <c r="A1368">
        <v>538</v>
      </c>
      <c r="B1368">
        <v>172</v>
      </c>
      <c r="C1368" t="s">
        <v>36</v>
      </c>
      <c r="D1368" t="s">
        <v>265</v>
      </c>
      <c r="E1368" t="s">
        <v>31</v>
      </c>
      <c r="F1368">
        <v>4</v>
      </c>
      <c r="G1368" t="s">
        <v>13</v>
      </c>
      <c r="H1368" s="1">
        <v>45956.263194444444</v>
      </c>
      <c r="I1368" s="5">
        <f>INT(TB[[#This Row],[时间戳]])</f>
        <v>45956</v>
      </c>
      <c r="J1368" s="2">
        <f>HOUR(TB[[#This Row],[时间戳]])</f>
        <v>6</v>
      </c>
      <c r="K1368">
        <v>250</v>
      </c>
      <c r="L1368">
        <v>2</v>
      </c>
      <c r="M1368">
        <f>TB[[#This Row],[售价]]*TB[[#This Row],[销量]]</f>
        <v>500</v>
      </c>
      <c r="N1368" t="str">
        <f>IF(TB[[#This Row],[售价]]&lt;1000,"低价商品",IF(TB[[#This Row],[售价]]&lt;5000,"中价商品",IF(TB[[#This Row],[售价]]&lt;10000,"高价商品","超高价商品")))</f>
        <v>低价商品</v>
      </c>
    </row>
    <row r="1369" spans="1:14" x14ac:dyDescent="0.2">
      <c r="A1369">
        <v>7</v>
      </c>
      <c r="B1369">
        <v>210</v>
      </c>
      <c r="C1369" t="s">
        <v>17</v>
      </c>
      <c r="D1369" t="s">
        <v>28</v>
      </c>
      <c r="E1369" t="s">
        <v>12</v>
      </c>
      <c r="F1369">
        <v>2</v>
      </c>
      <c r="G1369" t="s">
        <v>13</v>
      </c>
      <c r="H1369" s="1">
        <v>45956.306944444441</v>
      </c>
      <c r="I1369" s="5">
        <f>INT(TB[[#This Row],[时间戳]])</f>
        <v>45956</v>
      </c>
      <c r="J1369" s="2">
        <f>HOUR(TB[[#This Row],[时间戳]])</f>
        <v>7</v>
      </c>
      <c r="K1369">
        <v>5185</v>
      </c>
      <c r="L1369">
        <v>4</v>
      </c>
      <c r="M1369">
        <f>TB[[#This Row],[售价]]*TB[[#This Row],[销量]]</f>
        <v>20740</v>
      </c>
      <c r="N1369" t="str">
        <f>IF(TB[[#This Row],[售价]]&lt;1000,"低价商品",IF(TB[[#This Row],[售价]]&lt;5000,"中价商品",IF(TB[[#This Row],[售价]]&lt;10000,"高价商品","超高价商品")))</f>
        <v>高价商品</v>
      </c>
    </row>
    <row r="1370" spans="1:14" x14ac:dyDescent="0.2">
      <c r="A1370">
        <v>570</v>
      </c>
      <c r="B1370">
        <v>237</v>
      </c>
      <c r="C1370" t="s">
        <v>17</v>
      </c>
      <c r="D1370" t="s">
        <v>214</v>
      </c>
      <c r="E1370" t="s">
        <v>22</v>
      </c>
      <c r="F1370">
        <v>1</v>
      </c>
      <c r="G1370" t="s">
        <v>13</v>
      </c>
      <c r="H1370" s="1">
        <v>45956.311111111114</v>
      </c>
      <c r="I1370" s="5">
        <f>INT(TB[[#This Row],[时间戳]])</f>
        <v>45956</v>
      </c>
      <c r="J1370" s="2">
        <f>HOUR(TB[[#This Row],[时间戳]])</f>
        <v>7</v>
      </c>
      <c r="K1370">
        <v>6172</v>
      </c>
      <c r="L1370">
        <v>3</v>
      </c>
      <c r="M1370">
        <f>TB[[#This Row],[售价]]*TB[[#This Row],[销量]]</f>
        <v>18516</v>
      </c>
      <c r="N1370" t="str">
        <f>IF(TB[[#This Row],[售价]]&lt;1000,"低价商品",IF(TB[[#This Row],[售价]]&lt;5000,"中价商品",IF(TB[[#This Row],[售价]]&lt;10000,"高价商品","超高价商品")))</f>
        <v>高价商品</v>
      </c>
    </row>
    <row r="1371" spans="1:14" x14ac:dyDescent="0.2">
      <c r="A1371">
        <v>191</v>
      </c>
      <c r="B1371">
        <v>196</v>
      </c>
      <c r="C1371" t="s">
        <v>26</v>
      </c>
      <c r="D1371" t="s">
        <v>396</v>
      </c>
      <c r="E1371" t="s">
        <v>25</v>
      </c>
      <c r="F1371">
        <v>7</v>
      </c>
      <c r="G1371" t="s">
        <v>13</v>
      </c>
      <c r="H1371" s="1">
        <v>45956.315972222219</v>
      </c>
      <c r="I1371" s="5">
        <f>INT(TB[[#This Row],[时间戳]])</f>
        <v>45956</v>
      </c>
      <c r="J1371" s="2">
        <f>HOUR(TB[[#This Row],[时间戳]])</f>
        <v>7</v>
      </c>
      <c r="K1371">
        <v>7408</v>
      </c>
      <c r="L1371">
        <v>3</v>
      </c>
      <c r="M1371">
        <f>TB[[#This Row],[售价]]*TB[[#This Row],[销量]]</f>
        <v>22224</v>
      </c>
      <c r="N1371" t="str">
        <f>IF(TB[[#This Row],[售价]]&lt;1000,"低价商品",IF(TB[[#This Row],[售价]]&lt;5000,"中价商品",IF(TB[[#This Row],[售价]]&lt;10000,"高价商品","超高价商品")))</f>
        <v>高价商品</v>
      </c>
    </row>
    <row r="1372" spans="1:14" x14ac:dyDescent="0.2">
      <c r="A1372">
        <v>310</v>
      </c>
      <c r="B1372">
        <v>300</v>
      </c>
      <c r="C1372" t="s">
        <v>44</v>
      </c>
      <c r="D1372" t="s">
        <v>397</v>
      </c>
      <c r="E1372" t="s">
        <v>25</v>
      </c>
      <c r="F1372">
        <v>7</v>
      </c>
      <c r="G1372" t="s">
        <v>13</v>
      </c>
      <c r="H1372" s="1">
        <v>45956.381249999999</v>
      </c>
      <c r="I1372" s="5">
        <f>INT(TB[[#This Row],[时间戳]])</f>
        <v>45956</v>
      </c>
      <c r="J1372" s="2">
        <f>HOUR(TB[[#This Row],[时间戳]])</f>
        <v>9</v>
      </c>
      <c r="K1372">
        <v>3954</v>
      </c>
      <c r="L1372">
        <v>2</v>
      </c>
      <c r="M1372">
        <f>TB[[#This Row],[售价]]*TB[[#This Row],[销量]]</f>
        <v>7908</v>
      </c>
      <c r="N1372" t="str">
        <f>IF(TB[[#This Row],[售价]]&lt;1000,"低价商品",IF(TB[[#This Row],[售价]]&lt;5000,"中价商品",IF(TB[[#This Row],[售价]]&lt;10000,"高价商品","超高价商品")))</f>
        <v>中价商品</v>
      </c>
    </row>
    <row r="1373" spans="1:14" x14ac:dyDescent="0.2">
      <c r="A1373">
        <v>475</v>
      </c>
      <c r="B1373">
        <v>115</v>
      </c>
      <c r="C1373" t="s">
        <v>20</v>
      </c>
      <c r="D1373" t="s">
        <v>204</v>
      </c>
      <c r="E1373" t="s">
        <v>25</v>
      </c>
      <c r="F1373">
        <v>7</v>
      </c>
      <c r="G1373" t="s">
        <v>13</v>
      </c>
      <c r="H1373" s="1">
        <v>45956.384722222225</v>
      </c>
      <c r="I1373" s="5">
        <f>INT(TB[[#This Row],[时间戳]])</f>
        <v>45956</v>
      </c>
      <c r="J1373" s="2">
        <f>HOUR(TB[[#This Row],[时间戳]])</f>
        <v>9</v>
      </c>
      <c r="K1373">
        <v>4041</v>
      </c>
      <c r="L1373">
        <v>3</v>
      </c>
      <c r="M1373">
        <f>TB[[#This Row],[售价]]*TB[[#This Row],[销量]]</f>
        <v>12123</v>
      </c>
      <c r="N1373" t="str">
        <f>IF(TB[[#This Row],[售价]]&lt;1000,"低价商品",IF(TB[[#This Row],[售价]]&lt;5000,"中价商品",IF(TB[[#This Row],[售价]]&lt;10000,"高价商品","超高价商品")))</f>
        <v>中价商品</v>
      </c>
    </row>
    <row r="1374" spans="1:14" x14ac:dyDescent="0.2">
      <c r="A1374">
        <v>308</v>
      </c>
      <c r="B1374">
        <v>242</v>
      </c>
      <c r="C1374" t="s">
        <v>26</v>
      </c>
      <c r="D1374" t="s">
        <v>219</v>
      </c>
      <c r="E1374" t="s">
        <v>22</v>
      </c>
      <c r="F1374">
        <v>1</v>
      </c>
      <c r="G1374" t="s">
        <v>13</v>
      </c>
      <c r="H1374" s="1">
        <v>45956.420138888891</v>
      </c>
      <c r="I1374" s="5">
        <f>INT(TB[[#This Row],[时间戳]])</f>
        <v>45956</v>
      </c>
      <c r="J1374" s="2">
        <f>HOUR(TB[[#This Row],[时间戳]])</f>
        <v>10</v>
      </c>
      <c r="K1374">
        <v>1020</v>
      </c>
      <c r="L1374">
        <v>1</v>
      </c>
      <c r="M1374">
        <f>TB[[#This Row],[售价]]*TB[[#This Row],[销量]]</f>
        <v>1020</v>
      </c>
      <c r="N1374" t="str">
        <f>IF(TB[[#This Row],[售价]]&lt;1000,"低价商品",IF(TB[[#This Row],[售价]]&lt;5000,"中价商品",IF(TB[[#This Row],[售价]]&lt;10000,"高价商品","超高价商品")))</f>
        <v>中价商品</v>
      </c>
    </row>
    <row r="1375" spans="1:14" x14ac:dyDescent="0.2">
      <c r="A1375">
        <v>184</v>
      </c>
      <c r="B1375">
        <v>252</v>
      </c>
      <c r="C1375" t="s">
        <v>36</v>
      </c>
      <c r="D1375" t="s">
        <v>265</v>
      </c>
      <c r="E1375" t="s">
        <v>31</v>
      </c>
      <c r="F1375">
        <v>4</v>
      </c>
      <c r="G1375" t="s">
        <v>13</v>
      </c>
      <c r="H1375" s="1">
        <v>45956.432638888888</v>
      </c>
      <c r="I1375" s="5">
        <f>INT(TB[[#This Row],[时间戳]])</f>
        <v>45956</v>
      </c>
      <c r="J1375" s="2">
        <f>HOUR(TB[[#This Row],[时间戳]])</f>
        <v>10</v>
      </c>
      <c r="K1375">
        <v>438</v>
      </c>
      <c r="L1375">
        <v>2</v>
      </c>
      <c r="M1375">
        <f>TB[[#This Row],[售价]]*TB[[#This Row],[销量]]</f>
        <v>876</v>
      </c>
      <c r="N1375" t="str">
        <f>IF(TB[[#This Row],[售价]]&lt;1000,"低价商品",IF(TB[[#This Row],[售价]]&lt;5000,"中价商品",IF(TB[[#This Row],[售价]]&lt;10000,"高价商品","超高价商品")))</f>
        <v>低价商品</v>
      </c>
    </row>
    <row r="1376" spans="1:14" x14ac:dyDescent="0.2">
      <c r="A1376">
        <v>123</v>
      </c>
      <c r="B1376">
        <v>142</v>
      </c>
      <c r="C1376" t="s">
        <v>32</v>
      </c>
      <c r="D1376" t="s">
        <v>286</v>
      </c>
      <c r="E1376" t="s">
        <v>22</v>
      </c>
      <c r="F1376">
        <v>1</v>
      </c>
      <c r="G1376" t="s">
        <v>13</v>
      </c>
      <c r="H1376" s="1">
        <v>45956.438194444447</v>
      </c>
      <c r="I1376" s="5">
        <f>INT(TB[[#This Row],[时间戳]])</f>
        <v>45956</v>
      </c>
      <c r="J1376" s="2">
        <f>HOUR(TB[[#This Row],[时间戳]])</f>
        <v>10</v>
      </c>
      <c r="K1376">
        <v>6764</v>
      </c>
      <c r="L1376">
        <v>2</v>
      </c>
      <c r="M1376">
        <f>TB[[#This Row],[售价]]*TB[[#This Row],[销量]]</f>
        <v>13528</v>
      </c>
      <c r="N1376" t="str">
        <f>IF(TB[[#This Row],[售价]]&lt;1000,"低价商品",IF(TB[[#This Row],[售价]]&lt;5000,"中价商品",IF(TB[[#This Row],[售价]]&lt;10000,"高价商品","超高价商品")))</f>
        <v>高价商品</v>
      </c>
    </row>
    <row r="1377" spans="1:14" x14ac:dyDescent="0.2">
      <c r="A1377">
        <v>596</v>
      </c>
      <c r="B1377">
        <v>247</v>
      </c>
      <c r="C1377" t="s">
        <v>46</v>
      </c>
      <c r="D1377" t="s">
        <v>303</v>
      </c>
      <c r="E1377" t="s">
        <v>19</v>
      </c>
      <c r="F1377">
        <v>3</v>
      </c>
      <c r="G1377" t="s">
        <v>42</v>
      </c>
      <c r="H1377" s="1">
        <v>45956.475694444445</v>
      </c>
      <c r="I1377" s="5">
        <f>INT(TB[[#This Row],[时间戳]])</f>
        <v>45956</v>
      </c>
      <c r="J1377" s="2">
        <f>HOUR(TB[[#This Row],[时间戳]])</f>
        <v>11</v>
      </c>
      <c r="K1377">
        <v>5373</v>
      </c>
      <c r="L1377">
        <v>0</v>
      </c>
      <c r="M1377">
        <f>TB[[#This Row],[售价]]*TB[[#This Row],[销量]]</f>
        <v>0</v>
      </c>
      <c r="N1377" t="str">
        <f>IF(TB[[#This Row],[售价]]&lt;1000,"低价商品",IF(TB[[#This Row],[售价]]&lt;5000,"中价商品",IF(TB[[#This Row],[售价]]&lt;10000,"高价商品","超高价商品")))</f>
        <v>高价商品</v>
      </c>
    </row>
    <row r="1378" spans="1:14" x14ac:dyDescent="0.2">
      <c r="A1378">
        <v>711</v>
      </c>
      <c r="B1378">
        <v>62</v>
      </c>
      <c r="C1378" t="s">
        <v>36</v>
      </c>
      <c r="D1378" t="s">
        <v>284</v>
      </c>
      <c r="E1378" t="s">
        <v>39</v>
      </c>
      <c r="F1378">
        <v>5</v>
      </c>
      <c r="G1378" t="s">
        <v>13</v>
      </c>
      <c r="H1378" s="1">
        <v>45956.486805555556</v>
      </c>
      <c r="I1378" s="5">
        <f>INT(TB[[#This Row],[时间戳]])</f>
        <v>45956</v>
      </c>
      <c r="J1378" s="2">
        <f>HOUR(TB[[#This Row],[时间戳]])</f>
        <v>11</v>
      </c>
      <c r="K1378">
        <v>3139</v>
      </c>
      <c r="L1378">
        <v>1</v>
      </c>
      <c r="M1378">
        <f>TB[[#This Row],[售价]]*TB[[#This Row],[销量]]</f>
        <v>3139</v>
      </c>
      <c r="N1378" t="str">
        <f>IF(TB[[#This Row],[售价]]&lt;1000,"低价商品",IF(TB[[#This Row],[售价]]&lt;5000,"中价商品",IF(TB[[#This Row],[售价]]&lt;10000,"高价商品","超高价商品")))</f>
        <v>中价商品</v>
      </c>
    </row>
    <row r="1379" spans="1:14" x14ac:dyDescent="0.2">
      <c r="A1379">
        <v>266</v>
      </c>
      <c r="B1379">
        <v>84</v>
      </c>
      <c r="C1379" t="s">
        <v>46</v>
      </c>
      <c r="D1379" t="s">
        <v>180</v>
      </c>
      <c r="E1379" t="s">
        <v>31</v>
      </c>
      <c r="F1379">
        <v>4</v>
      </c>
      <c r="G1379" t="s">
        <v>13</v>
      </c>
      <c r="H1379" s="1">
        <v>45956.5</v>
      </c>
      <c r="I1379" s="5">
        <f>INT(TB[[#This Row],[时间戳]])</f>
        <v>45956</v>
      </c>
      <c r="J1379" s="2">
        <f>HOUR(TB[[#This Row],[时间戳]])</f>
        <v>12</v>
      </c>
      <c r="K1379">
        <v>876</v>
      </c>
      <c r="L1379">
        <v>2</v>
      </c>
      <c r="M1379">
        <f>TB[[#This Row],[售价]]*TB[[#This Row],[销量]]</f>
        <v>1752</v>
      </c>
      <c r="N1379" t="str">
        <f>IF(TB[[#This Row],[售价]]&lt;1000,"低价商品",IF(TB[[#This Row],[售价]]&lt;5000,"中价商品",IF(TB[[#This Row],[售价]]&lt;10000,"高价商品","超高价商品")))</f>
        <v>低价商品</v>
      </c>
    </row>
    <row r="1380" spans="1:14" x14ac:dyDescent="0.2">
      <c r="A1380">
        <v>710</v>
      </c>
      <c r="B1380">
        <v>70</v>
      </c>
      <c r="C1380" t="s">
        <v>34</v>
      </c>
      <c r="D1380" t="s">
        <v>311</v>
      </c>
      <c r="E1380" t="s">
        <v>19</v>
      </c>
      <c r="F1380">
        <v>3</v>
      </c>
      <c r="G1380" t="s">
        <v>13</v>
      </c>
      <c r="H1380" s="1">
        <v>45956.508333333331</v>
      </c>
      <c r="I1380" s="5">
        <f>INT(TB[[#This Row],[时间戳]])</f>
        <v>45956</v>
      </c>
      <c r="J1380" s="2">
        <f>HOUR(TB[[#This Row],[时间戳]])</f>
        <v>12</v>
      </c>
      <c r="K1380">
        <v>1853</v>
      </c>
      <c r="L1380">
        <v>2</v>
      </c>
      <c r="M1380">
        <f>TB[[#This Row],[售价]]*TB[[#This Row],[销量]]</f>
        <v>3706</v>
      </c>
      <c r="N1380" t="str">
        <f>IF(TB[[#This Row],[售价]]&lt;1000,"低价商品",IF(TB[[#This Row],[售价]]&lt;5000,"中价商品",IF(TB[[#This Row],[售价]]&lt;10000,"高价商品","超高价商品")))</f>
        <v>中价商品</v>
      </c>
    </row>
    <row r="1381" spans="1:14" x14ac:dyDescent="0.2">
      <c r="A1381">
        <v>370</v>
      </c>
      <c r="B1381">
        <v>215</v>
      </c>
      <c r="C1381" t="s">
        <v>10</v>
      </c>
      <c r="D1381" t="s">
        <v>247</v>
      </c>
      <c r="E1381" t="s">
        <v>31</v>
      </c>
      <c r="F1381">
        <v>4</v>
      </c>
      <c r="G1381" t="s">
        <v>13</v>
      </c>
      <c r="H1381" s="1">
        <v>45956.524305555555</v>
      </c>
      <c r="I1381" s="5">
        <f>INT(TB[[#This Row],[时间戳]])</f>
        <v>45956</v>
      </c>
      <c r="J1381" s="2">
        <f>HOUR(TB[[#This Row],[时间戳]])</f>
        <v>12</v>
      </c>
      <c r="K1381">
        <v>664</v>
      </c>
      <c r="L1381">
        <v>3</v>
      </c>
      <c r="M1381">
        <f>TB[[#This Row],[售价]]*TB[[#This Row],[销量]]</f>
        <v>1992</v>
      </c>
      <c r="N1381" t="str">
        <f>IF(TB[[#This Row],[售价]]&lt;1000,"低价商品",IF(TB[[#This Row],[售价]]&lt;5000,"中价商品",IF(TB[[#This Row],[售价]]&lt;10000,"高价商品","超高价商品")))</f>
        <v>低价商品</v>
      </c>
    </row>
    <row r="1382" spans="1:14" x14ac:dyDescent="0.2">
      <c r="A1382">
        <v>543</v>
      </c>
      <c r="B1382">
        <v>40</v>
      </c>
      <c r="C1382" t="s">
        <v>36</v>
      </c>
      <c r="D1382" t="s">
        <v>102</v>
      </c>
      <c r="E1382" t="s">
        <v>19</v>
      </c>
      <c r="F1382">
        <v>3</v>
      </c>
      <c r="G1382" t="s">
        <v>42</v>
      </c>
      <c r="H1382" s="1">
        <v>45956.527777777781</v>
      </c>
      <c r="I1382" s="5">
        <f>INT(TB[[#This Row],[时间戳]])</f>
        <v>45956</v>
      </c>
      <c r="J1382" s="2">
        <f>HOUR(TB[[#This Row],[时间戳]])</f>
        <v>12</v>
      </c>
      <c r="K1382">
        <v>4240</v>
      </c>
      <c r="L1382">
        <v>0</v>
      </c>
      <c r="M1382">
        <f>TB[[#This Row],[售价]]*TB[[#This Row],[销量]]</f>
        <v>0</v>
      </c>
      <c r="N1382" t="str">
        <f>IF(TB[[#This Row],[售价]]&lt;1000,"低价商品",IF(TB[[#This Row],[售价]]&lt;5000,"中价商品",IF(TB[[#This Row],[售价]]&lt;10000,"高价商品","超高价商品")))</f>
        <v>中价商品</v>
      </c>
    </row>
    <row r="1383" spans="1:14" x14ac:dyDescent="0.2">
      <c r="A1383">
        <v>614</v>
      </c>
      <c r="B1383">
        <v>86</v>
      </c>
      <c r="C1383" t="s">
        <v>26</v>
      </c>
      <c r="D1383" t="s">
        <v>225</v>
      </c>
      <c r="E1383" t="s">
        <v>31</v>
      </c>
      <c r="F1383">
        <v>4</v>
      </c>
      <c r="G1383" t="s">
        <v>13</v>
      </c>
      <c r="H1383" s="1">
        <v>45956.536805555559</v>
      </c>
      <c r="I1383" s="5">
        <f>INT(TB[[#This Row],[时间戳]])</f>
        <v>45956</v>
      </c>
      <c r="J1383" s="2">
        <f>HOUR(TB[[#This Row],[时间戳]])</f>
        <v>12</v>
      </c>
      <c r="K1383">
        <v>1001</v>
      </c>
      <c r="L1383">
        <v>3</v>
      </c>
      <c r="M1383">
        <f>TB[[#This Row],[售价]]*TB[[#This Row],[销量]]</f>
        <v>3003</v>
      </c>
      <c r="N1383" t="str">
        <f>IF(TB[[#This Row],[售价]]&lt;1000,"低价商品",IF(TB[[#This Row],[售价]]&lt;5000,"中价商品",IF(TB[[#This Row],[售价]]&lt;10000,"高价商品","超高价商品")))</f>
        <v>中价商品</v>
      </c>
    </row>
    <row r="1384" spans="1:14" x14ac:dyDescent="0.2">
      <c r="A1384">
        <v>309</v>
      </c>
      <c r="B1384">
        <v>139</v>
      </c>
      <c r="C1384" t="s">
        <v>34</v>
      </c>
      <c r="D1384" t="s">
        <v>398</v>
      </c>
      <c r="E1384" t="s">
        <v>16</v>
      </c>
      <c r="F1384">
        <v>6</v>
      </c>
      <c r="G1384" t="s">
        <v>13</v>
      </c>
      <c r="H1384" s="1">
        <v>45956.601388888892</v>
      </c>
      <c r="I1384" s="5">
        <f>INT(TB[[#This Row],[时间戳]])</f>
        <v>45956</v>
      </c>
      <c r="J1384" s="2">
        <f>HOUR(TB[[#This Row],[时间戳]])</f>
        <v>14</v>
      </c>
      <c r="K1384">
        <v>10873</v>
      </c>
      <c r="L1384">
        <v>1</v>
      </c>
      <c r="M1384">
        <f>TB[[#This Row],[售价]]*TB[[#This Row],[销量]]</f>
        <v>10873</v>
      </c>
      <c r="N1384" t="str">
        <f>IF(TB[[#This Row],[售价]]&lt;1000,"低价商品",IF(TB[[#This Row],[售价]]&lt;5000,"中价商品",IF(TB[[#This Row],[售价]]&lt;10000,"高价商品","超高价商品")))</f>
        <v>超高价商品</v>
      </c>
    </row>
    <row r="1385" spans="1:14" x14ac:dyDescent="0.2">
      <c r="A1385">
        <v>548</v>
      </c>
      <c r="B1385">
        <v>297</v>
      </c>
      <c r="C1385" t="s">
        <v>34</v>
      </c>
      <c r="D1385" t="s">
        <v>139</v>
      </c>
      <c r="E1385" t="s">
        <v>39</v>
      </c>
      <c r="F1385">
        <v>5</v>
      </c>
      <c r="G1385" t="s">
        <v>13</v>
      </c>
      <c r="H1385" s="1">
        <v>45956.606944444444</v>
      </c>
      <c r="I1385" s="5">
        <f>INT(TB[[#This Row],[时间戳]])</f>
        <v>45956</v>
      </c>
      <c r="J1385" s="2">
        <f>HOUR(TB[[#This Row],[时间戳]])</f>
        <v>14</v>
      </c>
      <c r="K1385">
        <v>3764</v>
      </c>
      <c r="L1385">
        <v>1</v>
      </c>
      <c r="M1385">
        <f>TB[[#This Row],[售价]]*TB[[#This Row],[销量]]</f>
        <v>3764</v>
      </c>
      <c r="N1385" t="str">
        <f>IF(TB[[#This Row],[售价]]&lt;1000,"低价商品",IF(TB[[#This Row],[售价]]&lt;5000,"中价商品",IF(TB[[#This Row],[售价]]&lt;10000,"高价商品","超高价商品")))</f>
        <v>中价商品</v>
      </c>
    </row>
    <row r="1386" spans="1:14" x14ac:dyDescent="0.2">
      <c r="A1386">
        <v>531</v>
      </c>
      <c r="B1386">
        <v>145</v>
      </c>
      <c r="C1386" t="s">
        <v>10</v>
      </c>
      <c r="D1386" t="s">
        <v>116</v>
      </c>
      <c r="E1386" t="s">
        <v>31</v>
      </c>
      <c r="F1386">
        <v>4</v>
      </c>
      <c r="G1386" t="s">
        <v>42</v>
      </c>
      <c r="H1386" s="1">
        <v>45956.626388888886</v>
      </c>
      <c r="I1386" s="5">
        <f>INT(TB[[#This Row],[时间戳]])</f>
        <v>45956</v>
      </c>
      <c r="J1386" s="2">
        <f>HOUR(TB[[#This Row],[时间戳]])</f>
        <v>15</v>
      </c>
      <c r="K1386">
        <v>643</v>
      </c>
      <c r="L1386">
        <v>0</v>
      </c>
      <c r="M1386">
        <f>TB[[#This Row],[售价]]*TB[[#This Row],[销量]]</f>
        <v>0</v>
      </c>
      <c r="N1386" t="str">
        <f>IF(TB[[#This Row],[售价]]&lt;1000,"低价商品",IF(TB[[#This Row],[售价]]&lt;5000,"中价商品",IF(TB[[#This Row],[售价]]&lt;10000,"高价商品","超高价商品")))</f>
        <v>低价商品</v>
      </c>
    </row>
    <row r="1387" spans="1:14" x14ac:dyDescent="0.2">
      <c r="A1387">
        <v>349</v>
      </c>
      <c r="B1387">
        <v>84</v>
      </c>
      <c r="C1387" t="s">
        <v>44</v>
      </c>
      <c r="D1387" t="s">
        <v>268</v>
      </c>
      <c r="E1387" t="s">
        <v>16</v>
      </c>
      <c r="F1387">
        <v>6</v>
      </c>
      <c r="G1387" t="s">
        <v>42</v>
      </c>
      <c r="H1387" s="1">
        <v>45956.633333333331</v>
      </c>
      <c r="I1387" s="5">
        <f>INT(TB[[#This Row],[时间戳]])</f>
        <v>45956</v>
      </c>
      <c r="J1387" s="2">
        <f>HOUR(TB[[#This Row],[时间戳]])</f>
        <v>15</v>
      </c>
      <c r="K1387">
        <v>8309</v>
      </c>
      <c r="L1387">
        <v>0</v>
      </c>
      <c r="M1387">
        <f>TB[[#This Row],[售价]]*TB[[#This Row],[销量]]</f>
        <v>0</v>
      </c>
      <c r="N1387" t="str">
        <f>IF(TB[[#This Row],[售价]]&lt;1000,"低价商品",IF(TB[[#This Row],[售价]]&lt;5000,"中价商品",IF(TB[[#This Row],[售价]]&lt;10000,"高价商品","超高价商品")))</f>
        <v>高价商品</v>
      </c>
    </row>
    <row r="1388" spans="1:14" x14ac:dyDescent="0.2">
      <c r="A1388">
        <v>227</v>
      </c>
      <c r="B1388">
        <v>97</v>
      </c>
      <c r="C1388" t="s">
        <v>26</v>
      </c>
      <c r="D1388" t="s">
        <v>270</v>
      </c>
      <c r="E1388" t="s">
        <v>16</v>
      </c>
      <c r="F1388">
        <v>6</v>
      </c>
      <c r="G1388" t="s">
        <v>13</v>
      </c>
      <c r="H1388" s="1">
        <v>45956.661111111112</v>
      </c>
      <c r="I1388" s="5">
        <f>INT(TB[[#This Row],[时间戳]])</f>
        <v>45956</v>
      </c>
      <c r="J1388" s="2">
        <f>HOUR(TB[[#This Row],[时间戳]])</f>
        <v>15</v>
      </c>
      <c r="K1388">
        <v>3589</v>
      </c>
      <c r="L1388">
        <v>3</v>
      </c>
      <c r="M1388">
        <f>TB[[#This Row],[售价]]*TB[[#This Row],[销量]]</f>
        <v>10767</v>
      </c>
      <c r="N1388" t="str">
        <f>IF(TB[[#This Row],[售价]]&lt;1000,"低价商品",IF(TB[[#This Row],[售价]]&lt;5000,"中价商品",IF(TB[[#This Row],[售价]]&lt;10000,"高价商品","超高价商品")))</f>
        <v>中价商品</v>
      </c>
    </row>
    <row r="1389" spans="1:14" x14ac:dyDescent="0.2">
      <c r="A1389">
        <v>730</v>
      </c>
      <c r="B1389">
        <v>283</v>
      </c>
      <c r="C1389" t="s">
        <v>20</v>
      </c>
      <c r="D1389" t="s">
        <v>399</v>
      </c>
      <c r="E1389" t="s">
        <v>31</v>
      </c>
      <c r="F1389">
        <v>4</v>
      </c>
      <c r="G1389" t="s">
        <v>13</v>
      </c>
      <c r="H1389" s="1">
        <v>45956.663194444445</v>
      </c>
      <c r="I1389" s="5">
        <f>INT(TB[[#This Row],[时间戳]])</f>
        <v>45956</v>
      </c>
      <c r="J1389" s="2">
        <f>HOUR(TB[[#This Row],[时间戳]])</f>
        <v>15</v>
      </c>
      <c r="K1389">
        <v>1308</v>
      </c>
      <c r="L1389">
        <v>3</v>
      </c>
      <c r="M1389">
        <f>TB[[#This Row],[售价]]*TB[[#This Row],[销量]]</f>
        <v>3924</v>
      </c>
      <c r="N1389" t="str">
        <f>IF(TB[[#This Row],[售价]]&lt;1000,"低价商品",IF(TB[[#This Row],[售价]]&lt;5000,"中价商品",IF(TB[[#This Row],[售价]]&lt;10000,"高价商品","超高价商品")))</f>
        <v>中价商品</v>
      </c>
    </row>
    <row r="1390" spans="1:14" x14ac:dyDescent="0.2">
      <c r="A1390">
        <v>120</v>
      </c>
      <c r="B1390">
        <v>68</v>
      </c>
      <c r="C1390" t="s">
        <v>44</v>
      </c>
      <c r="D1390" t="s">
        <v>140</v>
      </c>
      <c r="E1390" t="s">
        <v>19</v>
      </c>
      <c r="F1390">
        <v>3</v>
      </c>
      <c r="G1390" t="s">
        <v>42</v>
      </c>
      <c r="H1390" s="1">
        <v>45956.727777777778</v>
      </c>
      <c r="I1390" s="5">
        <f>INT(TB[[#This Row],[时间戳]])</f>
        <v>45956</v>
      </c>
      <c r="J1390" s="2">
        <f>HOUR(TB[[#This Row],[时间戳]])</f>
        <v>17</v>
      </c>
      <c r="K1390">
        <v>2446</v>
      </c>
      <c r="L1390">
        <v>0</v>
      </c>
      <c r="M1390">
        <f>TB[[#This Row],[售价]]*TB[[#This Row],[销量]]</f>
        <v>0</v>
      </c>
      <c r="N1390" t="str">
        <f>IF(TB[[#This Row],[售价]]&lt;1000,"低价商品",IF(TB[[#This Row],[售价]]&lt;5000,"中价商品",IF(TB[[#This Row],[售价]]&lt;10000,"高价商品","超高价商品")))</f>
        <v>中价商品</v>
      </c>
    </row>
    <row r="1391" spans="1:14" x14ac:dyDescent="0.2">
      <c r="A1391">
        <v>708</v>
      </c>
      <c r="B1391">
        <v>186</v>
      </c>
      <c r="C1391" t="s">
        <v>34</v>
      </c>
      <c r="D1391" t="s">
        <v>400</v>
      </c>
      <c r="E1391" t="s">
        <v>19</v>
      </c>
      <c r="F1391">
        <v>3</v>
      </c>
      <c r="G1391" t="s">
        <v>13</v>
      </c>
      <c r="H1391" s="1">
        <v>45956.738888888889</v>
      </c>
      <c r="I1391" s="5">
        <f>INT(TB[[#This Row],[时间戳]])</f>
        <v>45956</v>
      </c>
      <c r="J1391" s="2">
        <f>HOUR(TB[[#This Row],[时间戳]])</f>
        <v>17</v>
      </c>
      <c r="K1391">
        <v>1687</v>
      </c>
      <c r="L1391">
        <v>4</v>
      </c>
      <c r="M1391">
        <f>TB[[#This Row],[售价]]*TB[[#This Row],[销量]]</f>
        <v>6748</v>
      </c>
      <c r="N1391" t="str">
        <f>IF(TB[[#This Row],[售价]]&lt;1000,"低价商品",IF(TB[[#This Row],[售价]]&lt;5000,"中价商品",IF(TB[[#This Row],[售价]]&lt;10000,"高价商品","超高价商品")))</f>
        <v>中价商品</v>
      </c>
    </row>
    <row r="1392" spans="1:14" x14ac:dyDescent="0.2">
      <c r="A1392">
        <v>782</v>
      </c>
      <c r="B1392">
        <v>176</v>
      </c>
      <c r="C1392" t="s">
        <v>46</v>
      </c>
      <c r="D1392" t="s">
        <v>84</v>
      </c>
      <c r="E1392" t="s">
        <v>39</v>
      </c>
      <c r="F1392">
        <v>5</v>
      </c>
      <c r="G1392" t="s">
        <v>13</v>
      </c>
      <c r="H1392" s="1">
        <v>45956.743750000001</v>
      </c>
      <c r="I1392" s="5">
        <f>INT(TB[[#This Row],[时间戳]])</f>
        <v>45956</v>
      </c>
      <c r="J1392" s="2">
        <f>HOUR(TB[[#This Row],[时间戳]])</f>
        <v>17</v>
      </c>
      <c r="K1392">
        <v>1395</v>
      </c>
      <c r="L1392">
        <v>3</v>
      </c>
      <c r="M1392">
        <f>TB[[#This Row],[售价]]*TB[[#This Row],[销量]]</f>
        <v>4185</v>
      </c>
      <c r="N1392" t="str">
        <f>IF(TB[[#This Row],[售价]]&lt;1000,"低价商品",IF(TB[[#This Row],[售价]]&lt;5000,"中价商品",IF(TB[[#This Row],[售价]]&lt;10000,"高价商品","超高价商品")))</f>
        <v>中价商品</v>
      </c>
    </row>
    <row r="1393" spans="1:14" x14ac:dyDescent="0.2">
      <c r="A1393">
        <v>763</v>
      </c>
      <c r="B1393">
        <v>61</v>
      </c>
      <c r="C1393" t="s">
        <v>36</v>
      </c>
      <c r="D1393" t="s">
        <v>386</v>
      </c>
      <c r="E1393" t="s">
        <v>22</v>
      </c>
      <c r="F1393">
        <v>1</v>
      </c>
      <c r="G1393" t="s">
        <v>42</v>
      </c>
      <c r="H1393" s="1">
        <v>45956.745138888888</v>
      </c>
      <c r="I1393" s="5">
        <f>INT(TB[[#This Row],[时间戳]])</f>
        <v>45956</v>
      </c>
      <c r="J1393" s="2">
        <f>HOUR(TB[[#This Row],[时间戳]])</f>
        <v>17</v>
      </c>
      <c r="K1393">
        <v>2573</v>
      </c>
      <c r="L1393">
        <v>0</v>
      </c>
      <c r="M1393">
        <f>TB[[#This Row],[售价]]*TB[[#This Row],[销量]]</f>
        <v>0</v>
      </c>
      <c r="N1393" t="str">
        <f>IF(TB[[#This Row],[售价]]&lt;1000,"低价商品",IF(TB[[#This Row],[售价]]&lt;5000,"中价商品",IF(TB[[#This Row],[售价]]&lt;10000,"高价商品","超高价商品")))</f>
        <v>中价商品</v>
      </c>
    </row>
    <row r="1394" spans="1:14" x14ac:dyDescent="0.2">
      <c r="A1394">
        <v>233</v>
      </c>
      <c r="B1394">
        <v>158</v>
      </c>
      <c r="C1394" t="s">
        <v>26</v>
      </c>
      <c r="D1394" t="s">
        <v>281</v>
      </c>
      <c r="E1394" t="s">
        <v>16</v>
      </c>
      <c r="F1394">
        <v>6</v>
      </c>
      <c r="G1394" t="s">
        <v>42</v>
      </c>
      <c r="H1394" s="1">
        <v>45956.748611111114</v>
      </c>
      <c r="I1394" s="5">
        <f>INT(TB[[#This Row],[时间戳]])</f>
        <v>45956</v>
      </c>
      <c r="J1394" s="2">
        <f>HOUR(TB[[#This Row],[时间戳]])</f>
        <v>17</v>
      </c>
      <c r="K1394">
        <v>5508</v>
      </c>
      <c r="L1394">
        <v>0</v>
      </c>
      <c r="M1394">
        <f>TB[[#This Row],[售价]]*TB[[#This Row],[销量]]</f>
        <v>0</v>
      </c>
      <c r="N1394" t="str">
        <f>IF(TB[[#This Row],[售价]]&lt;1000,"低价商品",IF(TB[[#This Row],[售价]]&lt;5000,"中价商品",IF(TB[[#This Row],[售价]]&lt;10000,"高价商品","超高价商品")))</f>
        <v>高价商品</v>
      </c>
    </row>
    <row r="1395" spans="1:14" x14ac:dyDescent="0.2">
      <c r="A1395">
        <v>436</v>
      </c>
      <c r="B1395">
        <v>58</v>
      </c>
      <c r="C1395" t="s">
        <v>26</v>
      </c>
      <c r="D1395" t="s">
        <v>179</v>
      </c>
      <c r="E1395" t="s">
        <v>16</v>
      </c>
      <c r="F1395">
        <v>6</v>
      </c>
      <c r="G1395" t="s">
        <v>13</v>
      </c>
      <c r="H1395" s="1">
        <v>45956.762499999997</v>
      </c>
      <c r="I1395" s="5">
        <f>INT(TB[[#This Row],[时间戳]])</f>
        <v>45956</v>
      </c>
      <c r="J1395" s="2">
        <f>HOUR(TB[[#This Row],[时间戳]])</f>
        <v>18</v>
      </c>
      <c r="K1395">
        <v>3960</v>
      </c>
      <c r="L1395">
        <v>3</v>
      </c>
      <c r="M1395">
        <f>TB[[#This Row],[售价]]*TB[[#This Row],[销量]]</f>
        <v>11880</v>
      </c>
      <c r="N1395" t="str">
        <f>IF(TB[[#This Row],[售价]]&lt;1000,"低价商品",IF(TB[[#This Row],[售价]]&lt;5000,"中价商品",IF(TB[[#This Row],[售价]]&lt;10000,"高价商品","超高价商品")))</f>
        <v>中价商品</v>
      </c>
    </row>
    <row r="1396" spans="1:14" x14ac:dyDescent="0.2">
      <c r="A1396">
        <v>44</v>
      </c>
      <c r="B1396">
        <v>101</v>
      </c>
      <c r="C1396" t="s">
        <v>44</v>
      </c>
      <c r="D1396" t="s">
        <v>73</v>
      </c>
      <c r="E1396" t="s">
        <v>39</v>
      </c>
      <c r="F1396">
        <v>5</v>
      </c>
      <c r="G1396" t="s">
        <v>13</v>
      </c>
      <c r="H1396" s="1">
        <v>45956.770138888889</v>
      </c>
      <c r="I1396" s="5">
        <f>INT(TB[[#This Row],[时间戳]])</f>
        <v>45956</v>
      </c>
      <c r="J1396" s="2">
        <f>HOUR(TB[[#This Row],[时间戳]])</f>
        <v>18</v>
      </c>
      <c r="K1396">
        <v>927</v>
      </c>
      <c r="L1396">
        <v>3</v>
      </c>
      <c r="M1396">
        <f>TB[[#This Row],[售价]]*TB[[#This Row],[销量]]</f>
        <v>2781</v>
      </c>
      <c r="N1396" t="str">
        <f>IF(TB[[#This Row],[售价]]&lt;1000,"低价商品",IF(TB[[#This Row],[售价]]&lt;5000,"中价商品",IF(TB[[#This Row],[售价]]&lt;10000,"高价商品","超高价商品")))</f>
        <v>低价商品</v>
      </c>
    </row>
    <row r="1397" spans="1:14" x14ac:dyDescent="0.2">
      <c r="A1397">
        <v>61</v>
      </c>
      <c r="B1397">
        <v>241</v>
      </c>
      <c r="C1397" t="s">
        <v>20</v>
      </c>
      <c r="D1397" t="s">
        <v>21</v>
      </c>
      <c r="E1397" t="s">
        <v>22</v>
      </c>
      <c r="F1397">
        <v>1</v>
      </c>
      <c r="G1397" t="s">
        <v>13</v>
      </c>
      <c r="H1397" s="1">
        <v>45956.802083333336</v>
      </c>
      <c r="I1397" s="5">
        <f>INT(TB[[#This Row],[时间戳]])</f>
        <v>45956</v>
      </c>
      <c r="J1397" s="2">
        <f>HOUR(TB[[#This Row],[时间戳]])</f>
        <v>19</v>
      </c>
      <c r="K1397">
        <v>1699</v>
      </c>
      <c r="L1397">
        <v>1</v>
      </c>
      <c r="M1397">
        <f>TB[[#This Row],[售价]]*TB[[#This Row],[销量]]</f>
        <v>1699</v>
      </c>
      <c r="N1397" t="str">
        <f>IF(TB[[#This Row],[售价]]&lt;1000,"低价商品",IF(TB[[#This Row],[售价]]&lt;5000,"中价商品",IF(TB[[#This Row],[售价]]&lt;10000,"高价商品","超高价商品")))</f>
        <v>中价商品</v>
      </c>
    </row>
    <row r="1398" spans="1:14" x14ac:dyDescent="0.2">
      <c r="A1398">
        <v>309</v>
      </c>
      <c r="B1398">
        <v>6</v>
      </c>
      <c r="C1398" t="s">
        <v>10</v>
      </c>
      <c r="D1398" t="s">
        <v>134</v>
      </c>
      <c r="E1398" t="s">
        <v>22</v>
      </c>
      <c r="F1398">
        <v>1</v>
      </c>
      <c r="G1398" t="s">
        <v>42</v>
      </c>
      <c r="H1398" s="1">
        <v>45956.8125</v>
      </c>
      <c r="I1398" s="5">
        <f>INT(TB[[#This Row],[时间戳]])</f>
        <v>45956</v>
      </c>
      <c r="J1398" s="2">
        <f>HOUR(TB[[#This Row],[时间戳]])</f>
        <v>19</v>
      </c>
      <c r="K1398">
        <v>1903</v>
      </c>
      <c r="L1398">
        <v>0</v>
      </c>
      <c r="M1398">
        <f>TB[[#This Row],[售价]]*TB[[#This Row],[销量]]</f>
        <v>0</v>
      </c>
      <c r="N1398" t="str">
        <f>IF(TB[[#This Row],[售价]]&lt;1000,"低价商品",IF(TB[[#This Row],[售价]]&lt;5000,"中价商品",IF(TB[[#This Row],[售价]]&lt;10000,"高价商品","超高价商品")))</f>
        <v>中价商品</v>
      </c>
    </row>
    <row r="1399" spans="1:14" x14ac:dyDescent="0.2">
      <c r="A1399">
        <v>211</v>
      </c>
      <c r="B1399">
        <v>103</v>
      </c>
      <c r="C1399" t="s">
        <v>14</v>
      </c>
      <c r="D1399" t="s">
        <v>29</v>
      </c>
      <c r="E1399" t="s">
        <v>22</v>
      </c>
      <c r="F1399">
        <v>1</v>
      </c>
      <c r="G1399" t="s">
        <v>13</v>
      </c>
      <c r="H1399" s="1">
        <v>45956.818055555559</v>
      </c>
      <c r="I1399" s="5">
        <f>INT(TB[[#This Row],[时间戳]])</f>
        <v>45956</v>
      </c>
      <c r="J1399" s="2">
        <f>HOUR(TB[[#This Row],[时间戳]])</f>
        <v>19</v>
      </c>
      <c r="K1399">
        <v>7030</v>
      </c>
      <c r="L1399">
        <v>3</v>
      </c>
      <c r="M1399">
        <f>TB[[#This Row],[售价]]*TB[[#This Row],[销量]]</f>
        <v>21090</v>
      </c>
      <c r="N1399" t="str">
        <f>IF(TB[[#This Row],[售价]]&lt;1000,"低价商品",IF(TB[[#This Row],[售价]]&lt;5000,"中价商品",IF(TB[[#This Row],[售价]]&lt;10000,"高价商品","超高价商品")))</f>
        <v>高价商品</v>
      </c>
    </row>
    <row r="1400" spans="1:14" x14ac:dyDescent="0.2">
      <c r="A1400">
        <v>93</v>
      </c>
      <c r="B1400">
        <v>75</v>
      </c>
      <c r="C1400" t="s">
        <v>34</v>
      </c>
      <c r="D1400" t="s">
        <v>139</v>
      </c>
      <c r="E1400" t="s">
        <v>39</v>
      </c>
      <c r="F1400">
        <v>5</v>
      </c>
      <c r="G1400" t="s">
        <v>13</v>
      </c>
      <c r="H1400" s="1">
        <v>45956.835416666669</v>
      </c>
      <c r="I1400" s="5">
        <f>INT(TB[[#This Row],[时间戳]])</f>
        <v>45956</v>
      </c>
      <c r="J1400" s="2">
        <f>HOUR(TB[[#This Row],[时间戳]])</f>
        <v>20</v>
      </c>
      <c r="K1400">
        <v>1699</v>
      </c>
      <c r="L1400">
        <v>1</v>
      </c>
      <c r="M1400">
        <f>TB[[#This Row],[售价]]*TB[[#This Row],[销量]]</f>
        <v>1699</v>
      </c>
      <c r="N1400" t="str">
        <f>IF(TB[[#This Row],[售价]]&lt;1000,"低价商品",IF(TB[[#This Row],[售价]]&lt;5000,"中价商品",IF(TB[[#This Row],[售价]]&lt;10000,"高价商品","超高价商品")))</f>
        <v>中价商品</v>
      </c>
    </row>
    <row r="1401" spans="1:14" x14ac:dyDescent="0.2">
      <c r="A1401">
        <v>165</v>
      </c>
      <c r="B1401">
        <v>257</v>
      </c>
      <c r="C1401" t="s">
        <v>34</v>
      </c>
      <c r="D1401" t="s">
        <v>86</v>
      </c>
      <c r="E1401" t="s">
        <v>12</v>
      </c>
      <c r="F1401">
        <v>2</v>
      </c>
      <c r="G1401" t="s">
        <v>42</v>
      </c>
      <c r="H1401" s="1">
        <v>45956.85833333333</v>
      </c>
      <c r="I1401" s="5">
        <f>INT(TB[[#This Row],[时间戳]])</f>
        <v>45956</v>
      </c>
      <c r="J1401" s="2">
        <f>HOUR(TB[[#This Row],[时间戳]])</f>
        <v>20</v>
      </c>
      <c r="K1401">
        <v>8640</v>
      </c>
      <c r="L1401">
        <v>0</v>
      </c>
      <c r="M1401">
        <f>TB[[#This Row],[售价]]*TB[[#This Row],[销量]]</f>
        <v>0</v>
      </c>
      <c r="N1401" t="str">
        <f>IF(TB[[#This Row],[售价]]&lt;1000,"低价商品",IF(TB[[#This Row],[售价]]&lt;5000,"中价商品",IF(TB[[#This Row],[售价]]&lt;10000,"高价商品","超高价商品")))</f>
        <v>高价商品</v>
      </c>
    </row>
    <row r="1402" spans="1:14" x14ac:dyDescent="0.2">
      <c r="A1402">
        <v>102</v>
      </c>
      <c r="B1402">
        <v>297</v>
      </c>
      <c r="C1402" t="s">
        <v>46</v>
      </c>
      <c r="D1402" t="s">
        <v>159</v>
      </c>
      <c r="E1402" t="s">
        <v>16</v>
      </c>
      <c r="F1402">
        <v>6</v>
      </c>
      <c r="G1402" t="s">
        <v>13</v>
      </c>
      <c r="H1402" s="1">
        <v>45956.861805555556</v>
      </c>
      <c r="I1402" s="5">
        <f>INT(TB[[#This Row],[时间戳]])</f>
        <v>45956</v>
      </c>
      <c r="J1402" s="2">
        <f>HOUR(TB[[#This Row],[时间戳]])</f>
        <v>20</v>
      </c>
      <c r="K1402">
        <v>6020</v>
      </c>
      <c r="L1402">
        <v>1</v>
      </c>
      <c r="M1402">
        <f>TB[[#This Row],[售价]]*TB[[#This Row],[销量]]</f>
        <v>6020</v>
      </c>
      <c r="N1402" t="str">
        <f>IF(TB[[#This Row],[售价]]&lt;1000,"低价商品",IF(TB[[#This Row],[售价]]&lt;5000,"中价商品",IF(TB[[#This Row],[售价]]&lt;10000,"高价商品","超高价商品")))</f>
        <v>高价商品</v>
      </c>
    </row>
    <row r="1403" spans="1:14" x14ac:dyDescent="0.2">
      <c r="A1403">
        <v>289</v>
      </c>
      <c r="B1403">
        <v>88</v>
      </c>
      <c r="C1403" t="s">
        <v>32</v>
      </c>
      <c r="D1403" t="s">
        <v>118</v>
      </c>
      <c r="E1403" t="s">
        <v>19</v>
      </c>
      <c r="F1403">
        <v>3</v>
      </c>
      <c r="G1403" t="s">
        <v>13</v>
      </c>
      <c r="H1403" s="1">
        <v>45956.864583333336</v>
      </c>
      <c r="I1403" s="5">
        <f>INT(TB[[#This Row],[时间戳]])</f>
        <v>45956</v>
      </c>
      <c r="J1403" s="2">
        <f>HOUR(TB[[#This Row],[时间戳]])</f>
        <v>20</v>
      </c>
      <c r="K1403">
        <v>1684</v>
      </c>
      <c r="L1403">
        <v>1</v>
      </c>
      <c r="M1403">
        <f>TB[[#This Row],[售价]]*TB[[#This Row],[销量]]</f>
        <v>1684</v>
      </c>
      <c r="N1403" t="str">
        <f>IF(TB[[#This Row],[售价]]&lt;1000,"低价商品",IF(TB[[#This Row],[售价]]&lt;5000,"中价商品",IF(TB[[#This Row],[售价]]&lt;10000,"高价商品","超高价商品")))</f>
        <v>中价商品</v>
      </c>
    </row>
    <row r="1404" spans="1:14" x14ac:dyDescent="0.2">
      <c r="A1404">
        <v>517</v>
      </c>
      <c r="B1404">
        <v>244</v>
      </c>
      <c r="C1404" t="s">
        <v>14</v>
      </c>
      <c r="D1404" t="s">
        <v>144</v>
      </c>
      <c r="E1404" t="s">
        <v>19</v>
      </c>
      <c r="F1404">
        <v>3</v>
      </c>
      <c r="G1404" t="s">
        <v>13</v>
      </c>
      <c r="H1404" s="1">
        <v>45956.865277777775</v>
      </c>
      <c r="I1404" s="5">
        <f>INT(TB[[#This Row],[时间戳]])</f>
        <v>45956</v>
      </c>
      <c r="J1404" s="2">
        <f>HOUR(TB[[#This Row],[时间戳]])</f>
        <v>20</v>
      </c>
      <c r="K1404">
        <v>5702</v>
      </c>
      <c r="L1404">
        <v>2</v>
      </c>
      <c r="M1404">
        <f>TB[[#This Row],[售价]]*TB[[#This Row],[销量]]</f>
        <v>11404</v>
      </c>
      <c r="N1404" t="str">
        <f>IF(TB[[#This Row],[售价]]&lt;1000,"低价商品",IF(TB[[#This Row],[售价]]&lt;5000,"中价商品",IF(TB[[#This Row],[售价]]&lt;10000,"高价商品","超高价商品")))</f>
        <v>高价商品</v>
      </c>
    </row>
    <row r="1405" spans="1:14" x14ac:dyDescent="0.2">
      <c r="A1405">
        <v>451</v>
      </c>
      <c r="B1405">
        <v>55</v>
      </c>
      <c r="C1405" t="s">
        <v>46</v>
      </c>
      <c r="D1405" t="s">
        <v>231</v>
      </c>
      <c r="E1405" t="s">
        <v>16</v>
      </c>
      <c r="F1405">
        <v>6</v>
      </c>
      <c r="G1405" t="s">
        <v>13</v>
      </c>
      <c r="H1405" s="1">
        <v>45956.890277777777</v>
      </c>
      <c r="I1405" s="5">
        <f>INT(TB[[#This Row],[时间戳]])</f>
        <v>45956</v>
      </c>
      <c r="J1405" s="2">
        <f>HOUR(TB[[#This Row],[时间戳]])</f>
        <v>21</v>
      </c>
      <c r="K1405">
        <v>8161</v>
      </c>
      <c r="L1405">
        <v>2</v>
      </c>
      <c r="M1405">
        <f>TB[[#This Row],[售价]]*TB[[#This Row],[销量]]</f>
        <v>16322</v>
      </c>
      <c r="N1405" t="str">
        <f>IF(TB[[#This Row],[售价]]&lt;1000,"低价商品",IF(TB[[#This Row],[售价]]&lt;5000,"中价商品",IF(TB[[#This Row],[售价]]&lt;10000,"高价商品","超高价商品")))</f>
        <v>高价商品</v>
      </c>
    </row>
    <row r="1406" spans="1:14" x14ac:dyDescent="0.2">
      <c r="A1406">
        <v>220</v>
      </c>
      <c r="B1406">
        <v>264</v>
      </c>
      <c r="C1406" t="s">
        <v>17</v>
      </c>
      <c r="D1406" t="s">
        <v>226</v>
      </c>
      <c r="E1406" t="s">
        <v>16</v>
      </c>
      <c r="F1406">
        <v>6</v>
      </c>
      <c r="G1406" t="s">
        <v>13</v>
      </c>
      <c r="H1406" s="1">
        <v>45956.910416666666</v>
      </c>
      <c r="I1406" s="5">
        <f>INT(TB[[#This Row],[时间戳]])</f>
        <v>45956</v>
      </c>
      <c r="J1406" s="2">
        <f>HOUR(TB[[#This Row],[时间戳]])</f>
        <v>21</v>
      </c>
      <c r="K1406">
        <v>4944</v>
      </c>
      <c r="L1406">
        <v>1</v>
      </c>
      <c r="M1406">
        <f>TB[[#This Row],[售价]]*TB[[#This Row],[销量]]</f>
        <v>4944</v>
      </c>
      <c r="N1406" t="str">
        <f>IF(TB[[#This Row],[售价]]&lt;1000,"低价商品",IF(TB[[#This Row],[售价]]&lt;5000,"中价商品",IF(TB[[#This Row],[售价]]&lt;10000,"高价商品","超高价商品")))</f>
        <v>中价商品</v>
      </c>
    </row>
    <row r="1407" spans="1:14" x14ac:dyDescent="0.2">
      <c r="A1407">
        <v>127</v>
      </c>
      <c r="B1407">
        <v>239</v>
      </c>
      <c r="C1407" t="s">
        <v>14</v>
      </c>
      <c r="D1407" t="s">
        <v>228</v>
      </c>
      <c r="E1407" t="s">
        <v>31</v>
      </c>
      <c r="F1407">
        <v>4</v>
      </c>
      <c r="G1407" t="s">
        <v>13</v>
      </c>
      <c r="H1407" s="1">
        <v>45956.922222222223</v>
      </c>
      <c r="I1407" s="5">
        <f>INT(TB[[#This Row],[时间戳]])</f>
        <v>45956</v>
      </c>
      <c r="J1407" s="2">
        <f>HOUR(TB[[#This Row],[时间戳]])</f>
        <v>22</v>
      </c>
      <c r="K1407">
        <v>524</v>
      </c>
      <c r="L1407">
        <v>3</v>
      </c>
      <c r="M1407">
        <f>TB[[#This Row],[售价]]*TB[[#This Row],[销量]]</f>
        <v>1572</v>
      </c>
      <c r="N1407" t="str">
        <f>IF(TB[[#This Row],[售价]]&lt;1000,"低价商品",IF(TB[[#This Row],[售价]]&lt;5000,"中价商品",IF(TB[[#This Row],[售价]]&lt;10000,"高价商品","超高价商品")))</f>
        <v>低价商品</v>
      </c>
    </row>
    <row r="1408" spans="1:14" x14ac:dyDescent="0.2">
      <c r="A1408">
        <v>781</v>
      </c>
      <c r="B1408">
        <v>185</v>
      </c>
      <c r="C1408" t="s">
        <v>26</v>
      </c>
      <c r="D1408" t="s">
        <v>122</v>
      </c>
      <c r="E1408" t="s">
        <v>31</v>
      </c>
      <c r="F1408">
        <v>4</v>
      </c>
      <c r="G1408" t="s">
        <v>13</v>
      </c>
      <c r="H1408" s="1">
        <v>45956.956250000003</v>
      </c>
      <c r="I1408" s="5">
        <f>INT(TB[[#This Row],[时间戳]])</f>
        <v>45956</v>
      </c>
      <c r="J1408" s="2">
        <f>HOUR(TB[[#This Row],[时间戳]])</f>
        <v>22</v>
      </c>
      <c r="K1408">
        <v>341</v>
      </c>
      <c r="L1408">
        <v>2</v>
      </c>
      <c r="M1408">
        <f>TB[[#This Row],[售价]]*TB[[#This Row],[销量]]</f>
        <v>682</v>
      </c>
      <c r="N1408" t="str">
        <f>IF(TB[[#This Row],[售价]]&lt;1000,"低价商品",IF(TB[[#This Row],[售价]]&lt;5000,"中价商品",IF(TB[[#This Row],[售价]]&lt;10000,"高价商品","超高价商品")))</f>
        <v>低价商品</v>
      </c>
    </row>
    <row r="1409" spans="1:14" x14ac:dyDescent="0.2">
      <c r="A1409">
        <v>85</v>
      </c>
      <c r="B1409">
        <v>168</v>
      </c>
      <c r="C1409" t="s">
        <v>20</v>
      </c>
      <c r="D1409" t="s">
        <v>394</v>
      </c>
      <c r="E1409" t="s">
        <v>39</v>
      </c>
      <c r="F1409">
        <v>5</v>
      </c>
      <c r="G1409" t="s">
        <v>42</v>
      </c>
      <c r="H1409" s="1">
        <v>45956.986111111109</v>
      </c>
      <c r="I1409" s="5">
        <f>INT(TB[[#This Row],[时间戳]])</f>
        <v>45956</v>
      </c>
      <c r="J1409" s="2">
        <f>HOUR(TB[[#This Row],[时间戳]])</f>
        <v>23</v>
      </c>
      <c r="K1409">
        <v>3633</v>
      </c>
      <c r="L1409">
        <v>0</v>
      </c>
      <c r="M1409">
        <f>TB[[#This Row],[售价]]*TB[[#This Row],[销量]]</f>
        <v>0</v>
      </c>
      <c r="N1409" t="str">
        <f>IF(TB[[#This Row],[售价]]&lt;1000,"低价商品",IF(TB[[#This Row],[售价]]&lt;5000,"中价商品",IF(TB[[#This Row],[售价]]&lt;10000,"高价商品","超高价商品")))</f>
        <v>中价商品</v>
      </c>
    </row>
    <row r="1410" spans="1:14" x14ac:dyDescent="0.2">
      <c r="A1410">
        <v>468</v>
      </c>
      <c r="B1410">
        <v>160</v>
      </c>
      <c r="C1410" t="s">
        <v>17</v>
      </c>
      <c r="D1410" t="s">
        <v>91</v>
      </c>
      <c r="E1410" t="s">
        <v>25</v>
      </c>
      <c r="F1410">
        <v>7</v>
      </c>
      <c r="G1410" t="s">
        <v>13</v>
      </c>
      <c r="H1410" s="1">
        <v>45957.00277777778</v>
      </c>
      <c r="I1410" s="5">
        <f>INT(TB[[#This Row],[时间戳]])</f>
        <v>45957</v>
      </c>
      <c r="J1410" s="2">
        <f>HOUR(TB[[#This Row],[时间戳]])</f>
        <v>0</v>
      </c>
      <c r="K1410">
        <v>5403</v>
      </c>
      <c r="L1410">
        <v>2</v>
      </c>
      <c r="M1410">
        <f>TB[[#This Row],[售价]]*TB[[#This Row],[销量]]</f>
        <v>10806</v>
      </c>
      <c r="N1410" t="str">
        <f>IF(TB[[#This Row],[售价]]&lt;1000,"低价商品",IF(TB[[#This Row],[售价]]&lt;5000,"中价商品",IF(TB[[#This Row],[售价]]&lt;10000,"高价商品","超高价商品")))</f>
        <v>高价商品</v>
      </c>
    </row>
    <row r="1411" spans="1:14" x14ac:dyDescent="0.2">
      <c r="A1411">
        <v>418</v>
      </c>
      <c r="B1411">
        <v>149</v>
      </c>
      <c r="C1411" t="s">
        <v>32</v>
      </c>
      <c r="D1411" t="s">
        <v>215</v>
      </c>
      <c r="E1411" t="s">
        <v>31</v>
      </c>
      <c r="F1411">
        <v>4</v>
      </c>
      <c r="G1411" t="s">
        <v>13</v>
      </c>
      <c r="H1411" s="1">
        <v>45957.039583333331</v>
      </c>
      <c r="I1411" s="5">
        <f>INT(TB[[#This Row],[时间戳]])</f>
        <v>45957</v>
      </c>
      <c r="J1411" s="2">
        <f>HOUR(TB[[#This Row],[时间戳]])</f>
        <v>0</v>
      </c>
      <c r="K1411">
        <v>1484</v>
      </c>
      <c r="L1411">
        <v>5</v>
      </c>
      <c r="M1411">
        <f>TB[[#This Row],[售价]]*TB[[#This Row],[销量]]</f>
        <v>7420</v>
      </c>
      <c r="N1411" t="str">
        <f>IF(TB[[#This Row],[售价]]&lt;1000,"低价商品",IF(TB[[#This Row],[售价]]&lt;5000,"中价商品",IF(TB[[#This Row],[售价]]&lt;10000,"高价商品","超高价商品")))</f>
        <v>中价商品</v>
      </c>
    </row>
    <row r="1412" spans="1:14" x14ac:dyDescent="0.2">
      <c r="A1412">
        <v>696</v>
      </c>
      <c r="B1412">
        <v>189</v>
      </c>
      <c r="C1412" t="s">
        <v>14</v>
      </c>
      <c r="D1412" t="s">
        <v>280</v>
      </c>
      <c r="E1412" t="s">
        <v>12</v>
      </c>
      <c r="F1412">
        <v>2</v>
      </c>
      <c r="G1412" t="s">
        <v>13</v>
      </c>
      <c r="H1412" s="1">
        <v>45957.044444444444</v>
      </c>
      <c r="I1412" s="5">
        <f>INT(TB[[#This Row],[时间戳]])</f>
        <v>45957</v>
      </c>
      <c r="J1412" s="2">
        <f>HOUR(TB[[#This Row],[时间戳]])</f>
        <v>1</v>
      </c>
      <c r="K1412">
        <v>10907</v>
      </c>
      <c r="L1412">
        <v>1</v>
      </c>
      <c r="M1412">
        <f>TB[[#This Row],[售价]]*TB[[#This Row],[销量]]</f>
        <v>10907</v>
      </c>
      <c r="N1412" t="str">
        <f>IF(TB[[#This Row],[售价]]&lt;1000,"低价商品",IF(TB[[#This Row],[售价]]&lt;5000,"中价商品",IF(TB[[#This Row],[售价]]&lt;10000,"高价商品","超高价商品")))</f>
        <v>超高价商品</v>
      </c>
    </row>
    <row r="1413" spans="1:14" x14ac:dyDescent="0.2">
      <c r="A1413">
        <v>406</v>
      </c>
      <c r="B1413">
        <v>225</v>
      </c>
      <c r="C1413" t="s">
        <v>44</v>
      </c>
      <c r="D1413" t="s">
        <v>243</v>
      </c>
      <c r="E1413" t="s">
        <v>31</v>
      </c>
      <c r="F1413">
        <v>4</v>
      </c>
      <c r="G1413" t="s">
        <v>13</v>
      </c>
      <c r="H1413" s="1">
        <v>45957.046527777777</v>
      </c>
      <c r="I1413" s="5">
        <f>INT(TB[[#This Row],[时间戳]])</f>
        <v>45957</v>
      </c>
      <c r="J1413" s="2">
        <f>HOUR(TB[[#This Row],[时间戳]])</f>
        <v>1</v>
      </c>
      <c r="K1413">
        <v>223</v>
      </c>
      <c r="L1413">
        <v>4</v>
      </c>
      <c r="M1413">
        <f>TB[[#This Row],[售价]]*TB[[#This Row],[销量]]</f>
        <v>892</v>
      </c>
      <c r="N1413" t="str">
        <f>IF(TB[[#This Row],[售价]]&lt;1000,"低价商品",IF(TB[[#This Row],[售价]]&lt;5000,"中价商品",IF(TB[[#This Row],[售价]]&lt;10000,"高价商品","超高价商品")))</f>
        <v>低价商品</v>
      </c>
    </row>
    <row r="1414" spans="1:14" x14ac:dyDescent="0.2">
      <c r="A1414">
        <v>147</v>
      </c>
      <c r="B1414">
        <v>203</v>
      </c>
      <c r="C1414" t="s">
        <v>14</v>
      </c>
      <c r="D1414" t="s">
        <v>395</v>
      </c>
      <c r="E1414" t="s">
        <v>12</v>
      </c>
      <c r="F1414">
        <v>2</v>
      </c>
      <c r="G1414" t="s">
        <v>13</v>
      </c>
      <c r="H1414" s="1">
        <v>45957.052083333336</v>
      </c>
      <c r="I1414" s="5">
        <f>INT(TB[[#This Row],[时间戳]])</f>
        <v>45957</v>
      </c>
      <c r="J1414" s="2">
        <f>HOUR(TB[[#This Row],[时间戳]])</f>
        <v>1</v>
      </c>
      <c r="K1414">
        <v>12700</v>
      </c>
      <c r="L1414">
        <v>2</v>
      </c>
      <c r="M1414">
        <f>TB[[#This Row],[售价]]*TB[[#This Row],[销量]]</f>
        <v>25400</v>
      </c>
      <c r="N1414" t="str">
        <f>IF(TB[[#This Row],[售价]]&lt;1000,"低价商品",IF(TB[[#This Row],[售价]]&lt;5000,"中价商品",IF(TB[[#This Row],[售价]]&lt;10000,"高价商品","超高价商品")))</f>
        <v>超高价商品</v>
      </c>
    </row>
    <row r="1415" spans="1:14" x14ac:dyDescent="0.2">
      <c r="A1415">
        <v>760</v>
      </c>
      <c r="B1415">
        <v>87</v>
      </c>
      <c r="C1415" t="s">
        <v>46</v>
      </c>
      <c r="D1415" t="s">
        <v>180</v>
      </c>
      <c r="E1415" t="s">
        <v>31</v>
      </c>
      <c r="F1415">
        <v>4</v>
      </c>
      <c r="G1415" t="s">
        <v>13</v>
      </c>
      <c r="H1415" s="1">
        <v>45957.053472222222</v>
      </c>
      <c r="I1415" s="5">
        <f>INT(TB[[#This Row],[时间戳]])</f>
        <v>45957</v>
      </c>
      <c r="J1415" s="2">
        <f>HOUR(TB[[#This Row],[时间戳]])</f>
        <v>1</v>
      </c>
      <c r="K1415">
        <v>1025</v>
      </c>
      <c r="L1415">
        <v>3</v>
      </c>
      <c r="M1415">
        <f>TB[[#This Row],[售价]]*TB[[#This Row],[销量]]</f>
        <v>3075</v>
      </c>
      <c r="N1415" t="str">
        <f>IF(TB[[#This Row],[售价]]&lt;1000,"低价商品",IF(TB[[#This Row],[售价]]&lt;5000,"中价商品",IF(TB[[#This Row],[售价]]&lt;10000,"高价商品","超高价商品")))</f>
        <v>中价商品</v>
      </c>
    </row>
    <row r="1416" spans="1:14" x14ac:dyDescent="0.2">
      <c r="A1416">
        <v>206</v>
      </c>
      <c r="B1416">
        <v>207</v>
      </c>
      <c r="C1416" t="s">
        <v>32</v>
      </c>
      <c r="D1416" t="s">
        <v>342</v>
      </c>
      <c r="E1416" t="s">
        <v>39</v>
      </c>
      <c r="F1416">
        <v>5</v>
      </c>
      <c r="G1416" t="s">
        <v>13</v>
      </c>
      <c r="H1416" s="1">
        <v>45957.067361111112</v>
      </c>
      <c r="I1416" s="5">
        <f>INT(TB[[#This Row],[时间戳]])</f>
        <v>45957</v>
      </c>
      <c r="J1416" s="2">
        <f>HOUR(TB[[#This Row],[时间戳]])</f>
        <v>1</v>
      </c>
      <c r="K1416">
        <v>1051</v>
      </c>
      <c r="L1416">
        <v>1</v>
      </c>
      <c r="M1416">
        <f>TB[[#This Row],[售价]]*TB[[#This Row],[销量]]</f>
        <v>1051</v>
      </c>
      <c r="N1416" t="str">
        <f>IF(TB[[#This Row],[售价]]&lt;1000,"低价商品",IF(TB[[#This Row],[售价]]&lt;5000,"中价商品",IF(TB[[#This Row],[售价]]&lt;10000,"高价商品","超高价商品")))</f>
        <v>中价商品</v>
      </c>
    </row>
    <row r="1417" spans="1:14" x14ac:dyDescent="0.2">
      <c r="A1417">
        <v>512</v>
      </c>
      <c r="B1417">
        <v>143</v>
      </c>
      <c r="C1417" t="s">
        <v>17</v>
      </c>
      <c r="D1417" t="s">
        <v>98</v>
      </c>
      <c r="E1417" t="s">
        <v>22</v>
      </c>
      <c r="F1417">
        <v>1</v>
      </c>
      <c r="G1417" t="s">
        <v>13</v>
      </c>
      <c r="H1417" s="1">
        <v>45957.118055555555</v>
      </c>
      <c r="I1417" s="5">
        <f>INT(TB[[#This Row],[时间戳]])</f>
        <v>45957</v>
      </c>
      <c r="J1417" s="2">
        <f>HOUR(TB[[#This Row],[时间戳]])</f>
        <v>2</v>
      </c>
      <c r="K1417">
        <v>1924</v>
      </c>
      <c r="L1417">
        <v>2</v>
      </c>
      <c r="M1417">
        <f>TB[[#This Row],[售价]]*TB[[#This Row],[销量]]</f>
        <v>3848</v>
      </c>
      <c r="N1417" t="str">
        <f>IF(TB[[#This Row],[售价]]&lt;1000,"低价商品",IF(TB[[#This Row],[售价]]&lt;5000,"中价商品",IF(TB[[#This Row],[售价]]&lt;10000,"高价商品","超高价商品")))</f>
        <v>中价商品</v>
      </c>
    </row>
    <row r="1418" spans="1:14" x14ac:dyDescent="0.2">
      <c r="A1418">
        <v>365</v>
      </c>
      <c r="B1418">
        <v>244</v>
      </c>
      <c r="C1418" t="s">
        <v>36</v>
      </c>
      <c r="D1418" t="s">
        <v>265</v>
      </c>
      <c r="E1418" t="s">
        <v>31</v>
      </c>
      <c r="F1418">
        <v>4</v>
      </c>
      <c r="G1418" t="s">
        <v>13</v>
      </c>
      <c r="H1418" s="1">
        <v>45957.118750000001</v>
      </c>
      <c r="I1418" s="5">
        <f>INT(TB[[#This Row],[时间戳]])</f>
        <v>45957</v>
      </c>
      <c r="J1418" s="2">
        <f>HOUR(TB[[#This Row],[时间戳]])</f>
        <v>2</v>
      </c>
      <c r="K1418">
        <v>1344</v>
      </c>
      <c r="L1418">
        <v>1</v>
      </c>
      <c r="M1418">
        <f>TB[[#This Row],[售价]]*TB[[#This Row],[销量]]</f>
        <v>1344</v>
      </c>
      <c r="N1418" t="str">
        <f>IF(TB[[#This Row],[售价]]&lt;1000,"低价商品",IF(TB[[#This Row],[售价]]&lt;5000,"中价商品",IF(TB[[#This Row],[售价]]&lt;10000,"高价商品","超高价商品")))</f>
        <v>中价商品</v>
      </c>
    </row>
    <row r="1419" spans="1:14" x14ac:dyDescent="0.2">
      <c r="A1419">
        <v>524</v>
      </c>
      <c r="B1419">
        <v>143</v>
      </c>
      <c r="C1419" t="s">
        <v>17</v>
      </c>
      <c r="D1419" t="s">
        <v>177</v>
      </c>
      <c r="E1419" t="s">
        <v>22</v>
      </c>
      <c r="F1419">
        <v>1</v>
      </c>
      <c r="G1419" t="s">
        <v>13</v>
      </c>
      <c r="H1419" s="1">
        <v>45957.120833333334</v>
      </c>
      <c r="I1419" s="5">
        <f>INT(TB[[#This Row],[时间戳]])</f>
        <v>45957</v>
      </c>
      <c r="J1419" s="2">
        <f>HOUR(TB[[#This Row],[时间戳]])</f>
        <v>2</v>
      </c>
      <c r="K1419">
        <v>6569</v>
      </c>
      <c r="L1419">
        <v>1</v>
      </c>
      <c r="M1419">
        <f>TB[[#This Row],[售价]]*TB[[#This Row],[销量]]</f>
        <v>6569</v>
      </c>
      <c r="N1419" t="str">
        <f>IF(TB[[#This Row],[售价]]&lt;1000,"低价商品",IF(TB[[#This Row],[售价]]&lt;5000,"中价商品",IF(TB[[#This Row],[售价]]&lt;10000,"高价商品","超高价商品")))</f>
        <v>高价商品</v>
      </c>
    </row>
    <row r="1420" spans="1:14" x14ac:dyDescent="0.2">
      <c r="A1420">
        <v>126</v>
      </c>
      <c r="B1420">
        <v>129</v>
      </c>
      <c r="C1420" t="s">
        <v>44</v>
      </c>
      <c r="D1420" t="s">
        <v>397</v>
      </c>
      <c r="E1420" t="s">
        <v>25</v>
      </c>
      <c r="F1420">
        <v>7</v>
      </c>
      <c r="G1420" t="s">
        <v>13</v>
      </c>
      <c r="H1420" s="1">
        <v>45957.131944444445</v>
      </c>
      <c r="I1420" s="5">
        <f>INT(TB[[#This Row],[时间戳]])</f>
        <v>45957</v>
      </c>
      <c r="J1420" s="2">
        <f>HOUR(TB[[#This Row],[时间戳]])</f>
        <v>3</v>
      </c>
      <c r="K1420">
        <v>2900</v>
      </c>
      <c r="L1420">
        <v>2</v>
      </c>
      <c r="M1420">
        <f>TB[[#This Row],[售价]]*TB[[#This Row],[销量]]</f>
        <v>5800</v>
      </c>
      <c r="N1420" t="str">
        <f>IF(TB[[#This Row],[售价]]&lt;1000,"低价商品",IF(TB[[#This Row],[售价]]&lt;5000,"中价商品",IF(TB[[#This Row],[售价]]&lt;10000,"高价商品","超高价商品")))</f>
        <v>中价商品</v>
      </c>
    </row>
    <row r="1421" spans="1:14" x14ac:dyDescent="0.2">
      <c r="A1421">
        <v>138</v>
      </c>
      <c r="B1421">
        <v>16</v>
      </c>
      <c r="C1421" t="s">
        <v>32</v>
      </c>
      <c r="D1421" t="s">
        <v>193</v>
      </c>
      <c r="E1421" t="s">
        <v>22</v>
      </c>
      <c r="F1421">
        <v>1</v>
      </c>
      <c r="G1421" t="s">
        <v>13</v>
      </c>
      <c r="H1421" s="1">
        <v>45957.181944444441</v>
      </c>
      <c r="I1421" s="5">
        <f>INT(TB[[#This Row],[时间戳]])</f>
        <v>45957</v>
      </c>
      <c r="J1421" s="2">
        <f>HOUR(TB[[#This Row],[时间戳]])</f>
        <v>4</v>
      </c>
      <c r="K1421">
        <v>5062</v>
      </c>
      <c r="L1421">
        <v>1</v>
      </c>
      <c r="M1421">
        <f>TB[[#This Row],[售价]]*TB[[#This Row],[销量]]</f>
        <v>5062</v>
      </c>
      <c r="N1421" t="str">
        <f>IF(TB[[#This Row],[售价]]&lt;1000,"低价商品",IF(TB[[#This Row],[售价]]&lt;5000,"中价商品",IF(TB[[#This Row],[售价]]&lt;10000,"高价商品","超高价商品")))</f>
        <v>高价商品</v>
      </c>
    </row>
    <row r="1422" spans="1:14" x14ac:dyDescent="0.2">
      <c r="A1422">
        <v>511</v>
      </c>
      <c r="B1422">
        <v>14</v>
      </c>
      <c r="C1422" t="s">
        <v>10</v>
      </c>
      <c r="D1422" t="s">
        <v>201</v>
      </c>
      <c r="E1422" t="s">
        <v>31</v>
      </c>
      <c r="F1422">
        <v>4</v>
      </c>
      <c r="G1422" t="s">
        <v>13</v>
      </c>
      <c r="H1422" s="1">
        <v>45957.188888888886</v>
      </c>
      <c r="I1422" s="5">
        <f>INT(TB[[#This Row],[时间戳]])</f>
        <v>45957</v>
      </c>
      <c r="J1422" s="2">
        <f>HOUR(TB[[#This Row],[时间戳]])</f>
        <v>4</v>
      </c>
      <c r="K1422">
        <v>430</v>
      </c>
      <c r="L1422">
        <v>3</v>
      </c>
      <c r="M1422">
        <f>TB[[#This Row],[售价]]*TB[[#This Row],[销量]]</f>
        <v>1290</v>
      </c>
      <c r="N1422" t="str">
        <f>IF(TB[[#This Row],[售价]]&lt;1000,"低价商品",IF(TB[[#This Row],[售价]]&lt;5000,"中价商品",IF(TB[[#This Row],[售价]]&lt;10000,"高价商品","超高价商品")))</f>
        <v>低价商品</v>
      </c>
    </row>
    <row r="1423" spans="1:14" x14ac:dyDescent="0.2">
      <c r="A1423">
        <v>335</v>
      </c>
      <c r="B1423">
        <v>79</v>
      </c>
      <c r="C1423" t="s">
        <v>46</v>
      </c>
      <c r="D1423" t="s">
        <v>209</v>
      </c>
      <c r="E1423" t="s">
        <v>22</v>
      </c>
      <c r="F1423">
        <v>1</v>
      </c>
      <c r="G1423" t="s">
        <v>13</v>
      </c>
      <c r="H1423" s="1">
        <v>45957.20208333333</v>
      </c>
      <c r="I1423" s="5">
        <f>INT(TB[[#This Row],[时间戳]])</f>
        <v>45957</v>
      </c>
      <c r="J1423" s="2">
        <f>HOUR(TB[[#This Row],[时间戳]])</f>
        <v>4</v>
      </c>
      <c r="K1423">
        <v>2462</v>
      </c>
      <c r="L1423">
        <v>1</v>
      </c>
      <c r="M1423">
        <f>TB[[#This Row],[售价]]*TB[[#This Row],[销量]]</f>
        <v>2462</v>
      </c>
      <c r="N1423" t="str">
        <f>IF(TB[[#This Row],[售价]]&lt;1000,"低价商品",IF(TB[[#This Row],[售价]]&lt;5000,"中价商品",IF(TB[[#This Row],[售价]]&lt;10000,"高价商品","超高价商品")))</f>
        <v>中价商品</v>
      </c>
    </row>
    <row r="1424" spans="1:14" x14ac:dyDescent="0.2">
      <c r="A1424">
        <v>779</v>
      </c>
      <c r="B1424">
        <v>40</v>
      </c>
      <c r="C1424" t="s">
        <v>46</v>
      </c>
      <c r="D1424" t="s">
        <v>401</v>
      </c>
      <c r="E1424" t="s">
        <v>39</v>
      </c>
      <c r="F1424">
        <v>5</v>
      </c>
      <c r="G1424" t="s">
        <v>13</v>
      </c>
      <c r="H1424" s="1">
        <v>45957.202777777777</v>
      </c>
      <c r="I1424" s="5">
        <f>INT(TB[[#This Row],[时间戳]])</f>
        <v>45957</v>
      </c>
      <c r="J1424" s="2">
        <f>HOUR(TB[[#This Row],[时间戳]])</f>
        <v>4</v>
      </c>
      <c r="K1424">
        <v>2158</v>
      </c>
      <c r="L1424">
        <v>3</v>
      </c>
      <c r="M1424">
        <f>TB[[#This Row],[售价]]*TB[[#This Row],[销量]]</f>
        <v>6474</v>
      </c>
      <c r="N1424" t="str">
        <f>IF(TB[[#This Row],[售价]]&lt;1000,"低价商品",IF(TB[[#This Row],[售价]]&lt;5000,"中价商品",IF(TB[[#This Row],[售价]]&lt;10000,"高价商品","超高价商品")))</f>
        <v>中价商品</v>
      </c>
    </row>
    <row r="1425" spans="1:14" x14ac:dyDescent="0.2">
      <c r="A1425">
        <v>478</v>
      </c>
      <c r="B1425">
        <v>104</v>
      </c>
      <c r="C1425" t="s">
        <v>20</v>
      </c>
      <c r="D1425" t="s">
        <v>113</v>
      </c>
      <c r="E1425" t="s">
        <v>31</v>
      </c>
      <c r="F1425">
        <v>4</v>
      </c>
      <c r="G1425" t="s">
        <v>13</v>
      </c>
      <c r="H1425" s="1">
        <v>45957.205555555556</v>
      </c>
      <c r="I1425" s="5">
        <f>INT(TB[[#This Row],[时间戳]])</f>
        <v>45957</v>
      </c>
      <c r="J1425" s="2">
        <f>HOUR(TB[[#This Row],[时间戳]])</f>
        <v>4</v>
      </c>
      <c r="K1425">
        <v>1500</v>
      </c>
      <c r="L1425">
        <v>1</v>
      </c>
      <c r="M1425">
        <f>TB[[#This Row],[售价]]*TB[[#This Row],[销量]]</f>
        <v>1500</v>
      </c>
      <c r="N1425" t="str">
        <f>IF(TB[[#This Row],[售价]]&lt;1000,"低价商品",IF(TB[[#This Row],[售价]]&lt;5000,"中价商品",IF(TB[[#This Row],[售价]]&lt;10000,"高价商品","超高价商品")))</f>
        <v>中价商品</v>
      </c>
    </row>
    <row r="1426" spans="1:14" x14ac:dyDescent="0.2">
      <c r="A1426">
        <v>517</v>
      </c>
      <c r="B1426">
        <v>134</v>
      </c>
      <c r="C1426" t="s">
        <v>44</v>
      </c>
      <c r="D1426" t="s">
        <v>66</v>
      </c>
      <c r="E1426" t="s">
        <v>22</v>
      </c>
      <c r="F1426">
        <v>1</v>
      </c>
      <c r="G1426" t="s">
        <v>13</v>
      </c>
      <c r="H1426" s="1">
        <v>45957.285416666666</v>
      </c>
      <c r="I1426" s="5">
        <f>INT(TB[[#This Row],[时间戳]])</f>
        <v>45957</v>
      </c>
      <c r="J1426" s="2">
        <f>HOUR(TB[[#This Row],[时间戳]])</f>
        <v>6</v>
      </c>
      <c r="K1426">
        <v>3542</v>
      </c>
      <c r="L1426">
        <v>2</v>
      </c>
      <c r="M1426">
        <f>TB[[#This Row],[售价]]*TB[[#This Row],[销量]]</f>
        <v>7084</v>
      </c>
      <c r="N1426" t="str">
        <f>IF(TB[[#This Row],[售价]]&lt;1000,"低价商品",IF(TB[[#This Row],[售价]]&lt;5000,"中价商品",IF(TB[[#This Row],[售价]]&lt;10000,"高价商品","超高价商品")))</f>
        <v>中价商品</v>
      </c>
    </row>
    <row r="1427" spans="1:14" x14ac:dyDescent="0.2">
      <c r="A1427">
        <v>19</v>
      </c>
      <c r="B1427">
        <v>17</v>
      </c>
      <c r="C1427" t="s">
        <v>20</v>
      </c>
      <c r="D1427" t="s">
        <v>399</v>
      </c>
      <c r="E1427" t="s">
        <v>31</v>
      </c>
      <c r="F1427">
        <v>4</v>
      </c>
      <c r="G1427" t="s">
        <v>13</v>
      </c>
      <c r="H1427" s="1">
        <v>45957.347222222219</v>
      </c>
      <c r="I1427" s="5">
        <f>INT(TB[[#This Row],[时间戳]])</f>
        <v>45957</v>
      </c>
      <c r="J1427" s="2">
        <f>HOUR(TB[[#This Row],[时间戳]])</f>
        <v>8</v>
      </c>
      <c r="K1427">
        <v>1135</v>
      </c>
      <c r="L1427">
        <v>3</v>
      </c>
      <c r="M1427">
        <f>TB[[#This Row],[售价]]*TB[[#This Row],[销量]]</f>
        <v>3405</v>
      </c>
      <c r="N1427" t="str">
        <f>IF(TB[[#This Row],[售价]]&lt;1000,"低价商品",IF(TB[[#This Row],[售价]]&lt;5000,"中价商品",IF(TB[[#This Row],[售价]]&lt;10000,"高价商品","超高价商品")))</f>
        <v>中价商品</v>
      </c>
    </row>
    <row r="1428" spans="1:14" x14ac:dyDescent="0.2">
      <c r="A1428">
        <v>323</v>
      </c>
      <c r="B1428">
        <v>193</v>
      </c>
      <c r="C1428" t="s">
        <v>17</v>
      </c>
      <c r="D1428" t="s">
        <v>126</v>
      </c>
      <c r="E1428" t="s">
        <v>39</v>
      </c>
      <c r="F1428">
        <v>5</v>
      </c>
      <c r="G1428" t="s">
        <v>13</v>
      </c>
      <c r="H1428" s="1">
        <v>45957.347222222219</v>
      </c>
      <c r="I1428" s="5">
        <f>INT(TB[[#This Row],[时间戳]])</f>
        <v>45957</v>
      </c>
      <c r="J1428" s="2">
        <f>HOUR(TB[[#This Row],[时间戳]])</f>
        <v>8</v>
      </c>
      <c r="K1428">
        <v>2422</v>
      </c>
      <c r="L1428">
        <v>3</v>
      </c>
      <c r="M1428">
        <f>TB[[#This Row],[售价]]*TB[[#This Row],[销量]]</f>
        <v>7266</v>
      </c>
      <c r="N1428" t="str">
        <f>IF(TB[[#This Row],[售价]]&lt;1000,"低价商品",IF(TB[[#This Row],[售价]]&lt;5000,"中价商品",IF(TB[[#This Row],[售价]]&lt;10000,"高价商品","超高价商品")))</f>
        <v>中价商品</v>
      </c>
    </row>
    <row r="1429" spans="1:14" x14ac:dyDescent="0.2">
      <c r="A1429">
        <v>182</v>
      </c>
      <c r="B1429">
        <v>286</v>
      </c>
      <c r="C1429" t="s">
        <v>10</v>
      </c>
      <c r="D1429" t="s">
        <v>302</v>
      </c>
      <c r="E1429" t="s">
        <v>19</v>
      </c>
      <c r="F1429">
        <v>3</v>
      </c>
      <c r="G1429" t="s">
        <v>13</v>
      </c>
      <c r="H1429" s="1">
        <v>45957.402777777781</v>
      </c>
      <c r="I1429" s="5">
        <f>INT(TB[[#This Row],[时间戳]])</f>
        <v>45957</v>
      </c>
      <c r="J1429" s="2">
        <f>HOUR(TB[[#This Row],[时间戳]])</f>
        <v>9</v>
      </c>
      <c r="K1429">
        <v>5160</v>
      </c>
      <c r="L1429">
        <v>2</v>
      </c>
      <c r="M1429">
        <f>TB[[#This Row],[售价]]*TB[[#This Row],[销量]]</f>
        <v>10320</v>
      </c>
      <c r="N1429" t="str">
        <f>IF(TB[[#This Row],[售价]]&lt;1000,"低价商品",IF(TB[[#This Row],[售价]]&lt;5000,"中价商品",IF(TB[[#This Row],[售价]]&lt;10000,"高价商品","超高价商品")))</f>
        <v>高价商品</v>
      </c>
    </row>
    <row r="1430" spans="1:14" x14ac:dyDescent="0.2">
      <c r="A1430">
        <v>442</v>
      </c>
      <c r="B1430">
        <v>69</v>
      </c>
      <c r="C1430" t="s">
        <v>26</v>
      </c>
      <c r="D1430" t="s">
        <v>358</v>
      </c>
      <c r="E1430" t="s">
        <v>16</v>
      </c>
      <c r="F1430">
        <v>6</v>
      </c>
      <c r="G1430" t="s">
        <v>13</v>
      </c>
      <c r="H1430" s="1">
        <v>45957.421527777777</v>
      </c>
      <c r="I1430" s="5">
        <f>INT(TB[[#This Row],[时间戳]])</f>
        <v>45957</v>
      </c>
      <c r="J1430" s="2">
        <f>HOUR(TB[[#This Row],[时间戳]])</f>
        <v>10</v>
      </c>
      <c r="K1430">
        <v>7126</v>
      </c>
      <c r="L1430">
        <v>4</v>
      </c>
      <c r="M1430">
        <f>TB[[#This Row],[售价]]*TB[[#This Row],[销量]]</f>
        <v>28504</v>
      </c>
      <c r="N1430" t="str">
        <f>IF(TB[[#This Row],[售价]]&lt;1000,"低价商品",IF(TB[[#This Row],[售价]]&lt;5000,"中价商品",IF(TB[[#This Row],[售价]]&lt;10000,"高价商品","超高价商品")))</f>
        <v>高价商品</v>
      </c>
    </row>
    <row r="1431" spans="1:14" x14ac:dyDescent="0.2">
      <c r="A1431">
        <v>783</v>
      </c>
      <c r="B1431">
        <v>57</v>
      </c>
      <c r="C1431" t="s">
        <v>17</v>
      </c>
      <c r="D1431" t="s">
        <v>137</v>
      </c>
      <c r="E1431" t="s">
        <v>31</v>
      </c>
      <c r="F1431">
        <v>4</v>
      </c>
      <c r="G1431" t="s">
        <v>13</v>
      </c>
      <c r="H1431" s="1">
        <v>45957.459027777775</v>
      </c>
      <c r="I1431" s="5">
        <f>INT(TB[[#This Row],[时间戳]])</f>
        <v>45957</v>
      </c>
      <c r="J1431" s="2">
        <f>HOUR(TB[[#This Row],[时间戳]])</f>
        <v>11</v>
      </c>
      <c r="K1431">
        <v>855</v>
      </c>
      <c r="L1431">
        <v>2</v>
      </c>
      <c r="M1431">
        <f>TB[[#This Row],[售价]]*TB[[#This Row],[销量]]</f>
        <v>1710</v>
      </c>
      <c r="N1431" t="str">
        <f>IF(TB[[#This Row],[售价]]&lt;1000,"低价商品",IF(TB[[#This Row],[售价]]&lt;5000,"中价商品",IF(TB[[#This Row],[售价]]&lt;10000,"高价商品","超高价商品")))</f>
        <v>低价商品</v>
      </c>
    </row>
    <row r="1432" spans="1:14" x14ac:dyDescent="0.2">
      <c r="A1432">
        <v>702</v>
      </c>
      <c r="B1432">
        <v>277</v>
      </c>
      <c r="C1432" t="s">
        <v>44</v>
      </c>
      <c r="D1432" t="s">
        <v>161</v>
      </c>
      <c r="E1432" t="s">
        <v>31</v>
      </c>
      <c r="F1432">
        <v>4</v>
      </c>
      <c r="G1432" t="s">
        <v>13</v>
      </c>
      <c r="H1432" s="1">
        <v>45957.470138888886</v>
      </c>
      <c r="I1432" s="5">
        <f>INT(TB[[#This Row],[时间戳]])</f>
        <v>45957</v>
      </c>
      <c r="J1432" s="2">
        <f>HOUR(TB[[#This Row],[时间戳]])</f>
        <v>11</v>
      </c>
      <c r="K1432">
        <v>1360</v>
      </c>
      <c r="L1432">
        <v>1</v>
      </c>
      <c r="M1432">
        <f>TB[[#This Row],[售价]]*TB[[#This Row],[销量]]</f>
        <v>1360</v>
      </c>
      <c r="N1432" t="str">
        <f>IF(TB[[#This Row],[售价]]&lt;1000,"低价商品",IF(TB[[#This Row],[售价]]&lt;5000,"中价商品",IF(TB[[#This Row],[售价]]&lt;10000,"高价商品","超高价商品")))</f>
        <v>中价商品</v>
      </c>
    </row>
    <row r="1433" spans="1:14" x14ac:dyDescent="0.2">
      <c r="A1433">
        <v>161</v>
      </c>
      <c r="B1433">
        <v>260</v>
      </c>
      <c r="C1433" t="s">
        <v>44</v>
      </c>
      <c r="D1433" t="s">
        <v>161</v>
      </c>
      <c r="E1433" t="s">
        <v>31</v>
      </c>
      <c r="F1433">
        <v>4</v>
      </c>
      <c r="G1433" t="s">
        <v>13</v>
      </c>
      <c r="H1433" s="1">
        <v>45957.48333333333</v>
      </c>
      <c r="I1433" s="5">
        <f>INT(TB[[#This Row],[时间戳]])</f>
        <v>45957</v>
      </c>
      <c r="J1433" s="2">
        <f>HOUR(TB[[#This Row],[时间戳]])</f>
        <v>11</v>
      </c>
      <c r="K1433">
        <v>1261</v>
      </c>
      <c r="L1433">
        <v>3</v>
      </c>
      <c r="M1433">
        <f>TB[[#This Row],[售价]]*TB[[#This Row],[销量]]</f>
        <v>3783</v>
      </c>
      <c r="N1433" t="str">
        <f>IF(TB[[#This Row],[售价]]&lt;1000,"低价商品",IF(TB[[#This Row],[售价]]&lt;5000,"中价商品",IF(TB[[#This Row],[售价]]&lt;10000,"高价商品","超高价商品")))</f>
        <v>中价商品</v>
      </c>
    </row>
    <row r="1434" spans="1:14" x14ac:dyDescent="0.2">
      <c r="A1434">
        <v>606</v>
      </c>
      <c r="B1434">
        <v>194</v>
      </c>
      <c r="C1434" t="s">
        <v>36</v>
      </c>
      <c r="D1434" t="s">
        <v>172</v>
      </c>
      <c r="E1434" t="s">
        <v>25</v>
      </c>
      <c r="F1434">
        <v>7</v>
      </c>
      <c r="G1434" t="s">
        <v>42</v>
      </c>
      <c r="H1434" s="1">
        <v>45957.495833333334</v>
      </c>
      <c r="I1434" s="5">
        <f>INT(TB[[#This Row],[时间戳]])</f>
        <v>45957</v>
      </c>
      <c r="J1434" s="2">
        <f>HOUR(TB[[#This Row],[时间戳]])</f>
        <v>11</v>
      </c>
      <c r="K1434">
        <v>1956</v>
      </c>
      <c r="L1434">
        <v>0</v>
      </c>
      <c r="M1434">
        <f>TB[[#This Row],[售价]]*TB[[#This Row],[销量]]</f>
        <v>0</v>
      </c>
      <c r="N1434" t="str">
        <f>IF(TB[[#This Row],[售价]]&lt;1000,"低价商品",IF(TB[[#This Row],[售价]]&lt;5000,"中价商品",IF(TB[[#This Row],[售价]]&lt;10000,"高价商品","超高价商品")))</f>
        <v>中价商品</v>
      </c>
    </row>
    <row r="1435" spans="1:14" x14ac:dyDescent="0.2">
      <c r="A1435">
        <v>329</v>
      </c>
      <c r="B1435">
        <v>32</v>
      </c>
      <c r="C1435" t="s">
        <v>34</v>
      </c>
      <c r="D1435" t="s">
        <v>86</v>
      </c>
      <c r="E1435" t="s">
        <v>12</v>
      </c>
      <c r="F1435">
        <v>2</v>
      </c>
      <c r="G1435" t="s">
        <v>13</v>
      </c>
      <c r="H1435" s="1">
        <v>45957.515972222223</v>
      </c>
      <c r="I1435" s="5">
        <f>INT(TB[[#This Row],[时间戳]])</f>
        <v>45957</v>
      </c>
      <c r="J1435" s="2">
        <f>HOUR(TB[[#This Row],[时间戳]])</f>
        <v>12</v>
      </c>
      <c r="K1435">
        <v>14253</v>
      </c>
      <c r="L1435">
        <v>2</v>
      </c>
      <c r="M1435">
        <f>TB[[#This Row],[售价]]*TB[[#This Row],[销量]]</f>
        <v>28506</v>
      </c>
      <c r="N1435" t="str">
        <f>IF(TB[[#This Row],[售价]]&lt;1000,"低价商品",IF(TB[[#This Row],[售价]]&lt;5000,"中价商品",IF(TB[[#This Row],[售价]]&lt;10000,"高价商品","超高价商品")))</f>
        <v>超高价商品</v>
      </c>
    </row>
    <row r="1436" spans="1:14" x14ac:dyDescent="0.2">
      <c r="A1436">
        <v>376</v>
      </c>
      <c r="B1436">
        <v>179</v>
      </c>
      <c r="C1436" t="s">
        <v>10</v>
      </c>
      <c r="D1436" t="s">
        <v>116</v>
      </c>
      <c r="E1436" t="s">
        <v>31</v>
      </c>
      <c r="F1436">
        <v>4</v>
      </c>
      <c r="G1436" t="s">
        <v>13</v>
      </c>
      <c r="H1436" s="1">
        <v>45957.518750000003</v>
      </c>
      <c r="I1436" s="5">
        <f>INT(TB[[#This Row],[时间戳]])</f>
        <v>45957</v>
      </c>
      <c r="J1436" s="2">
        <f>HOUR(TB[[#This Row],[时间戳]])</f>
        <v>12</v>
      </c>
      <c r="K1436">
        <v>209</v>
      </c>
      <c r="L1436">
        <v>3</v>
      </c>
      <c r="M1436">
        <f>TB[[#This Row],[售价]]*TB[[#This Row],[销量]]</f>
        <v>627</v>
      </c>
      <c r="N1436" t="str">
        <f>IF(TB[[#This Row],[售价]]&lt;1000,"低价商品",IF(TB[[#This Row],[售价]]&lt;5000,"中价商品",IF(TB[[#This Row],[售价]]&lt;10000,"高价商品","超高价商品")))</f>
        <v>低价商品</v>
      </c>
    </row>
    <row r="1437" spans="1:14" x14ac:dyDescent="0.2">
      <c r="A1437">
        <v>100</v>
      </c>
      <c r="B1437">
        <v>220</v>
      </c>
      <c r="C1437" t="s">
        <v>34</v>
      </c>
      <c r="D1437" t="s">
        <v>402</v>
      </c>
      <c r="E1437" t="s">
        <v>16</v>
      </c>
      <c r="F1437">
        <v>6</v>
      </c>
      <c r="G1437" t="s">
        <v>13</v>
      </c>
      <c r="H1437" s="1">
        <v>45957.519444444442</v>
      </c>
      <c r="I1437" s="5">
        <f>INT(TB[[#This Row],[时间戳]])</f>
        <v>45957</v>
      </c>
      <c r="J1437" s="2">
        <f>HOUR(TB[[#This Row],[时间戳]])</f>
        <v>12</v>
      </c>
      <c r="K1437">
        <v>11380</v>
      </c>
      <c r="L1437">
        <v>2</v>
      </c>
      <c r="M1437">
        <f>TB[[#This Row],[售价]]*TB[[#This Row],[销量]]</f>
        <v>22760</v>
      </c>
      <c r="N1437" t="str">
        <f>IF(TB[[#This Row],[售价]]&lt;1000,"低价商品",IF(TB[[#This Row],[售价]]&lt;5000,"中价商品",IF(TB[[#This Row],[售价]]&lt;10000,"高价商品","超高价商品")))</f>
        <v>超高价商品</v>
      </c>
    </row>
    <row r="1438" spans="1:14" x14ac:dyDescent="0.2">
      <c r="A1438">
        <v>58</v>
      </c>
      <c r="B1438">
        <v>126</v>
      </c>
      <c r="C1438" t="s">
        <v>17</v>
      </c>
      <c r="D1438" t="s">
        <v>91</v>
      </c>
      <c r="E1438" t="s">
        <v>25</v>
      </c>
      <c r="F1438">
        <v>7</v>
      </c>
      <c r="G1438" t="s">
        <v>13</v>
      </c>
      <c r="H1438" s="1">
        <v>45957.525694444441</v>
      </c>
      <c r="I1438" s="5">
        <f>INT(TB[[#This Row],[时间戳]])</f>
        <v>45957</v>
      </c>
      <c r="J1438" s="2">
        <f>HOUR(TB[[#This Row],[时间戳]])</f>
        <v>12</v>
      </c>
      <c r="K1438">
        <v>4309</v>
      </c>
      <c r="L1438">
        <v>1</v>
      </c>
      <c r="M1438">
        <f>TB[[#This Row],[售价]]*TB[[#This Row],[销量]]</f>
        <v>4309</v>
      </c>
      <c r="N1438" t="str">
        <f>IF(TB[[#This Row],[售价]]&lt;1000,"低价商品",IF(TB[[#This Row],[售价]]&lt;5000,"中价商品",IF(TB[[#This Row],[售价]]&lt;10000,"高价商品","超高价商品")))</f>
        <v>中价商品</v>
      </c>
    </row>
    <row r="1439" spans="1:14" x14ac:dyDescent="0.2">
      <c r="A1439">
        <v>87</v>
      </c>
      <c r="B1439">
        <v>34</v>
      </c>
      <c r="C1439" t="s">
        <v>36</v>
      </c>
      <c r="D1439" t="s">
        <v>192</v>
      </c>
      <c r="E1439" t="s">
        <v>22</v>
      </c>
      <c r="F1439">
        <v>1</v>
      </c>
      <c r="G1439" t="s">
        <v>13</v>
      </c>
      <c r="H1439" s="1">
        <v>45957.548611111109</v>
      </c>
      <c r="I1439" s="5">
        <f>INT(TB[[#This Row],[时间戳]])</f>
        <v>45957</v>
      </c>
      <c r="J1439" s="2">
        <f>HOUR(TB[[#This Row],[时间戳]])</f>
        <v>13</v>
      </c>
      <c r="K1439">
        <v>2948</v>
      </c>
      <c r="L1439">
        <v>4</v>
      </c>
      <c r="M1439">
        <f>TB[[#This Row],[售价]]*TB[[#This Row],[销量]]</f>
        <v>11792</v>
      </c>
      <c r="N1439" t="str">
        <f>IF(TB[[#This Row],[售价]]&lt;1000,"低价商品",IF(TB[[#This Row],[售价]]&lt;5000,"中价商品",IF(TB[[#This Row],[售价]]&lt;10000,"高价商品","超高价商品")))</f>
        <v>中价商品</v>
      </c>
    </row>
    <row r="1440" spans="1:14" x14ac:dyDescent="0.2">
      <c r="A1440">
        <v>21</v>
      </c>
      <c r="B1440">
        <v>276</v>
      </c>
      <c r="C1440" t="s">
        <v>34</v>
      </c>
      <c r="D1440" t="s">
        <v>82</v>
      </c>
      <c r="E1440" t="s">
        <v>31</v>
      </c>
      <c r="F1440">
        <v>4</v>
      </c>
      <c r="G1440" t="s">
        <v>13</v>
      </c>
      <c r="H1440" s="1">
        <v>45957.552777777775</v>
      </c>
      <c r="I1440" s="5">
        <f>INT(TB[[#This Row],[时间戳]])</f>
        <v>45957</v>
      </c>
      <c r="J1440" s="2">
        <f>HOUR(TB[[#This Row],[时间戳]])</f>
        <v>13</v>
      </c>
      <c r="K1440">
        <v>532</v>
      </c>
      <c r="L1440">
        <v>1</v>
      </c>
      <c r="M1440">
        <f>TB[[#This Row],[售价]]*TB[[#This Row],[销量]]</f>
        <v>532</v>
      </c>
      <c r="N1440" t="str">
        <f>IF(TB[[#This Row],[售价]]&lt;1000,"低价商品",IF(TB[[#This Row],[售价]]&lt;5000,"中价商品",IF(TB[[#This Row],[售价]]&lt;10000,"高价商品","超高价商品")))</f>
        <v>低价商品</v>
      </c>
    </row>
    <row r="1441" spans="1:14" x14ac:dyDescent="0.2">
      <c r="A1441">
        <v>433</v>
      </c>
      <c r="B1441">
        <v>291</v>
      </c>
      <c r="C1441" t="s">
        <v>44</v>
      </c>
      <c r="D1441" t="s">
        <v>236</v>
      </c>
      <c r="E1441" t="s">
        <v>12</v>
      </c>
      <c r="F1441">
        <v>2</v>
      </c>
      <c r="G1441" t="s">
        <v>42</v>
      </c>
      <c r="H1441" s="1">
        <v>45957.572916666664</v>
      </c>
      <c r="I1441" s="5">
        <f>INT(TB[[#This Row],[时间戳]])</f>
        <v>45957</v>
      </c>
      <c r="J1441" s="2">
        <f>HOUR(TB[[#This Row],[时间戳]])</f>
        <v>13</v>
      </c>
      <c r="K1441">
        <v>9162</v>
      </c>
      <c r="L1441">
        <v>0</v>
      </c>
      <c r="M1441">
        <f>TB[[#This Row],[售价]]*TB[[#This Row],[销量]]</f>
        <v>0</v>
      </c>
      <c r="N1441" t="str">
        <f>IF(TB[[#This Row],[售价]]&lt;1000,"低价商品",IF(TB[[#This Row],[售价]]&lt;5000,"中价商品",IF(TB[[#This Row],[售价]]&lt;10000,"高价商品","超高价商品")))</f>
        <v>高价商品</v>
      </c>
    </row>
    <row r="1442" spans="1:14" x14ac:dyDescent="0.2">
      <c r="A1442">
        <v>713</v>
      </c>
      <c r="B1442">
        <v>241</v>
      </c>
      <c r="C1442" t="s">
        <v>36</v>
      </c>
      <c r="D1442" t="s">
        <v>181</v>
      </c>
      <c r="E1442" t="s">
        <v>25</v>
      </c>
      <c r="F1442">
        <v>7</v>
      </c>
      <c r="G1442" t="s">
        <v>42</v>
      </c>
      <c r="H1442" s="1">
        <v>45957.637499999997</v>
      </c>
      <c r="I1442" s="5">
        <f>INT(TB[[#This Row],[时间戳]])</f>
        <v>45957</v>
      </c>
      <c r="J1442" s="2">
        <f>HOUR(TB[[#This Row],[时间戳]])</f>
        <v>15</v>
      </c>
      <c r="K1442">
        <v>5731</v>
      </c>
      <c r="L1442">
        <v>0</v>
      </c>
      <c r="M1442">
        <f>TB[[#This Row],[售价]]*TB[[#This Row],[销量]]</f>
        <v>0</v>
      </c>
      <c r="N1442" t="str">
        <f>IF(TB[[#This Row],[售价]]&lt;1000,"低价商品",IF(TB[[#This Row],[售价]]&lt;5000,"中价商品",IF(TB[[#This Row],[售价]]&lt;10000,"高价商品","超高价商品")))</f>
        <v>高价商品</v>
      </c>
    </row>
    <row r="1443" spans="1:14" x14ac:dyDescent="0.2">
      <c r="A1443">
        <v>585</v>
      </c>
      <c r="B1443">
        <v>200</v>
      </c>
      <c r="C1443" t="s">
        <v>34</v>
      </c>
      <c r="D1443" t="s">
        <v>253</v>
      </c>
      <c r="E1443" t="s">
        <v>25</v>
      </c>
      <c r="F1443">
        <v>7</v>
      </c>
      <c r="G1443" t="s">
        <v>13</v>
      </c>
      <c r="H1443" s="1">
        <v>45957.63958333333</v>
      </c>
      <c r="I1443" s="5">
        <f>INT(TB[[#This Row],[时间戳]])</f>
        <v>45957</v>
      </c>
      <c r="J1443" s="2">
        <f>HOUR(TB[[#This Row],[时间戳]])</f>
        <v>15</v>
      </c>
      <c r="K1443">
        <v>6127</v>
      </c>
      <c r="L1443">
        <v>4</v>
      </c>
      <c r="M1443">
        <f>TB[[#This Row],[售价]]*TB[[#This Row],[销量]]</f>
        <v>24508</v>
      </c>
      <c r="N1443" t="str">
        <f>IF(TB[[#This Row],[售价]]&lt;1000,"低价商品",IF(TB[[#This Row],[售价]]&lt;5000,"中价商品",IF(TB[[#This Row],[售价]]&lt;10000,"高价商品","超高价商品")))</f>
        <v>高价商品</v>
      </c>
    </row>
    <row r="1444" spans="1:14" x14ac:dyDescent="0.2">
      <c r="A1444">
        <v>103</v>
      </c>
      <c r="B1444">
        <v>106</v>
      </c>
      <c r="C1444" t="s">
        <v>14</v>
      </c>
      <c r="D1444" t="s">
        <v>202</v>
      </c>
      <c r="E1444" t="s">
        <v>31</v>
      </c>
      <c r="F1444">
        <v>4</v>
      </c>
      <c r="G1444" t="s">
        <v>13</v>
      </c>
      <c r="H1444" s="1">
        <v>45957.659722222219</v>
      </c>
      <c r="I1444" s="5">
        <f>INT(TB[[#This Row],[时间戳]])</f>
        <v>45957</v>
      </c>
      <c r="J1444" s="2">
        <f>HOUR(TB[[#This Row],[时间戳]])</f>
        <v>15</v>
      </c>
      <c r="K1444">
        <v>803</v>
      </c>
      <c r="L1444">
        <v>2</v>
      </c>
      <c r="M1444">
        <f>TB[[#This Row],[售价]]*TB[[#This Row],[销量]]</f>
        <v>1606</v>
      </c>
      <c r="N1444" t="str">
        <f>IF(TB[[#This Row],[售价]]&lt;1000,"低价商品",IF(TB[[#This Row],[售价]]&lt;5000,"中价商品",IF(TB[[#This Row],[售价]]&lt;10000,"高价商品","超高价商品")))</f>
        <v>低价商品</v>
      </c>
    </row>
    <row r="1445" spans="1:14" x14ac:dyDescent="0.2">
      <c r="A1445">
        <v>348</v>
      </c>
      <c r="B1445">
        <v>86</v>
      </c>
      <c r="C1445" t="s">
        <v>20</v>
      </c>
      <c r="D1445" t="s">
        <v>276</v>
      </c>
      <c r="E1445" t="s">
        <v>16</v>
      </c>
      <c r="F1445">
        <v>6</v>
      </c>
      <c r="G1445" t="s">
        <v>13</v>
      </c>
      <c r="H1445" s="1">
        <v>45957.67083333333</v>
      </c>
      <c r="I1445" s="5">
        <f>INT(TB[[#This Row],[时间戳]])</f>
        <v>45957</v>
      </c>
      <c r="J1445" s="2">
        <f>HOUR(TB[[#This Row],[时间戳]])</f>
        <v>16</v>
      </c>
      <c r="K1445">
        <v>7558</v>
      </c>
      <c r="L1445">
        <v>1</v>
      </c>
      <c r="M1445">
        <f>TB[[#This Row],[售价]]*TB[[#This Row],[销量]]</f>
        <v>7558</v>
      </c>
      <c r="N1445" t="str">
        <f>IF(TB[[#This Row],[售价]]&lt;1000,"低价商品",IF(TB[[#This Row],[售价]]&lt;5000,"中价商品",IF(TB[[#This Row],[售价]]&lt;10000,"高价商品","超高价商品")))</f>
        <v>高价商品</v>
      </c>
    </row>
    <row r="1446" spans="1:14" x14ac:dyDescent="0.2">
      <c r="A1446">
        <v>207</v>
      </c>
      <c r="B1446">
        <v>255</v>
      </c>
      <c r="C1446" t="s">
        <v>34</v>
      </c>
      <c r="D1446" t="s">
        <v>165</v>
      </c>
      <c r="E1446" t="s">
        <v>39</v>
      </c>
      <c r="F1446">
        <v>5</v>
      </c>
      <c r="G1446" t="s">
        <v>13</v>
      </c>
      <c r="H1446" s="1">
        <v>45957.708333333336</v>
      </c>
      <c r="I1446" s="5">
        <f>INT(TB[[#This Row],[时间戳]])</f>
        <v>45957</v>
      </c>
      <c r="J1446" s="2">
        <f>HOUR(TB[[#This Row],[时间戳]])</f>
        <v>17</v>
      </c>
      <c r="K1446">
        <v>3271</v>
      </c>
      <c r="L1446">
        <v>2</v>
      </c>
      <c r="M1446">
        <f>TB[[#This Row],[售价]]*TB[[#This Row],[销量]]</f>
        <v>6542</v>
      </c>
      <c r="N1446" t="str">
        <f>IF(TB[[#This Row],[售价]]&lt;1000,"低价商品",IF(TB[[#This Row],[售价]]&lt;5000,"中价商品",IF(TB[[#This Row],[售价]]&lt;10000,"高价商品","超高价商品")))</f>
        <v>中价商品</v>
      </c>
    </row>
    <row r="1447" spans="1:14" x14ac:dyDescent="0.2">
      <c r="A1447">
        <v>272</v>
      </c>
      <c r="B1447">
        <v>25</v>
      </c>
      <c r="C1447" t="s">
        <v>32</v>
      </c>
      <c r="D1447" t="s">
        <v>148</v>
      </c>
      <c r="E1447" t="s">
        <v>16</v>
      </c>
      <c r="F1447">
        <v>6</v>
      </c>
      <c r="G1447" t="s">
        <v>13</v>
      </c>
      <c r="H1447" s="1">
        <v>45957.711805555555</v>
      </c>
      <c r="I1447" s="5">
        <f>INT(TB[[#This Row],[时间戳]])</f>
        <v>45957</v>
      </c>
      <c r="J1447" s="2">
        <f>HOUR(TB[[#This Row],[时间戳]])</f>
        <v>17</v>
      </c>
      <c r="K1447">
        <v>3308</v>
      </c>
      <c r="L1447">
        <v>3</v>
      </c>
      <c r="M1447">
        <f>TB[[#This Row],[售价]]*TB[[#This Row],[销量]]</f>
        <v>9924</v>
      </c>
      <c r="N1447" t="str">
        <f>IF(TB[[#This Row],[售价]]&lt;1000,"低价商品",IF(TB[[#This Row],[售价]]&lt;5000,"中价商品",IF(TB[[#This Row],[售价]]&lt;10000,"高价商品","超高价商品")))</f>
        <v>中价商品</v>
      </c>
    </row>
    <row r="1448" spans="1:14" x14ac:dyDescent="0.2">
      <c r="A1448">
        <v>640</v>
      </c>
      <c r="B1448">
        <v>48</v>
      </c>
      <c r="C1448" t="s">
        <v>17</v>
      </c>
      <c r="D1448" t="s">
        <v>403</v>
      </c>
      <c r="E1448" t="s">
        <v>19</v>
      </c>
      <c r="F1448">
        <v>3</v>
      </c>
      <c r="G1448" t="s">
        <v>13</v>
      </c>
      <c r="H1448" s="1">
        <v>45957.73333333333</v>
      </c>
      <c r="I1448" s="5">
        <f>INT(TB[[#This Row],[时间戳]])</f>
        <v>45957</v>
      </c>
      <c r="J1448" s="2">
        <f>HOUR(TB[[#This Row],[时间戳]])</f>
        <v>17</v>
      </c>
      <c r="K1448">
        <v>4028</v>
      </c>
      <c r="L1448">
        <v>1</v>
      </c>
      <c r="M1448">
        <f>TB[[#This Row],[售价]]*TB[[#This Row],[销量]]</f>
        <v>4028</v>
      </c>
      <c r="N1448" t="str">
        <f>IF(TB[[#This Row],[售价]]&lt;1000,"低价商品",IF(TB[[#This Row],[售价]]&lt;5000,"中价商品",IF(TB[[#This Row],[售价]]&lt;10000,"高价商品","超高价商品")))</f>
        <v>中价商品</v>
      </c>
    </row>
    <row r="1449" spans="1:14" x14ac:dyDescent="0.2">
      <c r="A1449">
        <v>280</v>
      </c>
      <c r="B1449">
        <v>35</v>
      </c>
      <c r="C1449" t="s">
        <v>46</v>
      </c>
      <c r="D1449" t="s">
        <v>142</v>
      </c>
      <c r="E1449" t="s">
        <v>31</v>
      </c>
      <c r="F1449">
        <v>4</v>
      </c>
      <c r="G1449" t="s">
        <v>42</v>
      </c>
      <c r="H1449" s="1">
        <v>45957.76666666667</v>
      </c>
      <c r="I1449" s="5">
        <f>INT(TB[[#This Row],[时间戳]])</f>
        <v>45957</v>
      </c>
      <c r="J1449" s="2">
        <f>HOUR(TB[[#This Row],[时间戳]])</f>
        <v>18</v>
      </c>
      <c r="K1449">
        <v>1082</v>
      </c>
      <c r="L1449">
        <v>0</v>
      </c>
      <c r="M1449">
        <f>TB[[#This Row],[售价]]*TB[[#This Row],[销量]]</f>
        <v>0</v>
      </c>
      <c r="N1449" t="str">
        <f>IF(TB[[#This Row],[售价]]&lt;1000,"低价商品",IF(TB[[#This Row],[售价]]&lt;5000,"中价商品",IF(TB[[#This Row],[售价]]&lt;10000,"高价商品","超高价商品")))</f>
        <v>中价商品</v>
      </c>
    </row>
    <row r="1450" spans="1:14" x14ac:dyDescent="0.2">
      <c r="A1450">
        <v>356</v>
      </c>
      <c r="B1450">
        <v>40</v>
      </c>
      <c r="C1450" t="s">
        <v>17</v>
      </c>
      <c r="D1450" t="s">
        <v>403</v>
      </c>
      <c r="E1450" t="s">
        <v>19</v>
      </c>
      <c r="F1450">
        <v>3</v>
      </c>
      <c r="G1450" t="s">
        <v>13</v>
      </c>
      <c r="H1450" s="1">
        <v>45957.820138888892</v>
      </c>
      <c r="I1450" s="5">
        <f>INT(TB[[#This Row],[时间戳]])</f>
        <v>45957</v>
      </c>
      <c r="J1450" s="2">
        <f>HOUR(TB[[#This Row],[时间戳]])</f>
        <v>19</v>
      </c>
      <c r="K1450">
        <v>5893</v>
      </c>
      <c r="L1450">
        <v>5</v>
      </c>
      <c r="M1450">
        <f>TB[[#This Row],[售价]]*TB[[#This Row],[销量]]</f>
        <v>29465</v>
      </c>
      <c r="N1450" t="str">
        <f>IF(TB[[#This Row],[售价]]&lt;1000,"低价商品",IF(TB[[#This Row],[售价]]&lt;5000,"中价商品",IF(TB[[#This Row],[售价]]&lt;10000,"高价商品","超高价商品")))</f>
        <v>高价商品</v>
      </c>
    </row>
    <row r="1451" spans="1:14" x14ac:dyDescent="0.2">
      <c r="A1451">
        <v>444</v>
      </c>
      <c r="B1451">
        <v>277</v>
      </c>
      <c r="C1451" t="s">
        <v>20</v>
      </c>
      <c r="D1451" t="s">
        <v>263</v>
      </c>
      <c r="E1451" t="s">
        <v>39</v>
      </c>
      <c r="F1451">
        <v>5</v>
      </c>
      <c r="G1451" t="s">
        <v>13</v>
      </c>
      <c r="H1451" s="1">
        <v>45957.84097222222</v>
      </c>
      <c r="I1451" s="5">
        <f>INT(TB[[#This Row],[时间戳]])</f>
        <v>45957</v>
      </c>
      <c r="J1451" s="2">
        <f>HOUR(TB[[#This Row],[时间戳]])</f>
        <v>20</v>
      </c>
      <c r="K1451">
        <v>3422</v>
      </c>
      <c r="L1451">
        <v>2</v>
      </c>
      <c r="M1451">
        <f>TB[[#This Row],[售价]]*TB[[#This Row],[销量]]</f>
        <v>6844</v>
      </c>
      <c r="N1451" t="str">
        <f>IF(TB[[#This Row],[售价]]&lt;1000,"低价商品",IF(TB[[#This Row],[售价]]&lt;5000,"中价商品",IF(TB[[#This Row],[售价]]&lt;10000,"高价商品","超高价商品")))</f>
        <v>中价商品</v>
      </c>
    </row>
    <row r="1452" spans="1:14" x14ac:dyDescent="0.2">
      <c r="A1452">
        <v>258</v>
      </c>
      <c r="B1452">
        <v>264</v>
      </c>
      <c r="C1452" t="s">
        <v>17</v>
      </c>
      <c r="D1452" t="s">
        <v>137</v>
      </c>
      <c r="E1452" t="s">
        <v>31</v>
      </c>
      <c r="F1452">
        <v>4</v>
      </c>
      <c r="G1452" t="s">
        <v>42</v>
      </c>
      <c r="H1452" s="1">
        <v>45957.854166666664</v>
      </c>
      <c r="I1452" s="5">
        <f>INT(TB[[#This Row],[时间戳]])</f>
        <v>45957</v>
      </c>
      <c r="J1452" s="2">
        <f>HOUR(TB[[#This Row],[时间戳]])</f>
        <v>20</v>
      </c>
      <c r="K1452">
        <v>593</v>
      </c>
      <c r="L1452">
        <v>0</v>
      </c>
      <c r="M1452">
        <f>TB[[#This Row],[售价]]*TB[[#This Row],[销量]]</f>
        <v>0</v>
      </c>
      <c r="N1452" t="str">
        <f>IF(TB[[#This Row],[售价]]&lt;1000,"低价商品",IF(TB[[#This Row],[售价]]&lt;5000,"中价商品",IF(TB[[#This Row],[售价]]&lt;10000,"高价商品","超高价商品")))</f>
        <v>低价商品</v>
      </c>
    </row>
    <row r="1453" spans="1:14" x14ac:dyDescent="0.2">
      <c r="A1453">
        <v>20</v>
      </c>
      <c r="B1453">
        <v>265</v>
      </c>
      <c r="C1453" t="s">
        <v>20</v>
      </c>
      <c r="D1453" t="s">
        <v>152</v>
      </c>
      <c r="E1453" t="s">
        <v>16</v>
      </c>
      <c r="F1453">
        <v>6</v>
      </c>
      <c r="G1453" t="s">
        <v>13</v>
      </c>
      <c r="H1453" s="1">
        <v>45957.871527777781</v>
      </c>
      <c r="I1453" s="5">
        <f>INT(TB[[#This Row],[时间戳]])</f>
        <v>45957</v>
      </c>
      <c r="J1453" s="2">
        <f>HOUR(TB[[#This Row],[时间戳]])</f>
        <v>20</v>
      </c>
      <c r="K1453">
        <v>9568</v>
      </c>
      <c r="L1453">
        <v>1</v>
      </c>
      <c r="M1453">
        <f>TB[[#This Row],[售价]]*TB[[#This Row],[销量]]</f>
        <v>9568</v>
      </c>
      <c r="N1453" t="str">
        <f>IF(TB[[#This Row],[售价]]&lt;1000,"低价商品",IF(TB[[#This Row],[售价]]&lt;5000,"中价商品",IF(TB[[#This Row],[售价]]&lt;10000,"高价商品","超高价商品")))</f>
        <v>高价商品</v>
      </c>
    </row>
    <row r="1454" spans="1:14" x14ac:dyDescent="0.2">
      <c r="A1454">
        <v>677</v>
      </c>
      <c r="B1454">
        <v>240</v>
      </c>
      <c r="C1454" t="s">
        <v>44</v>
      </c>
      <c r="D1454" t="s">
        <v>70</v>
      </c>
      <c r="E1454" t="s">
        <v>12</v>
      </c>
      <c r="F1454">
        <v>2</v>
      </c>
      <c r="G1454" t="s">
        <v>13</v>
      </c>
      <c r="H1454" s="1">
        <v>45957.90902777778</v>
      </c>
      <c r="I1454" s="5">
        <f>INT(TB[[#This Row],[时间戳]])</f>
        <v>45957</v>
      </c>
      <c r="J1454" s="2">
        <f>HOUR(TB[[#This Row],[时间戳]])</f>
        <v>21</v>
      </c>
      <c r="K1454">
        <v>7151</v>
      </c>
      <c r="L1454">
        <v>5</v>
      </c>
      <c r="M1454">
        <f>TB[[#This Row],[售价]]*TB[[#This Row],[销量]]</f>
        <v>35755</v>
      </c>
      <c r="N1454" t="str">
        <f>IF(TB[[#This Row],[售价]]&lt;1000,"低价商品",IF(TB[[#This Row],[售价]]&lt;5000,"中价商品",IF(TB[[#This Row],[售价]]&lt;10000,"高价商品","超高价商品")))</f>
        <v>高价商品</v>
      </c>
    </row>
    <row r="1455" spans="1:14" x14ac:dyDescent="0.2">
      <c r="A1455">
        <v>788</v>
      </c>
      <c r="B1455">
        <v>223</v>
      </c>
      <c r="C1455" t="s">
        <v>20</v>
      </c>
      <c r="D1455" t="s">
        <v>399</v>
      </c>
      <c r="E1455" t="s">
        <v>31</v>
      </c>
      <c r="F1455">
        <v>4</v>
      </c>
      <c r="G1455" t="s">
        <v>13</v>
      </c>
      <c r="H1455" s="1">
        <v>45957.924305555556</v>
      </c>
      <c r="I1455" s="5">
        <f>INT(TB[[#This Row],[时间戳]])</f>
        <v>45957</v>
      </c>
      <c r="J1455" s="2">
        <f>HOUR(TB[[#This Row],[时间戳]])</f>
        <v>22</v>
      </c>
      <c r="K1455">
        <v>724</v>
      </c>
      <c r="L1455">
        <v>2</v>
      </c>
      <c r="M1455">
        <f>TB[[#This Row],[售价]]*TB[[#This Row],[销量]]</f>
        <v>1448</v>
      </c>
      <c r="N1455" t="str">
        <f>IF(TB[[#This Row],[售价]]&lt;1000,"低价商品",IF(TB[[#This Row],[售价]]&lt;5000,"中价商品",IF(TB[[#This Row],[售价]]&lt;10000,"高价商品","超高价商品")))</f>
        <v>低价商品</v>
      </c>
    </row>
    <row r="1456" spans="1:14" x14ac:dyDescent="0.2">
      <c r="A1456">
        <v>206</v>
      </c>
      <c r="B1456">
        <v>187</v>
      </c>
      <c r="C1456" t="s">
        <v>10</v>
      </c>
      <c r="D1456" t="s">
        <v>321</v>
      </c>
      <c r="E1456" t="s">
        <v>39</v>
      </c>
      <c r="F1456">
        <v>5</v>
      </c>
      <c r="G1456" t="s">
        <v>13</v>
      </c>
      <c r="H1456" s="1">
        <v>45957.925000000003</v>
      </c>
      <c r="I1456" s="5">
        <f>INT(TB[[#This Row],[时间戳]])</f>
        <v>45957</v>
      </c>
      <c r="J1456" s="2">
        <f>HOUR(TB[[#This Row],[时间戳]])</f>
        <v>22</v>
      </c>
      <c r="K1456">
        <v>3290</v>
      </c>
      <c r="L1456">
        <v>2</v>
      </c>
      <c r="M1456">
        <f>TB[[#This Row],[售价]]*TB[[#This Row],[销量]]</f>
        <v>6580</v>
      </c>
      <c r="N1456" t="str">
        <f>IF(TB[[#This Row],[售价]]&lt;1000,"低价商品",IF(TB[[#This Row],[售价]]&lt;5000,"中价商品",IF(TB[[#This Row],[售价]]&lt;10000,"高价商品","超高价商品")))</f>
        <v>中价商品</v>
      </c>
    </row>
    <row r="1457" spans="1:14" x14ac:dyDescent="0.2">
      <c r="A1457">
        <v>765</v>
      </c>
      <c r="B1457">
        <v>154</v>
      </c>
      <c r="C1457" t="s">
        <v>32</v>
      </c>
      <c r="D1457" t="s">
        <v>404</v>
      </c>
      <c r="E1457" t="s">
        <v>25</v>
      </c>
      <c r="F1457">
        <v>7</v>
      </c>
      <c r="G1457" t="s">
        <v>13</v>
      </c>
      <c r="H1457" s="1">
        <v>45957.974305555559</v>
      </c>
      <c r="I1457" s="5">
        <f>INT(TB[[#This Row],[时间戳]])</f>
        <v>45957</v>
      </c>
      <c r="J1457" s="2">
        <f>HOUR(TB[[#This Row],[时间戳]])</f>
        <v>23</v>
      </c>
      <c r="K1457">
        <v>5163</v>
      </c>
      <c r="L1457">
        <v>3</v>
      </c>
      <c r="M1457">
        <f>TB[[#This Row],[售价]]*TB[[#This Row],[销量]]</f>
        <v>15489</v>
      </c>
      <c r="N1457" t="str">
        <f>IF(TB[[#This Row],[售价]]&lt;1000,"低价商品",IF(TB[[#This Row],[售价]]&lt;5000,"中价商品",IF(TB[[#This Row],[售价]]&lt;10000,"高价商品","超高价商品")))</f>
        <v>高价商品</v>
      </c>
    </row>
    <row r="1458" spans="1:14" x14ac:dyDescent="0.2">
      <c r="A1458">
        <v>650</v>
      </c>
      <c r="B1458">
        <v>105</v>
      </c>
      <c r="C1458" t="s">
        <v>34</v>
      </c>
      <c r="D1458" t="s">
        <v>69</v>
      </c>
      <c r="E1458" t="s">
        <v>31</v>
      </c>
      <c r="F1458">
        <v>4</v>
      </c>
      <c r="G1458" t="s">
        <v>42</v>
      </c>
      <c r="H1458" s="1">
        <v>45957.995833333334</v>
      </c>
      <c r="I1458" s="5">
        <f>INT(TB[[#This Row],[时间戳]])</f>
        <v>45957</v>
      </c>
      <c r="J1458" s="2">
        <f>HOUR(TB[[#This Row],[时间戳]])</f>
        <v>23</v>
      </c>
      <c r="K1458">
        <v>951</v>
      </c>
      <c r="L1458">
        <v>0</v>
      </c>
      <c r="M1458">
        <f>TB[[#This Row],[售价]]*TB[[#This Row],[销量]]</f>
        <v>0</v>
      </c>
      <c r="N1458" t="str">
        <f>IF(TB[[#This Row],[售价]]&lt;1000,"低价商品",IF(TB[[#This Row],[售价]]&lt;5000,"中价商品",IF(TB[[#This Row],[售价]]&lt;10000,"高价商品","超高价商品")))</f>
        <v>低价商品</v>
      </c>
    </row>
    <row r="1459" spans="1:14" x14ac:dyDescent="0.2">
      <c r="A1459">
        <v>263</v>
      </c>
      <c r="B1459">
        <v>121</v>
      </c>
      <c r="C1459" t="s">
        <v>36</v>
      </c>
      <c r="D1459" t="s">
        <v>317</v>
      </c>
      <c r="E1459" t="s">
        <v>19</v>
      </c>
      <c r="F1459">
        <v>3</v>
      </c>
      <c r="G1459" t="s">
        <v>42</v>
      </c>
      <c r="H1459" s="1">
        <v>45958.01666666667</v>
      </c>
      <c r="I1459" s="5">
        <f>INT(TB[[#This Row],[时间戳]])</f>
        <v>45958</v>
      </c>
      <c r="J1459" s="2">
        <f>HOUR(TB[[#This Row],[时间戳]])</f>
        <v>0</v>
      </c>
      <c r="K1459">
        <v>4814</v>
      </c>
      <c r="L1459">
        <v>0</v>
      </c>
      <c r="M1459">
        <f>TB[[#This Row],[售价]]*TB[[#This Row],[销量]]</f>
        <v>0</v>
      </c>
      <c r="N1459" t="str">
        <f>IF(TB[[#This Row],[售价]]&lt;1000,"低价商品",IF(TB[[#This Row],[售价]]&lt;5000,"中价商品",IF(TB[[#This Row],[售价]]&lt;10000,"高价商品","超高价商品")))</f>
        <v>中价商品</v>
      </c>
    </row>
    <row r="1460" spans="1:14" x14ac:dyDescent="0.2">
      <c r="A1460">
        <v>197</v>
      </c>
      <c r="B1460">
        <v>15</v>
      </c>
      <c r="C1460" t="s">
        <v>14</v>
      </c>
      <c r="D1460" t="s">
        <v>49</v>
      </c>
      <c r="E1460" t="s">
        <v>22</v>
      </c>
      <c r="F1460">
        <v>1</v>
      </c>
      <c r="G1460" t="s">
        <v>13</v>
      </c>
      <c r="H1460" s="1">
        <v>45958.020833333336</v>
      </c>
      <c r="I1460" s="5">
        <f>INT(TB[[#This Row],[时间戳]])</f>
        <v>45958</v>
      </c>
      <c r="J1460" s="2">
        <f>HOUR(TB[[#This Row],[时间戳]])</f>
        <v>0</v>
      </c>
      <c r="K1460">
        <v>4246</v>
      </c>
      <c r="L1460">
        <v>5</v>
      </c>
      <c r="M1460">
        <f>TB[[#This Row],[售价]]*TB[[#This Row],[销量]]</f>
        <v>21230</v>
      </c>
      <c r="N1460" t="str">
        <f>IF(TB[[#This Row],[售价]]&lt;1000,"低价商品",IF(TB[[#This Row],[售价]]&lt;5000,"中价商品",IF(TB[[#This Row],[售价]]&lt;10000,"高价商品","超高价商品")))</f>
        <v>中价商品</v>
      </c>
    </row>
    <row r="1461" spans="1:14" x14ac:dyDescent="0.2">
      <c r="A1461">
        <v>574</v>
      </c>
      <c r="B1461">
        <v>224</v>
      </c>
      <c r="C1461" t="s">
        <v>44</v>
      </c>
      <c r="D1461" t="s">
        <v>163</v>
      </c>
      <c r="E1461" t="s">
        <v>12</v>
      </c>
      <c r="F1461">
        <v>2</v>
      </c>
      <c r="G1461" t="s">
        <v>42</v>
      </c>
      <c r="H1461" s="1">
        <v>45958.040972222225</v>
      </c>
      <c r="I1461" s="5">
        <f>INT(TB[[#This Row],[时间戳]])</f>
        <v>45958</v>
      </c>
      <c r="J1461" s="2">
        <f>HOUR(TB[[#This Row],[时间戳]])</f>
        <v>0</v>
      </c>
      <c r="K1461">
        <v>7981</v>
      </c>
      <c r="L1461">
        <v>0</v>
      </c>
      <c r="M1461">
        <f>TB[[#This Row],[售价]]*TB[[#This Row],[销量]]</f>
        <v>0</v>
      </c>
      <c r="N1461" t="str">
        <f>IF(TB[[#This Row],[售价]]&lt;1000,"低价商品",IF(TB[[#This Row],[售价]]&lt;5000,"中价商品",IF(TB[[#This Row],[售价]]&lt;10000,"高价商品","超高价商品")))</f>
        <v>高价商品</v>
      </c>
    </row>
    <row r="1462" spans="1:14" x14ac:dyDescent="0.2">
      <c r="A1462">
        <v>164</v>
      </c>
      <c r="B1462">
        <v>140</v>
      </c>
      <c r="C1462" t="s">
        <v>10</v>
      </c>
      <c r="D1462" t="s">
        <v>330</v>
      </c>
      <c r="E1462" t="s">
        <v>19</v>
      </c>
      <c r="F1462">
        <v>3</v>
      </c>
      <c r="G1462" t="s">
        <v>13</v>
      </c>
      <c r="H1462" s="1">
        <v>45958.05</v>
      </c>
      <c r="I1462" s="5">
        <f>INT(TB[[#This Row],[时间戳]])</f>
        <v>45958</v>
      </c>
      <c r="J1462" s="2">
        <f>HOUR(TB[[#This Row],[时间戳]])</f>
        <v>1</v>
      </c>
      <c r="K1462">
        <v>5088</v>
      </c>
      <c r="L1462">
        <v>2</v>
      </c>
      <c r="M1462">
        <f>TB[[#This Row],[售价]]*TB[[#This Row],[销量]]</f>
        <v>10176</v>
      </c>
      <c r="N1462" t="str">
        <f>IF(TB[[#This Row],[售价]]&lt;1000,"低价商品",IF(TB[[#This Row],[售价]]&lt;5000,"中价商品",IF(TB[[#This Row],[售价]]&lt;10000,"高价商品","超高价商品")))</f>
        <v>高价商品</v>
      </c>
    </row>
    <row r="1463" spans="1:14" x14ac:dyDescent="0.2">
      <c r="A1463">
        <v>675</v>
      </c>
      <c r="B1463">
        <v>282</v>
      </c>
      <c r="C1463" t="s">
        <v>36</v>
      </c>
      <c r="D1463" t="s">
        <v>102</v>
      </c>
      <c r="E1463" t="s">
        <v>19</v>
      </c>
      <c r="F1463">
        <v>3</v>
      </c>
      <c r="G1463" t="s">
        <v>13</v>
      </c>
      <c r="H1463" s="1">
        <v>45958.069444444445</v>
      </c>
      <c r="I1463" s="5">
        <f>INT(TB[[#This Row],[时间戳]])</f>
        <v>45958</v>
      </c>
      <c r="J1463" s="2">
        <f>HOUR(TB[[#This Row],[时间戳]])</f>
        <v>1</v>
      </c>
      <c r="K1463">
        <v>2431</v>
      </c>
      <c r="L1463">
        <v>3</v>
      </c>
      <c r="M1463">
        <f>TB[[#This Row],[售价]]*TB[[#This Row],[销量]]</f>
        <v>7293</v>
      </c>
      <c r="N1463" t="str">
        <f>IF(TB[[#This Row],[售价]]&lt;1000,"低价商品",IF(TB[[#This Row],[售价]]&lt;5000,"中价商品",IF(TB[[#This Row],[售价]]&lt;10000,"高价商品","超高价商品")))</f>
        <v>中价商品</v>
      </c>
    </row>
    <row r="1464" spans="1:14" x14ac:dyDescent="0.2">
      <c r="A1464">
        <v>498</v>
      </c>
      <c r="B1464">
        <v>11</v>
      </c>
      <c r="C1464" t="s">
        <v>10</v>
      </c>
      <c r="D1464" t="s">
        <v>68</v>
      </c>
      <c r="E1464" t="s">
        <v>22</v>
      </c>
      <c r="F1464">
        <v>1</v>
      </c>
      <c r="G1464" t="s">
        <v>13</v>
      </c>
      <c r="H1464" s="1">
        <v>45958.071527777778</v>
      </c>
      <c r="I1464" s="5">
        <f>INT(TB[[#This Row],[时间戳]])</f>
        <v>45958</v>
      </c>
      <c r="J1464" s="2">
        <f>HOUR(TB[[#This Row],[时间戳]])</f>
        <v>1</v>
      </c>
      <c r="K1464">
        <v>2570</v>
      </c>
      <c r="L1464">
        <v>1</v>
      </c>
      <c r="M1464">
        <f>TB[[#This Row],[售价]]*TB[[#This Row],[销量]]</f>
        <v>2570</v>
      </c>
      <c r="N1464" t="str">
        <f>IF(TB[[#This Row],[售价]]&lt;1000,"低价商品",IF(TB[[#This Row],[售价]]&lt;5000,"中价商品",IF(TB[[#This Row],[售价]]&lt;10000,"高价商品","超高价商品")))</f>
        <v>中价商品</v>
      </c>
    </row>
    <row r="1465" spans="1:14" x14ac:dyDescent="0.2">
      <c r="A1465">
        <v>306</v>
      </c>
      <c r="B1465">
        <v>33</v>
      </c>
      <c r="C1465" t="s">
        <v>34</v>
      </c>
      <c r="D1465" t="s">
        <v>199</v>
      </c>
      <c r="E1465" t="s">
        <v>39</v>
      </c>
      <c r="F1465">
        <v>5</v>
      </c>
      <c r="G1465" t="s">
        <v>13</v>
      </c>
      <c r="H1465" s="1">
        <v>45958.09097222222</v>
      </c>
      <c r="I1465" s="5">
        <f>INT(TB[[#This Row],[时间戳]])</f>
        <v>45958</v>
      </c>
      <c r="J1465" s="2">
        <f>HOUR(TB[[#This Row],[时间戳]])</f>
        <v>2</v>
      </c>
      <c r="K1465">
        <v>868</v>
      </c>
      <c r="L1465">
        <v>2</v>
      </c>
      <c r="M1465">
        <f>TB[[#This Row],[售价]]*TB[[#This Row],[销量]]</f>
        <v>1736</v>
      </c>
      <c r="N1465" t="str">
        <f>IF(TB[[#This Row],[售价]]&lt;1000,"低价商品",IF(TB[[#This Row],[售价]]&lt;5000,"中价商品",IF(TB[[#This Row],[售价]]&lt;10000,"高价商品","超高价商品")))</f>
        <v>低价商品</v>
      </c>
    </row>
    <row r="1466" spans="1:14" x14ac:dyDescent="0.2">
      <c r="A1466">
        <v>742</v>
      </c>
      <c r="B1466">
        <v>72</v>
      </c>
      <c r="C1466" t="s">
        <v>14</v>
      </c>
      <c r="D1466" t="s">
        <v>106</v>
      </c>
      <c r="E1466" t="s">
        <v>22</v>
      </c>
      <c r="F1466">
        <v>1</v>
      </c>
      <c r="G1466" t="s">
        <v>13</v>
      </c>
      <c r="H1466" s="1">
        <v>45958.228472222225</v>
      </c>
      <c r="I1466" s="5">
        <f>INT(TB[[#This Row],[时间戳]])</f>
        <v>45958</v>
      </c>
      <c r="J1466" s="2">
        <f>HOUR(TB[[#This Row],[时间戳]])</f>
        <v>5</v>
      </c>
      <c r="K1466">
        <v>4320</v>
      </c>
      <c r="L1466">
        <v>1</v>
      </c>
      <c r="M1466">
        <f>TB[[#This Row],[售价]]*TB[[#This Row],[销量]]</f>
        <v>4320</v>
      </c>
      <c r="N1466" t="str">
        <f>IF(TB[[#This Row],[售价]]&lt;1000,"低价商品",IF(TB[[#This Row],[售价]]&lt;5000,"中价商品",IF(TB[[#This Row],[售价]]&lt;10000,"高价商品","超高价商品")))</f>
        <v>中价商品</v>
      </c>
    </row>
    <row r="1467" spans="1:14" x14ac:dyDescent="0.2">
      <c r="A1467">
        <v>124</v>
      </c>
      <c r="B1467">
        <v>268</v>
      </c>
      <c r="C1467" t="s">
        <v>46</v>
      </c>
      <c r="D1467" t="s">
        <v>84</v>
      </c>
      <c r="E1467" t="s">
        <v>39</v>
      </c>
      <c r="F1467">
        <v>5</v>
      </c>
      <c r="G1467" t="s">
        <v>42</v>
      </c>
      <c r="H1467" s="1">
        <v>45958.229166666664</v>
      </c>
      <c r="I1467" s="5">
        <f>INT(TB[[#This Row],[时间戳]])</f>
        <v>45958</v>
      </c>
      <c r="J1467" s="2">
        <f>HOUR(TB[[#This Row],[时间戳]])</f>
        <v>5</v>
      </c>
      <c r="K1467">
        <v>1623</v>
      </c>
      <c r="L1467">
        <v>0</v>
      </c>
      <c r="M1467">
        <f>TB[[#This Row],[售价]]*TB[[#This Row],[销量]]</f>
        <v>0</v>
      </c>
      <c r="N1467" t="str">
        <f>IF(TB[[#This Row],[售价]]&lt;1000,"低价商品",IF(TB[[#This Row],[售价]]&lt;5000,"中价商品",IF(TB[[#This Row],[售价]]&lt;10000,"高价商品","超高价商品")))</f>
        <v>中价商品</v>
      </c>
    </row>
    <row r="1468" spans="1:14" x14ac:dyDescent="0.2">
      <c r="A1468">
        <v>509</v>
      </c>
      <c r="B1468">
        <v>47</v>
      </c>
      <c r="C1468" t="s">
        <v>20</v>
      </c>
      <c r="D1468" t="s">
        <v>85</v>
      </c>
      <c r="E1468" t="s">
        <v>31</v>
      </c>
      <c r="F1468">
        <v>4</v>
      </c>
      <c r="G1468" t="s">
        <v>13</v>
      </c>
      <c r="H1468" s="1">
        <v>45958.298611111109</v>
      </c>
      <c r="I1468" s="5">
        <f>INT(TB[[#This Row],[时间戳]])</f>
        <v>45958</v>
      </c>
      <c r="J1468" s="2">
        <f>HOUR(TB[[#This Row],[时间戳]])</f>
        <v>7</v>
      </c>
      <c r="K1468">
        <v>1500</v>
      </c>
      <c r="L1468">
        <v>1</v>
      </c>
      <c r="M1468">
        <f>TB[[#This Row],[售价]]*TB[[#This Row],[销量]]</f>
        <v>1500</v>
      </c>
      <c r="N1468" t="str">
        <f>IF(TB[[#This Row],[售价]]&lt;1000,"低价商品",IF(TB[[#This Row],[售价]]&lt;5000,"中价商品",IF(TB[[#This Row],[售价]]&lt;10000,"高价商品","超高价商品")))</f>
        <v>中价商品</v>
      </c>
    </row>
    <row r="1469" spans="1:14" x14ac:dyDescent="0.2">
      <c r="A1469">
        <v>338</v>
      </c>
      <c r="B1469">
        <v>300</v>
      </c>
      <c r="C1469" t="s">
        <v>14</v>
      </c>
      <c r="D1469" t="s">
        <v>124</v>
      </c>
      <c r="E1469" t="s">
        <v>19</v>
      </c>
      <c r="F1469">
        <v>3</v>
      </c>
      <c r="G1469" t="s">
        <v>42</v>
      </c>
      <c r="H1469" s="1">
        <v>45958.308333333334</v>
      </c>
      <c r="I1469" s="5">
        <f>INT(TB[[#This Row],[时间戳]])</f>
        <v>45958</v>
      </c>
      <c r="J1469" s="2">
        <f>HOUR(TB[[#This Row],[时间戳]])</f>
        <v>7</v>
      </c>
      <c r="K1469">
        <v>3557</v>
      </c>
      <c r="L1469">
        <v>0</v>
      </c>
      <c r="M1469">
        <f>TB[[#This Row],[售价]]*TB[[#This Row],[销量]]</f>
        <v>0</v>
      </c>
      <c r="N1469" t="str">
        <f>IF(TB[[#This Row],[售价]]&lt;1000,"低价商品",IF(TB[[#This Row],[售价]]&lt;5000,"中价商品",IF(TB[[#This Row],[售价]]&lt;10000,"高价商品","超高价商品")))</f>
        <v>中价商品</v>
      </c>
    </row>
    <row r="1470" spans="1:14" x14ac:dyDescent="0.2">
      <c r="A1470">
        <v>224</v>
      </c>
      <c r="B1470">
        <v>74</v>
      </c>
      <c r="C1470" t="s">
        <v>32</v>
      </c>
      <c r="D1470" t="s">
        <v>176</v>
      </c>
      <c r="E1470" t="s">
        <v>22</v>
      </c>
      <c r="F1470">
        <v>1</v>
      </c>
      <c r="G1470" t="s">
        <v>13</v>
      </c>
      <c r="H1470" s="1">
        <v>45958.345833333333</v>
      </c>
      <c r="I1470" s="5">
        <f>INT(TB[[#This Row],[时间戳]])</f>
        <v>45958</v>
      </c>
      <c r="J1470" s="2">
        <f>HOUR(TB[[#This Row],[时间戳]])</f>
        <v>8</v>
      </c>
      <c r="K1470">
        <v>7038</v>
      </c>
      <c r="L1470">
        <v>2</v>
      </c>
      <c r="M1470">
        <f>TB[[#This Row],[售价]]*TB[[#This Row],[销量]]</f>
        <v>14076</v>
      </c>
      <c r="N1470" t="str">
        <f>IF(TB[[#This Row],[售价]]&lt;1000,"低价商品",IF(TB[[#This Row],[售价]]&lt;5000,"中价商品",IF(TB[[#This Row],[售价]]&lt;10000,"高价商品","超高价商品")))</f>
        <v>高价商品</v>
      </c>
    </row>
    <row r="1471" spans="1:14" x14ac:dyDescent="0.2">
      <c r="A1471">
        <v>451</v>
      </c>
      <c r="B1471">
        <v>210</v>
      </c>
      <c r="C1471" t="s">
        <v>32</v>
      </c>
      <c r="D1471" t="s">
        <v>115</v>
      </c>
      <c r="E1471" t="s">
        <v>19</v>
      </c>
      <c r="F1471">
        <v>3</v>
      </c>
      <c r="G1471" t="s">
        <v>13</v>
      </c>
      <c r="H1471" s="1">
        <v>45958.374305555553</v>
      </c>
      <c r="I1471" s="5">
        <f>INT(TB[[#This Row],[时间戳]])</f>
        <v>45958</v>
      </c>
      <c r="J1471" s="2">
        <f>HOUR(TB[[#This Row],[时间戳]])</f>
        <v>8</v>
      </c>
      <c r="K1471">
        <v>2264</v>
      </c>
      <c r="L1471">
        <v>2</v>
      </c>
      <c r="M1471">
        <f>TB[[#This Row],[售价]]*TB[[#This Row],[销量]]</f>
        <v>4528</v>
      </c>
      <c r="N1471" t="str">
        <f>IF(TB[[#This Row],[售价]]&lt;1000,"低价商品",IF(TB[[#This Row],[售价]]&lt;5000,"中价商品",IF(TB[[#This Row],[售价]]&lt;10000,"高价商品","超高价商品")))</f>
        <v>中价商品</v>
      </c>
    </row>
    <row r="1472" spans="1:14" x14ac:dyDescent="0.2">
      <c r="A1472">
        <v>547</v>
      </c>
      <c r="B1472">
        <v>192</v>
      </c>
      <c r="C1472" t="s">
        <v>10</v>
      </c>
      <c r="D1472" t="s">
        <v>216</v>
      </c>
      <c r="E1472" t="s">
        <v>39</v>
      </c>
      <c r="F1472">
        <v>5</v>
      </c>
      <c r="G1472" t="s">
        <v>13</v>
      </c>
      <c r="H1472" s="1">
        <v>45958.38958333333</v>
      </c>
      <c r="I1472" s="5">
        <f>INT(TB[[#This Row],[时间戳]])</f>
        <v>45958</v>
      </c>
      <c r="J1472" s="2">
        <f>HOUR(TB[[#This Row],[时间戳]])</f>
        <v>9</v>
      </c>
      <c r="K1472">
        <v>1942</v>
      </c>
      <c r="L1472">
        <v>2</v>
      </c>
      <c r="M1472">
        <f>TB[[#This Row],[售价]]*TB[[#This Row],[销量]]</f>
        <v>3884</v>
      </c>
      <c r="N1472" t="str">
        <f>IF(TB[[#This Row],[售价]]&lt;1000,"低价商品",IF(TB[[#This Row],[售价]]&lt;5000,"中价商品",IF(TB[[#This Row],[售价]]&lt;10000,"高价商品","超高价商品")))</f>
        <v>中价商品</v>
      </c>
    </row>
    <row r="1473" spans="1:14" x14ac:dyDescent="0.2">
      <c r="A1473">
        <v>487</v>
      </c>
      <c r="B1473">
        <v>127</v>
      </c>
      <c r="C1473" t="s">
        <v>20</v>
      </c>
      <c r="D1473" t="s">
        <v>259</v>
      </c>
      <c r="E1473" t="s">
        <v>16</v>
      </c>
      <c r="F1473">
        <v>6</v>
      </c>
      <c r="G1473" t="s">
        <v>13</v>
      </c>
      <c r="H1473" s="1">
        <v>45958.413888888892</v>
      </c>
      <c r="I1473" s="5">
        <f>INT(TB[[#This Row],[时间戳]])</f>
        <v>45958</v>
      </c>
      <c r="J1473" s="2">
        <f>HOUR(TB[[#This Row],[时间戳]])</f>
        <v>9</v>
      </c>
      <c r="K1473">
        <v>3812</v>
      </c>
      <c r="L1473">
        <v>4</v>
      </c>
      <c r="M1473">
        <f>TB[[#This Row],[售价]]*TB[[#This Row],[销量]]</f>
        <v>15248</v>
      </c>
      <c r="N1473" t="str">
        <f>IF(TB[[#This Row],[售价]]&lt;1000,"低价商品",IF(TB[[#This Row],[售价]]&lt;5000,"中价商品",IF(TB[[#This Row],[售价]]&lt;10000,"高价商品","超高价商品")))</f>
        <v>中价商品</v>
      </c>
    </row>
    <row r="1474" spans="1:14" x14ac:dyDescent="0.2">
      <c r="A1474">
        <v>733</v>
      </c>
      <c r="B1474">
        <v>189</v>
      </c>
      <c r="C1474" t="s">
        <v>34</v>
      </c>
      <c r="D1474" t="s">
        <v>346</v>
      </c>
      <c r="E1474" t="s">
        <v>22</v>
      </c>
      <c r="F1474">
        <v>1</v>
      </c>
      <c r="G1474" t="s">
        <v>13</v>
      </c>
      <c r="H1474" s="1">
        <v>45958.452777777777</v>
      </c>
      <c r="I1474" s="5">
        <f>INT(TB[[#This Row],[时间戳]])</f>
        <v>45958</v>
      </c>
      <c r="J1474" s="2">
        <f>HOUR(TB[[#This Row],[时间戳]])</f>
        <v>10</v>
      </c>
      <c r="K1474">
        <v>3149</v>
      </c>
      <c r="L1474">
        <v>1</v>
      </c>
      <c r="M1474">
        <f>TB[[#This Row],[售价]]*TB[[#This Row],[销量]]</f>
        <v>3149</v>
      </c>
      <c r="N1474" t="str">
        <f>IF(TB[[#This Row],[售价]]&lt;1000,"低价商品",IF(TB[[#This Row],[售价]]&lt;5000,"中价商品",IF(TB[[#This Row],[售价]]&lt;10000,"高价商品","超高价商品")))</f>
        <v>中价商品</v>
      </c>
    </row>
    <row r="1475" spans="1:14" x14ac:dyDescent="0.2">
      <c r="A1475">
        <v>758</v>
      </c>
      <c r="B1475">
        <v>28</v>
      </c>
      <c r="C1475" t="s">
        <v>46</v>
      </c>
      <c r="D1475" t="s">
        <v>359</v>
      </c>
      <c r="E1475" t="s">
        <v>25</v>
      </c>
      <c r="F1475">
        <v>7</v>
      </c>
      <c r="G1475" t="s">
        <v>13</v>
      </c>
      <c r="H1475" s="1">
        <v>45958.462500000001</v>
      </c>
      <c r="I1475" s="5">
        <f>INT(TB[[#This Row],[时间戳]])</f>
        <v>45958</v>
      </c>
      <c r="J1475" s="2">
        <f>HOUR(TB[[#This Row],[时间戳]])</f>
        <v>11</v>
      </c>
      <c r="K1475">
        <v>3834</v>
      </c>
      <c r="L1475">
        <v>3</v>
      </c>
      <c r="M1475">
        <f>TB[[#This Row],[售价]]*TB[[#This Row],[销量]]</f>
        <v>11502</v>
      </c>
      <c r="N1475" t="str">
        <f>IF(TB[[#This Row],[售价]]&lt;1000,"低价商品",IF(TB[[#This Row],[售价]]&lt;5000,"中价商品",IF(TB[[#This Row],[售价]]&lt;10000,"高价商品","超高价商品")))</f>
        <v>中价商品</v>
      </c>
    </row>
    <row r="1476" spans="1:14" x14ac:dyDescent="0.2">
      <c r="A1476">
        <v>566</v>
      </c>
      <c r="B1476">
        <v>197</v>
      </c>
      <c r="C1476" t="s">
        <v>32</v>
      </c>
      <c r="D1476" t="s">
        <v>107</v>
      </c>
      <c r="E1476" t="s">
        <v>31</v>
      </c>
      <c r="F1476">
        <v>4</v>
      </c>
      <c r="G1476" t="s">
        <v>13</v>
      </c>
      <c r="H1476" s="1">
        <v>45958.469444444447</v>
      </c>
      <c r="I1476" s="5">
        <f>INT(TB[[#This Row],[时间戳]])</f>
        <v>45958</v>
      </c>
      <c r="J1476" s="2">
        <f>HOUR(TB[[#This Row],[时间戳]])</f>
        <v>11</v>
      </c>
      <c r="K1476">
        <v>1500</v>
      </c>
      <c r="L1476">
        <v>2</v>
      </c>
      <c r="M1476">
        <f>TB[[#This Row],[售价]]*TB[[#This Row],[销量]]</f>
        <v>3000</v>
      </c>
      <c r="N1476" t="str">
        <f>IF(TB[[#This Row],[售价]]&lt;1000,"低价商品",IF(TB[[#This Row],[售价]]&lt;5000,"中价商品",IF(TB[[#This Row],[售价]]&lt;10000,"高价商品","超高价商品")))</f>
        <v>中价商品</v>
      </c>
    </row>
    <row r="1477" spans="1:14" x14ac:dyDescent="0.2">
      <c r="A1477">
        <v>125</v>
      </c>
      <c r="B1477">
        <v>274</v>
      </c>
      <c r="C1477" t="s">
        <v>34</v>
      </c>
      <c r="D1477" t="s">
        <v>374</v>
      </c>
      <c r="E1477" t="s">
        <v>25</v>
      </c>
      <c r="F1477">
        <v>7</v>
      </c>
      <c r="G1477" t="s">
        <v>13</v>
      </c>
      <c r="H1477" s="1">
        <v>45958.489583333336</v>
      </c>
      <c r="I1477" s="5">
        <f>INT(TB[[#This Row],[时间戳]])</f>
        <v>45958</v>
      </c>
      <c r="J1477" s="2">
        <f>HOUR(TB[[#This Row],[时间戳]])</f>
        <v>11</v>
      </c>
      <c r="K1477">
        <v>4160</v>
      </c>
      <c r="L1477">
        <v>2</v>
      </c>
      <c r="M1477">
        <f>TB[[#This Row],[售价]]*TB[[#This Row],[销量]]</f>
        <v>8320</v>
      </c>
      <c r="N1477" t="str">
        <f>IF(TB[[#This Row],[售价]]&lt;1000,"低价商品",IF(TB[[#This Row],[售价]]&lt;5000,"中价商品",IF(TB[[#This Row],[售价]]&lt;10000,"高价商品","超高价商品")))</f>
        <v>中价商品</v>
      </c>
    </row>
    <row r="1478" spans="1:14" x14ac:dyDescent="0.2">
      <c r="A1478">
        <v>403</v>
      </c>
      <c r="B1478">
        <v>131</v>
      </c>
      <c r="C1478" t="s">
        <v>17</v>
      </c>
      <c r="D1478" t="s">
        <v>28</v>
      </c>
      <c r="E1478" t="s">
        <v>12</v>
      </c>
      <c r="F1478">
        <v>2</v>
      </c>
      <c r="G1478" t="s">
        <v>13</v>
      </c>
      <c r="H1478" s="1">
        <v>45958.520138888889</v>
      </c>
      <c r="I1478" s="5">
        <f>INT(TB[[#This Row],[时间戳]])</f>
        <v>45958</v>
      </c>
      <c r="J1478" s="2">
        <f>HOUR(TB[[#This Row],[时间戳]])</f>
        <v>12</v>
      </c>
      <c r="K1478">
        <v>7898</v>
      </c>
      <c r="L1478">
        <v>1</v>
      </c>
      <c r="M1478">
        <f>TB[[#This Row],[售价]]*TB[[#This Row],[销量]]</f>
        <v>7898</v>
      </c>
      <c r="N1478" t="str">
        <f>IF(TB[[#This Row],[售价]]&lt;1000,"低价商品",IF(TB[[#This Row],[售价]]&lt;5000,"中价商品",IF(TB[[#This Row],[售价]]&lt;10000,"高价商品","超高价商品")))</f>
        <v>高价商品</v>
      </c>
    </row>
    <row r="1479" spans="1:14" x14ac:dyDescent="0.2">
      <c r="A1479">
        <v>216</v>
      </c>
      <c r="B1479">
        <v>83</v>
      </c>
      <c r="C1479" t="s">
        <v>32</v>
      </c>
      <c r="D1479" t="s">
        <v>288</v>
      </c>
      <c r="E1479" t="s">
        <v>22</v>
      </c>
      <c r="F1479">
        <v>1</v>
      </c>
      <c r="G1479" t="s">
        <v>13</v>
      </c>
      <c r="H1479" s="1">
        <v>45958.546527777777</v>
      </c>
      <c r="I1479" s="5">
        <f>INT(TB[[#This Row],[时间戳]])</f>
        <v>45958</v>
      </c>
      <c r="J1479" s="2">
        <f>HOUR(TB[[#This Row],[时间戳]])</f>
        <v>13</v>
      </c>
      <c r="K1479">
        <v>3310</v>
      </c>
      <c r="L1479">
        <v>1</v>
      </c>
      <c r="M1479">
        <f>TB[[#This Row],[售价]]*TB[[#This Row],[销量]]</f>
        <v>3310</v>
      </c>
      <c r="N1479" t="str">
        <f>IF(TB[[#This Row],[售价]]&lt;1000,"低价商品",IF(TB[[#This Row],[售价]]&lt;5000,"中价商品",IF(TB[[#This Row],[售价]]&lt;10000,"高价商品","超高价商品")))</f>
        <v>中价商品</v>
      </c>
    </row>
    <row r="1480" spans="1:14" x14ac:dyDescent="0.2">
      <c r="A1480">
        <v>35</v>
      </c>
      <c r="B1480">
        <v>141</v>
      </c>
      <c r="C1480" t="s">
        <v>34</v>
      </c>
      <c r="D1480" t="s">
        <v>62</v>
      </c>
      <c r="E1480" t="s">
        <v>31</v>
      </c>
      <c r="F1480">
        <v>4</v>
      </c>
      <c r="G1480" t="s">
        <v>42</v>
      </c>
      <c r="H1480" s="1">
        <v>45958.576388888891</v>
      </c>
      <c r="I1480" s="5">
        <f>INT(TB[[#This Row],[时间戳]])</f>
        <v>45958</v>
      </c>
      <c r="J1480" s="2">
        <f>HOUR(TB[[#This Row],[时间戳]])</f>
        <v>13</v>
      </c>
      <c r="K1480">
        <v>1071</v>
      </c>
      <c r="L1480">
        <v>0</v>
      </c>
      <c r="M1480">
        <f>TB[[#This Row],[售价]]*TB[[#This Row],[销量]]</f>
        <v>0</v>
      </c>
      <c r="N1480" t="str">
        <f>IF(TB[[#This Row],[售价]]&lt;1000,"低价商品",IF(TB[[#This Row],[售价]]&lt;5000,"中价商品",IF(TB[[#This Row],[售价]]&lt;10000,"高价商品","超高价商品")))</f>
        <v>中价商品</v>
      </c>
    </row>
    <row r="1481" spans="1:14" x14ac:dyDescent="0.2">
      <c r="A1481">
        <v>755</v>
      </c>
      <c r="B1481">
        <v>212</v>
      </c>
      <c r="C1481" t="s">
        <v>44</v>
      </c>
      <c r="D1481" t="s">
        <v>169</v>
      </c>
      <c r="E1481" t="s">
        <v>31</v>
      </c>
      <c r="F1481">
        <v>4</v>
      </c>
      <c r="G1481" t="s">
        <v>13</v>
      </c>
      <c r="H1481" s="1">
        <v>45958.586805555555</v>
      </c>
      <c r="I1481" s="5">
        <f>INT(TB[[#This Row],[时间戳]])</f>
        <v>45958</v>
      </c>
      <c r="J1481" s="2">
        <f>HOUR(TB[[#This Row],[时间戳]])</f>
        <v>14</v>
      </c>
      <c r="K1481">
        <v>413</v>
      </c>
      <c r="L1481">
        <v>2</v>
      </c>
      <c r="M1481">
        <f>TB[[#This Row],[售价]]*TB[[#This Row],[销量]]</f>
        <v>826</v>
      </c>
      <c r="N1481" t="str">
        <f>IF(TB[[#This Row],[售价]]&lt;1000,"低价商品",IF(TB[[#This Row],[售价]]&lt;5000,"中价商品",IF(TB[[#This Row],[售价]]&lt;10000,"高价商品","超高价商品")))</f>
        <v>低价商品</v>
      </c>
    </row>
    <row r="1482" spans="1:14" x14ac:dyDescent="0.2">
      <c r="A1482">
        <v>165</v>
      </c>
      <c r="B1482">
        <v>134</v>
      </c>
      <c r="C1482" t="s">
        <v>17</v>
      </c>
      <c r="D1482" t="s">
        <v>74</v>
      </c>
      <c r="E1482" t="s">
        <v>22</v>
      </c>
      <c r="F1482">
        <v>1</v>
      </c>
      <c r="G1482" t="s">
        <v>13</v>
      </c>
      <c r="H1482" s="1">
        <v>45958.618055555555</v>
      </c>
      <c r="I1482" s="5">
        <f>INT(TB[[#This Row],[时间戳]])</f>
        <v>45958</v>
      </c>
      <c r="J1482" s="2">
        <f>HOUR(TB[[#This Row],[时间戳]])</f>
        <v>14</v>
      </c>
      <c r="K1482">
        <v>7860</v>
      </c>
      <c r="L1482">
        <v>3</v>
      </c>
      <c r="M1482">
        <f>TB[[#This Row],[售价]]*TB[[#This Row],[销量]]</f>
        <v>23580</v>
      </c>
      <c r="N1482" t="str">
        <f>IF(TB[[#This Row],[售价]]&lt;1000,"低价商品",IF(TB[[#This Row],[售价]]&lt;5000,"中价商品",IF(TB[[#This Row],[售价]]&lt;10000,"高价商品","超高价商品")))</f>
        <v>高价商品</v>
      </c>
    </row>
    <row r="1483" spans="1:14" x14ac:dyDescent="0.2">
      <c r="A1483">
        <v>617</v>
      </c>
      <c r="B1483">
        <v>281</v>
      </c>
      <c r="C1483" t="s">
        <v>34</v>
      </c>
      <c r="D1483" t="s">
        <v>62</v>
      </c>
      <c r="E1483" t="s">
        <v>31</v>
      </c>
      <c r="F1483">
        <v>4</v>
      </c>
      <c r="G1483" t="s">
        <v>13</v>
      </c>
      <c r="H1483" s="1">
        <v>45958.620138888888</v>
      </c>
      <c r="I1483" s="5">
        <f>INT(TB[[#This Row],[时间戳]])</f>
        <v>45958</v>
      </c>
      <c r="J1483" s="2">
        <f>HOUR(TB[[#This Row],[时间戳]])</f>
        <v>14</v>
      </c>
      <c r="K1483">
        <v>919</v>
      </c>
      <c r="L1483">
        <v>1</v>
      </c>
      <c r="M1483">
        <f>TB[[#This Row],[售价]]*TB[[#This Row],[销量]]</f>
        <v>919</v>
      </c>
      <c r="N1483" t="str">
        <f>IF(TB[[#This Row],[售价]]&lt;1000,"低价商品",IF(TB[[#This Row],[售价]]&lt;5000,"中价商品",IF(TB[[#This Row],[售价]]&lt;10000,"高价商品","超高价商品")))</f>
        <v>低价商品</v>
      </c>
    </row>
    <row r="1484" spans="1:14" x14ac:dyDescent="0.2">
      <c r="A1484">
        <v>781</v>
      </c>
      <c r="B1484">
        <v>27</v>
      </c>
      <c r="C1484" t="s">
        <v>44</v>
      </c>
      <c r="D1484" t="s">
        <v>347</v>
      </c>
      <c r="E1484" t="s">
        <v>39</v>
      </c>
      <c r="F1484">
        <v>5</v>
      </c>
      <c r="G1484" t="s">
        <v>13</v>
      </c>
      <c r="H1484" s="1">
        <v>45958.634722222225</v>
      </c>
      <c r="I1484" s="5">
        <f>INT(TB[[#This Row],[时间戳]])</f>
        <v>45958</v>
      </c>
      <c r="J1484" s="2">
        <f>HOUR(TB[[#This Row],[时间戳]])</f>
        <v>15</v>
      </c>
      <c r="K1484">
        <v>3788</v>
      </c>
      <c r="L1484">
        <v>1</v>
      </c>
      <c r="M1484">
        <f>TB[[#This Row],[售价]]*TB[[#This Row],[销量]]</f>
        <v>3788</v>
      </c>
      <c r="N1484" t="str">
        <f>IF(TB[[#This Row],[售价]]&lt;1000,"低价商品",IF(TB[[#This Row],[售价]]&lt;5000,"中价商品",IF(TB[[#This Row],[售价]]&lt;10000,"高价商品","超高价商品")))</f>
        <v>中价商品</v>
      </c>
    </row>
    <row r="1485" spans="1:14" x14ac:dyDescent="0.2">
      <c r="A1485">
        <v>455</v>
      </c>
      <c r="B1485">
        <v>70</v>
      </c>
      <c r="C1485" t="s">
        <v>26</v>
      </c>
      <c r="D1485" t="s">
        <v>65</v>
      </c>
      <c r="E1485" t="s">
        <v>22</v>
      </c>
      <c r="F1485">
        <v>1</v>
      </c>
      <c r="G1485" t="s">
        <v>13</v>
      </c>
      <c r="H1485" s="1">
        <v>45958.634722222225</v>
      </c>
      <c r="I1485" s="5">
        <f>INT(TB[[#This Row],[时间戳]])</f>
        <v>45958</v>
      </c>
      <c r="J1485" s="2">
        <f>HOUR(TB[[#This Row],[时间戳]])</f>
        <v>15</v>
      </c>
      <c r="K1485">
        <v>6382</v>
      </c>
      <c r="L1485">
        <v>2</v>
      </c>
      <c r="M1485">
        <f>TB[[#This Row],[售价]]*TB[[#This Row],[销量]]</f>
        <v>12764</v>
      </c>
      <c r="N1485" t="str">
        <f>IF(TB[[#This Row],[售价]]&lt;1000,"低价商品",IF(TB[[#This Row],[售价]]&lt;5000,"中价商品",IF(TB[[#This Row],[售价]]&lt;10000,"高价商品","超高价商品")))</f>
        <v>高价商品</v>
      </c>
    </row>
    <row r="1486" spans="1:14" x14ac:dyDescent="0.2">
      <c r="A1486">
        <v>322</v>
      </c>
      <c r="B1486">
        <v>295</v>
      </c>
      <c r="C1486" t="s">
        <v>32</v>
      </c>
      <c r="D1486" t="s">
        <v>107</v>
      </c>
      <c r="E1486" t="s">
        <v>31</v>
      </c>
      <c r="F1486">
        <v>4</v>
      </c>
      <c r="G1486" t="s">
        <v>13</v>
      </c>
      <c r="H1486" s="1">
        <v>45958.642361111109</v>
      </c>
      <c r="I1486" s="5">
        <f>INT(TB[[#This Row],[时间戳]])</f>
        <v>45958</v>
      </c>
      <c r="J1486" s="2">
        <f>HOUR(TB[[#This Row],[时间戳]])</f>
        <v>15</v>
      </c>
      <c r="K1486">
        <v>61</v>
      </c>
      <c r="L1486">
        <v>4</v>
      </c>
      <c r="M1486">
        <f>TB[[#This Row],[售价]]*TB[[#This Row],[销量]]</f>
        <v>244</v>
      </c>
      <c r="N1486" t="str">
        <f>IF(TB[[#This Row],[售价]]&lt;1000,"低价商品",IF(TB[[#This Row],[售价]]&lt;5000,"中价商品",IF(TB[[#This Row],[售价]]&lt;10000,"高价商品","超高价商品")))</f>
        <v>低价商品</v>
      </c>
    </row>
    <row r="1487" spans="1:14" x14ac:dyDescent="0.2">
      <c r="A1487">
        <v>529</v>
      </c>
      <c r="B1487">
        <v>67</v>
      </c>
      <c r="C1487" t="s">
        <v>26</v>
      </c>
      <c r="D1487" t="s">
        <v>27</v>
      </c>
      <c r="E1487" t="s">
        <v>22</v>
      </c>
      <c r="F1487">
        <v>1</v>
      </c>
      <c r="G1487" t="s">
        <v>13</v>
      </c>
      <c r="H1487" s="1">
        <v>45958.650694444441</v>
      </c>
      <c r="I1487" s="5">
        <f>INT(TB[[#This Row],[时间戳]])</f>
        <v>45958</v>
      </c>
      <c r="J1487" s="2">
        <f>HOUR(TB[[#This Row],[时间戳]])</f>
        <v>15</v>
      </c>
      <c r="K1487">
        <v>1529</v>
      </c>
      <c r="L1487">
        <v>3</v>
      </c>
      <c r="M1487">
        <f>TB[[#This Row],[售价]]*TB[[#This Row],[销量]]</f>
        <v>4587</v>
      </c>
      <c r="N1487" t="str">
        <f>IF(TB[[#This Row],[售价]]&lt;1000,"低价商品",IF(TB[[#This Row],[售价]]&lt;5000,"中价商品",IF(TB[[#This Row],[售价]]&lt;10000,"高价商品","超高价商品")))</f>
        <v>中价商品</v>
      </c>
    </row>
    <row r="1488" spans="1:14" x14ac:dyDescent="0.2">
      <c r="A1488">
        <v>463</v>
      </c>
      <c r="B1488">
        <v>245</v>
      </c>
      <c r="C1488" t="s">
        <v>17</v>
      </c>
      <c r="D1488" t="s">
        <v>279</v>
      </c>
      <c r="E1488" t="s">
        <v>22</v>
      </c>
      <c r="F1488">
        <v>1</v>
      </c>
      <c r="G1488" t="s">
        <v>13</v>
      </c>
      <c r="H1488" s="1">
        <v>45958.659722222219</v>
      </c>
      <c r="I1488" s="5">
        <f>INT(TB[[#This Row],[时间戳]])</f>
        <v>45958</v>
      </c>
      <c r="J1488" s="2">
        <f>HOUR(TB[[#This Row],[时间戳]])</f>
        <v>15</v>
      </c>
      <c r="K1488">
        <v>8000</v>
      </c>
      <c r="L1488">
        <v>1</v>
      </c>
      <c r="M1488">
        <f>TB[[#This Row],[售价]]*TB[[#This Row],[销量]]</f>
        <v>8000</v>
      </c>
      <c r="N1488" t="str">
        <f>IF(TB[[#This Row],[售价]]&lt;1000,"低价商品",IF(TB[[#This Row],[售价]]&lt;5000,"中价商品",IF(TB[[#This Row],[售价]]&lt;10000,"高价商品","超高价商品")))</f>
        <v>高价商品</v>
      </c>
    </row>
    <row r="1489" spans="1:14" x14ac:dyDescent="0.2">
      <c r="A1489">
        <v>704</v>
      </c>
      <c r="B1489">
        <v>168</v>
      </c>
      <c r="C1489" t="s">
        <v>36</v>
      </c>
      <c r="D1489" t="s">
        <v>310</v>
      </c>
      <c r="E1489" t="s">
        <v>39</v>
      </c>
      <c r="F1489">
        <v>5</v>
      </c>
      <c r="G1489" t="s">
        <v>13</v>
      </c>
      <c r="H1489" s="1">
        <v>45958.681944444441</v>
      </c>
      <c r="I1489" s="5">
        <f>INT(TB[[#This Row],[时间戳]])</f>
        <v>45958</v>
      </c>
      <c r="J1489" s="2">
        <f>HOUR(TB[[#This Row],[时间戳]])</f>
        <v>16</v>
      </c>
      <c r="K1489">
        <v>3679</v>
      </c>
      <c r="L1489">
        <v>2</v>
      </c>
      <c r="M1489">
        <f>TB[[#This Row],[售价]]*TB[[#This Row],[销量]]</f>
        <v>7358</v>
      </c>
      <c r="N1489" t="str">
        <f>IF(TB[[#This Row],[售价]]&lt;1000,"低价商品",IF(TB[[#This Row],[售价]]&lt;5000,"中价商品",IF(TB[[#This Row],[售价]]&lt;10000,"高价商品","超高价商品")))</f>
        <v>中价商品</v>
      </c>
    </row>
    <row r="1490" spans="1:14" x14ac:dyDescent="0.2">
      <c r="A1490">
        <v>377</v>
      </c>
      <c r="B1490">
        <v>94</v>
      </c>
      <c r="C1490" t="s">
        <v>14</v>
      </c>
      <c r="D1490" t="s">
        <v>405</v>
      </c>
      <c r="E1490" t="s">
        <v>19</v>
      </c>
      <c r="F1490">
        <v>3</v>
      </c>
      <c r="G1490" t="s">
        <v>13</v>
      </c>
      <c r="H1490" s="1">
        <v>45958.690972222219</v>
      </c>
      <c r="I1490" s="5">
        <f>INT(TB[[#This Row],[时间戳]])</f>
        <v>45958</v>
      </c>
      <c r="J1490" s="2">
        <f>HOUR(TB[[#This Row],[时间戳]])</f>
        <v>16</v>
      </c>
      <c r="K1490">
        <v>3709</v>
      </c>
      <c r="L1490">
        <v>1</v>
      </c>
      <c r="M1490">
        <f>TB[[#This Row],[售价]]*TB[[#This Row],[销量]]</f>
        <v>3709</v>
      </c>
      <c r="N1490" t="str">
        <f>IF(TB[[#This Row],[售价]]&lt;1000,"低价商品",IF(TB[[#This Row],[售价]]&lt;5000,"中价商品",IF(TB[[#This Row],[售价]]&lt;10000,"高价商品","超高价商品")))</f>
        <v>中价商品</v>
      </c>
    </row>
    <row r="1491" spans="1:14" x14ac:dyDescent="0.2">
      <c r="A1491">
        <v>22</v>
      </c>
      <c r="B1491">
        <v>12</v>
      </c>
      <c r="C1491" t="s">
        <v>46</v>
      </c>
      <c r="D1491" t="s">
        <v>117</v>
      </c>
      <c r="E1491" t="s">
        <v>39</v>
      </c>
      <c r="F1491">
        <v>5</v>
      </c>
      <c r="G1491" t="s">
        <v>13</v>
      </c>
      <c r="H1491" s="1">
        <v>45958.701388888891</v>
      </c>
      <c r="I1491" s="5">
        <f>INT(TB[[#This Row],[时间戳]])</f>
        <v>45958</v>
      </c>
      <c r="J1491" s="2">
        <f>HOUR(TB[[#This Row],[时间戳]])</f>
        <v>16</v>
      </c>
      <c r="K1491">
        <v>2404</v>
      </c>
      <c r="L1491">
        <v>2</v>
      </c>
      <c r="M1491">
        <f>TB[[#This Row],[售价]]*TB[[#This Row],[销量]]</f>
        <v>4808</v>
      </c>
      <c r="N1491" t="str">
        <f>IF(TB[[#This Row],[售价]]&lt;1000,"低价商品",IF(TB[[#This Row],[售价]]&lt;5000,"中价商品",IF(TB[[#This Row],[售价]]&lt;10000,"高价商品","超高价商品")))</f>
        <v>中价商品</v>
      </c>
    </row>
    <row r="1492" spans="1:14" x14ac:dyDescent="0.2">
      <c r="A1492">
        <v>269</v>
      </c>
      <c r="B1492">
        <v>87</v>
      </c>
      <c r="C1492" t="s">
        <v>44</v>
      </c>
      <c r="D1492" t="s">
        <v>143</v>
      </c>
      <c r="E1492" t="s">
        <v>19</v>
      </c>
      <c r="F1492">
        <v>3</v>
      </c>
      <c r="G1492" t="s">
        <v>13</v>
      </c>
      <c r="H1492" s="1">
        <v>45958.706944444442</v>
      </c>
      <c r="I1492" s="5">
        <f>INT(TB[[#This Row],[时间戳]])</f>
        <v>45958</v>
      </c>
      <c r="J1492" s="2">
        <f>HOUR(TB[[#This Row],[时间戳]])</f>
        <v>16</v>
      </c>
      <c r="K1492">
        <v>3218</v>
      </c>
      <c r="L1492">
        <v>3</v>
      </c>
      <c r="M1492">
        <f>TB[[#This Row],[售价]]*TB[[#This Row],[销量]]</f>
        <v>9654</v>
      </c>
      <c r="N1492" t="str">
        <f>IF(TB[[#This Row],[售价]]&lt;1000,"低价商品",IF(TB[[#This Row],[售价]]&lt;5000,"中价商品",IF(TB[[#This Row],[售价]]&lt;10000,"高价商品","超高价商品")))</f>
        <v>中价商品</v>
      </c>
    </row>
    <row r="1493" spans="1:14" x14ac:dyDescent="0.2">
      <c r="A1493">
        <v>615</v>
      </c>
      <c r="B1493">
        <v>134</v>
      </c>
      <c r="C1493" t="s">
        <v>46</v>
      </c>
      <c r="D1493" t="s">
        <v>47</v>
      </c>
      <c r="E1493" t="s">
        <v>22</v>
      </c>
      <c r="F1493">
        <v>1</v>
      </c>
      <c r="G1493" t="s">
        <v>13</v>
      </c>
      <c r="H1493" s="1">
        <v>45958.715277777781</v>
      </c>
      <c r="I1493" s="5">
        <f>INT(TB[[#This Row],[时间戳]])</f>
        <v>45958</v>
      </c>
      <c r="J1493" s="2">
        <f>HOUR(TB[[#This Row],[时间戳]])</f>
        <v>17</v>
      </c>
      <c r="K1493">
        <v>1412</v>
      </c>
      <c r="L1493">
        <v>1</v>
      </c>
      <c r="M1493">
        <f>TB[[#This Row],[售价]]*TB[[#This Row],[销量]]</f>
        <v>1412</v>
      </c>
      <c r="N1493" t="str">
        <f>IF(TB[[#This Row],[售价]]&lt;1000,"低价商品",IF(TB[[#This Row],[售价]]&lt;5000,"中价商品",IF(TB[[#This Row],[售价]]&lt;10000,"高价商品","超高价商品")))</f>
        <v>中价商品</v>
      </c>
    </row>
    <row r="1494" spans="1:14" x14ac:dyDescent="0.2">
      <c r="A1494">
        <v>581</v>
      </c>
      <c r="B1494">
        <v>61</v>
      </c>
      <c r="C1494" t="s">
        <v>34</v>
      </c>
      <c r="D1494" t="s">
        <v>339</v>
      </c>
      <c r="E1494" t="s">
        <v>12</v>
      </c>
      <c r="F1494">
        <v>2</v>
      </c>
      <c r="G1494" t="s">
        <v>13</v>
      </c>
      <c r="H1494" s="1">
        <v>45958.720138888886</v>
      </c>
      <c r="I1494" s="5">
        <f>INT(TB[[#This Row],[时间戳]])</f>
        <v>45958</v>
      </c>
      <c r="J1494" s="2">
        <f>HOUR(TB[[#This Row],[时间戳]])</f>
        <v>17</v>
      </c>
      <c r="K1494">
        <v>6290</v>
      </c>
      <c r="L1494">
        <v>2</v>
      </c>
      <c r="M1494">
        <f>TB[[#This Row],[售价]]*TB[[#This Row],[销量]]</f>
        <v>12580</v>
      </c>
      <c r="N1494" t="str">
        <f>IF(TB[[#This Row],[售价]]&lt;1000,"低价商品",IF(TB[[#This Row],[售价]]&lt;5000,"中价商品",IF(TB[[#This Row],[售价]]&lt;10000,"高价商品","超高价商品")))</f>
        <v>高价商品</v>
      </c>
    </row>
    <row r="1495" spans="1:14" x14ac:dyDescent="0.2">
      <c r="A1495">
        <v>792</v>
      </c>
      <c r="B1495">
        <v>233</v>
      </c>
      <c r="C1495" t="s">
        <v>20</v>
      </c>
      <c r="D1495" t="s">
        <v>353</v>
      </c>
      <c r="E1495" t="s">
        <v>25</v>
      </c>
      <c r="F1495">
        <v>7</v>
      </c>
      <c r="G1495" t="s">
        <v>13</v>
      </c>
      <c r="H1495" s="1">
        <v>45958.72152777778</v>
      </c>
      <c r="I1495" s="5">
        <f>INT(TB[[#This Row],[时间戳]])</f>
        <v>45958</v>
      </c>
      <c r="J1495" s="2">
        <f>HOUR(TB[[#This Row],[时间戳]])</f>
        <v>17</v>
      </c>
      <c r="K1495">
        <v>1782</v>
      </c>
      <c r="L1495">
        <v>4</v>
      </c>
      <c r="M1495">
        <f>TB[[#This Row],[售价]]*TB[[#This Row],[销量]]</f>
        <v>7128</v>
      </c>
      <c r="N1495" t="str">
        <f>IF(TB[[#This Row],[售价]]&lt;1000,"低价商品",IF(TB[[#This Row],[售价]]&lt;5000,"中价商品",IF(TB[[#This Row],[售价]]&lt;10000,"高价商品","超高价商品")))</f>
        <v>中价商品</v>
      </c>
    </row>
    <row r="1496" spans="1:14" x14ac:dyDescent="0.2">
      <c r="A1496">
        <v>230</v>
      </c>
      <c r="B1496">
        <v>105</v>
      </c>
      <c r="C1496" t="s">
        <v>44</v>
      </c>
      <c r="D1496" t="s">
        <v>59</v>
      </c>
      <c r="E1496" t="s">
        <v>22</v>
      </c>
      <c r="F1496">
        <v>1</v>
      </c>
      <c r="G1496" t="s">
        <v>13</v>
      </c>
      <c r="H1496" s="1">
        <v>45958.738194444442</v>
      </c>
      <c r="I1496" s="5">
        <f>INT(TB[[#This Row],[时间戳]])</f>
        <v>45958</v>
      </c>
      <c r="J1496" s="2">
        <f>HOUR(TB[[#This Row],[时间戳]])</f>
        <v>17</v>
      </c>
      <c r="K1496">
        <v>7920</v>
      </c>
      <c r="L1496">
        <v>2</v>
      </c>
      <c r="M1496">
        <f>TB[[#This Row],[售价]]*TB[[#This Row],[销量]]</f>
        <v>15840</v>
      </c>
      <c r="N1496" t="str">
        <f>IF(TB[[#This Row],[售价]]&lt;1000,"低价商品",IF(TB[[#This Row],[售价]]&lt;5000,"中价商品",IF(TB[[#This Row],[售价]]&lt;10000,"高价商品","超高价商品")))</f>
        <v>高价商品</v>
      </c>
    </row>
    <row r="1497" spans="1:14" x14ac:dyDescent="0.2">
      <c r="A1497">
        <v>765</v>
      </c>
      <c r="B1497">
        <v>254</v>
      </c>
      <c r="C1497" t="s">
        <v>36</v>
      </c>
      <c r="D1497" t="s">
        <v>213</v>
      </c>
      <c r="E1497" t="s">
        <v>39</v>
      </c>
      <c r="F1497">
        <v>5</v>
      </c>
      <c r="G1497" t="s">
        <v>13</v>
      </c>
      <c r="H1497" s="1">
        <v>45958.759027777778</v>
      </c>
      <c r="I1497" s="5">
        <f>INT(TB[[#This Row],[时间戳]])</f>
        <v>45958</v>
      </c>
      <c r="J1497" s="2">
        <f>HOUR(TB[[#This Row],[时间戳]])</f>
        <v>18</v>
      </c>
      <c r="K1497">
        <v>1780</v>
      </c>
      <c r="L1497">
        <v>2</v>
      </c>
      <c r="M1497">
        <f>TB[[#This Row],[售价]]*TB[[#This Row],[销量]]</f>
        <v>3560</v>
      </c>
      <c r="N1497" t="str">
        <f>IF(TB[[#This Row],[售价]]&lt;1000,"低价商品",IF(TB[[#This Row],[售价]]&lt;5000,"中价商品",IF(TB[[#This Row],[售价]]&lt;10000,"高价商品","超高价商品")))</f>
        <v>中价商品</v>
      </c>
    </row>
    <row r="1498" spans="1:14" x14ac:dyDescent="0.2">
      <c r="A1498">
        <v>615</v>
      </c>
      <c r="B1498">
        <v>111</v>
      </c>
      <c r="C1498" t="s">
        <v>17</v>
      </c>
      <c r="D1498" t="s">
        <v>214</v>
      </c>
      <c r="E1498" t="s">
        <v>22</v>
      </c>
      <c r="F1498">
        <v>1</v>
      </c>
      <c r="G1498" t="s">
        <v>13</v>
      </c>
      <c r="H1498" s="1">
        <v>45958.776388888888</v>
      </c>
      <c r="I1498" s="5">
        <f>INT(TB[[#This Row],[时间戳]])</f>
        <v>45958</v>
      </c>
      <c r="J1498" s="2">
        <f>HOUR(TB[[#This Row],[时间戳]])</f>
        <v>18</v>
      </c>
      <c r="K1498">
        <v>3995</v>
      </c>
      <c r="L1498">
        <v>2</v>
      </c>
      <c r="M1498">
        <f>TB[[#This Row],[售价]]*TB[[#This Row],[销量]]</f>
        <v>7990</v>
      </c>
      <c r="N1498" t="str">
        <f>IF(TB[[#This Row],[售价]]&lt;1000,"低价商品",IF(TB[[#This Row],[售价]]&lt;5000,"中价商品",IF(TB[[#This Row],[售价]]&lt;10000,"高价商品","超高价商品")))</f>
        <v>中价商品</v>
      </c>
    </row>
    <row r="1499" spans="1:14" x14ac:dyDescent="0.2">
      <c r="A1499">
        <v>185</v>
      </c>
      <c r="B1499">
        <v>210</v>
      </c>
      <c r="C1499" t="s">
        <v>32</v>
      </c>
      <c r="D1499" t="s">
        <v>101</v>
      </c>
      <c r="E1499" t="s">
        <v>39</v>
      </c>
      <c r="F1499">
        <v>5</v>
      </c>
      <c r="G1499" t="s">
        <v>13</v>
      </c>
      <c r="H1499" s="1">
        <v>45958.788194444445</v>
      </c>
      <c r="I1499" s="5">
        <f>INT(TB[[#This Row],[时间戳]])</f>
        <v>45958</v>
      </c>
      <c r="J1499" s="2">
        <f>HOUR(TB[[#This Row],[时间戳]])</f>
        <v>18</v>
      </c>
      <c r="K1499">
        <v>2131</v>
      </c>
      <c r="L1499">
        <v>2</v>
      </c>
      <c r="M1499">
        <f>TB[[#This Row],[售价]]*TB[[#This Row],[销量]]</f>
        <v>4262</v>
      </c>
      <c r="N1499" t="str">
        <f>IF(TB[[#This Row],[售价]]&lt;1000,"低价商品",IF(TB[[#This Row],[售价]]&lt;5000,"中价商品",IF(TB[[#This Row],[售价]]&lt;10000,"高价商品","超高价商品")))</f>
        <v>中价商品</v>
      </c>
    </row>
    <row r="1500" spans="1:14" x14ac:dyDescent="0.2">
      <c r="A1500">
        <v>269</v>
      </c>
      <c r="B1500">
        <v>121</v>
      </c>
      <c r="C1500" t="s">
        <v>10</v>
      </c>
      <c r="D1500" t="s">
        <v>96</v>
      </c>
      <c r="E1500" t="s">
        <v>22</v>
      </c>
      <c r="F1500">
        <v>1</v>
      </c>
      <c r="G1500" t="s">
        <v>42</v>
      </c>
      <c r="H1500" s="1">
        <v>45958.796527777777</v>
      </c>
      <c r="I1500" s="5">
        <f>INT(TB[[#This Row],[时间戳]])</f>
        <v>45958</v>
      </c>
      <c r="J1500" s="2">
        <f>HOUR(TB[[#This Row],[时间戳]])</f>
        <v>19</v>
      </c>
      <c r="K1500">
        <v>7365</v>
      </c>
      <c r="L1500">
        <v>0</v>
      </c>
      <c r="M1500">
        <f>TB[[#This Row],[售价]]*TB[[#This Row],[销量]]</f>
        <v>0</v>
      </c>
      <c r="N1500" t="str">
        <f>IF(TB[[#This Row],[售价]]&lt;1000,"低价商品",IF(TB[[#This Row],[售价]]&lt;5000,"中价商品",IF(TB[[#This Row],[售价]]&lt;10000,"高价商品","超高价商品")))</f>
        <v>高价商品</v>
      </c>
    </row>
    <row r="1501" spans="1:14" x14ac:dyDescent="0.2">
      <c r="A1501">
        <v>597</v>
      </c>
      <c r="B1501">
        <v>235</v>
      </c>
      <c r="C1501" t="s">
        <v>32</v>
      </c>
      <c r="D1501" t="s">
        <v>224</v>
      </c>
      <c r="E1501" t="s">
        <v>25</v>
      </c>
      <c r="F1501">
        <v>7</v>
      </c>
      <c r="G1501" t="s">
        <v>13</v>
      </c>
      <c r="H1501" s="1">
        <v>45958.833333333336</v>
      </c>
      <c r="I1501" s="5">
        <f>INT(TB[[#This Row],[时间戳]])</f>
        <v>45958</v>
      </c>
      <c r="J1501" s="2">
        <f>HOUR(TB[[#This Row],[时间戳]])</f>
        <v>20</v>
      </c>
      <c r="K1501">
        <v>6590</v>
      </c>
      <c r="L1501">
        <v>1</v>
      </c>
      <c r="M1501">
        <f>TB[[#This Row],[售价]]*TB[[#This Row],[销量]]</f>
        <v>6590</v>
      </c>
      <c r="N1501" t="str">
        <f>IF(TB[[#This Row],[售价]]&lt;1000,"低价商品",IF(TB[[#This Row],[售价]]&lt;5000,"中价商品",IF(TB[[#This Row],[售价]]&lt;10000,"高价商品","超高价商品")))</f>
        <v>高价商品</v>
      </c>
    </row>
    <row r="1502" spans="1:14" x14ac:dyDescent="0.2">
      <c r="A1502">
        <v>332</v>
      </c>
      <c r="B1502">
        <v>204</v>
      </c>
      <c r="C1502" t="s">
        <v>44</v>
      </c>
      <c r="D1502" t="s">
        <v>70</v>
      </c>
      <c r="E1502" t="s">
        <v>12</v>
      </c>
      <c r="F1502">
        <v>2</v>
      </c>
      <c r="G1502" t="s">
        <v>13</v>
      </c>
      <c r="H1502" s="1">
        <v>45958.84652777778</v>
      </c>
      <c r="I1502" s="5">
        <f>INT(TB[[#This Row],[时间戳]])</f>
        <v>45958</v>
      </c>
      <c r="J1502" s="2">
        <f>HOUR(TB[[#This Row],[时间戳]])</f>
        <v>20</v>
      </c>
      <c r="K1502">
        <v>5209</v>
      </c>
      <c r="L1502">
        <v>3</v>
      </c>
      <c r="M1502">
        <f>TB[[#This Row],[售价]]*TB[[#This Row],[销量]]</f>
        <v>15627</v>
      </c>
      <c r="N1502" t="str">
        <f>IF(TB[[#This Row],[售价]]&lt;1000,"低价商品",IF(TB[[#This Row],[售价]]&lt;5000,"中价商品",IF(TB[[#This Row],[售价]]&lt;10000,"高价商品","超高价商品")))</f>
        <v>高价商品</v>
      </c>
    </row>
    <row r="1503" spans="1:14" x14ac:dyDescent="0.2">
      <c r="A1503">
        <v>434</v>
      </c>
      <c r="B1503">
        <v>132</v>
      </c>
      <c r="C1503" t="s">
        <v>17</v>
      </c>
      <c r="D1503" t="s">
        <v>98</v>
      </c>
      <c r="E1503" t="s">
        <v>22</v>
      </c>
      <c r="F1503">
        <v>1</v>
      </c>
      <c r="G1503" t="s">
        <v>13</v>
      </c>
      <c r="H1503" s="1">
        <v>45958.859027777777</v>
      </c>
      <c r="I1503" s="5">
        <f>INT(TB[[#This Row],[时间戳]])</f>
        <v>45958</v>
      </c>
      <c r="J1503" s="2">
        <f>HOUR(TB[[#This Row],[时间戳]])</f>
        <v>20</v>
      </c>
      <c r="K1503">
        <v>6534</v>
      </c>
      <c r="L1503">
        <v>4</v>
      </c>
      <c r="M1503">
        <f>TB[[#This Row],[售价]]*TB[[#This Row],[销量]]</f>
        <v>26136</v>
      </c>
      <c r="N1503" t="str">
        <f>IF(TB[[#This Row],[售价]]&lt;1000,"低价商品",IF(TB[[#This Row],[售价]]&lt;5000,"中价商品",IF(TB[[#This Row],[售价]]&lt;10000,"高价商品","超高价商品")))</f>
        <v>高价商品</v>
      </c>
    </row>
    <row r="1504" spans="1:14" x14ac:dyDescent="0.2">
      <c r="A1504">
        <v>54</v>
      </c>
      <c r="B1504">
        <v>171</v>
      </c>
      <c r="C1504" t="s">
        <v>20</v>
      </c>
      <c r="D1504" t="s">
        <v>78</v>
      </c>
      <c r="E1504" t="s">
        <v>22</v>
      </c>
      <c r="F1504">
        <v>1</v>
      </c>
      <c r="G1504" t="s">
        <v>13</v>
      </c>
      <c r="H1504" s="1">
        <v>45958.859027777777</v>
      </c>
      <c r="I1504" s="5">
        <f>INT(TB[[#This Row],[时间戳]])</f>
        <v>45958</v>
      </c>
      <c r="J1504" s="2">
        <f>HOUR(TB[[#This Row],[时间戳]])</f>
        <v>20</v>
      </c>
      <c r="K1504">
        <v>1446</v>
      </c>
      <c r="L1504">
        <v>2</v>
      </c>
      <c r="M1504">
        <f>TB[[#This Row],[售价]]*TB[[#This Row],[销量]]</f>
        <v>2892</v>
      </c>
      <c r="N1504" t="str">
        <f>IF(TB[[#This Row],[售价]]&lt;1000,"低价商品",IF(TB[[#This Row],[售价]]&lt;5000,"中价商品",IF(TB[[#This Row],[售价]]&lt;10000,"高价商品","超高价商品")))</f>
        <v>中价商品</v>
      </c>
    </row>
    <row r="1505" spans="1:14" x14ac:dyDescent="0.2">
      <c r="A1505">
        <v>687</v>
      </c>
      <c r="B1505">
        <v>24</v>
      </c>
      <c r="C1505" t="s">
        <v>34</v>
      </c>
      <c r="D1505" t="s">
        <v>331</v>
      </c>
      <c r="E1505" t="s">
        <v>25</v>
      </c>
      <c r="F1505">
        <v>7</v>
      </c>
      <c r="G1505" t="s">
        <v>13</v>
      </c>
      <c r="H1505" s="1">
        <v>45958.866666666669</v>
      </c>
      <c r="I1505" s="5">
        <f>INT(TB[[#This Row],[时间戳]])</f>
        <v>45958</v>
      </c>
      <c r="J1505" s="2">
        <f>HOUR(TB[[#This Row],[时间戳]])</f>
        <v>20</v>
      </c>
      <c r="K1505">
        <v>3464</v>
      </c>
      <c r="L1505">
        <v>3</v>
      </c>
      <c r="M1505">
        <f>TB[[#This Row],[售价]]*TB[[#This Row],[销量]]</f>
        <v>10392</v>
      </c>
      <c r="N1505" t="str">
        <f>IF(TB[[#This Row],[售价]]&lt;1000,"低价商品",IF(TB[[#This Row],[售价]]&lt;5000,"中价商品",IF(TB[[#This Row],[售价]]&lt;10000,"高价商品","超高价商品")))</f>
        <v>中价商品</v>
      </c>
    </row>
    <row r="1506" spans="1:14" x14ac:dyDescent="0.2">
      <c r="A1506">
        <v>391</v>
      </c>
      <c r="B1506">
        <v>155</v>
      </c>
      <c r="C1506" t="s">
        <v>20</v>
      </c>
      <c r="D1506" t="s">
        <v>367</v>
      </c>
      <c r="E1506" t="s">
        <v>25</v>
      </c>
      <c r="F1506">
        <v>7</v>
      </c>
      <c r="G1506" t="s">
        <v>42</v>
      </c>
      <c r="H1506" s="1">
        <v>45958.875694444447</v>
      </c>
      <c r="I1506" s="5">
        <f>INT(TB[[#This Row],[时间戳]])</f>
        <v>45958</v>
      </c>
      <c r="J1506" s="2">
        <f>HOUR(TB[[#This Row],[时间戳]])</f>
        <v>21</v>
      </c>
      <c r="K1506">
        <v>1500</v>
      </c>
      <c r="L1506">
        <v>0</v>
      </c>
      <c r="M1506">
        <f>TB[[#This Row],[售价]]*TB[[#This Row],[销量]]</f>
        <v>0</v>
      </c>
      <c r="N1506" t="str">
        <f>IF(TB[[#This Row],[售价]]&lt;1000,"低价商品",IF(TB[[#This Row],[售价]]&lt;5000,"中价商品",IF(TB[[#This Row],[售价]]&lt;10000,"高价商品","超高价商品")))</f>
        <v>中价商品</v>
      </c>
    </row>
    <row r="1507" spans="1:14" x14ac:dyDescent="0.2">
      <c r="A1507">
        <v>573</v>
      </c>
      <c r="B1507">
        <v>22</v>
      </c>
      <c r="C1507" t="s">
        <v>34</v>
      </c>
      <c r="D1507" t="s">
        <v>82</v>
      </c>
      <c r="E1507" t="s">
        <v>31</v>
      </c>
      <c r="F1507">
        <v>4</v>
      </c>
      <c r="G1507" t="s">
        <v>13</v>
      </c>
      <c r="H1507" s="1">
        <v>45958.885416666664</v>
      </c>
      <c r="I1507" s="5">
        <f>INT(TB[[#This Row],[时间戳]])</f>
        <v>45958</v>
      </c>
      <c r="J1507" s="2">
        <f>HOUR(TB[[#This Row],[时间戳]])</f>
        <v>21</v>
      </c>
      <c r="K1507">
        <v>1001</v>
      </c>
      <c r="L1507">
        <v>1</v>
      </c>
      <c r="M1507">
        <f>TB[[#This Row],[售价]]*TB[[#This Row],[销量]]</f>
        <v>1001</v>
      </c>
      <c r="N1507" t="str">
        <f>IF(TB[[#This Row],[售价]]&lt;1000,"低价商品",IF(TB[[#This Row],[售价]]&lt;5000,"中价商品",IF(TB[[#This Row],[售价]]&lt;10000,"高价商品","超高价商品")))</f>
        <v>中价商品</v>
      </c>
    </row>
    <row r="1508" spans="1:14" x14ac:dyDescent="0.2">
      <c r="A1508">
        <v>516</v>
      </c>
      <c r="B1508">
        <v>253</v>
      </c>
      <c r="C1508" t="s">
        <v>36</v>
      </c>
      <c r="D1508" t="s">
        <v>238</v>
      </c>
      <c r="E1508" t="s">
        <v>12</v>
      </c>
      <c r="F1508">
        <v>2</v>
      </c>
      <c r="G1508" t="s">
        <v>13</v>
      </c>
      <c r="H1508" s="1">
        <v>45958.901388888888</v>
      </c>
      <c r="I1508" s="5">
        <f>INT(TB[[#This Row],[时间戳]])</f>
        <v>45958</v>
      </c>
      <c r="J1508" s="2">
        <f>HOUR(TB[[#This Row],[时间戳]])</f>
        <v>21</v>
      </c>
      <c r="K1508">
        <v>13401</v>
      </c>
      <c r="L1508">
        <v>3</v>
      </c>
      <c r="M1508">
        <f>TB[[#This Row],[售价]]*TB[[#This Row],[销量]]</f>
        <v>40203</v>
      </c>
      <c r="N1508" t="str">
        <f>IF(TB[[#This Row],[售价]]&lt;1000,"低价商品",IF(TB[[#This Row],[售价]]&lt;5000,"中价商品",IF(TB[[#This Row],[售价]]&lt;10000,"高价商品","超高价商品")))</f>
        <v>超高价商品</v>
      </c>
    </row>
    <row r="1509" spans="1:14" x14ac:dyDescent="0.2">
      <c r="A1509">
        <v>325</v>
      </c>
      <c r="B1509">
        <v>272</v>
      </c>
      <c r="C1509" t="s">
        <v>26</v>
      </c>
      <c r="D1509" t="s">
        <v>179</v>
      </c>
      <c r="E1509" t="s">
        <v>16</v>
      </c>
      <c r="F1509">
        <v>6</v>
      </c>
      <c r="G1509" t="s">
        <v>13</v>
      </c>
      <c r="H1509" s="1">
        <v>45958.915277777778</v>
      </c>
      <c r="I1509" s="5">
        <f>INT(TB[[#This Row],[时间戳]])</f>
        <v>45958</v>
      </c>
      <c r="J1509" s="2">
        <f>HOUR(TB[[#This Row],[时间戳]])</f>
        <v>21</v>
      </c>
      <c r="K1509">
        <v>7596</v>
      </c>
      <c r="L1509">
        <v>3</v>
      </c>
      <c r="M1509">
        <f>TB[[#This Row],[售价]]*TB[[#This Row],[销量]]</f>
        <v>22788</v>
      </c>
      <c r="N1509" t="str">
        <f>IF(TB[[#This Row],[售价]]&lt;1000,"低价商品",IF(TB[[#This Row],[售价]]&lt;5000,"中价商品",IF(TB[[#This Row],[售价]]&lt;10000,"高价商品","超高价商品")))</f>
        <v>高价商品</v>
      </c>
    </row>
    <row r="1510" spans="1:14" x14ac:dyDescent="0.2">
      <c r="A1510">
        <v>321</v>
      </c>
      <c r="B1510">
        <v>23</v>
      </c>
      <c r="C1510" t="s">
        <v>36</v>
      </c>
      <c r="D1510" t="s">
        <v>406</v>
      </c>
      <c r="E1510" t="s">
        <v>16</v>
      </c>
      <c r="F1510">
        <v>6</v>
      </c>
      <c r="G1510" t="s">
        <v>13</v>
      </c>
      <c r="H1510" s="1">
        <v>45958.932638888888</v>
      </c>
      <c r="I1510" s="5">
        <f>INT(TB[[#This Row],[时间戳]])</f>
        <v>45958</v>
      </c>
      <c r="J1510" s="2">
        <f>HOUR(TB[[#This Row],[时间戳]])</f>
        <v>22</v>
      </c>
      <c r="K1510">
        <v>8965</v>
      </c>
      <c r="L1510">
        <v>1</v>
      </c>
      <c r="M1510">
        <f>TB[[#This Row],[售价]]*TB[[#This Row],[销量]]</f>
        <v>8965</v>
      </c>
      <c r="N1510" t="str">
        <f>IF(TB[[#This Row],[售价]]&lt;1000,"低价商品",IF(TB[[#This Row],[售价]]&lt;5000,"中价商品",IF(TB[[#This Row],[售价]]&lt;10000,"高价商品","超高价商品")))</f>
        <v>高价商品</v>
      </c>
    </row>
    <row r="1511" spans="1:14" x14ac:dyDescent="0.2">
      <c r="A1511">
        <v>370</v>
      </c>
      <c r="B1511">
        <v>221</v>
      </c>
      <c r="C1511" t="s">
        <v>36</v>
      </c>
      <c r="D1511" t="s">
        <v>274</v>
      </c>
      <c r="E1511" t="s">
        <v>16</v>
      </c>
      <c r="F1511">
        <v>6</v>
      </c>
      <c r="G1511" t="s">
        <v>13</v>
      </c>
      <c r="H1511" s="1">
        <v>45958.959027777775</v>
      </c>
      <c r="I1511" s="5">
        <f>INT(TB[[#This Row],[时间戳]])</f>
        <v>45958</v>
      </c>
      <c r="J1511" s="2">
        <f>HOUR(TB[[#This Row],[时间戳]])</f>
        <v>23</v>
      </c>
      <c r="K1511">
        <v>4150</v>
      </c>
      <c r="L1511">
        <v>3</v>
      </c>
      <c r="M1511">
        <f>TB[[#This Row],[售价]]*TB[[#This Row],[销量]]</f>
        <v>12450</v>
      </c>
      <c r="N1511" t="str">
        <f>IF(TB[[#This Row],[售价]]&lt;1000,"低价商品",IF(TB[[#This Row],[售价]]&lt;5000,"中价商品",IF(TB[[#This Row],[售价]]&lt;10000,"高价商品","超高价商品")))</f>
        <v>中价商品</v>
      </c>
    </row>
    <row r="1512" spans="1:14" x14ac:dyDescent="0.2">
      <c r="A1512">
        <v>530</v>
      </c>
      <c r="B1512">
        <v>161</v>
      </c>
      <c r="C1512" t="s">
        <v>46</v>
      </c>
      <c r="D1512" t="s">
        <v>142</v>
      </c>
      <c r="E1512" t="s">
        <v>31</v>
      </c>
      <c r="F1512">
        <v>4</v>
      </c>
      <c r="G1512" t="s">
        <v>13</v>
      </c>
      <c r="H1512" s="1">
        <v>45958.989583333336</v>
      </c>
      <c r="I1512" s="5">
        <f>INT(TB[[#This Row],[时间戳]])</f>
        <v>45958</v>
      </c>
      <c r="J1512" s="2">
        <f>HOUR(TB[[#This Row],[时间戳]])</f>
        <v>23</v>
      </c>
      <c r="K1512">
        <v>563</v>
      </c>
      <c r="L1512">
        <v>3</v>
      </c>
      <c r="M1512">
        <f>TB[[#This Row],[售价]]*TB[[#This Row],[销量]]</f>
        <v>1689</v>
      </c>
      <c r="N1512" t="str">
        <f>IF(TB[[#This Row],[售价]]&lt;1000,"低价商品",IF(TB[[#This Row],[售价]]&lt;5000,"中价商品",IF(TB[[#This Row],[售价]]&lt;10000,"高价商品","超高价商品")))</f>
        <v>低价商品</v>
      </c>
    </row>
    <row r="1513" spans="1:14" x14ac:dyDescent="0.2">
      <c r="A1513">
        <v>783</v>
      </c>
      <c r="B1513">
        <v>78</v>
      </c>
      <c r="C1513" t="s">
        <v>34</v>
      </c>
      <c r="D1513" t="s">
        <v>62</v>
      </c>
      <c r="E1513" t="s">
        <v>31</v>
      </c>
      <c r="F1513">
        <v>4</v>
      </c>
      <c r="G1513" t="s">
        <v>13</v>
      </c>
      <c r="H1513" s="1">
        <v>45959.013194444444</v>
      </c>
      <c r="I1513" s="5">
        <f>INT(TB[[#This Row],[时间戳]])</f>
        <v>45959</v>
      </c>
      <c r="J1513" s="2">
        <f>HOUR(TB[[#This Row],[时间戳]])</f>
        <v>0</v>
      </c>
      <c r="K1513">
        <v>826</v>
      </c>
      <c r="L1513">
        <v>1</v>
      </c>
      <c r="M1513">
        <f>TB[[#This Row],[售价]]*TB[[#This Row],[销量]]</f>
        <v>826</v>
      </c>
      <c r="N1513" t="str">
        <f>IF(TB[[#This Row],[售价]]&lt;1000,"低价商品",IF(TB[[#This Row],[售价]]&lt;5000,"中价商品",IF(TB[[#This Row],[售价]]&lt;10000,"高价商品","超高价商品")))</f>
        <v>低价商品</v>
      </c>
    </row>
    <row r="1514" spans="1:14" x14ac:dyDescent="0.2">
      <c r="A1514">
        <v>194</v>
      </c>
      <c r="B1514">
        <v>77</v>
      </c>
      <c r="C1514" t="s">
        <v>44</v>
      </c>
      <c r="D1514" t="s">
        <v>322</v>
      </c>
      <c r="E1514" t="s">
        <v>16</v>
      </c>
      <c r="F1514">
        <v>6</v>
      </c>
      <c r="G1514" t="s">
        <v>13</v>
      </c>
      <c r="H1514" s="1">
        <v>45959.070138888892</v>
      </c>
      <c r="I1514" s="5">
        <f>INT(TB[[#This Row],[时间戳]])</f>
        <v>45959</v>
      </c>
      <c r="J1514" s="2">
        <f>HOUR(TB[[#This Row],[时间戳]])</f>
        <v>1</v>
      </c>
      <c r="K1514">
        <v>11240</v>
      </c>
      <c r="L1514">
        <v>3</v>
      </c>
      <c r="M1514">
        <f>TB[[#This Row],[售价]]*TB[[#This Row],[销量]]</f>
        <v>33720</v>
      </c>
      <c r="N1514" t="str">
        <f>IF(TB[[#This Row],[售价]]&lt;1000,"低价商品",IF(TB[[#This Row],[售价]]&lt;5000,"中价商品",IF(TB[[#This Row],[售价]]&lt;10000,"高价商品","超高价商品")))</f>
        <v>超高价商品</v>
      </c>
    </row>
    <row r="1515" spans="1:14" x14ac:dyDescent="0.2">
      <c r="A1515">
        <v>482</v>
      </c>
      <c r="B1515">
        <v>134</v>
      </c>
      <c r="C1515" t="s">
        <v>26</v>
      </c>
      <c r="D1515" t="s">
        <v>225</v>
      </c>
      <c r="E1515" t="s">
        <v>31</v>
      </c>
      <c r="F1515">
        <v>4</v>
      </c>
      <c r="G1515" t="s">
        <v>13</v>
      </c>
      <c r="H1515" s="1">
        <v>45959.070833333331</v>
      </c>
      <c r="I1515" s="5">
        <f>INT(TB[[#This Row],[时间戳]])</f>
        <v>45959</v>
      </c>
      <c r="J1515" s="2">
        <f>HOUR(TB[[#This Row],[时间戳]])</f>
        <v>1</v>
      </c>
      <c r="K1515">
        <v>78</v>
      </c>
      <c r="L1515">
        <v>2</v>
      </c>
      <c r="M1515">
        <f>TB[[#This Row],[售价]]*TB[[#This Row],[销量]]</f>
        <v>156</v>
      </c>
      <c r="N1515" t="str">
        <f>IF(TB[[#This Row],[售价]]&lt;1000,"低价商品",IF(TB[[#This Row],[售价]]&lt;5000,"中价商品",IF(TB[[#This Row],[售价]]&lt;10000,"高价商品","超高价商品")))</f>
        <v>低价商品</v>
      </c>
    </row>
    <row r="1516" spans="1:14" x14ac:dyDescent="0.2">
      <c r="A1516">
        <v>119</v>
      </c>
      <c r="B1516">
        <v>254</v>
      </c>
      <c r="C1516" t="s">
        <v>44</v>
      </c>
      <c r="D1516" t="s">
        <v>73</v>
      </c>
      <c r="E1516" t="s">
        <v>39</v>
      </c>
      <c r="F1516">
        <v>5</v>
      </c>
      <c r="G1516" t="s">
        <v>13</v>
      </c>
      <c r="H1516" s="1">
        <v>45959.074999999997</v>
      </c>
      <c r="I1516" s="5">
        <f>INT(TB[[#This Row],[时间戳]])</f>
        <v>45959</v>
      </c>
      <c r="J1516" s="2">
        <f>HOUR(TB[[#This Row],[时间戳]])</f>
        <v>1</v>
      </c>
      <c r="K1516">
        <v>1630</v>
      </c>
      <c r="L1516">
        <v>2</v>
      </c>
      <c r="M1516">
        <f>TB[[#This Row],[售价]]*TB[[#This Row],[销量]]</f>
        <v>3260</v>
      </c>
      <c r="N1516" t="str">
        <f>IF(TB[[#This Row],[售价]]&lt;1000,"低价商品",IF(TB[[#This Row],[售价]]&lt;5000,"中价商品",IF(TB[[#This Row],[售价]]&lt;10000,"高价商品","超高价商品")))</f>
        <v>中价商品</v>
      </c>
    </row>
    <row r="1517" spans="1:14" x14ac:dyDescent="0.2">
      <c r="A1517">
        <v>497</v>
      </c>
      <c r="B1517">
        <v>235</v>
      </c>
      <c r="C1517" t="s">
        <v>34</v>
      </c>
      <c r="D1517" t="s">
        <v>125</v>
      </c>
      <c r="E1517" t="s">
        <v>31</v>
      </c>
      <c r="F1517">
        <v>4</v>
      </c>
      <c r="G1517" t="s">
        <v>13</v>
      </c>
      <c r="H1517" s="1">
        <v>45959.074999999997</v>
      </c>
      <c r="I1517" s="5">
        <f>INT(TB[[#This Row],[时间戳]])</f>
        <v>45959</v>
      </c>
      <c r="J1517" s="2">
        <f>HOUR(TB[[#This Row],[时间戳]])</f>
        <v>1</v>
      </c>
      <c r="K1517">
        <v>159</v>
      </c>
      <c r="L1517">
        <v>1</v>
      </c>
      <c r="M1517">
        <f>TB[[#This Row],[售价]]*TB[[#This Row],[销量]]</f>
        <v>159</v>
      </c>
      <c r="N1517" t="str">
        <f>IF(TB[[#This Row],[售价]]&lt;1000,"低价商品",IF(TB[[#This Row],[售价]]&lt;5000,"中价商品",IF(TB[[#This Row],[售价]]&lt;10000,"高价商品","超高价商品")))</f>
        <v>低价商品</v>
      </c>
    </row>
    <row r="1518" spans="1:14" x14ac:dyDescent="0.2">
      <c r="A1518">
        <v>358</v>
      </c>
      <c r="B1518">
        <v>48</v>
      </c>
      <c r="C1518" t="s">
        <v>26</v>
      </c>
      <c r="D1518" t="s">
        <v>271</v>
      </c>
      <c r="E1518" t="s">
        <v>25</v>
      </c>
      <c r="F1518">
        <v>7</v>
      </c>
      <c r="G1518" t="s">
        <v>13</v>
      </c>
      <c r="H1518" s="1">
        <v>45959.094444444447</v>
      </c>
      <c r="I1518" s="5">
        <f>INT(TB[[#This Row],[时间戳]])</f>
        <v>45959</v>
      </c>
      <c r="J1518" s="2">
        <f>HOUR(TB[[#This Row],[时间戳]])</f>
        <v>2</v>
      </c>
      <c r="K1518">
        <v>5395</v>
      </c>
      <c r="L1518">
        <v>2</v>
      </c>
      <c r="M1518">
        <f>TB[[#This Row],[售价]]*TB[[#This Row],[销量]]</f>
        <v>10790</v>
      </c>
      <c r="N1518" t="str">
        <f>IF(TB[[#This Row],[售价]]&lt;1000,"低价商品",IF(TB[[#This Row],[售价]]&lt;5000,"中价商品",IF(TB[[#This Row],[售价]]&lt;10000,"高价商品","超高价商品")))</f>
        <v>高价商品</v>
      </c>
    </row>
    <row r="1519" spans="1:14" x14ac:dyDescent="0.2">
      <c r="A1519">
        <v>768</v>
      </c>
      <c r="B1519">
        <v>261</v>
      </c>
      <c r="C1519" t="s">
        <v>26</v>
      </c>
      <c r="D1519" t="s">
        <v>27</v>
      </c>
      <c r="E1519" t="s">
        <v>22</v>
      </c>
      <c r="F1519">
        <v>1</v>
      </c>
      <c r="G1519" t="s">
        <v>42</v>
      </c>
      <c r="H1519" s="1">
        <v>45959.136111111111</v>
      </c>
      <c r="I1519" s="5">
        <f>INT(TB[[#This Row],[时间戳]])</f>
        <v>45959</v>
      </c>
      <c r="J1519" s="2">
        <f>HOUR(TB[[#This Row],[时间戳]])</f>
        <v>3</v>
      </c>
      <c r="K1519">
        <v>2613</v>
      </c>
      <c r="L1519">
        <v>0</v>
      </c>
      <c r="M1519">
        <f>TB[[#This Row],[售价]]*TB[[#This Row],[销量]]</f>
        <v>0</v>
      </c>
      <c r="N1519" t="str">
        <f>IF(TB[[#This Row],[售价]]&lt;1000,"低价商品",IF(TB[[#This Row],[售价]]&lt;5000,"中价商品",IF(TB[[#This Row],[售价]]&lt;10000,"高价商品","超高价商品")))</f>
        <v>中价商品</v>
      </c>
    </row>
    <row r="1520" spans="1:14" x14ac:dyDescent="0.2">
      <c r="A1520">
        <v>598</v>
      </c>
      <c r="B1520">
        <v>3</v>
      </c>
      <c r="C1520" t="s">
        <v>46</v>
      </c>
      <c r="D1520" t="s">
        <v>157</v>
      </c>
      <c r="E1520" t="s">
        <v>12</v>
      </c>
      <c r="F1520">
        <v>2</v>
      </c>
      <c r="G1520" t="s">
        <v>13</v>
      </c>
      <c r="H1520" s="1">
        <v>45959.140972222223</v>
      </c>
      <c r="I1520" s="5">
        <f>INT(TB[[#This Row],[时间戳]])</f>
        <v>45959</v>
      </c>
      <c r="J1520" s="2">
        <f>HOUR(TB[[#This Row],[时间戳]])</f>
        <v>3</v>
      </c>
      <c r="K1520">
        <v>8557</v>
      </c>
      <c r="L1520">
        <v>2</v>
      </c>
      <c r="M1520">
        <f>TB[[#This Row],[售价]]*TB[[#This Row],[销量]]</f>
        <v>17114</v>
      </c>
      <c r="N1520" t="str">
        <f>IF(TB[[#This Row],[售价]]&lt;1000,"低价商品",IF(TB[[#This Row],[售价]]&lt;5000,"中价商品",IF(TB[[#This Row],[售价]]&lt;10000,"高价商品","超高价商品")))</f>
        <v>高价商品</v>
      </c>
    </row>
    <row r="1521" spans="1:14" x14ac:dyDescent="0.2">
      <c r="A1521">
        <v>427</v>
      </c>
      <c r="B1521">
        <v>40</v>
      </c>
      <c r="C1521" t="s">
        <v>46</v>
      </c>
      <c r="D1521" t="s">
        <v>341</v>
      </c>
      <c r="E1521" t="s">
        <v>31</v>
      </c>
      <c r="F1521">
        <v>4</v>
      </c>
      <c r="G1521" t="s">
        <v>13</v>
      </c>
      <c r="H1521" s="1">
        <v>45959.189583333333</v>
      </c>
      <c r="I1521" s="5">
        <f>INT(TB[[#This Row],[时间戳]])</f>
        <v>45959</v>
      </c>
      <c r="J1521" s="2">
        <f>HOUR(TB[[#This Row],[时间戳]])</f>
        <v>4</v>
      </c>
      <c r="K1521">
        <v>1319</v>
      </c>
      <c r="L1521">
        <v>1</v>
      </c>
      <c r="M1521">
        <f>TB[[#This Row],[售价]]*TB[[#This Row],[销量]]</f>
        <v>1319</v>
      </c>
      <c r="N1521" t="str">
        <f>IF(TB[[#This Row],[售价]]&lt;1000,"低价商品",IF(TB[[#This Row],[售价]]&lt;5000,"中价商品",IF(TB[[#This Row],[售价]]&lt;10000,"高价商品","超高价商品")))</f>
        <v>中价商品</v>
      </c>
    </row>
    <row r="1522" spans="1:14" x14ac:dyDescent="0.2">
      <c r="A1522">
        <v>97</v>
      </c>
      <c r="B1522">
        <v>169</v>
      </c>
      <c r="C1522" t="s">
        <v>44</v>
      </c>
      <c r="D1522" t="s">
        <v>236</v>
      </c>
      <c r="E1522" t="s">
        <v>12</v>
      </c>
      <c r="F1522">
        <v>2</v>
      </c>
      <c r="G1522" t="s">
        <v>13</v>
      </c>
      <c r="H1522" s="1">
        <v>45959.19027777778</v>
      </c>
      <c r="I1522" s="5">
        <f>INT(TB[[#This Row],[时间戳]])</f>
        <v>45959</v>
      </c>
      <c r="J1522" s="2">
        <f>HOUR(TB[[#This Row],[时间戳]])</f>
        <v>4</v>
      </c>
      <c r="K1522">
        <v>8226</v>
      </c>
      <c r="L1522">
        <v>1</v>
      </c>
      <c r="M1522">
        <f>TB[[#This Row],[售价]]*TB[[#This Row],[销量]]</f>
        <v>8226</v>
      </c>
      <c r="N1522" t="str">
        <f>IF(TB[[#This Row],[售价]]&lt;1000,"低价商品",IF(TB[[#This Row],[售价]]&lt;5000,"中价商品",IF(TB[[#This Row],[售价]]&lt;10000,"高价商品","超高价商品")))</f>
        <v>高价商品</v>
      </c>
    </row>
    <row r="1523" spans="1:14" x14ac:dyDescent="0.2">
      <c r="A1523">
        <v>383</v>
      </c>
      <c r="B1523">
        <v>55</v>
      </c>
      <c r="C1523" t="s">
        <v>14</v>
      </c>
      <c r="D1523" t="s">
        <v>357</v>
      </c>
      <c r="E1523" t="s">
        <v>16</v>
      </c>
      <c r="F1523">
        <v>6</v>
      </c>
      <c r="G1523" t="s">
        <v>13</v>
      </c>
      <c r="H1523" s="1">
        <v>45959.240972222222</v>
      </c>
      <c r="I1523" s="5">
        <f>INT(TB[[#This Row],[时间戳]])</f>
        <v>45959</v>
      </c>
      <c r="J1523" s="2">
        <f>HOUR(TB[[#This Row],[时间戳]])</f>
        <v>5</v>
      </c>
      <c r="K1523">
        <v>2370</v>
      </c>
      <c r="L1523">
        <v>2</v>
      </c>
      <c r="M1523">
        <f>TB[[#This Row],[售价]]*TB[[#This Row],[销量]]</f>
        <v>4740</v>
      </c>
      <c r="N1523" t="str">
        <f>IF(TB[[#This Row],[售价]]&lt;1000,"低价商品",IF(TB[[#This Row],[售价]]&lt;5000,"中价商品",IF(TB[[#This Row],[售价]]&lt;10000,"高价商品","超高价商品")))</f>
        <v>中价商品</v>
      </c>
    </row>
    <row r="1524" spans="1:14" x14ac:dyDescent="0.2">
      <c r="A1524">
        <v>472</v>
      </c>
      <c r="B1524">
        <v>246</v>
      </c>
      <c r="C1524" t="s">
        <v>10</v>
      </c>
      <c r="D1524" t="s">
        <v>201</v>
      </c>
      <c r="E1524" t="s">
        <v>31</v>
      </c>
      <c r="F1524">
        <v>4</v>
      </c>
      <c r="G1524" t="s">
        <v>13</v>
      </c>
      <c r="H1524" s="1">
        <v>45959.248611111114</v>
      </c>
      <c r="I1524" s="5">
        <f>INT(TB[[#This Row],[时间戳]])</f>
        <v>45959</v>
      </c>
      <c r="J1524" s="2">
        <f>HOUR(TB[[#This Row],[时间戳]])</f>
        <v>5</v>
      </c>
      <c r="K1524">
        <v>590</v>
      </c>
      <c r="L1524">
        <v>1</v>
      </c>
      <c r="M1524">
        <f>TB[[#This Row],[售价]]*TB[[#This Row],[销量]]</f>
        <v>590</v>
      </c>
      <c r="N1524" t="str">
        <f>IF(TB[[#This Row],[售价]]&lt;1000,"低价商品",IF(TB[[#This Row],[售价]]&lt;5000,"中价商品",IF(TB[[#This Row],[售价]]&lt;10000,"高价商品","超高价商品")))</f>
        <v>低价商品</v>
      </c>
    </row>
    <row r="1525" spans="1:14" x14ac:dyDescent="0.2">
      <c r="A1525">
        <v>674</v>
      </c>
      <c r="B1525">
        <v>3</v>
      </c>
      <c r="C1525" t="s">
        <v>36</v>
      </c>
      <c r="D1525" t="s">
        <v>192</v>
      </c>
      <c r="E1525" t="s">
        <v>22</v>
      </c>
      <c r="F1525">
        <v>1</v>
      </c>
      <c r="G1525" t="s">
        <v>13</v>
      </c>
      <c r="H1525" s="1">
        <v>45959.250694444447</v>
      </c>
      <c r="I1525" s="5">
        <f>INT(TB[[#This Row],[时间戳]])</f>
        <v>45959</v>
      </c>
      <c r="J1525" s="2">
        <f>HOUR(TB[[#This Row],[时间戳]])</f>
        <v>6</v>
      </c>
      <c r="K1525">
        <v>4840</v>
      </c>
      <c r="L1525">
        <v>2</v>
      </c>
      <c r="M1525">
        <f>TB[[#This Row],[售价]]*TB[[#This Row],[销量]]</f>
        <v>9680</v>
      </c>
      <c r="N1525" t="str">
        <f>IF(TB[[#This Row],[售价]]&lt;1000,"低价商品",IF(TB[[#This Row],[售价]]&lt;5000,"中价商品",IF(TB[[#This Row],[售价]]&lt;10000,"高价商品","超高价商品")))</f>
        <v>中价商品</v>
      </c>
    </row>
    <row r="1526" spans="1:14" x14ac:dyDescent="0.2">
      <c r="A1526">
        <v>333</v>
      </c>
      <c r="B1526">
        <v>292</v>
      </c>
      <c r="C1526" t="s">
        <v>46</v>
      </c>
      <c r="D1526" t="s">
        <v>211</v>
      </c>
      <c r="E1526" t="s">
        <v>31</v>
      </c>
      <c r="F1526">
        <v>4</v>
      </c>
      <c r="G1526" t="s">
        <v>13</v>
      </c>
      <c r="H1526" s="1">
        <v>45959.263194444444</v>
      </c>
      <c r="I1526" s="5">
        <f>INT(TB[[#This Row],[时间戳]])</f>
        <v>45959</v>
      </c>
      <c r="J1526" s="2">
        <f>HOUR(TB[[#This Row],[时间戳]])</f>
        <v>6</v>
      </c>
      <c r="K1526">
        <v>546</v>
      </c>
      <c r="L1526">
        <v>3</v>
      </c>
      <c r="M1526">
        <f>TB[[#This Row],[售价]]*TB[[#This Row],[销量]]</f>
        <v>1638</v>
      </c>
      <c r="N1526" t="str">
        <f>IF(TB[[#This Row],[售价]]&lt;1000,"低价商品",IF(TB[[#This Row],[售价]]&lt;5000,"中价商品",IF(TB[[#This Row],[售价]]&lt;10000,"高价商品","超高价商品")))</f>
        <v>低价商品</v>
      </c>
    </row>
    <row r="1527" spans="1:14" x14ac:dyDescent="0.2">
      <c r="A1527">
        <v>331</v>
      </c>
      <c r="B1527">
        <v>29</v>
      </c>
      <c r="C1527" t="s">
        <v>10</v>
      </c>
      <c r="D1527" t="s">
        <v>244</v>
      </c>
      <c r="E1527" t="s">
        <v>19</v>
      </c>
      <c r="F1527">
        <v>3</v>
      </c>
      <c r="G1527" t="s">
        <v>13</v>
      </c>
      <c r="H1527" s="1">
        <v>45959.268055555556</v>
      </c>
      <c r="I1527" s="5">
        <f>INT(TB[[#This Row],[时间戳]])</f>
        <v>45959</v>
      </c>
      <c r="J1527" s="2">
        <f>HOUR(TB[[#This Row],[时间戳]])</f>
        <v>6</v>
      </c>
      <c r="K1527">
        <v>2467</v>
      </c>
      <c r="L1527">
        <v>2</v>
      </c>
      <c r="M1527">
        <f>TB[[#This Row],[售价]]*TB[[#This Row],[销量]]</f>
        <v>4934</v>
      </c>
      <c r="N1527" t="str">
        <f>IF(TB[[#This Row],[售价]]&lt;1000,"低价商品",IF(TB[[#This Row],[售价]]&lt;5000,"中价商品",IF(TB[[#This Row],[售价]]&lt;10000,"高价商品","超高价商品")))</f>
        <v>中价商品</v>
      </c>
    </row>
    <row r="1528" spans="1:14" x14ac:dyDescent="0.2">
      <c r="A1528">
        <v>391</v>
      </c>
      <c r="B1528">
        <v>48</v>
      </c>
      <c r="C1528" t="s">
        <v>20</v>
      </c>
      <c r="D1528" t="s">
        <v>21</v>
      </c>
      <c r="E1528" t="s">
        <v>22</v>
      </c>
      <c r="F1528">
        <v>1</v>
      </c>
      <c r="G1528" t="s">
        <v>13</v>
      </c>
      <c r="H1528" s="1">
        <v>45959.274305555555</v>
      </c>
      <c r="I1528" s="5">
        <f>INT(TB[[#This Row],[时间戳]])</f>
        <v>45959</v>
      </c>
      <c r="J1528" s="2">
        <f>HOUR(TB[[#This Row],[时间戳]])</f>
        <v>6</v>
      </c>
      <c r="K1528">
        <v>6929</v>
      </c>
      <c r="L1528">
        <v>1</v>
      </c>
      <c r="M1528">
        <f>TB[[#This Row],[售价]]*TB[[#This Row],[销量]]</f>
        <v>6929</v>
      </c>
      <c r="N1528" t="str">
        <f>IF(TB[[#This Row],[售价]]&lt;1000,"低价商品",IF(TB[[#This Row],[售价]]&lt;5000,"中价商品",IF(TB[[#This Row],[售价]]&lt;10000,"高价商品","超高价商品")))</f>
        <v>高价商品</v>
      </c>
    </row>
    <row r="1529" spans="1:14" x14ac:dyDescent="0.2">
      <c r="A1529">
        <v>790</v>
      </c>
      <c r="B1529">
        <v>205</v>
      </c>
      <c r="C1529" t="s">
        <v>26</v>
      </c>
      <c r="D1529" t="s">
        <v>229</v>
      </c>
      <c r="E1529" t="s">
        <v>16</v>
      </c>
      <c r="F1529">
        <v>6</v>
      </c>
      <c r="G1529" t="s">
        <v>42</v>
      </c>
      <c r="H1529" s="1">
        <v>45959.28125</v>
      </c>
      <c r="I1529" s="5">
        <f>INT(TB[[#This Row],[时间戳]])</f>
        <v>45959</v>
      </c>
      <c r="J1529" s="2">
        <f>HOUR(TB[[#This Row],[时间戳]])</f>
        <v>6</v>
      </c>
      <c r="K1529">
        <v>8464</v>
      </c>
      <c r="L1529">
        <v>0</v>
      </c>
      <c r="M1529">
        <f>TB[[#This Row],[售价]]*TB[[#This Row],[销量]]</f>
        <v>0</v>
      </c>
      <c r="N1529" t="str">
        <f>IF(TB[[#This Row],[售价]]&lt;1000,"低价商品",IF(TB[[#This Row],[售价]]&lt;5000,"中价商品",IF(TB[[#This Row],[售价]]&lt;10000,"高价商品","超高价商品")))</f>
        <v>高价商品</v>
      </c>
    </row>
    <row r="1530" spans="1:14" x14ac:dyDescent="0.2">
      <c r="A1530">
        <v>398</v>
      </c>
      <c r="B1530">
        <v>207</v>
      </c>
      <c r="C1530" t="s">
        <v>32</v>
      </c>
      <c r="D1530" t="s">
        <v>275</v>
      </c>
      <c r="E1530" t="s">
        <v>22</v>
      </c>
      <c r="F1530">
        <v>1</v>
      </c>
      <c r="G1530" t="s">
        <v>13</v>
      </c>
      <c r="H1530" s="1">
        <v>45959.311111111114</v>
      </c>
      <c r="I1530" s="5">
        <f>INT(TB[[#This Row],[时间戳]])</f>
        <v>45959</v>
      </c>
      <c r="J1530" s="2">
        <f>HOUR(TB[[#This Row],[时间戳]])</f>
        <v>7</v>
      </c>
      <c r="K1530">
        <v>1540</v>
      </c>
      <c r="L1530">
        <v>3</v>
      </c>
      <c r="M1530">
        <f>TB[[#This Row],[售价]]*TB[[#This Row],[销量]]</f>
        <v>4620</v>
      </c>
      <c r="N1530" t="str">
        <f>IF(TB[[#This Row],[售价]]&lt;1000,"低价商品",IF(TB[[#This Row],[售价]]&lt;5000,"中价商品",IF(TB[[#This Row],[售价]]&lt;10000,"高价商品","超高价商品")))</f>
        <v>中价商品</v>
      </c>
    </row>
    <row r="1531" spans="1:14" x14ac:dyDescent="0.2">
      <c r="A1531">
        <v>306</v>
      </c>
      <c r="B1531">
        <v>252</v>
      </c>
      <c r="C1531" t="s">
        <v>26</v>
      </c>
      <c r="D1531" t="s">
        <v>407</v>
      </c>
      <c r="E1531" t="s">
        <v>39</v>
      </c>
      <c r="F1531">
        <v>5</v>
      </c>
      <c r="G1531" t="s">
        <v>13</v>
      </c>
      <c r="H1531" s="1">
        <v>45959.325694444444</v>
      </c>
      <c r="I1531" s="5">
        <f>INT(TB[[#This Row],[时间戳]])</f>
        <v>45959</v>
      </c>
      <c r="J1531" s="2">
        <f>HOUR(TB[[#This Row],[时间戳]])</f>
        <v>7</v>
      </c>
      <c r="K1531">
        <v>2098</v>
      </c>
      <c r="L1531">
        <v>2</v>
      </c>
      <c r="M1531">
        <f>TB[[#This Row],[售价]]*TB[[#This Row],[销量]]</f>
        <v>4196</v>
      </c>
      <c r="N1531" t="str">
        <f>IF(TB[[#This Row],[售价]]&lt;1000,"低价商品",IF(TB[[#This Row],[售价]]&lt;5000,"中价商品",IF(TB[[#This Row],[售价]]&lt;10000,"高价商品","超高价商品")))</f>
        <v>中价商品</v>
      </c>
    </row>
    <row r="1532" spans="1:14" x14ac:dyDescent="0.2">
      <c r="A1532">
        <v>135</v>
      </c>
      <c r="B1532">
        <v>184</v>
      </c>
      <c r="C1532" t="s">
        <v>36</v>
      </c>
      <c r="D1532" t="s">
        <v>55</v>
      </c>
      <c r="E1532" t="s">
        <v>39</v>
      </c>
      <c r="F1532">
        <v>5</v>
      </c>
      <c r="G1532" t="s">
        <v>13</v>
      </c>
      <c r="H1532" s="1">
        <v>45959.332638888889</v>
      </c>
      <c r="I1532" s="5">
        <f>INT(TB[[#This Row],[时间戳]])</f>
        <v>45959</v>
      </c>
      <c r="J1532" s="2">
        <f>HOUR(TB[[#This Row],[时间戳]])</f>
        <v>7</v>
      </c>
      <c r="K1532">
        <v>2746</v>
      </c>
      <c r="L1532">
        <v>3</v>
      </c>
      <c r="M1532">
        <f>TB[[#This Row],[售价]]*TB[[#This Row],[销量]]</f>
        <v>8238</v>
      </c>
      <c r="N1532" t="str">
        <f>IF(TB[[#This Row],[售价]]&lt;1000,"低价商品",IF(TB[[#This Row],[售价]]&lt;5000,"中价商品",IF(TB[[#This Row],[售价]]&lt;10000,"高价商品","超高价商品")))</f>
        <v>中价商品</v>
      </c>
    </row>
    <row r="1533" spans="1:14" x14ac:dyDescent="0.2">
      <c r="A1533">
        <v>502</v>
      </c>
      <c r="B1533">
        <v>229</v>
      </c>
      <c r="C1533" t="s">
        <v>20</v>
      </c>
      <c r="D1533" t="s">
        <v>152</v>
      </c>
      <c r="E1533" t="s">
        <v>16</v>
      </c>
      <c r="F1533">
        <v>6</v>
      </c>
      <c r="G1533" t="s">
        <v>42</v>
      </c>
      <c r="H1533" s="1">
        <v>45959.349305555559</v>
      </c>
      <c r="I1533" s="5">
        <f>INT(TB[[#This Row],[时间戳]])</f>
        <v>45959</v>
      </c>
      <c r="J1533" s="2">
        <f>HOUR(TB[[#This Row],[时间戳]])</f>
        <v>8</v>
      </c>
      <c r="K1533">
        <v>3562</v>
      </c>
      <c r="L1533">
        <v>0</v>
      </c>
      <c r="M1533">
        <f>TB[[#This Row],[售价]]*TB[[#This Row],[销量]]</f>
        <v>0</v>
      </c>
      <c r="N1533" t="str">
        <f>IF(TB[[#This Row],[售价]]&lt;1000,"低价商品",IF(TB[[#This Row],[售价]]&lt;5000,"中价商品",IF(TB[[#This Row],[售价]]&lt;10000,"高价商品","超高价商品")))</f>
        <v>中价商品</v>
      </c>
    </row>
    <row r="1534" spans="1:14" x14ac:dyDescent="0.2">
      <c r="A1534">
        <v>615</v>
      </c>
      <c r="B1534">
        <v>217</v>
      </c>
      <c r="C1534" t="s">
        <v>36</v>
      </c>
      <c r="D1534" t="s">
        <v>54</v>
      </c>
      <c r="E1534" t="s">
        <v>12</v>
      </c>
      <c r="F1534">
        <v>2</v>
      </c>
      <c r="G1534" t="s">
        <v>13</v>
      </c>
      <c r="H1534" s="1">
        <v>45959.372916666667</v>
      </c>
      <c r="I1534" s="5">
        <f>INT(TB[[#This Row],[时间戳]])</f>
        <v>45959</v>
      </c>
      <c r="J1534" s="2">
        <f>HOUR(TB[[#This Row],[时间戳]])</f>
        <v>8</v>
      </c>
      <c r="K1534">
        <v>10401</v>
      </c>
      <c r="L1534">
        <v>3</v>
      </c>
      <c r="M1534">
        <f>TB[[#This Row],[售价]]*TB[[#This Row],[销量]]</f>
        <v>31203</v>
      </c>
      <c r="N1534" t="str">
        <f>IF(TB[[#This Row],[售价]]&lt;1000,"低价商品",IF(TB[[#This Row],[售价]]&lt;5000,"中价商品",IF(TB[[#This Row],[售价]]&lt;10000,"高价商品","超高价商品")))</f>
        <v>超高价商品</v>
      </c>
    </row>
    <row r="1535" spans="1:14" x14ac:dyDescent="0.2">
      <c r="A1535">
        <v>629</v>
      </c>
      <c r="B1535">
        <v>96</v>
      </c>
      <c r="C1535" t="s">
        <v>17</v>
      </c>
      <c r="D1535" t="s">
        <v>91</v>
      </c>
      <c r="E1535" t="s">
        <v>25</v>
      </c>
      <c r="F1535">
        <v>7</v>
      </c>
      <c r="G1535" t="s">
        <v>13</v>
      </c>
      <c r="H1535" s="1">
        <v>45959.378472222219</v>
      </c>
      <c r="I1535" s="5">
        <f>INT(TB[[#This Row],[时间戳]])</f>
        <v>45959</v>
      </c>
      <c r="J1535" s="2">
        <f>HOUR(TB[[#This Row],[时间戳]])</f>
        <v>9</v>
      </c>
      <c r="K1535">
        <v>2426</v>
      </c>
      <c r="L1535">
        <v>1</v>
      </c>
      <c r="M1535">
        <f>TB[[#This Row],[售价]]*TB[[#This Row],[销量]]</f>
        <v>2426</v>
      </c>
      <c r="N1535" t="str">
        <f>IF(TB[[#This Row],[售价]]&lt;1000,"低价商品",IF(TB[[#This Row],[售价]]&lt;5000,"中价商品",IF(TB[[#This Row],[售价]]&lt;10000,"高价商品","超高价商品")))</f>
        <v>中价商品</v>
      </c>
    </row>
    <row r="1536" spans="1:14" x14ac:dyDescent="0.2">
      <c r="A1536">
        <v>42</v>
      </c>
      <c r="B1536">
        <v>263</v>
      </c>
      <c r="C1536" t="s">
        <v>17</v>
      </c>
      <c r="D1536" t="s">
        <v>74</v>
      </c>
      <c r="E1536" t="s">
        <v>22</v>
      </c>
      <c r="F1536">
        <v>1</v>
      </c>
      <c r="G1536" t="s">
        <v>13</v>
      </c>
      <c r="H1536" s="1">
        <v>45959.388194444444</v>
      </c>
      <c r="I1536" s="5">
        <f>INT(TB[[#This Row],[时间戳]])</f>
        <v>45959</v>
      </c>
      <c r="J1536" s="2">
        <f>HOUR(TB[[#This Row],[时间戳]])</f>
        <v>9</v>
      </c>
      <c r="K1536">
        <v>4678</v>
      </c>
      <c r="L1536">
        <v>2</v>
      </c>
      <c r="M1536">
        <f>TB[[#This Row],[售价]]*TB[[#This Row],[销量]]</f>
        <v>9356</v>
      </c>
      <c r="N1536" t="str">
        <f>IF(TB[[#This Row],[售价]]&lt;1000,"低价商品",IF(TB[[#This Row],[售价]]&lt;5000,"中价商品",IF(TB[[#This Row],[售价]]&lt;10000,"高价商品","超高价商品")))</f>
        <v>中价商品</v>
      </c>
    </row>
    <row r="1537" spans="1:14" x14ac:dyDescent="0.2">
      <c r="A1537">
        <v>703</v>
      </c>
      <c r="B1537">
        <v>80</v>
      </c>
      <c r="C1537" t="s">
        <v>32</v>
      </c>
      <c r="D1537" t="s">
        <v>251</v>
      </c>
      <c r="E1537" t="s">
        <v>12</v>
      </c>
      <c r="F1537">
        <v>2</v>
      </c>
      <c r="G1537" t="s">
        <v>13</v>
      </c>
      <c r="H1537" s="1">
        <v>45959.390972222223</v>
      </c>
      <c r="I1537" s="5">
        <f>INT(TB[[#This Row],[时间戳]])</f>
        <v>45959</v>
      </c>
      <c r="J1537" s="2">
        <f>HOUR(TB[[#This Row],[时间戳]])</f>
        <v>9</v>
      </c>
      <c r="K1537">
        <v>9636</v>
      </c>
      <c r="L1537">
        <v>2</v>
      </c>
      <c r="M1537">
        <f>TB[[#This Row],[售价]]*TB[[#This Row],[销量]]</f>
        <v>19272</v>
      </c>
      <c r="N1537" t="str">
        <f>IF(TB[[#This Row],[售价]]&lt;1000,"低价商品",IF(TB[[#This Row],[售价]]&lt;5000,"中价商品",IF(TB[[#This Row],[售价]]&lt;10000,"高价商品","超高价商品")))</f>
        <v>高价商品</v>
      </c>
    </row>
    <row r="1538" spans="1:14" x14ac:dyDescent="0.2">
      <c r="A1538">
        <v>298</v>
      </c>
      <c r="B1538">
        <v>240</v>
      </c>
      <c r="C1538" t="s">
        <v>20</v>
      </c>
      <c r="D1538" t="s">
        <v>72</v>
      </c>
      <c r="E1538" t="s">
        <v>25</v>
      </c>
      <c r="F1538">
        <v>7</v>
      </c>
      <c r="G1538" t="s">
        <v>13</v>
      </c>
      <c r="H1538" s="1">
        <v>45959.394444444442</v>
      </c>
      <c r="I1538" s="5">
        <f>INT(TB[[#This Row],[时间戳]])</f>
        <v>45959</v>
      </c>
      <c r="J1538" s="2">
        <f>HOUR(TB[[#This Row],[时间戳]])</f>
        <v>9</v>
      </c>
      <c r="K1538">
        <v>5626</v>
      </c>
      <c r="L1538">
        <v>2</v>
      </c>
      <c r="M1538">
        <f>TB[[#This Row],[售价]]*TB[[#This Row],[销量]]</f>
        <v>11252</v>
      </c>
      <c r="N1538" t="str">
        <f>IF(TB[[#This Row],[售价]]&lt;1000,"低价商品",IF(TB[[#This Row],[售价]]&lt;5000,"中价商品",IF(TB[[#This Row],[售价]]&lt;10000,"高价商品","超高价商品")))</f>
        <v>高价商品</v>
      </c>
    </row>
    <row r="1539" spans="1:14" x14ac:dyDescent="0.2">
      <c r="A1539">
        <v>153</v>
      </c>
      <c r="B1539">
        <v>66</v>
      </c>
      <c r="C1539" t="s">
        <v>44</v>
      </c>
      <c r="D1539" t="s">
        <v>408</v>
      </c>
      <c r="E1539" t="s">
        <v>39</v>
      </c>
      <c r="F1539">
        <v>5</v>
      </c>
      <c r="G1539" t="s">
        <v>13</v>
      </c>
      <c r="H1539" s="1">
        <v>45959.415277777778</v>
      </c>
      <c r="I1539" s="5">
        <f>INT(TB[[#This Row],[时间戳]])</f>
        <v>45959</v>
      </c>
      <c r="J1539" s="2">
        <f>HOUR(TB[[#This Row],[时间戳]])</f>
        <v>9</v>
      </c>
      <c r="K1539">
        <v>2431</v>
      </c>
      <c r="L1539">
        <v>1</v>
      </c>
      <c r="M1539">
        <f>TB[[#This Row],[售价]]*TB[[#This Row],[销量]]</f>
        <v>2431</v>
      </c>
      <c r="N1539" t="str">
        <f>IF(TB[[#This Row],[售价]]&lt;1000,"低价商品",IF(TB[[#This Row],[售价]]&lt;5000,"中价商品",IF(TB[[#This Row],[售价]]&lt;10000,"高价商品","超高价商品")))</f>
        <v>中价商品</v>
      </c>
    </row>
    <row r="1540" spans="1:14" x14ac:dyDescent="0.2">
      <c r="A1540">
        <v>303</v>
      </c>
      <c r="B1540">
        <v>292</v>
      </c>
      <c r="C1540" t="s">
        <v>20</v>
      </c>
      <c r="D1540" t="s">
        <v>259</v>
      </c>
      <c r="E1540" t="s">
        <v>16</v>
      </c>
      <c r="F1540">
        <v>6</v>
      </c>
      <c r="G1540" t="s">
        <v>42</v>
      </c>
      <c r="H1540" s="1">
        <v>45959.419444444444</v>
      </c>
      <c r="I1540" s="5">
        <f>INT(TB[[#This Row],[时间戳]])</f>
        <v>45959</v>
      </c>
      <c r="J1540" s="2">
        <f>HOUR(TB[[#This Row],[时间戳]])</f>
        <v>10</v>
      </c>
      <c r="K1540">
        <v>6848</v>
      </c>
      <c r="L1540">
        <v>0</v>
      </c>
      <c r="M1540">
        <f>TB[[#This Row],[售价]]*TB[[#This Row],[销量]]</f>
        <v>0</v>
      </c>
      <c r="N1540" t="str">
        <f>IF(TB[[#This Row],[售价]]&lt;1000,"低价商品",IF(TB[[#This Row],[售价]]&lt;5000,"中价商品",IF(TB[[#This Row],[售价]]&lt;10000,"高价商品","超高价商品")))</f>
        <v>高价商品</v>
      </c>
    </row>
    <row r="1541" spans="1:14" x14ac:dyDescent="0.2">
      <c r="A1541">
        <v>526</v>
      </c>
      <c r="B1541">
        <v>56</v>
      </c>
      <c r="C1541" t="s">
        <v>14</v>
      </c>
      <c r="D1541" t="s">
        <v>282</v>
      </c>
      <c r="E1541" t="s">
        <v>19</v>
      </c>
      <c r="F1541">
        <v>3</v>
      </c>
      <c r="G1541" t="s">
        <v>13</v>
      </c>
      <c r="H1541" s="1">
        <v>45959.432638888888</v>
      </c>
      <c r="I1541" s="5">
        <f>INT(TB[[#This Row],[时间戳]])</f>
        <v>45959</v>
      </c>
      <c r="J1541" s="2">
        <f>HOUR(TB[[#This Row],[时间戳]])</f>
        <v>10</v>
      </c>
      <c r="K1541">
        <v>1972</v>
      </c>
      <c r="L1541">
        <v>3</v>
      </c>
      <c r="M1541">
        <f>TB[[#This Row],[售价]]*TB[[#This Row],[销量]]</f>
        <v>5916</v>
      </c>
      <c r="N1541" t="str">
        <f>IF(TB[[#This Row],[售价]]&lt;1000,"低价商品",IF(TB[[#This Row],[售价]]&lt;5000,"中价商品",IF(TB[[#This Row],[售价]]&lt;10000,"高价商品","超高价商品")))</f>
        <v>中价商品</v>
      </c>
    </row>
    <row r="1542" spans="1:14" x14ac:dyDescent="0.2">
      <c r="A1542">
        <v>476</v>
      </c>
      <c r="B1542">
        <v>292</v>
      </c>
      <c r="C1542" t="s">
        <v>17</v>
      </c>
      <c r="D1542" t="s">
        <v>370</v>
      </c>
      <c r="E1542" t="s">
        <v>31</v>
      </c>
      <c r="F1542">
        <v>4</v>
      </c>
      <c r="G1542" t="s">
        <v>13</v>
      </c>
      <c r="H1542" s="1">
        <v>45959.455555555556</v>
      </c>
      <c r="I1542" s="5">
        <f>INT(TB[[#This Row],[时间戳]])</f>
        <v>45959</v>
      </c>
      <c r="J1542" s="2">
        <f>HOUR(TB[[#This Row],[时间戳]])</f>
        <v>10</v>
      </c>
      <c r="K1542">
        <v>1112</v>
      </c>
      <c r="L1542">
        <v>3</v>
      </c>
      <c r="M1542">
        <f>TB[[#This Row],[售价]]*TB[[#This Row],[销量]]</f>
        <v>3336</v>
      </c>
      <c r="N1542" t="str">
        <f>IF(TB[[#This Row],[售价]]&lt;1000,"低价商品",IF(TB[[#This Row],[售价]]&lt;5000,"中价商品",IF(TB[[#This Row],[售价]]&lt;10000,"高价商品","超高价商品")))</f>
        <v>中价商品</v>
      </c>
    </row>
    <row r="1543" spans="1:14" x14ac:dyDescent="0.2">
      <c r="A1543">
        <v>600</v>
      </c>
      <c r="B1543">
        <v>42</v>
      </c>
      <c r="C1543" t="s">
        <v>34</v>
      </c>
      <c r="D1543" t="s">
        <v>248</v>
      </c>
      <c r="E1543" t="s">
        <v>22</v>
      </c>
      <c r="F1543">
        <v>1</v>
      </c>
      <c r="G1543" t="s">
        <v>13</v>
      </c>
      <c r="H1543" s="1">
        <v>45959.457638888889</v>
      </c>
      <c r="I1543" s="5">
        <f>INT(TB[[#This Row],[时间戳]])</f>
        <v>45959</v>
      </c>
      <c r="J1543" s="2">
        <f>HOUR(TB[[#This Row],[时间戳]])</f>
        <v>10</v>
      </c>
      <c r="K1543">
        <v>7587</v>
      </c>
      <c r="L1543">
        <v>2</v>
      </c>
      <c r="M1543">
        <f>TB[[#This Row],[售价]]*TB[[#This Row],[销量]]</f>
        <v>15174</v>
      </c>
      <c r="N1543" t="str">
        <f>IF(TB[[#This Row],[售价]]&lt;1000,"低价商品",IF(TB[[#This Row],[售价]]&lt;5000,"中价商品",IF(TB[[#This Row],[售价]]&lt;10000,"高价商品","超高价商品")))</f>
        <v>高价商品</v>
      </c>
    </row>
    <row r="1544" spans="1:14" x14ac:dyDescent="0.2">
      <c r="A1544">
        <v>678</v>
      </c>
      <c r="B1544">
        <v>237</v>
      </c>
      <c r="C1544" t="s">
        <v>14</v>
      </c>
      <c r="D1544" t="s">
        <v>385</v>
      </c>
      <c r="E1544" t="s">
        <v>12</v>
      </c>
      <c r="F1544">
        <v>2</v>
      </c>
      <c r="G1544" t="s">
        <v>42</v>
      </c>
      <c r="H1544" s="1">
        <v>45959.472916666666</v>
      </c>
      <c r="I1544" s="5">
        <f>INT(TB[[#This Row],[时间戳]])</f>
        <v>45959</v>
      </c>
      <c r="J1544" s="2">
        <f>HOUR(TB[[#This Row],[时间戳]])</f>
        <v>11</v>
      </c>
      <c r="K1544">
        <v>12056</v>
      </c>
      <c r="L1544">
        <v>0</v>
      </c>
      <c r="M1544">
        <f>TB[[#This Row],[售价]]*TB[[#This Row],[销量]]</f>
        <v>0</v>
      </c>
      <c r="N1544" t="str">
        <f>IF(TB[[#This Row],[售价]]&lt;1000,"低价商品",IF(TB[[#This Row],[售价]]&lt;5000,"中价商品",IF(TB[[#This Row],[售价]]&lt;10000,"高价商品","超高价商品")))</f>
        <v>超高价商品</v>
      </c>
    </row>
    <row r="1545" spans="1:14" x14ac:dyDescent="0.2">
      <c r="A1545">
        <v>86</v>
      </c>
      <c r="B1545">
        <v>214</v>
      </c>
      <c r="C1545" t="s">
        <v>17</v>
      </c>
      <c r="D1545" t="s">
        <v>74</v>
      </c>
      <c r="E1545" t="s">
        <v>22</v>
      </c>
      <c r="F1545">
        <v>1</v>
      </c>
      <c r="G1545" t="s">
        <v>13</v>
      </c>
      <c r="H1545" s="1">
        <v>45959.478472222225</v>
      </c>
      <c r="I1545" s="5">
        <f>INT(TB[[#This Row],[时间戳]])</f>
        <v>45959</v>
      </c>
      <c r="J1545" s="2">
        <f>HOUR(TB[[#This Row],[时间戳]])</f>
        <v>11</v>
      </c>
      <c r="K1545">
        <v>2363</v>
      </c>
      <c r="L1545">
        <v>4</v>
      </c>
      <c r="M1545">
        <f>TB[[#This Row],[售价]]*TB[[#This Row],[销量]]</f>
        <v>9452</v>
      </c>
      <c r="N1545" t="str">
        <f>IF(TB[[#This Row],[售价]]&lt;1000,"低价商品",IF(TB[[#This Row],[售价]]&lt;5000,"中价商品",IF(TB[[#This Row],[售价]]&lt;10000,"高价商品","超高价商品")))</f>
        <v>中价商品</v>
      </c>
    </row>
    <row r="1546" spans="1:14" x14ac:dyDescent="0.2">
      <c r="A1546">
        <v>776</v>
      </c>
      <c r="B1546">
        <v>231</v>
      </c>
      <c r="C1546" t="s">
        <v>46</v>
      </c>
      <c r="D1546" t="s">
        <v>217</v>
      </c>
      <c r="E1546" t="s">
        <v>19</v>
      </c>
      <c r="F1546">
        <v>3</v>
      </c>
      <c r="G1546" t="s">
        <v>13</v>
      </c>
      <c r="H1546" s="1">
        <v>45959.539583333331</v>
      </c>
      <c r="I1546" s="5">
        <f>INT(TB[[#This Row],[时间戳]])</f>
        <v>45959</v>
      </c>
      <c r="J1546" s="2">
        <f>HOUR(TB[[#This Row],[时间戳]])</f>
        <v>12</v>
      </c>
      <c r="K1546">
        <v>3898</v>
      </c>
      <c r="L1546">
        <v>4</v>
      </c>
      <c r="M1546">
        <f>TB[[#This Row],[售价]]*TB[[#This Row],[销量]]</f>
        <v>15592</v>
      </c>
      <c r="N1546" t="str">
        <f>IF(TB[[#This Row],[售价]]&lt;1000,"低价商品",IF(TB[[#This Row],[售价]]&lt;5000,"中价商品",IF(TB[[#This Row],[售价]]&lt;10000,"高价商品","超高价商品")))</f>
        <v>中价商品</v>
      </c>
    </row>
    <row r="1547" spans="1:14" x14ac:dyDescent="0.2">
      <c r="A1547">
        <v>217</v>
      </c>
      <c r="B1547">
        <v>95</v>
      </c>
      <c r="C1547" t="s">
        <v>34</v>
      </c>
      <c r="D1547" t="s">
        <v>339</v>
      </c>
      <c r="E1547" t="s">
        <v>12</v>
      </c>
      <c r="F1547">
        <v>2</v>
      </c>
      <c r="G1547" t="s">
        <v>13</v>
      </c>
      <c r="H1547" s="1">
        <v>45959.551388888889</v>
      </c>
      <c r="I1547" s="5">
        <f>INT(TB[[#This Row],[时间戳]])</f>
        <v>45959</v>
      </c>
      <c r="J1547" s="2">
        <f>HOUR(TB[[#This Row],[时间戳]])</f>
        <v>13</v>
      </c>
      <c r="K1547">
        <v>14155</v>
      </c>
      <c r="L1547">
        <v>1</v>
      </c>
      <c r="M1547">
        <f>TB[[#This Row],[售价]]*TB[[#This Row],[销量]]</f>
        <v>14155</v>
      </c>
      <c r="N1547" t="str">
        <f>IF(TB[[#This Row],[售价]]&lt;1000,"低价商品",IF(TB[[#This Row],[售价]]&lt;5000,"中价商品",IF(TB[[#This Row],[售价]]&lt;10000,"高价商品","超高价商品")))</f>
        <v>超高价商品</v>
      </c>
    </row>
    <row r="1548" spans="1:14" x14ac:dyDescent="0.2">
      <c r="A1548">
        <v>690</v>
      </c>
      <c r="B1548">
        <v>55</v>
      </c>
      <c r="C1548" t="s">
        <v>46</v>
      </c>
      <c r="D1548" t="s">
        <v>260</v>
      </c>
      <c r="E1548" t="s">
        <v>22</v>
      </c>
      <c r="F1548">
        <v>1</v>
      </c>
      <c r="G1548" t="s">
        <v>42</v>
      </c>
      <c r="H1548" s="1">
        <v>45959.581944444442</v>
      </c>
      <c r="I1548" s="5">
        <f>INT(TB[[#This Row],[时间戳]])</f>
        <v>45959</v>
      </c>
      <c r="J1548" s="2">
        <f>HOUR(TB[[#This Row],[时间戳]])</f>
        <v>13</v>
      </c>
      <c r="K1548">
        <v>1822</v>
      </c>
      <c r="L1548">
        <v>0</v>
      </c>
      <c r="M1548">
        <f>TB[[#This Row],[售价]]*TB[[#This Row],[销量]]</f>
        <v>0</v>
      </c>
      <c r="N1548" t="str">
        <f>IF(TB[[#This Row],[售价]]&lt;1000,"低价商品",IF(TB[[#This Row],[售价]]&lt;5000,"中价商品",IF(TB[[#This Row],[售价]]&lt;10000,"高价商品","超高价商品")))</f>
        <v>中价商品</v>
      </c>
    </row>
    <row r="1549" spans="1:14" x14ac:dyDescent="0.2">
      <c r="A1549">
        <v>405</v>
      </c>
      <c r="B1549">
        <v>60</v>
      </c>
      <c r="C1549" t="s">
        <v>10</v>
      </c>
      <c r="D1549" t="s">
        <v>201</v>
      </c>
      <c r="E1549" t="s">
        <v>31</v>
      </c>
      <c r="F1549">
        <v>4</v>
      </c>
      <c r="G1549" t="s">
        <v>13</v>
      </c>
      <c r="H1549" s="1">
        <v>45959.59652777778</v>
      </c>
      <c r="I1549" s="5">
        <f>INT(TB[[#This Row],[时间戳]])</f>
        <v>45959</v>
      </c>
      <c r="J1549" s="2">
        <f>HOUR(TB[[#This Row],[时间戳]])</f>
        <v>14</v>
      </c>
      <c r="K1549">
        <v>1011</v>
      </c>
      <c r="L1549">
        <v>3</v>
      </c>
      <c r="M1549">
        <f>TB[[#This Row],[售价]]*TB[[#This Row],[销量]]</f>
        <v>3033</v>
      </c>
      <c r="N1549" t="str">
        <f>IF(TB[[#This Row],[售价]]&lt;1000,"低价商品",IF(TB[[#This Row],[售价]]&lt;5000,"中价商品",IF(TB[[#This Row],[售价]]&lt;10000,"高价商品","超高价商品")))</f>
        <v>中价商品</v>
      </c>
    </row>
    <row r="1550" spans="1:14" x14ac:dyDescent="0.2">
      <c r="A1550">
        <v>709</v>
      </c>
      <c r="B1550">
        <v>208</v>
      </c>
      <c r="C1550" t="s">
        <v>44</v>
      </c>
      <c r="D1550" t="s">
        <v>268</v>
      </c>
      <c r="E1550" t="s">
        <v>16</v>
      </c>
      <c r="F1550">
        <v>6</v>
      </c>
      <c r="G1550" t="s">
        <v>13</v>
      </c>
      <c r="H1550" s="1">
        <v>45959.597222222219</v>
      </c>
      <c r="I1550" s="5">
        <f>INT(TB[[#This Row],[时间戳]])</f>
        <v>45959</v>
      </c>
      <c r="J1550" s="2">
        <f>HOUR(TB[[#This Row],[时间戳]])</f>
        <v>14</v>
      </c>
      <c r="K1550">
        <v>2104</v>
      </c>
      <c r="L1550">
        <v>3</v>
      </c>
      <c r="M1550">
        <f>TB[[#This Row],[售价]]*TB[[#This Row],[销量]]</f>
        <v>6312</v>
      </c>
      <c r="N1550" t="str">
        <f>IF(TB[[#This Row],[售价]]&lt;1000,"低价商品",IF(TB[[#This Row],[售价]]&lt;5000,"中价商品",IF(TB[[#This Row],[售价]]&lt;10000,"高价商品","超高价商品")))</f>
        <v>中价商品</v>
      </c>
    </row>
    <row r="1551" spans="1:14" x14ac:dyDescent="0.2">
      <c r="A1551">
        <v>311</v>
      </c>
      <c r="B1551">
        <v>185</v>
      </c>
      <c r="C1551" t="s">
        <v>46</v>
      </c>
      <c r="D1551" t="s">
        <v>211</v>
      </c>
      <c r="E1551" t="s">
        <v>31</v>
      </c>
      <c r="F1551">
        <v>4</v>
      </c>
      <c r="G1551" t="s">
        <v>13</v>
      </c>
      <c r="H1551" s="1">
        <v>45959.615277777775</v>
      </c>
      <c r="I1551" s="5">
        <f>INT(TB[[#This Row],[时间戳]])</f>
        <v>45959</v>
      </c>
      <c r="J1551" s="2">
        <f>HOUR(TB[[#This Row],[时间戳]])</f>
        <v>14</v>
      </c>
      <c r="K1551">
        <v>1500</v>
      </c>
      <c r="L1551">
        <v>1</v>
      </c>
      <c r="M1551">
        <f>TB[[#This Row],[售价]]*TB[[#This Row],[销量]]</f>
        <v>1500</v>
      </c>
      <c r="N1551" t="str">
        <f>IF(TB[[#This Row],[售价]]&lt;1000,"低价商品",IF(TB[[#This Row],[售价]]&lt;5000,"中价商品",IF(TB[[#This Row],[售价]]&lt;10000,"高价商品","超高价商品")))</f>
        <v>中价商品</v>
      </c>
    </row>
    <row r="1552" spans="1:14" x14ac:dyDescent="0.2">
      <c r="A1552">
        <v>90</v>
      </c>
      <c r="B1552">
        <v>65</v>
      </c>
      <c r="C1552" t="s">
        <v>17</v>
      </c>
      <c r="D1552" t="s">
        <v>133</v>
      </c>
      <c r="E1552" t="s">
        <v>31</v>
      </c>
      <c r="F1552">
        <v>4</v>
      </c>
      <c r="G1552" t="s">
        <v>13</v>
      </c>
      <c r="H1552" s="1">
        <v>45959.671527777777</v>
      </c>
      <c r="I1552" s="5">
        <f>INT(TB[[#This Row],[时间戳]])</f>
        <v>45959</v>
      </c>
      <c r="J1552" s="2">
        <f>HOUR(TB[[#This Row],[时间戳]])</f>
        <v>16</v>
      </c>
      <c r="K1552">
        <v>1500</v>
      </c>
      <c r="L1552">
        <v>1</v>
      </c>
      <c r="M1552">
        <f>TB[[#This Row],[售价]]*TB[[#This Row],[销量]]</f>
        <v>1500</v>
      </c>
      <c r="N1552" t="str">
        <f>IF(TB[[#This Row],[售价]]&lt;1000,"低价商品",IF(TB[[#This Row],[售价]]&lt;5000,"中价商品",IF(TB[[#This Row],[售价]]&lt;10000,"高价商品","超高价商品")))</f>
        <v>中价商品</v>
      </c>
    </row>
    <row r="1553" spans="1:14" x14ac:dyDescent="0.2">
      <c r="A1553">
        <v>17</v>
      </c>
      <c r="B1553">
        <v>97</v>
      </c>
      <c r="C1553" t="s">
        <v>32</v>
      </c>
      <c r="D1553" t="s">
        <v>71</v>
      </c>
      <c r="E1553" t="s">
        <v>25</v>
      </c>
      <c r="F1553">
        <v>7</v>
      </c>
      <c r="G1553" t="s">
        <v>13</v>
      </c>
      <c r="H1553" s="1">
        <v>45959.688194444447</v>
      </c>
      <c r="I1553" s="5">
        <f>INT(TB[[#This Row],[时间戳]])</f>
        <v>45959</v>
      </c>
      <c r="J1553" s="2">
        <f>HOUR(TB[[#This Row],[时间戳]])</f>
        <v>16</v>
      </c>
      <c r="K1553">
        <v>2413</v>
      </c>
      <c r="L1553">
        <v>3</v>
      </c>
      <c r="M1553">
        <f>TB[[#This Row],[售价]]*TB[[#This Row],[销量]]</f>
        <v>7239</v>
      </c>
      <c r="N1553" t="str">
        <f>IF(TB[[#This Row],[售价]]&lt;1000,"低价商品",IF(TB[[#This Row],[售价]]&lt;5000,"中价商品",IF(TB[[#This Row],[售价]]&lt;10000,"高价商品","超高价商品")))</f>
        <v>中价商品</v>
      </c>
    </row>
    <row r="1554" spans="1:14" x14ac:dyDescent="0.2">
      <c r="A1554">
        <v>666</v>
      </c>
      <c r="B1554">
        <v>124</v>
      </c>
      <c r="C1554" t="s">
        <v>44</v>
      </c>
      <c r="D1554" t="s">
        <v>76</v>
      </c>
      <c r="E1554" t="s">
        <v>31</v>
      </c>
      <c r="F1554">
        <v>4</v>
      </c>
      <c r="G1554" t="s">
        <v>13</v>
      </c>
      <c r="H1554" s="1">
        <v>45959.719444444447</v>
      </c>
      <c r="I1554" s="5">
        <f>INT(TB[[#This Row],[时间戳]])</f>
        <v>45959</v>
      </c>
      <c r="J1554" s="2">
        <f>HOUR(TB[[#This Row],[时间戳]])</f>
        <v>17</v>
      </c>
      <c r="K1554">
        <v>50</v>
      </c>
      <c r="L1554">
        <v>2</v>
      </c>
      <c r="M1554">
        <f>TB[[#This Row],[售价]]*TB[[#This Row],[销量]]</f>
        <v>100</v>
      </c>
      <c r="N1554" t="str">
        <f>IF(TB[[#This Row],[售价]]&lt;1000,"低价商品",IF(TB[[#This Row],[售价]]&lt;5000,"中价商品",IF(TB[[#This Row],[售价]]&lt;10000,"高价商品","超高价商品")))</f>
        <v>低价商品</v>
      </c>
    </row>
    <row r="1555" spans="1:14" x14ac:dyDescent="0.2">
      <c r="A1555">
        <v>89</v>
      </c>
      <c r="B1555">
        <v>155</v>
      </c>
      <c r="C1555" t="s">
        <v>20</v>
      </c>
      <c r="D1555" t="s">
        <v>152</v>
      </c>
      <c r="E1555" t="s">
        <v>16</v>
      </c>
      <c r="F1555">
        <v>6</v>
      </c>
      <c r="G1555" t="s">
        <v>42</v>
      </c>
      <c r="H1555" s="1">
        <v>45959.759027777778</v>
      </c>
      <c r="I1555" s="5">
        <f>INT(TB[[#This Row],[时间戳]])</f>
        <v>45959</v>
      </c>
      <c r="J1555" s="2">
        <f>HOUR(TB[[#This Row],[时间戳]])</f>
        <v>18</v>
      </c>
      <c r="K1555">
        <v>9259</v>
      </c>
      <c r="L1555">
        <v>0</v>
      </c>
      <c r="M1555">
        <f>TB[[#This Row],[售价]]*TB[[#This Row],[销量]]</f>
        <v>0</v>
      </c>
      <c r="N1555" t="str">
        <f>IF(TB[[#This Row],[售价]]&lt;1000,"低价商品",IF(TB[[#This Row],[售价]]&lt;5000,"中价商品",IF(TB[[#This Row],[售价]]&lt;10000,"高价商品","超高价商品")))</f>
        <v>高价商品</v>
      </c>
    </row>
    <row r="1556" spans="1:14" x14ac:dyDescent="0.2">
      <c r="A1556">
        <v>23</v>
      </c>
      <c r="B1556">
        <v>60</v>
      </c>
      <c r="C1556" t="s">
        <v>44</v>
      </c>
      <c r="D1556" t="s">
        <v>169</v>
      </c>
      <c r="E1556" t="s">
        <v>31</v>
      </c>
      <c r="F1556">
        <v>4</v>
      </c>
      <c r="G1556" t="s">
        <v>42</v>
      </c>
      <c r="H1556" s="1">
        <v>45959.763888888891</v>
      </c>
      <c r="I1556" s="5">
        <f>INT(TB[[#This Row],[时间戳]])</f>
        <v>45959</v>
      </c>
      <c r="J1556" s="2">
        <f>HOUR(TB[[#This Row],[时间戳]])</f>
        <v>18</v>
      </c>
      <c r="K1556">
        <v>874</v>
      </c>
      <c r="L1556">
        <v>0</v>
      </c>
      <c r="M1556">
        <f>TB[[#This Row],[售价]]*TB[[#This Row],[销量]]</f>
        <v>0</v>
      </c>
      <c r="N1556" t="str">
        <f>IF(TB[[#This Row],[售价]]&lt;1000,"低价商品",IF(TB[[#This Row],[售价]]&lt;5000,"中价商品",IF(TB[[#This Row],[售价]]&lt;10000,"高价商品","超高价商品")))</f>
        <v>低价商品</v>
      </c>
    </row>
    <row r="1557" spans="1:14" x14ac:dyDescent="0.2">
      <c r="A1557">
        <v>483</v>
      </c>
      <c r="B1557">
        <v>11</v>
      </c>
      <c r="C1557" t="s">
        <v>44</v>
      </c>
      <c r="D1557" t="s">
        <v>163</v>
      </c>
      <c r="E1557" t="s">
        <v>12</v>
      </c>
      <c r="F1557">
        <v>2</v>
      </c>
      <c r="G1557" t="s">
        <v>42</v>
      </c>
      <c r="H1557" s="1">
        <v>45959.768750000003</v>
      </c>
      <c r="I1557" s="5">
        <f>INT(TB[[#This Row],[时间戳]])</f>
        <v>45959</v>
      </c>
      <c r="J1557" s="2">
        <f>HOUR(TB[[#This Row],[时间戳]])</f>
        <v>18</v>
      </c>
      <c r="K1557">
        <v>6599</v>
      </c>
      <c r="L1557">
        <v>0</v>
      </c>
      <c r="M1557">
        <f>TB[[#This Row],[售价]]*TB[[#This Row],[销量]]</f>
        <v>0</v>
      </c>
      <c r="N1557" t="str">
        <f>IF(TB[[#This Row],[售价]]&lt;1000,"低价商品",IF(TB[[#This Row],[售价]]&lt;5000,"中价商品",IF(TB[[#This Row],[售价]]&lt;10000,"高价商品","超高价商品")))</f>
        <v>高价商品</v>
      </c>
    </row>
    <row r="1558" spans="1:14" x14ac:dyDescent="0.2">
      <c r="A1558">
        <v>302</v>
      </c>
      <c r="B1558">
        <v>292</v>
      </c>
      <c r="C1558" t="s">
        <v>32</v>
      </c>
      <c r="D1558" t="s">
        <v>38</v>
      </c>
      <c r="E1558" t="s">
        <v>39</v>
      </c>
      <c r="F1558">
        <v>5</v>
      </c>
      <c r="G1558" t="s">
        <v>13</v>
      </c>
      <c r="H1558" s="1">
        <v>45959.786111111112</v>
      </c>
      <c r="I1558" s="5">
        <f>INT(TB[[#This Row],[时间戳]])</f>
        <v>45959</v>
      </c>
      <c r="J1558" s="2">
        <f>HOUR(TB[[#This Row],[时间戳]])</f>
        <v>18</v>
      </c>
      <c r="K1558">
        <v>2740</v>
      </c>
      <c r="L1558">
        <v>3</v>
      </c>
      <c r="M1558">
        <f>TB[[#This Row],[售价]]*TB[[#This Row],[销量]]</f>
        <v>8220</v>
      </c>
      <c r="N1558" t="str">
        <f>IF(TB[[#This Row],[售价]]&lt;1000,"低价商品",IF(TB[[#This Row],[售价]]&lt;5000,"中价商品",IF(TB[[#This Row],[售价]]&lt;10000,"高价商品","超高价商品")))</f>
        <v>中价商品</v>
      </c>
    </row>
    <row r="1559" spans="1:14" x14ac:dyDescent="0.2">
      <c r="A1559">
        <v>106</v>
      </c>
      <c r="B1559">
        <v>222</v>
      </c>
      <c r="C1559" t="s">
        <v>34</v>
      </c>
      <c r="D1559" t="s">
        <v>69</v>
      </c>
      <c r="E1559" t="s">
        <v>31</v>
      </c>
      <c r="F1559">
        <v>4</v>
      </c>
      <c r="G1559" t="s">
        <v>13</v>
      </c>
      <c r="H1559" s="1">
        <v>45959.79583333333</v>
      </c>
      <c r="I1559" s="5">
        <f>INT(TB[[#This Row],[时间戳]])</f>
        <v>45959</v>
      </c>
      <c r="J1559" s="2">
        <f>HOUR(TB[[#This Row],[时间戳]])</f>
        <v>19</v>
      </c>
      <c r="K1559">
        <v>678</v>
      </c>
      <c r="L1559">
        <v>3</v>
      </c>
      <c r="M1559">
        <f>TB[[#This Row],[售价]]*TB[[#This Row],[销量]]</f>
        <v>2034</v>
      </c>
      <c r="N1559" t="str">
        <f>IF(TB[[#This Row],[售价]]&lt;1000,"低价商品",IF(TB[[#This Row],[售价]]&lt;5000,"中价商品",IF(TB[[#This Row],[售价]]&lt;10000,"高价商品","超高价商品")))</f>
        <v>低价商品</v>
      </c>
    </row>
    <row r="1560" spans="1:14" x14ac:dyDescent="0.2">
      <c r="A1560">
        <v>749</v>
      </c>
      <c r="B1560">
        <v>284</v>
      </c>
      <c r="C1560" t="s">
        <v>46</v>
      </c>
      <c r="D1560" t="s">
        <v>81</v>
      </c>
      <c r="E1560" t="s">
        <v>12</v>
      </c>
      <c r="F1560">
        <v>2</v>
      </c>
      <c r="G1560" t="s">
        <v>13</v>
      </c>
      <c r="H1560" s="1">
        <v>45959.82916666667</v>
      </c>
      <c r="I1560" s="5">
        <f>INT(TB[[#This Row],[时间戳]])</f>
        <v>45959</v>
      </c>
      <c r="J1560" s="2">
        <f>HOUR(TB[[#This Row],[时间戳]])</f>
        <v>19</v>
      </c>
      <c r="K1560">
        <v>10863</v>
      </c>
      <c r="L1560">
        <v>3</v>
      </c>
      <c r="M1560">
        <f>TB[[#This Row],[售价]]*TB[[#This Row],[销量]]</f>
        <v>32589</v>
      </c>
      <c r="N1560" t="str">
        <f>IF(TB[[#This Row],[售价]]&lt;1000,"低价商品",IF(TB[[#This Row],[售价]]&lt;5000,"中价商品",IF(TB[[#This Row],[售价]]&lt;10000,"高价商品","超高价商品")))</f>
        <v>超高价商品</v>
      </c>
    </row>
    <row r="1561" spans="1:14" x14ac:dyDescent="0.2">
      <c r="A1561">
        <v>498</v>
      </c>
      <c r="B1561">
        <v>263</v>
      </c>
      <c r="C1561" t="s">
        <v>44</v>
      </c>
      <c r="D1561" t="s">
        <v>254</v>
      </c>
      <c r="E1561" t="s">
        <v>25</v>
      </c>
      <c r="F1561">
        <v>7</v>
      </c>
      <c r="G1561" t="s">
        <v>13</v>
      </c>
      <c r="H1561" s="1">
        <v>45959.871527777781</v>
      </c>
      <c r="I1561" s="5">
        <f>INT(TB[[#This Row],[时间戳]])</f>
        <v>45959</v>
      </c>
      <c r="J1561" s="2">
        <f>HOUR(TB[[#This Row],[时间戳]])</f>
        <v>20</v>
      </c>
      <c r="K1561">
        <v>3700</v>
      </c>
      <c r="L1561">
        <v>1</v>
      </c>
      <c r="M1561">
        <f>TB[[#This Row],[售价]]*TB[[#This Row],[销量]]</f>
        <v>3700</v>
      </c>
      <c r="N1561" t="str">
        <f>IF(TB[[#This Row],[售价]]&lt;1000,"低价商品",IF(TB[[#This Row],[售价]]&lt;5000,"中价商品",IF(TB[[#This Row],[售价]]&lt;10000,"高价商品","超高价商品")))</f>
        <v>中价商品</v>
      </c>
    </row>
    <row r="1562" spans="1:14" x14ac:dyDescent="0.2">
      <c r="A1562">
        <v>500</v>
      </c>
      <c r="B1562">
        <v>119</v>
      </c>
      <c r="C1562" t="s">
        <v>46</v>
      </c>
      <c r="D1562" t="s">
        <v>121</v>
      </c>
      <c r="E1562" t="s">
        <v>25</v>
      </c>
      <c r="F1562">
        <v>7</v>
      </c>
      <c r="G1562" t="s">
        <v>13</v>
      </c>
      <c r="H1562" s="1">
        <v>45959.879861111112</v>
      </c>
      <c r="I1562" s="5">
        <f>INT(TB[[#This Row],[时间戳]])</f>
        <v>45959</v>
      </c>
      <c r="J1562" s="2">
        <f>HOUR(TB[[#This Row],[时间戳]])</f>
        <v>21</v>
      </c>
      <c r="K1562">
        <v>6512</v>
      </c>
      <c r="L1562">
        <v>4</v>
      </c>
      <c r="M1562">
        <f>TB[[#This Row],[售价]]*TB[[#This Row],[销量]]</f>
        <v>26048</v>
      </c>
      <c r="N1562" t="str">
        <f>IF(TB[[#This Row],[售价]]&lt;1000,"低价商品",IF(TB[[#This Row],[售价]]&lt;5000,"中价商品",IF(TB[[#This Row],[售价]]&lt;10000,"高价商品","超高价商品")))</f>
        <v>高价商品</v>
      </c>
    </row>
    <row r="1563" spans="1:14" x14ac:dyDescent="0.2">
      <c r="A1563">
        <v>591</v>
      </c>
      <c r="B1563">
        <v>162</v>
      </c>
      <c r="C1563" t="s">
        <v>10</v>
      </c>
      <c r="D1563" t="s">
        <v>312</v>
      </c>
      <c r="E1563" t="s">
        <v>12</v>
      </c>
      <c r="F1563">
        <v>2</v>
      </c>
      <c r="G1563" t="s">
        <v>13</v>
      </c>
      <c r="H1563" s="1">
        <v>45959.884722222225</v>
      </c>
      <c r="I1563" s="5">
        <f>INT(TB[[#This Row],[时间戳]])</f>
        <v>45959</v>
      </c>
      <c r="J1563" s="2">
        <f>HOUR(TB[[#This Row],[时间戳]])</f>
        <v>21</v>
      </c>
      <c r="K1563">
        <v>5064</v>
      </c>
      <c r="L1563">
        <v>1</v>
      </c>
      <c r="M1563">
        <f>TB[[#This Row],[售价]]*TB[[#This Row],[销量]]</f>
        <v>5064</v>
      </c>
      <c r="N1563" t="str">
        <f>IF(TB[[#This Row],[售价]]&lt;1000,"低价商品",IF(TB[[#This Row],[售价]]&lt;5000,"中价商品",IF(TB[[#This Row],[售价]]&lt;10000,"高价商品","超高价商品")))</f>
        <v>高价商品</v>
      </c>
    </row>
    <row r="1564" spans="1:14" x14ac:dyDescent="0.2">
      <c r="A1564">
        <v>428</v>
      </c>
      <c r="B1564">
        <v>243</v>
      </c>
      <c r="C1564" t="s">
        <v>36</v>
      </c>
      <c r="D1564" t="s">
        <v>264</v>
      </c>
      <c r="E1564" t="s">
        <v>12</v>
      </c>
      <c r="F1564">
        <v>2</v>
      </c>
      <c r="G1564" t="s">
        <v>13</v>
      </c>
      <c r="H1564" s="1">
        <v>45959.912499999999</v>
      </c>
      <c r="I1564" s="5">
        <f>INT(TB[[#This Row],[时间戳]])</f>
        <v>45959</v>
      </c>
      <c r="J1564" s="2">
        <f>HOUR(TB[[#This Row],[时间戳]])</f>
        <v>21</v>
      </c>
      <c r="K1564">
        <v>12896</v>
      </c>
      <c r="L1564">
        <v>1</v>
      </c>
      <c r="M1564">
        <f>TB[[#This Row],[售价]]*TB[[#This Row],[销量]]</f>
        <v>12896</v>
      </c>
      <c r="N1564" t="str">
        <f>IF(TB[[#This Row],[售价]]&lt;1000,"低价商品",IF(TB[[#This Row],[售价]]&lt;5000,"中价商品",IF(TB[[#This Row],[售价]]&lt;10000,"高价商品","超高价商品")))</f>
        <v>超高价商品</v>
      </c>
    </row>
    <row r="1565" spans="1:14" x14ac:dyDescent="0.2">
      <c r="A1565">
        <v>356</v>
      </c>
      <c r="B1565">
        <v>230</v>
      </c>
      <c r="C1565" t="s">
        <v>46</v>
      </c>
      <c r="D1565" t="s">
        <v>209</v>
      </c>
      <c r="E1565" t="s">
        <v>22</v>
      </c>
      <c r="F1565">
        <v>1</v>
      </c>
      <c r="G1565" t="s">
        <v>13</v>
      </c>
      <c r="H1565" s="1">
        <v>45959.918749999997</v>
      </c>
      <c r="I1565" s="5">
        <f>INT(TB[[#This Row],[时间戳]])</f>
        <v>45959</v>
      </c>
      <c r="J1565" s="2">
        <f>HOUR(TB[[#This Row],[时间戳]])</f>
        <v>22</v>
      </c>
      <c r="K1565">
        <v>2010</v>
      </c>
      <c r="L1565">
        <v>4</v>
      </c>
      <c r="M1565">
        <f>TB[[#This Row],[售价]]*TB[[#This Row],[销量]]</f>
        <v>8040</v>
      </c>
      <c r="N1565" t="str">
        <f>IF(TB[[#This Row],[售价]]&lt;1000,"低价商品",IF(TB[[#This Row],[售价]]&lt;5000,"中价商品",IF(TB[[#This Row],[售价]]&lt;10000,"高价商品","超高价商品")))</f>
        <v>中价商品</v>
      </c>
    </row>
    <row r="1566" spans="1:14" x14ac:dyDescent="0.2">
      <c r="A1566">
        <v>295</v>
      </c>
      <c r="B1566">
        <v>99</v>
      </c>
      <c r="C1566" t="s">
        <v>10</v>
      </c>
      <c r="D1566" t="s">
        <v>116</v>
      </c>
      <c r="E1566" t="s">
        <v>31</v>
      </c>
      <c r="F1566">
        <v>4</v>
      </c>
      <c r="G1566" t="s">
        <v>42</v>
      </c>
      <c r="H1566" s="1">
        <v>45959.95</v>
      </c>
      <c r="I1566" s="5">
        <f>INT(TB[[#This Row],[时间戳]])</f>
        <v>45959</v>
      </c>
      <c r="J1566" s="2">
        <f>HOUR(TB[[#This Row],[时间戳]])</f>
        <v>22</v>
      </c>
      <c r="K1566">
        <v>1500</v>
      </c>
      <c r="L1566">
        <v>0</v>
      </c>
      <c r="M1566">
        <f>TB[[#This Row],[售价]]*TB[[#This Row],[销量]]</f>
        <v>0</v>
      </c>
      <c r="N1566" t="str">
        <f>IF(TB[[#This Row],[售价]]&lt;1000,"低价商品",IF(TB[[#This Row],[售价]]&lt;5000,"中价商品",IF(TB[[#This Row],[售价]]&lt;10000,"高价商品","超高价商品")))</f>
        <v>中价商品</v>
      </c>
    </row>
    <row r="1567" spans="1:14" x14ac:dyDescent="0.2">
      <c r="A1567">
        <v>520</v>
      </c>
      <c r="B1567">
        <v>113</v>
      </c>
      <c r="C1567" t="s">
        <v>44</v>
      </c>
      <c r="D1567" t="s">
        <v>195</v>
      </c>
      <c r="E1567" t="s">
        <v>22</v>
      </c>
      <c r="F1567">
        <v>1</v>
      </c>
      <c r="G1567" t="s">
        <v>13</v>
      </c>
      <c r="H1567" s="1">
        <v>45959.960416666669</v>
      </c>
      <c r="I1567" s="5">
        <f>INT(TB[[#This Row],[时间戳]])</f>
        <v>45959</v>
      </c>
      <c r="J1567" s="2">
        <f>HOUR(TB[[#This Row],[时间戳]])</f>
        <v>23</v>
      </c>
      <c r="K1567">
        <v>4820</v>
      </c>
      <c r="L1567">
        <v>2</v>
      </c>
      <c r="M1567">
        <f>TB[[#This Row],[售价]]*TB[[#This Row],[销量]]</f>
        <v>9640</v>
      </c>
      <c r="N1567" t="str">
        <f>IF(TB[[#This Row],[售价]]&lt;1000,"低价商品",IF(TB[[#This Row],[售价]]&lt;5000,"中价商品",IF(TB[[#This Row],[售价]]&lt;10000,"高价商品","超高价商品")))</f>
        <v>中价商品</v>
      </c>
    </row>
    <row r="1568" spans="1:14" x14ac:dyDescent="0.2">
      <c r="A1568">
        <v>733</v>
      </c>
      <c r="B1568">
        <v>240</v>
      </c>
      <c r="C1568" t="s">
        <v>34</v>
      </c>
      <c r="D1568" t="s">
        <v>203</v>
      </c>
      <c r="E1568" t="s">
        <v>16</v>
      </c>
      <c r="F1568">
        <v>6</v>
      </c>
      <c r="G1568" t="s">
        <v>13</v>
      </c>
      <c r="H1568" s="1">
        <v>45959.980555555558</v>
      </c>
      <c r="I1568" s="5">
        <f>INT(TB[[#This Row],[时间戳]])</f>
        <v>45959</v>
      </c>
      <c r="J1568" s="2">
        <f>HOUR(TB[[#This Row],[时间戳]])</f>
        <v>23</v>
      </c>
      <c r="K1568">
        <v>11778</v>
      </c>
      <c r="L1568">
        <v>1</v>
      </c>
      <c r="M1568">
        <f>TB[[#This Row],[售价]]*TB[[#This Row],[销量]]</f>
        <v>11778</v>
      </c>
      <c r="N1568" t="str">
        <f>IF(TB[[#This Row],[售价]]&lt;1000,"低价商品",IF(TB[[#This Row],[售价]]&lt;5000,"中价商品",IF(TB[[#This Row],[售价]]&lt;10000,"高价商品","超高价商品")))</f>
        <v>超高价商品</v>
      </c>
    </row>
    <row r="1569" spans="1:14" x14ac:dyDescent="0.2">
      <c r="A1569">
        <v>690</v>
      </c>
      <c r="B1569">
        <v>185</v>
      </c>
      <c r="C1569" t="s">
        <v>17</v>
      </c>
      <c r="D1569" t="s">
        <v>177</v>
      </c>
      <c r="E1569" t="s">
        <v>22</v>
      </c>
      <c r="F1569">
        <v>1</v>
      </c>
      <c r="G1569" t="s">
        <v>13</v>
      </c>
      <c r="H1569" s="1">
        <v>45959.982638888891</v>
      </c>
      <c r="I1569" s="5">
        <f>INT(TB[[#This Row],[时间戳]])</f>
        <v>45959</v>
      </c>
      <c r="J1569" s="2">
        <f>HOUR(TB[[#This Row],[时间戳]])</f>
        <v>23</v>
      </c>
      <c r="K1569">
        <v>2024</v>
      </c>
      <c r="L1569">
        <v>2</v>
      </c>
      <c r="M1569">
        <f>TB[[#This Row],[售价]]*TB[[#This Row],[销量]]</f>
        <v>4048</v>
      </c>
      <c r="N1569" t="str">
        <f>IF(TB[[#This Row],[售价]]&lt;1000,"低价商品",IF(TB[[#This Row],[售价]]&lt;5000,"中价商品",IF(TB[[#This Row],[售价]]&lt;10000,"高价商品","超高价商品")))</f>
        <v>中价商品</v>
      </c>
    </row>
    <row r="1570" spans="1:14" x14ac:dyDescent="0.2">
      <c r="A1570">
        <v>290</v>
      </c>
      <c r="B1570">
        <v>45</v>
      </c>
      <c r="C1570" t="s">
        <v>46</v>
      </c>
      <c r="D1570" t="s">
        <v>341</v>
      </c>
      <c r="E1570" t="s">
        <v>31</v>
      </c>
      <c r="F1570">
        <v>4</v>
      </c>
      <c r="G1570" t="s">
        <v>13</v>
      </c>
      <c r="H1570" s="1">
        <v>45960.000694444447</v>
      </c>
      <c r="I1570" s="5">
        <f>INT(TB[[#This Row],[时间戳]])</f>
        <v>45960</v>
      </c>
      <c r="J1570" s="2">
        <f>HOUR(TB[[#This Row],[时间戳]])</f>
        <v>0</v>
      </c>
      <c r="K1570">
        <v>899</v>
      </c>
      <c r="L1570">
        <v>3</v>
      </c>
      <c r="M1570">
        <f>TB[[#This Row],[售价]]*TB[[#This Row],[销量]]</f>
        <v>2697</v>
      </c>
      <c r="N1570" t="str">
        <f>IF(TB[[#This Row],[售价]]&lt;1000,"低价商品",IF(TB[[#This Row],[售价]]&lt;5000,"中价商品",IF(TB[[#This Row],[售价]]&lt;10000,"高价商品","超高价商品")))</f>
        <v>低价商品</v>
      </c>
    </row>
    <row r="1571" spans="1:14" x14ac:dyDescent="0.2">
      <c r="A1571">
        <v>205</v>
      </c>
      <c r="B1571">
        <v>81</v>
      </c>
      <c r="C1571" t="s">
        <v>26</v>
      </c>
      <c r="D1571" t="s">
        <v>345</v>
      </c>
      <c r="E1571" t="s">
        <v>12</v>
      </c>
      <c r="F1571">
        <v>2</v>
      </c>
      <c r="G1571" t="s">
        <v>13</v>
      </c>
      <c r="H1571" s="1">
        <v>45960.011805555558</v>
      </c>
      <c r="I1571" s="5">
        <f>INT(TB[[#This Row],[时间戳]])</f>
        <v>45960</v>
      </c>
      <c r="J1571" s="2">
        <f>HOUR(TB[[#This Row],[时间戳]])</f>
        <v>0</v>
      </c>
      <c r="K1571">
        <v>14976</v>
      </c>
      <c r="L1571">
        <v>2</v>
      </c>
      <c r="M1571">
        <f>TB[[#This Row],[售价]]*TB[[#This Row],[销量]]</f>
        <v>29952</v>
      </c>
      <c r="N1571" t="str">
        <f>IF(TB[[#This Row],[售价]]&lt;1000,"低价商品",IF(TB[[#This Row],[售价]]&lt;5000,"中价商品",IF(TB[[#This Row],[售价]]&lt;10000,"高价商品","超高价商品")))</f>
        <v>超高价商品</v>
      </c>
    </row>
    <row r="1572" spans="1:14" x14ac:dyDescent="0.2">
      <c r="A1572">
        <v>506</v>
      </c>
      <c r="B1572">
        <v>156</v>
      </c>
      <c r="C1572" t="s">
        <v>14</v>
      </c>
      <c r="D1572" t="s">
        <v>106</v>
      </c>
      <c r="E1572" t="s">
        <v>22</v>
      </c>
      <c r="F1572">
        <v>1</v>
      </c>
      <c r="G1572" t="s">
        <v>13</v>
      </c>
      <c r="H1572" s="1">
        <v>45960.027777777781</v>
      </c>
      <c r="I1572" s="5">
        <f>INT(TB[[#This Row],[时间戳]])</f>
        <v>45960</v>
      </c>
      <c r="J1572" s="2">
        <f>HOUR(TB[[#This Row],[时间戳]])</f>
        <v>0</v>
      </c>
      <c r="K1572">
        <v>6013</v>
      </c>
      <c r="L1572">
        <v>3</v>
      </c>
      <c r="M1572">
        <f>TB[[#This Row],[售价]]*TB[[#This Row],[销量]]</f>
        <v>18039</v>
      </c>
      <c r="N1572" t="str">
        <f>IF(TB[[#This Row],[售价]]&lt;1000,"低价商品",IF(TB[[#This Row],[售价]]&lt;5000,"中价商品",IF(TB[[#This Row],[售价]]&lt;10000,"高价商品","超高价商品")))</f>
        <v>高价商品</v>
      </c>
    </row>
    <row r="1573" spans="1:14" x14ac:dyDescent="0.2">
      <c r="A1573">
        <v>19</v>
      </c>
      <c r="B1573">
        <v>184</v>
      </c>
      <c r="C1573" t="s">
        <v>20</v>
      </c>
      <c r="D1573" t="s">
        <v>319</v>
      </c>
      <c r="E1573" t="s">
        <v>31</v>
      </c>
      <c r="F1573">
        <v>4</v>
      </c>
      <c r="G1573" t="s">
        <v>13</v>
      </c>
      <c r="H1573" s="1">
        <v>45960.03125</v>
      </c>
      <c r="I1573" s="5">
        <f>INT(TB[[#This Row],[时间戳]])</f>
        <v>45960</v>
      </c>
      <c r="J1573" s="2">
        <f>HOUR(TB[[#This Row],[时间戳]])</f>
        <v>0</v>
      </c>
      <c r="K1573">
        <v>437</v>
      </c>
      <c r="L1573">
        <v>3</v>
      </c>
      <c r="M1573">
        <f>TB[[#This Row],[售价]]*TB[[#This Row],[销量]]</f>
        <v>1311</v>
      </c>
      <c r="N1573" t="str">
        <f>IF(TB[[#This Row],[售价]]&lt;1000,"低价商品",IF(TB[[#This Row],[售价]]&lt;5000,"中价商品",IF(TB[[#This Row],[售价]]&lt;10000,"高价商品","超高价商品")))</f>
        <v>低价商品</v>
      </c>
    </row>
    <row r="1574" spans="1:14" x14ac:dyDescent="0.2">
      <c r="A1574">
        <v>516</v>
      </c>
      <c r="B1574">
        <v>17</v>
      </c>
      <c r="C1574" t="s">
        <v>26</v>
      </c>
      <c r="D1574" t="s">
        <v>360</v>
      </c>
      <c r="E1574" t="s">
        <v>19</v>
      </c>
      <c r="F1574">
        <v>3</v>
      </c>
      <c r="G1574" t="s">
        <v>13</v>
      </c>
      <c r="H1574" s="1">
        <v>45960.055555555555</v>
      </c>
      <c r="I1574" s="5">
        <f>INT(TB[[#This Row],[时间戳]])</f>
        <v>45960</v>
      </c>
      <c r="J1574" s="2">
        <f>HOUR(TB[[#This Row],[时间戳]])</f>
        <v>1</v>
      </c>
      <c r="K1574">
        <v>3618</v>
      </c>
      <c r="L1574">
        <v>3</v>
      </c>
      <c r="M1574">
        <f>TB[[#This Row],[售价]]*TB[[#This Row],[销量]]</f>
        <v>10854</v>
      </c>
      <c r="N1574" t="str">
        <f>IF(TB[[#This Row],[售价]]&lt;1000,"低价商品",IF(TB[[#This Row],[售价]]&lt;5000,"中价商品",IF(TB[[#This Row],[售价]]&lt;10000,"高价商品","超高价商品")))</f>
        <v>中价商品</v>
      </c>
    </row>
    <row r="1575" spans="1:14" x14ac:dyDescent="0.2">
      <c r="A1575">
        <v>633</v>
      </c>
      <c r="B1575">
        <v>117</v>
      </c>
      <c r="C1575" t="s">
        <v>17</v>
      </c>
      <c r="D1575" t="s">
        <v>28</v>
      </c>
      <c r="E1575" t="s">
        <v>12</v>
      </c>
      <c r="F1575">
        <v>2</v>
      </c>
      <c r="G1575" t="s">
        <v>13</v>
      </c>
      <c r="H1575" s="1">
        <v>45960.092361111114</v>
      </c>
      <c r="I1575" s="5">
        <f>INT(TB[[#This Row],[时间戳]])</f>
        <v>45960</v>
      </c>
      <c r="J1575" s="2">
        <f>HOUR(TB[[#This Row],[时间戳]])</f>
        <v>2</v>
      </c>
      <c r="K1575">
        <v>5015</v>
      </c>
      <c r="L1575">
        <v>2</v>
      </c>
      <c r="M1575">
        <f>TB[[#This Row],[售价]]*TB[[#This Row],[销量]]</f>
        <v>10030</v>
      </c>
      <c r="N1575" t="str">
        <f>IF(TB[[#This Row],[售价]]&lt;1000,"低价商品",IF(TB[[#This Row],[售价]]&lt;5000,"中价商品",IF(TB[[#This Row],[售价]]&lt;10000,"高价商品","超高价商品")))</f>
        <v>高价商品</v>
      </c>
    </row>
    <row r="1576" spans="1:14" x14ac:dyDescent="0.2">
      <c r="A1576">
        <v>265</v>
      </c>
      <c r="B1576">
        <v>175</v>
      </c>
      <c r="C1576" t="s">
        <v>32</v>
      </c>
      <c r="D1576" t="s">
        <v>273</v>
      </c>
      <c r="E1576" t="s">
        <v>16</v>
      </c>
      <c r="F1576">
        <v>6</v>
      </c>
      <c r="G1576" t="s">
        <v>13</v>
      </c>
      <c r="H1576" s="1">
        <v>45960.09652777778</v>
      </c>
      <c r="I1576" s="5">
        <f>INT(TB[[#This Row],[时间戳]])</f>
        <v>45960</v>
      </c>
      <c r="J1576" s="2">
        <f>HOUR(TB[[#This Row],[时间戳]])</f>
        <v>2</v>
      </c>
      <c r="K1576">
        <v>4064</v>
      </c>
      <c r="L1576">
        <v>2</v>
      </c>
      <c r="M1576">
        <f>TB[[#This Row],[售价]]*TB[[#This Row],[销量]]</f>
        <v>8128</v>
      </c>
      <c r="N1576" t="str">
        <f>IF(TB[[#This Row],[售价]]&lt;1000,"低价商品",IF(TB[[#This Row],[售价]]&lt;5000,"中价商品",IF(TB[[#This Row],[售价]]&lt;10000,"高价商品","超高价商品")))</f>
        <v>中价商品</v>
      </c>
    </row>
    <row r="1577" spans="1:14" x14ac:dyDescent="0.2">
      <c r="A1577">
        <v>274</v>
      </c>
      <c r="B1577">
        <v>78</v>
      </c>
      <c r="C1577" t="s">
        <v>10</v>
      </c>
      <c r="D1577" t="s">
        <v>387</v>
      </c>
      <c r="E1577" t="s">
        <v>16</v>
      </c>
      <c r="F1577">
        <v>6</v>
      </c>
      <c r="G1577" t="s">
        <v>13</v>
      </c>
      <c r="H1577" s="1">
        <v>45960.098611111112</v>
      </c>
      <c r="I1577" s="5">
        <f>INT(TB[[#This Row],[时间戳]])</f>
        <v>45960</v>
      </c>
      <c r="J1577" s="2">
        <f>HOUR(TB[[#This Row],[时间戳]])</f>
        <v>2</v>
      </c>
      <c r="K1577">
        <v>8013</v>
      </c>
      <c r="L1577">
        <v>2</v>
      </c>
      <c r="M1577">
        <f>TB[[#This Row],[售价]]*TB[[#This Row],[销量]]</f>
        <v>16026</v>
      </c>
      <c r="N1577" t="str">
        <f>IF(TB[[#This Row],[售价]]&lt;1000,"低价商品",IF(TB[[#This Row],[售价]]&lt;5000,"中价商品",IF(TB[[#This Row],[售价]]&lt;10000,"高价商品","超高价商品")))</f>
        <v>高价商品</v>
      </c>
    </row>
    <row r="1578" spans="1:14" x14ac:dyDescent="0.2">
      <c r="A1578">
        <v>686</v>
      </c>
      <c r="B1578">
        <v>54</v>
      </c>
      <c r="C1578" t="s">
        <v>20</v>
      </c>
      <c r="D1578" t="s">
        <v>21</v>
      </c>
      <c r="E1578" t="s">
        <v>22</v>
      </c>
      <c r="F1578">
        <v>1</v>
      </c>
      <c r="G1578" t="s">
        <v>13</v>
      </c>
      <c r="H1578" s="1">
        <v>45960.099305555559</v>
      </c>
      <c r="I1578" s="5">
        <f>INT(TB[[#This Row],[时间戳]])</f>
        <v>45960</v>
      </c>
      <c r="J1578" s="2">
        <f>HOUR(TB[[#This Row],[时间戳]])</f>
        <v>2</v>
      </c>
      <c r="K1578">
        <v>8000</v>
      </c>
      <c r="L1578">
        <v>2</v>
      </c>
      <c r="M1578">
        <f>TB[[#This Row],[售价]]*TB[[#This Row],[销量]]</f>
        <v>16000</v>
      </c>
      <c r="N1578" t="str">
        <f>IF(TB[[#This Row],[售价]]&lt;1000,"低价商品",IF(TB[[#This Row],[售价]]&lt;5000,"中价商品",IF(TB[[#This Row],[售价]]&lt;10000,"高价商品","超高价商品")))</f>
        <v>高价商品</v>
      </c>
    </row>
    <row r="1579" spans="1:14" x14ac:dyDescent="0.2">
      <c r="A1579">
        <v>774</v>
      </c>
      <c r="B1579">
        <v>57</v>
      </c>
      <c r="C1579" t="s">
        <v>44</v>
      </c>
      <c r="D1579" t="s">
        <v>169</v>
      </c>
      <c r="E1579" t="s">
        <v>31</v>
      </c>
      <c r="F1579">
        <v>4</v>
      </c>
      <c r="G1579" t="s">
        <v>13</v>
      </c>
      <c r="H1579" s="1">
        <v>45960.118055555555</v>
      </c>
      <c r="I1579" s="5">
        <f>INT(TB[[#This Row],[时间戳]])</f>
        <v>45960</v>
      </c>
      <c r="J1579" s="2">
        <f>HOUR(TB[[#This Row],[时间戳]])</f>
        <v>2</v>
      </c>
      <c r="K1579">
        <v>1321</v>
      </c>
      <c r="L1579">
        <v>1</v>
      </c>
      <c r="M1579">
        <f>TB[[#This Row],[售价]]*TB[[#This Row],[销量]]</f>
        <v>1321</v>
      </c>
      <c r="N1579" t="str">
        <f>IF(TB[[#This Row],[售价]]&lt;1000,"低价商品",IF(TB[[#This Row],[售价]]&lt;5000,"中价商品",IF(TB[[#This Row],[售价]]&lt;10000,"高价商品","超高价商品")))</f>
        <v>中价商品</v>
      </c>
    </row>
    <row r="1580" spans="1:14" x14ac:dyDescent="0.2">
      <c r="A1580">
        <v>105</v>
      </c>
      <c r="B1580">
        <v>288</v>
      </c>
      <c r="C1580" t="s">
        <v>46</v>
      </c>
      <c r="D1580" t="s">
        <v>141</v>
      </c>
      <c r="E1580" t="s">
        <v>22</v>
      </c>
      <c r="F1580">
        <v>1</v>
      </c>
      <c r="G1580" t="s">
        <v>13</v>
      </c>
      <c r="H1580" s="1">
        <v>45960.135416666664</v>
      </c>
      <c r="I1580" s="5">
        <f>INT(TB[[#This Row],[时间戳]])</f>
        <v>45960</v>
      </c>
      <c r="J1580" s="2">
        <f>HOUR(TB[[#This Row],[时间戳]])</f>
        <v>3</v>
      </c>
      <c r="K1580">
        <v>2067</v>
      </c>
      <c r="L1580">
        <v>4</v>
      </c>
      <c r="M1580">
        <f>TB[[#This Row],[售价]]*TB[[#This Row],[销量]]</f>
        <v>8268</v>
      </c>
      <c r="N1580" t="str">
        <f>IF(TB[[#This Row],[售价]]&lt;1000,"低价商品",IF(TB[[#This Row],[售价]]&lt;5000,"中价商品",IF(TB[[#This Row],[售价]]&lt;10000,"高价商品","超高价商品")))</f>
        <v>中价商品</v>
      </c>
    </row>
    <row r="1581" spans="1:14" x14ac:dyDescent="0.2">
      <c r="A1581">
        <v>646</v>
      </c>
      <c r="B1581">
        <v>61</v>
      </c>
      <c r="C1581" t="s">
        <v>14</v>
      </c>
      <c r="D1581" t="s">
        <v>384</v>
      </c>
      <c r="E1581" t="s">
        <v>39</v>
      </c>
      <c r="F1581">
        <v>5</v>
      </c>
      <c r="G1581" t="s">
        <v>13</v>
      </c>
      <c r="H1581" s="1">
        <v>45960.15</v>
      </c>
      <c r="I1581" s="5">
        <f>INT(TB[[#This Row],[时间戳]])</f>
        <v>45960</v>
      </c>
      <c r="J1581" s="2">
        <f>HOUR(TB[[#This Row],[时间戳]])</f>
        <v>3</v>
      </c>
      <c r="K1581">
        <v>1030</v>
      </c>
      <c r="L1581">
        <v>2</v>
      </c>
      <c r="M1581">
        <f>TB[[#This Row],[售价]]*TB[[#This Row],[销量]]</f>
        <v>2060</v>
      </c>
      <c r="N1581" t="str">
        <f>IF(TB[[#This Row],[售价]]&lt;1000,"低价商品",IF(TB[[#This Row],[售价]]&lt;5000,"中价商品",IF(TB[[#This Row],[售价]]&lt;10000,"高价商品","超高价商品")))</f>
        <v>中价商品</v>
      </c>
    </row>
    <row r="1582" spans="1:14" x14ac:dyDescent="0.2">
      <c r="A1582">
        <v>300</v>
      </c>
      <c r="B1582">
        <v>227</v>
      </c>
      <c r="C1582" t="s">
        <v>26</v>
      </c>
      <c r="D1582" t="s">
        <v>409</v>
      </c>
      <c r="E1582" t="s">
        <v>12</v>
      </c>
      <c r="F1582">
        <v>2</v>
      </c>
      <c r="G1582" t="s">
        <v>13</v>
      </c>
      <c r="H1582" s="1">
        <v>45960.154861111114</v>
      </c>
      <c r="I1582" s="5">
        <f>INT(TB[[#This Row],[时间戳]])</f>
        <v>45960</v>
      </c>
      <c r="J1582" s="2">
        <f>HOUR(TB[[#This Row],[时间戳]])</f>
        <v>3</v>
      </c>
      <c r="K1582">
        <v>7350</v>
      </c>
      <c r="L1582">
        <v>1</v>
      </c>
      <c r="M1582">
        <f>TB[[#This Row],[售价]]*TB[[#This Row],[销量]]</f>
        <v>7350</v>
      </c>
      <c r="N1582" t="str">
        <f>IF(TB[[#This Row],[售价]]&lt;1000,"低价商品",IF(TB[[#This Row],[售价]]&lt;5000,"中价商品",IF(TB[[#This Row],[售价]]&lt;10000,"高价商品","超高价商品")))</f>
        <v>高价商品</v>
      </c>
    </row>
    <row r="1583" spans="1:14" x14ac:dyDescent="0.2">
      <c r="A1583">
        <v>158</v>
      </c>
      <c r="B1583">
        <v>187</v>
      </c>
      <c r="C1583" t="s">
        <v>44</v>
      </c>
      <c r="D1583" t="s">
        <v>347</v>
      </c>
      <c r="E1583" t="s">
        <v>39</v>
      </c>
      <c r="F1583">
        <v>5</v>
      </c>
      <c r="G1583" t="s">
        <v>13</v>
      </c>
      <c r="H1583" s="1">
        <v>45960.163888888892</v>
      </c>
      <c r="I1583" s="5">
        <f>INT(TB[[#This Row],[时间戳]])</f>
        <v>45960</v>
      </c>
      <c r="J1583" s="2">
        <f>HOUR(TB[[#This Row],[时间戳]])</f>
        <v>3</v>
      </c>
      <c r="K1583">
        <v>3980</v>
      </c>
      <c r="L1583">
        <v>2</v>
      </c>
      <c r="M1583">
        <f>TB[[#This Row],[售价]]*TB[[#This Row],[销量]]</f>
        <v>7960</v>
      </c>
      <c r="N1583" t="str">
        <f>IF(TB[[#This Row],[售价]]&lt;1000,"低价商品",IF(TB[[#This Row],[售价]]&lt;5000,"中价商品",IF(TB[[#This Row],[售价]]&lt;10000,"高价商品","超高价商品")))</f>
        <v>中价商品</v>
      </c>
    </row>
    <row r="1584" spans="1:14" x14ac:dyDescent="0.2">
      <c r="A1584">
        <v>450</v>
      </c>
      <c r="B1584">
        <v>213</v>
      </c>
      <c r="C1584" t="s">
        <v>14</v>
      </c>
      <c r="D1584" t="s">
        <v>356</v>
      </c>
      <c r="E1584" t="s">
        <v>16</v>
      </c>
      <c r="F1584">
        <v>6</v>
      </c>
      <c r="G1584" t="s">
        <v>13</v>
      </c>
      <c r="H1584" s="1">
        <v>45960.180555555555</v>
      </c>
      <c r="I1584" s="5">
        <f>INT(TB[[#This Row],[时间戳]])</f>
        <v>45960</v>
      </c>
      <c r="J1584" s="2">
        <f>HOUR(TB[[#This Row],[时间戳]])</f>
        <v>4</v>
      </c>
      <c r="K1584">
        <v>7352</v>
      </c>
      <c r="L1584">
        <v>1</v>
      </c>
      <c r="M1584">
        <f>TB[[#This Row],[售价]]*TB[[#This Row],[销量]]</f>
        <v>7352</v>
      </c>
      <c r="N1584" t="str">
        <f>IF(TB[[#This Row],[售价]]&lt;1000,"低价商品",IF(TB[[#This Row],[售价]]&lt;5000,"中价商品",IF(TB[[#This Row],[售价]]&lt;10000,"高价商品","超高价商品")))</f>
        <v>高价商品</v>
      </c>
    </row>
    <row r="1585" spans="1:14" x14ac:dyDescent="0.2">
      <c r="A1585">
        <v>294</v>
      </c>
      <c r="B1585">
        <v>259</v>
      </c>
      <c r="C1585" t="s">
        <v>44</v>
      </c>
      <c r="D1585" t="s">
        <v>184</v>
      </c>
      <c r="E1585" t="s">
        <v>12</v>
      </c>
      <c r="F1585">
        <v>2</v>
      </c>
      <c r="G1585" t="s">
        <v>13</v>
      </c>
      <c r="H1585" s="1">
        <v>45960.193055555559</v>
      </c>
      <c r="I1585" s="5">
        <f>INT(TB[[#This Row],[时间戳]])</f>
        <v>45960</v>
      </c>
      <c r="J1585" s="2">
        <f>HOUR(TB[[#This Row],[时间戳]])</f>
        <v>4</v>
      </c>
      <c r="K1585">
        <v>4032</v>
      </c>
      <c r="L1585">
        <v>2</v>
      </c>
      <c r="M1585">
        <f>TB[[#This Row],[售价]]*TB[[#This Row],[销量]]</f>
        <v>8064</v>
      </c>
      <c r="N1585" t="str">
        <f>IF(TB[[#This Row],[售价]]&lt;1000,"低价商品",IF(TB[[#This Row],[售价]]&lt;5000,"中价商品",IF(TB[[#This Row],[售价]]&lt;10000,"高价商品","超高价商品")))</f>
        <v>中价商品</v>
      </c>
    </row>
    <row r="1586" spans="1:14" x14ac:dyDescent="0.2">
      <c r="A1586">
        <v>733</v>
      </c>
      <c r="B1586">
        <v>213</v>
      </c>
      <c r="C1586" t="s">
        <v>36</v>
      </c>
      <c r="D1586" t="s">
        <v>377</v>
      </c>
      <c r="E1586" t="s">
        <v>12</v>
      </c>
      <c r="F1586">
        <v>2</v>
      </c>
      <c r="G1586" t="s">
        <v>42</v>
      </c>
      <c r="H1586" s="1">
        <v>45960.274305555555</v>
      </c>
      <c r="I1586" s="5">
        <f>INT(TB[[#This Row],[时间戳]])</f>
        <v>45960</v>
      </c>
      <c r="J1586" s="2">
        <f>HOUR(TB[[#This Row],[时间戳]])</f>
        <v>6</v>
      </c>
      <c r="K1586">
        <v>6648</v>
      </c>
      <c r="L1586">
        <v>0</v>
      </c>
      <c r="M1586">
        <f>TB[[#This Row],[售价]]*TB[[#This Row],[销量]]</f>
        <v>0</v>
      </c>
      <c r="N1586" t="str">
        <f>IF(TB[[#This Row],[售价]]&lt;1000,"低价商品",IF(TB[[#This Row],[售价]]&lt;5000,"中价商品",IF(TB[[#This Row],[售价]]&lt;10000,"高价商品","超高价商品")))</f>
        <v>高价商品</v>
      </c>
    </row>
    <row r="1587" spans="1:14" x14ac:dyDescent="0.2">
      <c r="A1587">
        <v>772</v>
      </c>
      <c r="B1587">
        <v>272</v>
      </c>
      <c r="C1587" t="s">
        <v>32</v>
      </c>
      <c r="D1587" t="s">
        <v>170</v>
      </c>
      <c r="E1587" t="s">
        <v>31</v>
      </c>
      <c r="F1587">
        <v>4</v>
      </c>
      <c r="G1587" t="s">
        <v>42</v>
      </c>
      <c r="H1587" s="1">
        <v>45960.276388888888</v>
      </c>
      <c r="I1587" s="5">
        <f>INT(TB[[#This Row],[时间戳]])</f>
        <v>45960</v>
      </c>
      <c r="J1587" s="2">
        <f>HOUR(TB[[#This Row],[时间戳]])</f>
        <v>6</v>
      </c>
      <c r="K1587">
        <v>910</v>
      </c>
      <c r="L1587">
        <v>0</v>
      </c>
      <c r="M1587">
        <f>TB[[#This Row],[售价]]*TB[[#This Row],[销量]]</f>
        <v>0</v>
      </c>
      <c r="N1587" t="str">
        <f>IF(TB[[#This Row],[售价]]&lt;1000,"低价商品",IF(TB[[#This Row],[售价]]&lt;5000,"中价商品",IF(TB[[#This Row],[售价]]&lt;10000,"高价商品","超高价商品")))</f>
        <v>低价商品</v>
      </c>
    </row>
    <row r="1588" spans="1:14" x14ac:dyDescent="0.2">
      <c r="A1588">
        <v>424</v>
      </c>
      <c r="B1588">
        <v>210</v>
      </c>
      <c r="C1588" t="s">
        <v>26</v>
      </c>
      <c r="D1588" t="s">
        <v>245</v>
      </c>
      <c r="E1588" t="s">
        <v>39</v>
      </c>
      <c r="F1588">
        <v>5</v>
      </c>
      <c r="G1588" t="s">
        <v>42</v>
      </c>
      <c r="H1588" s="1">
        <v>45960.298611111109</v>
      </c>
      <c r="I1588" s="5">
        <f>INT(TB[[#This Row],[时间戳]])</f>
        <v>45960</v>
      </c>
      <c r="J1588" s="2">
        <f>HOUR(TB[[#This Row],[时间戳]])</f>
        <v>7</v>
      </c>
      <c r="K1588">
        <v>2443</v>
      </c>
      <c r="L1588">
        <v>0</v>
      </c>
      <c r="M1588">
        <f>TB[[#This Row],[售价]]*TB[[#This Row],[销量]]</f>
        <v>0</v>
      </c>
      <c r="N1588" t="str">
        <f>IF(TB[[#This Row],[售价]]&lt;1000,"低价商品",IF(TB[[#This Row],[售价]]&lt;5000,"中价商品",IF(TB[[#This Row],[售价]]&lt;10000,"高价商品","超高价商品")))</f>
        <v>中价商品</v>
      </c>
    </row>
    <row r="1589" spans="1:14" x14ac:dyDescent="0.2">
      <c r="A1589">
        <v>454</v>
      </c>
      <c r="B1589">
        <v>75</v>
      </c>
      <c r="C1589" t="s">
        <v>34</v>
      </c>
      <c r="D1589" t="s">
        <v>307</v>
      </c>
      <c r="E1589" t="s">
        <v>22</v>
      </c>
      <c r="F1589">
        <v>1</v>
      </c>
      <c r="G1589" t="s">
        <v>13</v>
      </c>
      <c r="H1589" s="1">
        <v>45960.308333333334</v>
      </c>
      <c r="I1589" s="5">
        <f>INT(TB[[#This Row],[时间戳]])</f>
        <v>45960</v>
      </c>
      <c r="J1589" s="2">
        <f>HOUR(TB[[#This Row],[时间戳]])</f>
        <v>7</v>
      </c>
      <c r="K1589">
        <v>4822</v>
      </c>
      <c r="L1589">
        <v>1</v>
      </c>
      <c r="M1589">
        <f>TB[[#This Row],[售价]]*TB[[#This Row],[销量]]</f>
        <v>4822</v>
      </c>
      <c r="N1589" t="str">
        <f>IF(TB[[#This Row],[售价]]&lt;1000,"低价商品",IF(TB[[#This Row],[售价]]&lt;5000,"中价商品",IF(TB[[#This Row],[售价]]&lt;10000,"高价商品","超高价商品")))</f>
        <v>中价商品</v>
      </c>
    </row>
    <row r="1590" spans="1:14" x14ac:dyDescent="0.2">
      <c r="A1590">
        <v>87</v>
      </c>
      <c r="B1590">
        <v>174</v>
      </c>
      <c r="C1590" t="s">
        <v>20</v>
      </c>
      <c r="D1590" t="s">
        <v>319</v>
      </c>
      <c r="E1590" t="s">
        <v>31</v>
      </c>
      <c r="F1590">
        <v>4</v>
      </c>
      <c r="G1590" t="s">
        <v>13</v>
      </c>
      <c r="H1590" s="1">
        <v>45960.318055555559</v>
      </c>
      <c r="I1590" s="5">
        <f>INT(TB[[#This Row],[时间戳]])</f>
        <v>45960</v>
      </c>
      <c r="J1590" s="2">
        <f>HOUR(TB[[#This Row],[时间戳]])</f>
        <v>7</v>
      </c>
      <c r="K1590">
        <v>237</v>
      </c>
      <c r="L1590">
        <v>2</v>
      </c>
      <c r="M1590">
        <f>TB[[#This Row],[售价]]*TB[[#This Row],[销量]]</f>
        <v>474</v>
      </c>
      <c r="N1590" t="str">
        <f>IF(TB[[#This Row],[售价]]&lt;1000,"低价商品",IF(TB[[#This Row],[售价]]&lt;5000,"中价商品",IF(TB[[#This Row],[售价]]&lt;10000,"高价商品","超高价商品")))</f>
        <v>低价商品</v>
      </c>
    </row>
    <row r="1591" spans="1:14" x14ac:dyDescent="0.2">
      <c r="A1591">
        <v>63</v>
      </c>
      <c r="B1591">
        <v>202</v>
      </c>
      <c r="C1591" t="s">
        <v>26</v>
      </c>
      <c r="D1591" t="s">
        <v>358</v>
      </c>
      <c r="E1591" t="s">
        <v>16</v>
      </c>
      <c r="F1591">
        <v>6</v>
      </c>
      <c r="G1591" t="s">
        <v>13</v>
      </c>
      <c r="H1591" s="1">
        <v>45960.341666666667</v>
      </c>
      <c r="I1591" s="5">
        <f>INT(TB[[#This Row],[时间戳]])</f>
        <v>45960</v>
      </c>
      <c r="J1591" s="2">
        <f>HOUR(TB[[#This Row],[时间戳]])</f>
        <v>8</v>
      </c>
      <c r="K1591">
        <v>7162</v>
      </c>
      <c r="L1591">
        <v>2</v>
      </c>
      <c r="M1591">
        <f>TB[[#This Row],[售价]]*TB[[#This Row],[销量]]</f>
        <v>14324</v>
      </c>
      <c r="N1591" t="str">
        <f>IF(TB[[#This Row],[售价]]&lt;1000,"低价商品",IF(TB[[#This Row],[售价]]&lt;5000,"中价商品",IF(TB[[#This Row],[售价]]&lt;10000,"高价商品","超高价商品")))</f>
        <v>高价商品</v>
      </c>
    </row>
    <row r="1592" spans="1:14" x14ac:dyDescent="0.2">
      <c r="A1592">
        <v>60</v>
      </c>
      <c r="B1592">
        <v>267</v>
      </c>
      <c r="C1592" t="s">
        <v>26</v>
      </c>
      <c r="D1592" t="s">
        <v>160</v>
      </c>
      <c r="E1592" t="s">
        <v>19</v>
      </c>
      <c r="F1592">
        <v>3</v>
      </c>
      <c r="G1592" t="s">
        <v>13</v>
      </c>
      <c r="H1592" s="1">
        <v>45960.363194444442</v>
      </c>
      <c r="I1592" s="5">
        <f>INT(TB[[#This Row],[时间戳]])</f>
        <v>45960</v>
      </c>
      <c r="J1592" s="2">
        <f>HOUR(TB[[#This Row],[时间戳]])</f>
        <v>8</v>
      </c>
      <c r="K1592">
        <v>1941</v>
      </c>
      <c r="L1592">
        <v>2</v>
      </c>
      <c r="M1592">
        <f>TB[[#This Row],[售价]]*TB[[#This Row],[销量]]</f>
        <v>3882</v>
      </c>
      <c r="N1592" t="str">
        <f>IF(TB[[#This Row],[售价]]&lt;1000,"低价商品",IF(TB[[#This Row],[售价]]&lt;5000,"中价商品",IF(TB[[#This Row],[售价]]&lt;10000,"高价商品","超高价商品")))</f>
        <v>中价商品</v>
      </c>
    </row>
    <row r="1593" spans="1:14" x14ac:dyDescent="0.2">
      <c r="A1593">
        <v>718</v>
      </c>
      <c r="B1593">
        <v>284</v>
      </c>
      <c r="C1593" t="s">
        <v>17</v>
      </c>
      <c r="D1593" t="s">
        <v>98</v>
      </c>
      <c r="E1593" t="s">
        <v>22</v>
      </c>
      <c r="F1593">
        <v>1</v>
      </c>
      <c r="G1593" t="s">
        <v>13</v>
      </c>
      <c r="H1593" s="1">
        <v>45960.450694444444</v>
      </c>
      <c r="I1593" s="5">
        <f>INT(TB[[#This Row],[时间戳]])</f>
        <v>45960</v>
      </c>
      <c r="J1593" s="2">
        <f>HOUR(TB[[#This Row],[时间戳]])</f>
        <v>10</v>
      </c>
      <c r="K1593">
        <v>3436</v>
      </c>
      <c r="L1593">
        <v>2</v>
      </c>
      <c r="M1593">
        <f>TB[[#This Row],[售价]]*TB[[#This Row],[销量]]</f>
        <v>6872</v>
      </c>
      <c r="N1593" t="str">
        <f>IF(TB[[#This Row],[售价]]&lt;1000,"低价商品",IF(TB[[#This Row],[售价]]&lt;5000,"中价商品",IF(TB[[#This Row],[售价]]&lt;10000,"高价商品","超高价商品")))</f>
        <v>中价商品</v>
      </c>
    </row>
    <row r="1594" spans="1:14" x14ac:dyDescent="0.2">
      <c r="A1594">
        <v>9</v>
      </c>
      <c r="B1594">
        <v>144</v>
      </c>
      <c r="C1594" t="s">
        <v>34</v>
      </c>
      <c r="D1594" t="s">
        <v>86</v>
      </c>
      <c r="E1594" t="s">
        <v>12</v>
      </c>
      <c r="F1594">
        <v>2</v>
      </c>
      <c r="G1594" t="s">
        <v>13</v>
      </c>
      <c r="H1594" s="1">
        <v>45960.452777777777</v>
      </c>
      <c r="I1594" s="5">
        <f>INT(TB[[#This Row],[时间戳]])</f>
        <v>45960</v>
      </c>
      <c r="J1594" s="2">
        <f>HOUR(TB[[#This Row],[时间戳]])</f>
        <v>10</v>
      </c>
      <c r="K1594">
        <v>9155</v>
      </c>
      <c r="L1594">
        <v>2</v>
      </c>
      <c r="M1594">
        <f>TB[[#This Row],[售价]]*TB[[#This Row],[销量]]</f>
        <v>18310</v>
      </c>
      <c r="N1594" t="str">
        <f>IF(TB[[#This Row],[售价]]&lt;1000,"低价商品",IF(TB[[#This Row],[售价]]&lt;5000,"中价商品",IF(TB[[#This Row],[售价]]&lt;10000,"高价商品","超高价商品")))</f>
        <v>高价商品</v>
      </c>
    </row>
    <row r="1595" spans="1:14" x14ac:dyDescent="0.2">
      <c r="A1595">
        <v>457</v>
      </c>
      <c r="B1595">
        <v>106</v>
      </c>
      <c r="C1595" t="s">
        <v>26</v>
      </c>
      <c r="D1595" t="s">
        <v>122</v>
      </c>
      <c r="E1595" t="s">
        <v>31</v>
      </c>
      <c r="F1595">
        <v>4</v>
      </c>
      <c r="G1595" t="s">
        <v>13</v>
      </c>
      <c r="H1595" s="1">
        <v>45960.454861111109</v>
      </c>
      <c r="I1595" s="5">
        <f>INT(TB[[#This Row],[时间戳]])</f>
        <v>45960</v>
      </c>
      <c r="J1595" s="2">
        <f>HOUR(TB[[#This Row],[时间戳]])</f>
        <v>10</v>
      </c>
      <c r="K1595">
        <v>1242</v>
      </c>
      <c r="L1595">
        <v>1</v>
      </c>
      <c r="M1595">
        <f>TB[[#This Row],[售价]]*TB[[#This Row],[销量]]</f>
        <v>1242</v>
      </c>
      <c r="N1595" t="str">
        <f>IF(TB[[#This Row],[售价]]&lt;1000,"低价商品",IF(TB[[#This Row],[售价]]&lt;5000,"中价商品",IF(TB[[#This Row],[售价]]&lt;10000,"高价商品","超高价商品")))</f>
        <v>中价商品</v>
      </c>
    </row>
    <row r="1596" spans="1:14" x14ac:dyDescent="0.2">
      <c r="A1596">
        <v>715</v>
      </c>
      <c r="B1596">
        <v>177</v>
      </c>
      <c r="C1596" t="s">
        <v>46</v>
      </c>
      <c r="D1596" t="s">
        <v>217</v>
      </c>
      <c r="E1596" t="s">
        <v>19</v>
      </c>
      <c r="F1596">
        <v>3</v>
      </c>
      <c r="G1596" t="s">
        <v>13</v>
      </c>
      <c r="H1596" s="1">
        <v>45960.479166666664</v>
      </c>
      <c r="I1596" s="5">
        <f>INT(TB[[#This Row],[时间戳]])</f>
        <v>45960</v>
      </c>
      <c r="J1596" s="2">
        <f>HOUR(TB[[#This Row],[时间戳]])</f>
        <v>11</v>
      </c>
      <c r="K1596">
        <v>6000</v>
      </c>
      <c r="L1596">
        <v>5</v>
      </c>
      <c r="M1596">
        <f>TB[[#This Row],[售价]]*TB[[#This Row],[销量]]</f>
        <v>30000</v>
      </c>
      <c r="N1596" t="str">
        <f>IF(TB[[#This Row],[售价]]&lt;1000,"低价商品",IF(TB[[#This Row],[售价]]&lt;5000,"中价商品",IF(TB[[#This Row],[售价]]&lt;10000,"高价商品","超高价商品")))</f>
        <v>高价商品</v>
      </c>
    </row>
    <row r="1597" spans="1:14" x14ac:dyDescent="0.2">
      <c r="A1597">
        <v>87</v>
      </c>
      <c r="B1597">
        <v>19</v>
      </c>
      <c r="C1597" t="s">
        <v>32</v>
      </c>
      <c r="D1597" t="s">
        <v>107</v>
      </c>
      <c r="E1597" t="s">
        <v>31</v>
      </c>
      <c r="F1597">
        <v>4</v>
      </c>
      <c r="G1597" t="s">
        <v>42</v>
      </c>
      <c r="H1597" s="1">
        <v>45960.494444444441</v>
      </c>
      <c r="I1597" s="5">
        <f>INT(TB[[#This Row],[时间戳]])</f>
        <v>45960</v>
      </c>
      <c r="J1597" s="2">
        <f>HOUR(TB[[#This Row],[时间戳]])</f>
        <v>11</v>
      </c>
      <c r="K1597">
        <v>1385</v>
      </c>
      <c r="L1597">
        <v>0</v>
      </c>
      <c r="M1597">
        <f>TB[[#This Row],[售价]]*TB[[#This Row],[销量]]</f>
        <v>0</v>
      </c>
      <c r="N1597" t="str">
        <f>IF(TB[[#This Row],[售价]]&lt;1000,"低价商品",IF(TB[[#This Row],[售价]]&lt;5000,"中价商品",IF(TB[[#This Row],[售价]]&lt;10000,"高价商品","超高价商品")))</f>
        <v>中价商品</v>
      </c>
    </row>
    <row r="1598" spans="1:14" x14ac:dyDescent="0.2">
      <c r="A1598">
        <v>533</v>
      </c>
      <c r="B1598">
        <v>277</v>
      </c>
      <c r="C1598" t="s">
        <v>17</v>
      </c>
      <c r="D1598" t="s">
        <v>61</v>
      </c>
      <c r="E1598" t="s">
        <v>31</v>
      </c>
      <c r="F1598">
        <v>4</v>
      </c>
      <c r="G1598" t="s">
        <v>13</v>
      </c>
      <c r="H1598" s="1">
        <v>45960.500694444447</v>
      </c>
      <c r="I1598" s="5">
        <f>INT(TB[[#This Row],[时间戳]])</f>
        <v>45960</v>
      </c>
      <c r="J1598" s="2">
        <f>HOUR(TB[[#This Row],[时间戳]])</f>
        <v>12</v>
      </c>
      <c r="K1598">
        <v>1121</v>
      </c>
      <c r="L1598">
        <v>5</v>
      </c>
      <c r="M1598">
        <f>TB[[#This Row],[售价]]*TB[[#This Row],[销量]]</f>
        <v>5605</v>
      </c>
      <c r="N1598" t="str">
        <f>IF(TB[[#This Row],[售价]]&lt;1000,"低价商品",IF(TB[[#This Row],[售价]]&lt;5000,"中价商品",IF(TB[[#This Row],[售价]]&lt;10000,"高价商品","超高价商品")))</f>
        <v>中价商品</v>
      </c>
    </row>
    <row r="1599" spans="1:14" x14ac:dyDescent="0.2">
      <c r="A1599">
        <v>566</v>
      </c>
      <c r="B1599">
        <v>160</v>
      </c>
      <c r="C1599" t="s">
        <v>14</v>
      </c>
      <c r="D1599" t="s">
        <v>249</v>
      </c>
      <c r="E1599" t="s">
        <v>25</v>
      </c>
      <c r="F1599">
        <v>7</v>
      </c>
      <c r="G1599" t="s">
        <v>13</v>
      </c>
      <c r="H1599" s="1">
        <v>45960.502083333333</v>
      </c>
      <c r="I1599" s="5">
        <f>INT(TB[[#This Row],[时间戳]])</f>
        <v>45960</v>
      </c>
      <c r="J1599" s="2">
        <f>HOUR(TB[[#This Row],[时间戳]])</f>
        <v>12</v>
      </c>
      <c r="K1599">
        <v>3734</v>
      </c>
      <c r="L1599">
        <v>2</v>
      </c>
      <c r="M1599">
        <f>TB[[#This Row],[售价]]*TB[[#This Row],[销量]]</f>
        <v>7468</v>
      </c>
      <c r="N1599" t="str">
        <f>IF(TB[[#This Row],[售价]]&lt;1000,"低价商品",IF(TB[[#This Row],[售价]]&lt;5000,"中价商品",IF(TB[[#This Row],[售价]]&lt;10000,"高价商品","超高价商品")))</f>
        <v>中价商品</v>
      </c>
    </row>
    <row r="1600" spans="1:14" x14ac:dyDescent="0.2">
      <c r="A1600">
        <v>29</v>
      </c>
      <c r="B1600">
        <v>277</v>
      </c>
      <c r="C1600" t="s">
        <v>26</v>
      </c>
      <c r="D1600" t="s">
        <v>225</v>
      </c>
      <c r="E1600" t="s">
        <v>31</v>
      </c>
      <c r="F1600">
        <v>4</v>
      </c>
      <c r="G1600" t="s">
        <v>13</v>
      </c>
      <c r="H1600" s="1">
        <v>45960.503472222219</v>
      </c>
      <c r="I1600" s="5">
        <f>INT(TB[[#This Row],[时间戳]])</f>
        <v>45960</v>
      </c>
      <c r="J1600" s="2">
        <f>HOUR(TB[[#This Row],[时间戳]])</f>
        <v>12</v>
      </c>
      <c r="K1600">
        <v>1091</v>
      </c>
      <c r="L1600">
        <v>1</v>
      </c>
      <c r="M1600">
        <f>TB[[#This Row],[售价]]*TB[[#This Row],[销量]]</f>
        <v>1091</v>
      </c>
      <c r="N1600" t="str">
        <f>IF(TB[[#This Row],[售价]]&lt;1000,"低价商品",IF(TB[[#This Row],[售价]]&lt;5000,"中价商品",IF(TB[[#This Row],[售价]]&lt;10000,"高价商品","超高价商品")))</f>
        <v>中价商品</v>
      </c>
    </row>
    <row r="1601" spans="1:14" x14ac:dyDescent="0.2">
      <c r="A1601">
        <v>744</v>
      </c>
      <c r="B1601">
        <v>217</v>
      </c>
      <c r="C1601" t="s">
        <v>32</v>
      </c>
      <c r="D1601" t="s">
        <v>288</v>
      </c>
      <c r="E1601" t="s">
        <v>22</v>
      </c>
      <c r="F1601">
        <v>1</v>
      </c>
      <c r="G1601" t="s">
        <v>13</v>
      </c>
      <c r="H1601" s="1">
        <v>45960.545138888891</v>
      </c>
      <c r="I1601" s="5">
        <f>INT(TB[[#This Row],[时间戳]])</f>
        <v>45960</v>
      </c>
      <c r="J1601" s="2">
        <f>HOUR(TB[[#This Row],[时间戳]])</f>
        <v>13</v>
      </c>
      <c r="K1601">
        <v>5785</v>
      </c>
      <c r="L1601">
        <v>1</v>
      </c>
      <c r="M1601">
        <f>TB[[#This Row],[售价]]*TB[[#This Row],[销量]]</f>
        <v>5785</v>
      </c>
      <c r="N1601" t="str">
        <f>IF(TB[[#This Row],[售价]]&lt;1000,"低价商品",IF(TB[[#This Row],[售价]]&lt;5000,"中价商品",IF(TB[[#This Row],[售价]]&lt;10000,"高价商品","超高价商品")))</f>
        <v>高价商品</v>
      </c>
    </row>
    <row r="1602" spans="1:14" x14ac:dyDescent="0.2">
      <c r="A1602">
        <v>266</v>
      </c>
      <c r="B1602">
        <v>260</v>
      </c>
      <c r="C1602" t="s">
        <v>10</v>
      </c>
      <c r="D1602" t="s">
        <v>241</v>
      </c>
      <c r="E1602" t="s">
        <v>12</v>
      </c>
      <c r="F1602">
        <v>2</v>
      </c>
      <c r="G1602" t="s">
        <v>13</v>
      </c>
      <c r="H1602" s="1">
        <v>45960.549305555556</v>
      </c>
      <c r="I1602" s="5">
        <f>INT(TB[[#This Row],[时间戳]])</f>
        <v>45960</v>
      </c>
      <c r="J1602" s="2">
        <f>HOUR(TB[[#This Row],[时间戳]])</f>
        <v>13</v>
      </c>
      <c r="K1602">
        <v>12134</v>
      </c>
      <c r="L1602">
        <v>2</v>
      </c>
      <c r="M1602">
        <f>TB[[#This Row],[售价]]*TB[[#This Row],[销量]]</f>
        <v>24268</v>
      </c>
      <c r="N1602" t="str">
        <f>IF(TB[[#This Row],[售价]]&lt;1000,"低价商品",IF(TB[[#This Row],[售价]]&lt;5000,"中价商品",IF(TB[[#This Row],[售价]]&lt;10000,"高价商品","超高价商品")))</f>
        <v>超高价商品</v>
      </c>
    </row>
    <row r="1603" spans="1:14" x14ac:dyDescent="0.2">
      <c r="A1603">
        <v>128</v>
      </c>
      <c r="B1603">
        <v>230</v>
      </c>
      <c r="C1603" t="s">
        <v>10</v>
      </c>
      <c r="D1603" t="s">
        <v>373</v>
      </c>
      <c r="E1603" t="s">
        <v>25</v>
      </c>
      <c r="F1603">
        <v>7</v>
      </c>
      <c r="G1603" t="s">
        <v>13</v>
      </c>
      <c r="H1603" s="1">
        <v>45960.556250000001</v>
      </c>
      <c r="I1603" s="5">
        <f>INT(TB[[#This Row],[时间戳]])</f>
        <v>45960</v>
      </c>
      <c r="J1603" s="2">
        <f>HOUR(TB[[#This Row],[时间戳]])</f>
        <v>13</v>
      </c>
      <c r="K1603">
        <v>4266</v>
      </c>
      <c r="L1603">
        <v>2</v>
      </c>
      <c r="M1603">
        <f>TB[[#This Row],[售价]]*TB[[#This Row],[销量]]</f>
        <v>8532</v>
      </c>
      <c r="N1603" t="str">
        <f>IF(TB[[#This Row],[售价]]&lt;1000,"低价商品",IF(TB[[#This Row],[售价]]&lt;5000,"中价商品",IF(TB[[#This Row],[售价]]&lt;10000,"高价商品","超高价商品")))</f>
        <v>中价商品</v>
      </c>
    </row>
    <row r="1604" spans="1:14" x14ac:dyDescent="0.2">
      <c r="A1604">
        <v>348</v>
      </c>
      <c r="B1604">
        <v>121</v>
      </c>
      <c r="C1604" t="s">
        <v>10</v>
      </c>
      <c r="D1604" t="s">
        <v>216</v>
      </c>
      <c r="E1604" t="s">
        <v>39</v>
      </c>
      <c r="F1604">
        <v>5</v>
      </c>
      <c r="G1604" t="s">
        <v>42</v>
      </c>
      <c r="H1604" s="1">
        <v>45960.561111111114</v>
      </c>
      <c r="I1604" s="5">
        <f>INT(TB[[#This Row],[时间戳]])</f>
        <v>45960</v>
      </c>
      <c r="J1604" s="2">
        <f>HOUR(TB[[#This Row],[时间戳]])</f>
        <v>13</v>
      </c>
      <c r="K1604">
        <v>2113</v>
      </c>
      <c r="L1604">
        <v>0</v>
      </c>
      <c r="M1604">
        <f>TB[[#This Row],[售价]]*TB[[#This Row],[销量]]</f>
        <v>0</v>
      </c>
      <c r="N1604" t="str">
        <f>IF(TB[[#This Row],[售价]]&lt;1000,"低价商品",IF(TB[[#This Row],[售价]]&lt;5000,"中价商品",IF(TB[[#This Row],[售价]]&lt;10000,"高价商品","超高价商品")))</f>
        <v>中价商品</v>
      </c>
    </row>
    <row r="1605" spans="1:14" x14ac:dyDescent="0.2">
      <c r="A1605">
        <v>643</v>
      </c>
      <c r="B1605">
        <v>274</v>
      </c>
      <c r="C1605" t="s">
        <v>46</v>
      </c>
      <c r="D1605" t="s">
        <v>121</v>
      </c>
      <c r="E1605" t="s">
        <v>25</v>
      </c>
      <c r="F1605">
        <v>7</v>
      </c>
      <c r="G1605" t="s">
        <v>13</v>
      </c>
      <c r="H1605" s="1">
        <v>45960.568749999999</v>
      </c>
      <c r="I1605" s="5">
        <f>INT(TB[[#This Row],[时间戳]])</f>
        <v>45960</v>
      </c>
      <c r="J1605" s="2">
        <f>HOUR(TB[[#This Row],[时间戳]])</f>
        <v>13</v>
      </c>
      <c r="K1605">
        <v>7706</v>
      </c>
      <c r="L1605">
        <v>1</v>
      </c>
      <c r="M1605">
        <f>TB[[#This Row],[售价]]*TB[[#This Row],[销量]]</f>
        <v>7706</v>
      </c>
      <c r="N1605" t="str">
        <f>IF(TB[[#This Row],[售价]]&lt;1000,"低价商品",IF(TB[[#This Row],[售价]]&lt;5000,"中价商品",IF(TB[[#This Row],[售价]]&lt;10000,"高价商品","超高价商品")))</f>
        <v>高价商品</v>
      </c>
    </row>
    <row r="1606" spans="1:14" x14ac:dyDescent="0.2">
      <c r="A1606">
        <v>307</v>
      </c>
      <c r="B1606">
        <v>146</v>
      </c>
      <c r="C1606" t="s">
        <v>32</v>
      </c>
      <c r="D1606" t="s">
        <v>288</v>
      </c>
      <c r="E1606" t="s">
        <v>22</v>
      </c>
      <c r="F1606">
        <v>1</v>
      </c>
      <c r="G1606" t="s">
        <v>13</v>
      </c>
      <c r="H1606" s="1">
        <v>45960.570138888892</v>
      </c>
      <c r="I1606" s="5">
        <f>INT(TB[[#This Row],[时间戳]])</f>
        <v>45960</v>
      </c>
      <c r="J1606" s="2">
        <f>HOUR(TB[[#This Row],[时间戳]])</f>
        <v>13</v>
      </c>
      <c r="K1606">
        <v>8000</v>
      </c>
      <c r="L1606">
        <v>1</v>
      </c>
      <c r="M1606">
        <f>TB[[#This Row],[售价]]*TB[[#This Row],[销量]]</f>
        <v>8000</v>
      </c>
      <c r="N1606" t="str">
        <f>IF(TB[[#This Row],[售价]]&lt;1000,"低价商品",IF(TB[[#This Row],[售价]]&lt;5000,"中价商品",IF(TB[[#This Row],[售价]]&lt;10000,"高价商品","超高价商品")))</f>
        <v>高价商品</v>
      </c>
    </row>
    <row r="1607" spans="1:14" x14ac:dyDescent="0.2">
      <c r="A1607">
        <v>732</v>
      </c>
      <c r="B1607">
        <v>194</v>
      </c>
      <c r="C1607" t="s">
        <v>46</v>
      </c>
      <c r="D1607" t="s">
        <v>117</v>
      </c>
      <c r="E1607" t="s">
        <v>39</v>
      </c>
      <c r="F1607">
        <v>5</v>
      </c>
      <c r="G1607" t="s">
        <v>13</v>
      </c>
      <c r="H1607" s="1">
        <v>45960.584027777775</v>
      </c>
      <c r="I1607" s="5">
        <f>INT(TB[[#This Row],[时间戳]])</f>
        <v>45960</v>
      </c>
      <c r="J1607" s="2">
        <f>HOUR(TB[[#This Row],[时间戳]])</f>
        <v>14</v>
      </c>
      <c r="K1607">
        <v>3697</v>
      </c>
      <c r="L1607">
        <v>1</v>
      </c>
      <c r="M1607">
        <f>TB[[#This Row],[售价]]*TB[[#This Row],[销量]]</f>
        <v>3697</v>
      </c>
      <c r="N1607" t="str">
        <f>IF(TB[[#This Row],[售价]]&lt;1000,"低价商品",IF(TB[[#This Row],[售价]]&lt;5000,"中价商品",IF(TB[[#This Row],[售价]]&lt;10000,"高价商品","超高价商品")))</f>
        <v>中价商品</v>
      </c>
    </row>
    <row r="1608" spans="1:14" x14ac:dyDescent="0.2">
      <c r="A1608">
        <v>336</v>
      </c>
      <c r="B1608">
        <v>265</v>
      </c>
      <c r="C1608" t="s">
        <v>32</v>
      </c>
      <c r="D1608" t="s">
        <v>33</v>
      </c>
      <c r="E1608" t="s">
        <v>16</v>
      </c>
      <c r="F1608">
        <v>6</v>
      </c>
      <c r="G1608" t="s">
        <v>13</v>
      </c>
      <c r="H1608" s="1">
        <v>45960.585416666669</v>
      </c>
      <c r="I1608" s="5">
        <f>INT(TB[[#This Row],[时间戳]])</f>
        <v>45960</v>
      </c>
      <c r="J1608" s="2">
        <f>HOUR(TB[[#This Row],[时间戳]])</f>
        <v>14</v>
      </c>
      <c r="K1608">
        <v>10691</v>
      </c>
      <c r="L1608">
        <v>2</v>
      </c>
      <c r="M1608">
        <f>TB[[#This Row],[售价]]*TB[[#This Row],[销量]]</f>
        <v>21382</v>
      </c>
      <c r="N1608" t="str">
        <f>IF(TB[[#This Row],[售价]]&lt;1000,"低价商品",IF(TB[[#This Row],[售价]]&lt;5000,"中价商品",IF(TB[[#This Row],[售价]]&lt;10000,"高价商品","超高价商品")))</f>
        <v>超高价商品</v>
      </c>
    </row>
    <row r="1609" spans="1:14" x14ac:dyDescent="0.2">
      <c r="A1609">
        <v>101</v>
      </c>
      <c r="B1609">
        <v>76</v>
      </c>
      <c r="C1609" t="s">
        <v>34</v>
      </c>
      <c r="D1609" t="s">
        <v>311</v>
      </c>
      <c r="E1609" t="s">
        <v>19</v>
      </c>
      <c r="F1609">
        <v>3</v>
      </c>
      <c r="G1609" t="s">
        <v>13</v>
      </c>
      <c r="H1609" s="1">
        <v>45960.614583333336</v>
      </c>
      <c r="I1609" s="5">
        <f>INT(TB[[#This Row],[时间戳]])</f>
        <v>45960</v>
      </c>
      <c r="J1609" s="2">
        <f>HOUR(TB[[#This Row],[时间戳]])</f>
        <v>14</v>
      </c>
      <c r="K1609">
        <v>3275</v>
      </c>
      <c r="L1609">
        <v>1</v>
      </c>
      <c r="M1609">
        <f>TB[[#This Row],[售价]]*TB[[#This Row],[销量]]</f>
        <v>3275</v>
      </c>
      <c r="N1609" t="str">
        <f>IF(TB[[#This Row],[售价]]&lt;1000,"低价商品",IF(TB[[#This Row],[售价]]&lt;5000,"中价商品",IF(TB[[#This Row],[售价]]&lt;10000,"高价商品","超高价商品")))</f>
        <v>中价商品</v>
      </c>
    </row>
    <row r="1610" spans="1:14" x14ac:dyDescent="0.2">
      <c r="A1610">
        <v>64</v>
      </c>
      <c r="B1610">
        <v>218</v>
      </c>
      <c r="C1610" t="s">
        <v>14</v>
      </c>
      <c r="D1610" t="s">
        <v>282</v>
      </c>
      <c r="E1610" t="s">
        <v>19</v>
      </c>
      <c r="F1610">
        <v>3</v>
      </c>
      <c r="G1610" t="s">
        <v>13</v>
      </c>
      <c r="H1610" s="1">
        <v>45960.619444444441</v>
      </c>
      <c r="I1610" s="5">
        <f>INT(TB[[#This Row],[时间戳]])</f>
        <v>45960</v>
      </c>
      <c r="J1610" s="2">
        <f>HOUR(TB[[#This Row],[时间戳]])</f>
        <v>14</v>
      </c>
      <c r="K1610">
        <v>4997</v>
      </c>
      <c r="L1610">
        <v>3</v>
      </c>
      <c r="M1610">
        <f>TB[[#This Row],[售价]]*TB[[#This Row],[销量]]</f>
        <v>14991</v>
      </c>
      <c r="N1610" t="str">
        <f>IF(TB[[#This Row],[售价]]&lt;1000,"低价商品",IF(TB[[#This Row],[售价]]&lt;5000,"中价商品",IF(TB[[#This Row],[售价]]&lt;10000,"高价商品","超高价商品")))</f>
        <v>中价商品</v>
      </c>
    </row>
    <row r="1611" spans="1:14" x14ac:dyDescent="0.2">
      <c r="A1611">
        <v>80</v>
      </c>
      <c r="B1611">
        <v>190</v>
      </c>
      <c r="C1611" t="s">
        <v>32</v>
      </c>
      <c r="D1611" t="s">
        <v>101</v>
      </c>
      <c r="E1611" t="s">
        <v>39</v>
      </c>
      <c r="F1611">
        <v>5</v>
      </c>
      <c r="G1611" t="s">
        <v>42</v>
      </c>
      <c r="H1611" s="1">
        <v>45960.634027777778</v>
      </c>
      <c r="I1611" s="5">
        <f>INT(TB[[#This Row],[时间戳]])</f>
        <v>45960</v>
      </c>
      <c r="J1611" s="2">
        <f>HOUR(TB[[#This Row],[时间戳]])</f>
        <v>15</v>
      </c>
      <c r="K1611">
        <v>1375</v>
      </c>
      <c r="L1611">
        <v>0</v>
      </c>
      <c r="M1611">
        <f>TB[[#This Row],[售价]]*TB[[#This Row],[销量]]</f>
        <v>0</v>
      </c>
      <c r="N1611" t="str">
        <f>IF(TB[[#This Row],[售价]]&lt;1000,"低价商品",IF(TB[[#This Row],[售价]]&lt;5000,"中价商品",IF(TB[[#This Row],[售价]]&lt;10000,"高价商品","超高价商品")))</f>
        <v>中价商品</v>
      </c>
    </row>
    <row r="1612" spans="1:14" x14ac:dyDescent="0.2">
      <c r="A1612">
        <v>532</v>
      </c>
      <c r="B1612">
        <v>203</v>
      </c>
      <c r="C1612" t="s">
        <v>46</v>
      </c>
      <c r="D1612" t="s">
        <v>81</v>
      </c>
      <c r="E1612" t="s">
        <v>12</v>
      </c>
      <c r="F1612">
        <v>2</v>
      </c>
      <c r="G1612" t="s">
        <v>13</v>
      </c>
      <c r="H1612" s="1">
        <v>45960.67291666667</v>
      </c>
      <c r="I1612" s="5">
        <f>INT(TB[[#This Row],[时间戳]])</f>
        <v>45960</v>
      </c>
      <c r="J1612" s="2">
        <f>HOUR(TB[[#This Row],[时间戳]])</f>
        <v>16</v>
      </c>
      <c r="K1612">
        <v>12628</v>
      </c>
      <c r="L1612">
        <v>3</v>
      </c>
      <c r="M1612">
        <f>TB[[#This Row],[售价]]*TB[[#This Row],[销量]]</f>
        <v>37884</v>
      </c>
      <c r="N1612" t="str">
        <f>IF(TB[[#This Row],[售价]]&lt;1000,"低价商品",IF(TB[[#This Row],[售价]]&lt;5000,"中价商品",IF(TB[[#This Row],[售价]]&lt;10000,"高价商品","超高价商品")))</f>
        <v>超高价商品</v>
      </c>
    </row>
    <row r="1613" spans="1:14" x14ac:dyDescent="0.2">
      <c r="A1613">
        <v>451</v>
      </c>
      <c r="B1613">
        <v>251</v>
      </c>
      <c r="C1613" t="s">
        <v>44</v>
      </c>
      <c r="D1613" t="s">
        <v>169</v>
      </c>
      <c r="E1613" t="s">
        <v>31</v>
      </c>
      <c r="F1613">
        <v>4</v>
      </c>
      <c r="G1613" t="s">
        <v>13</v>
      </c>
      <c r="H1613" s="1">
        <v>45960.692361111112</v>
      </c>
      <c r="I1613" s="5">
        <f>INT(TB[[#This Row],[时间戳]])</f>
        <v>45960</v>
      </c>
      <c r="J1613" s="2">
        <f>HOUR(TB[[#This Row],[时间戳]])</f>
        <v>16</v>
      </c>
      <c r="K1613">
        <v>689</v>
      </c>
      <c r="L1613">
        <v>2</v>
      </c>
      <c r="M1613">
        <f>TB[[#This Row],[售价]]*TB[[#This Row],[销量]]</f>
        <v>1378</v>
      </c>
      <c r="N1613" t="str">
        <f>IF(TB[[#This Row],[售价]]&lt;1000,"低价商品",IF(TB[[#This Row],[售价]]&lt;5000,"中价商品",IF(TB[[#This Row],[售价]]&lt;10000,"高价商品","超高价商品")))</f>
        <v>低价商品</v>
      </c>
    </row>
    <row r="1614" spans="1:14" x14ac:dyDescent="0.2">
      <c r="A1614">
        <v>131</v>
      </c>
      <c r="B1614">
        <v>249</v>
      </c>
      <c r="C1614" t="s">
        <v>26</v>
      </c>
      <c r="D1614" t="s">
        <v>270</v>
      </c>
      <c r="E1614" t="s">
        <v>16</v>
      </c>
      <c r="F1614">
        <v>6</v>
      </c>
      <c r="G1614" t="s">
        <v>13</v>
      </c>
      <c r="H1614" s="1">
        <v>45960.706250000003</v>
      </c>
      <c r="I1614" s="5">
        <f>INT(TB[[#This Row],[时间戳]])</f>
        <v>45960</v>
      </c>
      <c r="J1614" s="2">
        <f>HOUR(TB[[#This Row],[时间戳]])</f>
        <v>16</v>
      </c>
      <c r="K1614">
        <v>8713</v>
      </c>
      <c r="L1614">
        <v>1</v>
      </c>
      <c r="M1614">
        <f>TB[[#This Row],[售价]]*TB[[#This Row],[销量]]</f>
        <v>8713</v>
      </c>
      <c r="N1614" t="str">
        <f>IF(TB[[#This Row],[售价]]&lt;1000,"低价商品",IF(TB[[#This Row],[售价]]&lt;5000,"中价商品",IF(TB[[#This Row],[售价]]&lt;10000,"高价商品","超高价商品")))</f>
        <v>高价商品</v>
      </c>
    </row>
    <row r="1615" spans="1:14" x14ac:dyDescent="0.2">
      <c r="A1615">
        <v>526</v>
      </c>
      <c r="B1615">
        <v>271</v>
      </c>
      <c r="C1615" t="s">
        <v>26</v>
      </c>
      <c r="D1615" t="s">
        <v>65</v>
      </c>
      <c r="E1615" t="s">
        <v>22</v>
      </c>
      <c r="F1615">
        <v>1</v>
      </c>
      <c r="G1615" t="s">
        <v>42</v>
      </c>
      <c r="H1615" s="1">
        <v>45960.713194444441</v>
      </c>
      <c r="I1615" s="5">
        <f>INT(TB[[#This Row],[时间戳]])</f>
        <v>45960</v>
      </c>
      <c r="J1615" s="2">
        <f>HOUR(TB[[#This Row],[时间戳]])</f>
        <v>17</v>
      </c>
      <c r="K1615">
        <v>6859</v>
      </c>
      <c r="L1615">
        <v>0</v>
      </c>
      <c r="M1615">
        <f>TB[[#This Row],[售价]]*TB[[#This Row],[销量]]</f>
        <v>0</v>
      </c>
      <c r="N1615" t="str">
        <f>IF(TB[[#This Row],[售价]]&lt;1000,"低价商品",IF(TB[[#This Row],[售价]]&lt;5000,"中价商品",IF(TB[[#This Row],[售价]]&lt;10000,"高价商品","超高价商品")))</f>
        <v>高价商品</v>
      </c>
    </row>
    <row r="1616" spans="1:14" x14ac:dyDescent="0.2">
      <c r="A1616">
        <v>485</v>
      </c>
      <c r="B1616">
        <v>17</v>
      </c>
      <c r="C1616" t="s">
        <v>32</v>
      </c>
      <c r="D1616" t="s">
        <v>176</v>
      </c>
      <c r="E1616" t="s">
        <v>22</v>
      </c>
      <c r="F1616">
        <v>1</v>
      </c>
      <c r="G1616" t="s">
        <v>13</v>
      </c>
      <c r="H1616" s="1">
        <v>45960.720833333333</v>
      </c>
      <c r="I1616" s="5">
        <f>INT(TB[[#This Row],[时间戳]])</f>
        <v>45960</v>
      </c>
      <c r="J1616" s="2">
        <f>HOUR(TB[[#This Row],[时间戳]])</f>
        <v>17</v>
      </c>
      <c r="K1616">
        <v>2122</v>
      </c>
      <c r="L1616">
        <v>1</v>
      </c>
      <c r="M1616">
        <f>TB[[#This Row],[售价]]*TB[[#This Row],[销量]]</f>
        <v>2122</v>
      </c>
      <c r="N1616" t="str">
        <f>IF(TB[[#This Row],[售价]]&lt;1000,"低价商品",IF(TB[[#This Row],[售价]]&lt;5000,"中价商品",IF(TB[[#This Row],[售价]]&lt;10000,"高价商品","超高价商品")))</f>
        <v>中价商品</v>
      </c>
    </row>
    <row r="1617" spans="1:14" x14ac:dyDescent="0.2">
      <c r="A1617">
        <v>122</v>
      </c>
      <c r="B1617">
        <v>210</v>
      </c>
      <c r="C1617" t="s">
        <v>20</v>
      </c>
      <c r="D1617" t="s">
        <v>263</v>
      </c>
      <c r="E1617" t="s">
        <v>39</v>
      </c>
      <c r="F1617">
        <v>5</v>
      </c>
      <c r="G1617" t="s">
        <v>13</v>
      </c>
      <c r="H1617" s="1">
        <v>45960.741666666669</v>
      </c>
      <c r="I1617" s="5">
        <f>INT(TB[[#This Row],[时间戳]])</f>
        <v>45960</v>
      </c>
      <c r="J1617" s="2">
        <f>HOUR(TB[[#This Row],[时间戳]])</f>
        <v>17</v>
      </c>
      <c r="K1617">
        <v>3737</v>
      </c>
      <c r="L1617">
        <v>2</v>
      </c>
      <c r="M1617">
        <f>TB[[#This Row],[售价]]*TB[[#This Row],[销量]]</f>
        <v>7474</v>
      </c>
      <c r="N1617" t="str">
        <f>IF(TB[[#This Row],[售价]]&lt;1000,"低价商品",IF(TB[[#This Row],[售价]]&lt;5000,"中价商品",IF(TB[[#This Row],[售价]]&lt;10000,"高价商品","超高价商品")))</f>
        <v>中价商品</v>
      </c>
    </row>
    <row r="1618" spans="1:14" x14ac:dyDescent="0.2">
      <c r="A1618">
        <v>297</v>
      </c>
      <c r="B1618">
        <v>21</v>
      </c>
      <c r="C1618" t="s">
        <v>34</v>
      </c>
      <c r="D1618" t="s">
        <v>203</v>
      </c>
      <c r="E1618" t="s">
        <v>16</v>
      </c>
      <c r="F1618">
        <v>6</v>
      </c>
      <c r="G1618" t="s">
        <v>13</v>
      </c>
      <c r="H1618" s="1">
        <v>45960.836111111108</v>
      </c>
      <c r="I1618" s="5">
        <f>INT(TB[[#This Row],[时间戳]])</f>
        <v>45960</v>
      </c>
      <c r="J1618" s="2">
        <f>HOUR(TB[[#This Row],[时间戳]])</f>
        <v>20</v>
      </c>
      <c r="K1618">
        <v>3668</v>
      </c>
      <c r="L1618">
        <v>4</v>
      </c>
      <c r="M1618">
        <f>TB[[#This Row],[售价]]*TB[[#This Row],[销量]]</f>
        <v>14672</v>
      </c>
      <c r="N1618" t="str">
        <f>IF(TB[[#This Row],[售价]]&lt;1000,"低价商品",IF(TB[[#This Row],[售价]]&lt;5000,"中价商品",IF(TB[[#This Row],[售价]]&lt;10000,"高价商品","超高价商品")))</f>
        <v>中价商品</v>
      </c>
    </row>
    <row r="1619" spans="1:14" x14ac:dyDescent="0.2">
      <c r="A1619">
        <v>313</v>
      </c>
      <c r="B1619">
        <v>192</v>
      </c>
      <c r="C1619" t="s">
        <v>14</v>
      </c>
      <c r="D1619" t="s">
        <v>305</v>
      </c>
      <c r="E1619" t="s">
        <v>25</v>
      </c>
      <c r="F1619">
        <v>7</v>
      </c>
      <c r="G1619" t="s">
        <v>13</v>
      </c>
      <c r="H1619" s="1">
        <v>45960.855555555558</v>
      </c>
      <c r="I1619" s="5">
        <f>INT(TB[[#This Row],[时间戳]])</f>
        <v>45960</v>
      </c>
      <c r="J1619" s="2">
        <f>HOUR(TB[[#This Row],[时间戳]])</f>
        <v>20</v>
      </c>
      <c r="K1619">
        <v>5660</v>
      </c>
      <c r="L1619">
        <v>3</v>
      </c>
      <c r="M1619">
        <f>TB[[#This Row],[售价]]*TB[[#This Row],[销量]]</f>
        <v>16980</v>
      </c>
      <c r="N1619" t="str">
        <f>IF(TB[[#This Row],[售价]]&lt;1000,"低价商品",IF(TB[[#This Row],[售价]]&lt;5000,"中价商品",IF(TB[[#This Row],[售价]]&lt;10000,"高价商品","超高价商品")))</f>
        <v>高价商品</v>
      </c>
    </row>
    <row r="1620" spans="1:14" x14ac:dyDescent="0.2">
      <c r="A1620">
        <v>147</v>
      </c>
      <c r="B1620">
        <v>73</v>
      </c>
      <c r="C1620" t="s">
        <v>44</v>
      </c>
      <c r="D1620" t="s">
        <v>222</v>
      </c>
      <c r="E1620" t="s">
        <v>12</v>
      </c>
      <c r="F1620">
        <v>2</v>
      </c>
      <c r="G1620" t="s">
        <v>13</v>
      </c>
      <c r="H1620" s="1">
        <v>45960.870833333334</v>
      </c>
      <c r="I1620" s="5">
        <f>INT(TB[[#This Row],[时间戳]])</f>
        <v>45960</v>
      </c>
      <c r="J1620" s="2">
        <f>HOUR(TB[[#This Row],[时间戳]])</f>
        <v>20</v>
      </c>
      <c r="K1620">
        <v>8918</v>
      </c>
      <c r="L1620">
        <v>2</v>
      </c>
      <c r="M1620">
        <f>TB[[#This Row],[售价]]*TB[[#This Row],[销量]]</f>
        <v>17836</v>
      </c>
      <c r="N1620" t="str">
        <f>IF(TB[[#This Row],[售价]]&lt;1000,"低价商品",IF(TB[[#This Row],[售价]]&lt;5000,"中价商品",IF(TB[[#This Row],[售价]]&lt;10000,"高价商品","超高价商品")))</f>
        <v>高价商品</v>
      </c>
    </row>
    <row r="1621" spans="1:14" x14ac:dyDescent="0.2">
      <c r="A1621">
        <v>291</v>
      </c>
      <c r="B1621">
        <v>111</v>
      </c>
      <c r="C1621" t="s">
        <v>10</v>
      </c>
      <c r="D1621" t="s">
        <v>329</v>
      </c>
      <c r="E1621" t="s">
        <v>39</v>
      </c>
      <c r="F1621">
        <v>5</v>
      </c>
      <c r="G1621" t="s">
        <v>42</v>
      </c>
      <c r="H1621" s="1">
        <v>45960.895138888889</v>
      </c>
      <c r="I1621" s="5">
        <f>INT(TB[[#This Row],[时间戳]])</f>
        <v>45960</v>
      </c>
      <c r="J1621" s="2">
        <f>HOUR(TB[[#This Row],[时间戳]])</f>
        <v>21</v>
      </c>
      <c r="K1621">
        <v>3230</v>
      </c>
      <c r="L1621">
        <v>0</v>
      </c>
      <c r="M1621">
        <f>TB[[#This Row],[售价]]*TB[[#This Row],[销量]]</f>
        <v>0</v>
      </c>
      <c r="N1621" t="str">
        <f>IF(TB[[#This Row],[售价]]&lt;1000,"低价商品",IF(TB[[#This Row],[售价]]&lt;5000,"中价商品",IF(TB[[#This Row],[售价]]&lt;10000,"高价商品","超高价商品")))</f>
        <v>中价商品</v>
      </c>
    </row>
    <row r="1622" spans="1:14" x14ac:dyDescent="0.2">
      <c r="A1622">
        <v>126</v>
      </c>
      <c r="B1622">
        <v>281</v>
      </c>
      <c r="C1622" t="s">
        <v>44</v>
      </c>
      <c r="D1622" t="s">
        <v>243</v>
      </c>
      <c r="E1622" t="s">
        <v>31</v>
      </c>
      <c r="F1622">
        <v>4</v>
      </c>
      <c r="G1622" t="s">
        <v>13</v>
      </c>
      <c r="H1622" s="1">
        <v>45960.90625</v>
      </c>
      <c r="I1622" s="5">
        <f>INT(TB[[#This Row],[时间戳]])</f>
        <v>45960</v>
      </c>
      <c r="J1622" s="2">
        <f>HOUR(TB[[#This Row],[时间戳]])</f>
        <v>21</v>
      </c>
      <c r="K1622">
        <v>602</v>
      </c>
      <c r="L1622">
        <v>2</v>
      </c>
      <c r="M1622">
        <f>TB[[#This Row],[售价]]*TB[[#This Row],[销量]]</f>
        <v>1204</v>
      </c>
      <c r="N1622" t="str">
        <f>IF(TB[[#This Row],[售价]]&lt;1000,"低价商品",IF(TB[[#This Row],[售价]]&lt;5000,"中价商品",IF(TB[[#This Row],[售价]]&lt;10000,"高价商品","超高价商品")))</f>
        <v>低价商品</v>
      </c>
    </row>
    <row r="1623" spans="1:14" x14ac:dyDescent="0.2">
      <c r="A1623">
        <v>493</v>
      </c>
      <c r="B1623">
        <v>294</v>
      </c>
      <c r="C1623" t="s">
        <v>10</v>
      </c>
      <c r="D1623" t="s">
        <v>183</v>
      </c>
      <c r="E1623" t="s">
        <v>22</v>
      </c>
      <c r="F1623">
        <v>1</v>
      </c>
      <c r="G1623" t="s">
        <v>13</v>
      </c>
      <c r="H1623" s="1">
        <v>45960.907638888886</v>
      </c>
      <c r="I1623" s="5">
        <f>INT(TB[[#This Row],[时间戳]])</f>
        <v>45960</v>
      </c>
      <c r="J1623" s="2">
        <f>HOUR(TB[[#This Row],[时间戳]])</f>
        <v>21</v>
      </c>
      <c r="K1623">
        <v>3690</v>
      </c>
      <c r="L1623">
        <v>2</v>
      </c>
      <c r="M1623">
        <f>TB[[#This Row],[售价]]*TB[[#This Row],[销量]]</f>
        <v>7380</v>
      </c>
      <c r="N1623" t="str">
        <f>IF(TB[[#This Row],[售价]]&lt;1000,"低价商品",IF(TB[[#This Row],[售价]]&lt;5000,"中价商品",IF(TB[[#This Row],[售价]]&lt;10000,"高价商品","超高价商品")))</f>
        <v>中价商品</v>
      </c>
    </row>
    <row r="1624" spans="1:14" x14ac:dyDescent="0.2">
      <c r="A1624">
        <v>387</v>
      </c>
      <c r="B1624">
        <v>244</v>
      </c>
      <c r="C1624" t="s">
        <v>44</v>
      </c>
      <c r="D1624" t="s">
        <v>132</v>
      </c>
      <c r="E1624" t="s">
        <v>22</v>
      </c>
      <c r="F1624">
        <v>1</v>
      </c>
      <c r="G1624" t="s">
        <v>13</v>
      </c>
      <c r="H1624" s="1">
        <v>45960.92291666667</v>
      </c>
      <c r="I1624" s="5">
        <f>INT(TB[[#This Row],[时间戳]])</f>
        <v>45960</v>
      </c>
      <c r="J1624" s="2">
        <f>HOUR(TB[[#This Row],[时间戳]])</f>
        <v>22</v>
      </c>
      <c r="K1624">
        <v>3626</v>
      </c>
      <c r="L1624">
        <v>1</v>
      </c>
      <c r="M1624">
        <f>TB[[#This Row],[售价]]*TB[[#This Row],[销量]]</f>
        <v>3626</v>
      </c>
      <c r="N1624" t="str">
        <f>IF(TB[[#This Row],[售价]]&lt;1000,"低价商品",IF(TB[[#This Row],[售价]]&lt;5000,"中价商品",IF(TB[[#This Row],[售价]]&lt;10000,"高价商品","超高价商品")))</f>
        <v>中价商品</v>
      </c>
    </row>
    <row r="1625" spans="1:14" x14ac:dyDescent="0.2">
      <c r="A1625">
        <v>652</v>
      </c>
      <c r="B1625">
        <v>236</v>
      </c>
      <c r="C1625" t="s">
        <v>26</v>
      </c>
      <c r="D1625" t="s">
        <v>48</v>
      </c>
      <c r="E1625" t="s">
        <v>31</v>
      </c>
      <c r="F1625">
        <v>4</v>
      </c>
      <c r="G1625" t="s">
        <v>13</v>
      </c>
      <c r="H1625" s="1">
        <v>45960.981249999997</v>
      </c>
      <c r="I1625" s="5">
        <f>INT(TB[[#This Row],[时间戳]])</f>
        <v>45960</v>
      </c>
      <c r="J1625" s="2">
        <f>HOUR(TB[[#This Row],[时间戳]])</f>
        <v>23</v>
      </c>
      <c r="K1625">
        <v>1157</v>
      </c>
      <c r="L1625">
        <v>2</v>
      </c>
      <c r="M1625">
        <f>TB[[#This Row],[售价]]*TB[[#This Row],[销量]]</f>
        <v>2314</v>
      </c>
      <c r="N1625" t="str">
        <f>IF(TB[[#This Row],[售价]]&lt;1000,"低价商品",IF(TB[[#This Row],[售价]]&lt;5000,"中价商品",IF(TB[[#This Row],[售价]]&lt;10000,"高价商品","超高价商品")))</f>
        <v>中价商品</v>
      </c>
    </row>
    <row r="1626" spans="1:14" x14ac:dyDescent="0.2">
      <c r="A1626">
        <v>746</v>
      </c>
      <c r="B1626">
        <v>167</v>
      </c>
      <c r="C1626" t="s">
        <v>44</v>
      </c>
      <c r="D1626" t="s">
        <v>195</v>
      </c>
      <c r="E1626" t="s">
        <v>22</v>
      </c>
      <c r="F1626">
        <v>1</v>
      </c>
      <c r="G1626" t="s">
        <v>42</v>
      </c>
      <c r="H1626" s="1">
        <v>45960.984722222223</v>
      </c>
      <c r="I1626" s="5">
        <f>INT(TB[[#This Row],[时间戳]])</f>
        <v>45960</v>
      </c>
      <c r="J1626" s="2">
        <f>HOUR(TB[[#This Row],[时间戳]])</f>
        <v>23</v>
      </c>
      <c r="K1626">
        <v>7269</v>
      </c>
      <c r="L1626">
        <v>0</v>
      </c>
      <c r="M1626">
        <f>TB[[#This Row],[售价]]*TB[[#This Row],[销量]]</f>
        <v>0</v>
      </c>
      <c r="N1626" t="str">
        <f>IF(TB[[#This Row],[售价]]&lt;1000,"低价商品",IF(TB[[#This Row],[售价]]&lt;5000,"中价商品",IF(TB[[#This Row],[售价]]&lt;10000,"高价商品","超高价商品")))</f>
        <v>高价商品</v>
      </c>
    </row>
    <row r="1627" spans="1:14" x14ac:dyDescent="0.2">
      <c r="A1627">
        <v>397</v>
      </c>
      <c r="B1627">
        <v>120</v>
      </c>
      <c r="C1627" t="s">
        <v>46</v>
      </c>
      <c r="D1627" t="s">
        <v>47</v>
      </c>
      <c r="E1627" t="s">
        <v>22</v>
      </c>
      <c r="F1627">
        <v>1</v>
      </c>
      <c r="G1627" t="s">
        <v>42</v>
      </c>
      <c r="H1627" s="1">
        <v>45961.006249999999</v>
      </c>
      <c r="I1627" s="5">
        <f>INT(TB[[#This Row],[时间戳]])</f>
        <v>45961</v>
      </c>
      <c r="J1627" s="2">
        <f>HOUR(TB[[#This Row],[时间戳]])</f>
        <v>0</v>
      </c>
      <c r="K1627">
        <v>1850</v>
      </c>
      <c r="L1627">
        <v>0</v>
      </c>
      <c r="M1627">
        <f>TB[[#This Row],[售价]]*TB[[#This Row],[销量]]</f>
        <v>0</v>
      </c>
      <c r="N1627" t="str">
        <f>IF(TB[[#This Row],[售价]]&lt;1000,"低价商品",IF(TB[[#This Row],[售价]]&lt;5000,"中价商品",IF(TB[[#This Row],[售价]]&lt;10000,"高价商品","超高价商品")))</f>
        <v>中价商品</v>
      </c>
    </row>
    <row r="1628" spans="1:14" x14ac:dyDescent="0.2">
      <c r="A1628">
        <v>687</v>
      </c>
      <c r="B1628">
        <v>227</v>
      </c>
      <c r="C1628" t="s">
        <v>20</v>
      </c>
      <c r="D1628" t="s">
        <v>78</v>
      </c>
      <c r="E1628" t="s">
        <v>22</v>
      </c>
      <c r="F1628">
        <v>1</v>
      </c>
      <c r="G1628" t="s">
        <v>42</v>
      </c>
      <c r="H1628" s="1">
        <v>45961.010416666664</v>
      </c>
      <c r="I1628" s="5">
        <f>INT(TB[[#This Row],[时间戳]])</f>
        <v>45961</v>
      </c>
      <c r="J1628" s="2">
        <f>HOUR(TB[[#This Row],[时间戳]])</f>
        <v>0</v>
      </c>
      <c r="K1628">
        <v>4212</v>
      </c>
      <c r="L1628">
        <v>0</v>
      </c>
      <c r="M1628">
        <f>TB[[#This Row],[售价]]*TB[[#This Row],[销量]]</f>
        <v>0</v>
      </c>
      <c r="N1628" t="str">
        <f>IF(TB[[#This Row],[售价]]&lt;1000,"低价商品",IF(TB[[#This Row],[售价]]&lt;5000,"中价商品",IF(TB[[#This Row],[售价]]&lt;10000,"高价商品","超高价商品")))</f>
        <v>中价商品</v>
      </c>
    </row>
    <row r="1629" spans="1:14" x14ac:dyDescent="0.2">
      <c r="A1629">
        <v>725</v>
      </c>
      <c r="B1629">
        <v>13</v>
      </c>
      <c r="C1629" t="s">
        <v>14</v>
      </c>
      <c r="D1629" t="s">
        <v>190</v>
      </c>
      <c r="E1629" t="s">
        <v>12</v>
      </c>
      <c r="F1629">
        <v>2</v>
      </c>
      <c r="G1629" t="s">
        <v>13</v>
      </c>
      <c r="H1629" s="1">
        <v>45961.024305555555</v>
      </c>
      <c r="I1629" s="5">
        <f>INT(TB[[#This Row],[时间戳]])</f>
        <v>45961</v>
      </c>
      <c r="J1629" s="2">
        <f>HOUR(TB[[#This Row],[时间戳]])</f>
        <v>0</v>
      </c>
      <c r="K1629">
        <v>8674</v>
      </c>
      <c r="L1629">
        <v>3</v>
      </c>
      <c r="M1629">
        <f>TB[[#This Row],[售价]]*TB[[#This Row],[销量]]</f>
        <v>26022</v>
      </c>
      <c r="N1629" t="str">
        <f>IF(TB[[#This Row],[售价]]&lt;1000,"低价商品",IF(TB[[#This Row],[售价]]&lt;5000,"中价商品",IF(TB[[#This Row],[售价]]&lt;10000,"高价商品","超高价商品")))</f>
        <v>高价商品</v>
      </c>
    </row>
    <row r="1630" spans="1:14" x14ac:dyDescent="0.2">
      <c r="A1630">
        <v>661</v>
      </c>
      <c r="B1630">
        <v>64</v>
      </c>
      <c r="C1630" t="s">
        <v>36</v>
      </c>
      <c r="D1630" t="s">
        <v>123</v>
      </c>
      <c r="E1630" t="s">
        <v>31</v>
      </c>
      <c r="F1630">
        <v>4</v>
      </c>
      <c r="G1630" t="s">
        <v>13</v>
      </c>
      <c r="H1630" s="1">
        <v>45961.026388888888</v>
      </c>
      <c r="I1630" s="5">
        <f>INT(TB[[#This Row],[时间戳]])</f>
        <v>45961</v>
      </c>
      <c r="J1630" s="2">
        <f>HOUR(TB[[#This Row],[时间戳]])</f>
        <v>0</v>
      </c>
      <c r="K1630">
        <v>1343</v>
      </c>
      <c r="L1630">
        <v>1</v>
      </c>
      <c r="M1630">
        <f>TB[[#This Row],[售价]]*TB[[#This Row],[销量]]</f>
        <v>1343</v>
      </c>
      <c r="N1630" t="str">
        <f>IF(TB[[#This Row],[售价]]&lt;1000,"低价商品",IF(TB[[#This Row],[售价]]&lt;5000,"中价商品",IF(TB[[#This Row],[售价]]&lt;10000,"高价商品","超高价商品")))</f>
        <v>中价商品</v>
      </c>
    </row>
    <row r="1631" spans="1:14" x14ac:dyDescent="0.2">
      <c r="A1631">
        <v>634</v>
      </c>
      <c r="B1631">
        <v>278</v>
      </c>
      <c r="C1631" t="s">
        <v>14</v>
      </c>
      <c r="D1631" t="s">
        <v>49</v>
      </c>
      <c r="E1631" t="s">
        <v>22</v>
      </c>
      <c r="F1631">
        <v>1</v>
      </c>
      <c r="G1631" t="s">
        <v>13</v>
      </c>
      <c r="H1631" s="1">
        <v>45961.037499999999</v>
      </c>
      <c r="I1631" s="5">
        <f>INT(TB[[#This Row],[时间戳]])</f>
        <v>45961</v>
      </c>
      <c r="J1631" s="2">
        <f>HOUR(TB[[#This Row],[时间戳]])</f>
        <v>0</v>
      </c>
      <c r="K1631">
        <v>6360</v>
      </c>
      <c r="L1631">
        <v>1</v>
      </c>
      <c r="M1631">
        <f>TB[[#This Row],[售价]]*TB[[#This Row],[销量]]</f>
        <v>6360</v>
      </c>
      <c r="N1631" t="str">
        <f>IF(TB[[#This Row],[售价]]&lt;1000,"低价商品",IF(TB[[#This Row],[售价]]&lt;5000,"中价商品",IF(TB[[#This Row],[售价]]&lt;10000,"高价商品","超高价商品")))</f>
        <v>高价商品</v>
      </c>
    </row>
    <row r="1632" spans="1:14" x14ac:dyDescent="0.2">
      <c r="A1632">
        <v>535</v>
      </c>
      <c r="B1632">
        <v>97</v>
      </c>
      <c r="C1632" t="s">
        <v>10</v>
      </c>
      <c r="D1632" t="s">
        <v>294</v>
      </c>
      <c r="E1632" t="s">
        <v>31</v>
      </c>
      <c r="F1632">
        <v>4</v>
      </c>
      <c r="G1632" t="s">
        <v>13</v>
      </c>
      <c r="H1632" s="1">
        <v>45961.063194444447</v>
      </c>
      <c r="I1632" s="5">
        <f>INT(TB[[#This Row],[时间戳]])</f>
        <v>45961</v>
      </c>
      <c r="J1632" s="2">
        <f>HOUR(TB[[#This Row],[时间戳]])</f>
        <v>1</v>
      </c>
      <c r="K1632">
        <v>1418</v>
      </c>
      <c r="L1632">
        <v>2</v>
      </c>
      <c r="M1632">
        <f>TB[[#This Row],[售价]]*TB[[#This Row],[销量]]</f>
        <v>2836</v>
      </c>
      <c r="N1632" t="str">
        <f>IF(TB[[#This Row],[售价]]&lt;1000,"低价商品",IF(TB[[#This Row],[售价]]&lt;5000,"中价商品",IF(TB[[#This Row],[售价]]&lt;10000,"高价商品","超高价商品")))</f>
        <v>中价商品</v>
      </c>
    </row>
    <row r="1633" spans="1:14" x14ac:dyDescent="0.2">
      <c r="A1633">
        <v>675</v>
      </c>
      <c r="B1633">
        <v>273</v>
      </c>
      <c r="C1633" t="s">
        <v>10</v>
      </c>
      <c r="D1633" t="s">
        <v>201</v>
      </c>
      <c r="E1633" t="s">
        <v>31</v>
      </c>
      <c r="F1633">
        <v>4</v>
      </c>
      <c r="G1633" t="s">
        <v>13</v>
      </c>
      <c r="H1633" s="1">
        <v>45961.070833333331</v>
      </c>
      <c r="I1633" s="5">
        <f>INT(TB[[#This Row],[时间戳]])</f>
        <v>45961</v>
      </c>
      <c r="J1633" s="2">
        <f>HOUR(TB[[#This Row],[时间戳]])</f>
        <v>1</v>
      </c>
      <c r="K1633">
        <v>1081</v>
      </c>
      <c r="L1633">
        <v>1</v>
      </c>
      <c r="M1633">
        <f>TB[[#This Row],[售价]]*TB[[#This Row],[销量]]</f>
        <v>1081</v>
      </c>
      <c r="N1633" t="str">
        <f>IF(TB[[#This Row],[售价]]&lt;1000,"低价商品",IF(TB[[#This Row],[售价]]&lt;5000,"中价商品",IF(TB[[#This Row],[售价]]&lt;10000,"高价商品","超高价商品")))</f>
        <v>中价商品</v>
      </c>
    </row>
    <row r="1634" spans="1:14" x14ac:dyDescent="0.2">
      <c r="A1634">
        <v>252</v>
      </c>
      <c r="B1634">
        <v>297</v>
      </c>
      <c r="C1634" t="s">
        <v>36</v>
      </c>
      <c r="D1634" t="s">
        <v>366</v>
      </c>
      <c r="E1634" t="s">
        <v>22</v>
      </c>
      <c r="F1634">
        <v>1</v>
      </c>
      <c r="G1634" t="s">
        <v>42</v>
      </c>
      <c r="H1634" s="1">
        <v>45961.09097222222</v>
      </c>
      <c r="I1634" s="5">
        <f>INT(TB[[#This Row],[时间戳]])</f>
        <v>45961</v>
      </c>
      <c r="J1634" s="2">
        <f>HOUR(TB[[#This Row],[时间戳]])</f>
        <v>2</v>
      </c>
      <c r="K1634">
        <v>2281</v>
      </c>
      <c r="L1634">
        <v>0</v>
      </c>
      <c r="M1634">
        <f>TB[[#This Row],[售价]]*TB[[#This Row],[销量]]</f>
        <v>0</v>
      </c>
      <c r="N1634" t="str">
        <f>IF(TB[[#This Row],[售价]]&lt;1000,"低价商品",IF(TB[[#This Row],[售价]]&lt;5000,"中价商品",IF(TB[[#This Row],[售价]]&lt;10000,"高价商品","超高价商品")))</f>
        <v>中价商品</v>
      </c>
    </row>
    <row r="1635" spans="1:14" x14ac:dyDescent="0.2">
      <c r="A1635">
        <v>329</v>
      </c>
      <c r="B1635">
        <v>206</v>
      </c>
      <c r="C1635" t="s">
        <v>20</v>
      </c>
      <c r="D1635" t="s">
        <v>21</v>
      </c>
      <c r="E1635" t="s">
        <v>22</v>
      </c>
      <c r="F1635">
        <v>1</v>
      </c>
      <c r="G1635" t="s">
        <v>13</v>
      </c>
      <c r="H1635" s="1">
        <v>45961.120138888888</v>
      </c>
      <c r="I1635" s="5">
        <f>INT(TB[[#This Row],[时间戳]])</f>
        <v>45961</v>
      </c>
      <c r="J1635" s="2">
        <f>HOUR(TB[[#This Row],[时间戳]])</f>
        <v>2</v>
      </c>
      <c r="K1635">
        <v>4482</v>
      </c>
      <c r="L1635">
        <v>1</v>
      </c>
      <c r="M1635">
        <f>TB[[#This Row],[售价]]*TB[[#This Row],[销量]]</f>
        <v>4482</v>
      </c>
      <c r="N1635" t="str">
        <f>IF(TB[[#This Row],[售价]]&lt;1000,"低价商品",IF(TB[[#This Row],[售价]]&lt;5000,"中价商品",IF(TB[[#This Row],[售价]]&lt;10000,"高价商品","超高价商品")))</f>
        <v>中价商品</v>
      </c>
    </row>
    <row r="1636" spans="1:14" x14ac:dyDescent="0.2">
      <c r="A1636">
        <v>349</v>
      </c>
      <c r="B1636">
        <v>224</v>
      </c>
      <c r="C1636" t="s">
        <v>44</v>
      </c>
      <c r="D1636" t="s">
        <v>59</v>
      </c>
      <c r="E1636" t="s">
        <v>22</v>
      </c>
      <c r="F1636">
        <v>1</v>
      </c>
      <c r="G1636" t="s">
        <v>13</v>
      </c>
      <c r="H1636" s="1">
        <v>45961.168749999997</v>
      </c>
      <c r="I1636" s="5">
        <f>INT(TB[[#This Row],[时间戳]])</f>
        <v>45961</v>
      </c>
      <c r="J1636" s="2">
        <f>HOUR(TB[[#This Row],[时间戳]])</f>
        <v>4</v>
      </c>
      <c r="K1636">
        <v>5647</v>
      </c>
      <c r="L1636">
        <v>5</v>
      </c>
      <c r="M1636">
        <f>TB[[#This Row],[售价]]*TB[[#This Row],[销量]]</f>
        <v>28235</v>
      </c>
      <c r="N1636" t="str">
        <f>IF(TB[[#This Row],[售价]]&lt;1000,"低价商品",IF(TB[[#This Row],[售价]]&lt;5000,"中价商品",IF(TB[[#This Row],[售价]]&lt;10000,"高价商品","超高价商品")))</f>
        <v>高价商品</v>
      </c>
    </row>
    <row r="1637" spans="1:14" x14ac:dyDescent="0.2">
      <c r="A1637">
        <v>325</v>
      </c>
      <c r="B1637">
        <v>196</v>
      </c>
      <c r="C1637" t="s">
        <v>10</v>
      </c>
      <c r="D1637" t="s">
        <v>278</v>
      </c>
      <c r="E1637" t="s">
        <v>19</v>
      </c>
      <c r="F1637">
        <v>3</v>
      </c>
      <c r="G1637" t="s">
        <v>13</v>
      </c>
      <c r="H1637" s="1">
        <v>45961.173611111109</v>
      </c>
      <c r="I1637" s="5">
        <f>INT(TB[[#This Row],[时间戳]])</f>
        <v>45961</v>
      </c>
      <c r="J1637" s="2">
        <f>HOUR(TB[[#This Row],[时间戳]])</f>
        <v>4</v>
      </c>
      <c r="K1637">
        <v>2990</v>
      </c>
      <c r="L1637">
        <v>4</v>
      </c>
      <c r="M1637">
        <f>TB[[#This Row],[售价]]*TB[[#This Row],[销量]]</f>
        <v>11960</v>
      </c>
      <c r="N1637" t="str">
        <f>IF(TB[[#This Row],[售价]]&lt;1000,"低价商品",IF(TB[[#This Row],[售价]]&lt;5000,"中价商品",IF(TB[[#This Row],[售价]]&lt;10000,"高价商品","超高价商品")))</f>
        <v>中价商品</v>
      </c>
    </row>
    <row r="1638" spans="1:14" x14ac:dyDescent="0.2">
      <c r="A1638">
        <v>555</v>
      </c>
      <c r="B1638">
        <v>87</v>
      </c>
      <c r="C1638" t="s">
        <v>14</v>
      </c>
      <c r="D1638" t="s">
        <v>89</v>
      </c>
      <c r="E1638" t="s">
        <v>22</v>
      </c>
      <c r="F1638">
        <v>1</v>
      </c>
      <c r="G1638" t="s">
        <v>42</v>
      </c>
      <c r="H1638" s="1">
        <v>45961.182638888888</v>
      </c>
      <c r="I1638" s="5">
        <f>INT(TB[[#This Row],[时间戳]])</f>
        <v>45961</v>
      </c>
      <c r="J1638" s="2">
        <f>HOUR(TB[[#This Row],[时间戳]])</f>
        <v>4</v>
      </c>
      <c r="K1638">
        <v>2952</v>
      </c>
      <c r="L1638">
        <v>0</v>
      </c>
      <c r="M1638">
        <f>TB[[#This Row],[售价]]*TB[[#This Row],[销量]]</f>
        <v>0</v>
      </c>
      <c r="N1638" t="str">
        <f>IF(TB[[#This Row],[售价]]&lt;1000,"低价商品",IF(TB[[#This Row],[售价]]&lt;5000,"中价商品",IF(TB[[#This Row],[售价]]&lt;10000,"高价商品","超高价商品")))</f>
        <v>中价商品</v>
      </c>
    </row>
    <row r="1639" spans="1:14" x14ac:dyDescent="0.2">
      <c r="A1639">
        <v>787</v>
      </c>
      <c r="B1639">
        <v>46</v>
      </c>
      <c r="C1639" t="s">
        <v>26</v>
      </c>
      <c r="D1639" t="s">
        <v>227</v>
      </c>
      <c r="E1639" t="s">
        <v>12</v>
      </c>
      <c r="F1639">
        <v>2</v>
      </c>
      <c r="G1639" t="s">
        <v>13</v>
      </c>
      <c r="H1639" s="1">
        <v>45961.186111111114</v>
      </c>
      <c r="I1639" s="5">
        <f>INT(TB[[#This Row],[时间戳]])</f>
        <v>45961</v>
      </c>
      <c r="J1639" s="2">
        <f>HOUR(TB[[#This Row],[时间戳]])</f>
        <v>4</v>
      </c>
      <c r="K1639">
        <v>8548</v>
      </c>
      <c r="L1639">
        <v>1</v>
      </c>
      <c r="M1639">
        <f>TB[[#This Row],[售价]]*TB[[#This Row],[销量]]</f>
        <v>8548</v>
      </c>
      <c r="N1639" t="str">
        <f>IF(TB[[#This Row],[售价]]&lt;1000,"低价商品",IF(TB[[#This Row],[售价]]&lt;5000,"中价商品",IF(TB[[#This Row],[售价]]&lt;10000,"高价商品","超高价商品")))</f>
        <v>高价商品</v>
      </c>
    </row>
    <row r="1640" spans="1:14" x14ac:dyDescent="0.2">
      <c r="A1640">
        <v>174</v>
      </c>
      <c r="B1640">
        <v>31</v>
      </c>
      <c r="C1640" t="s">
        <v>17</v>
      </c>
      <c r="D1640" t="s">
        <v>369</v>
      </c>
      <c r="E1640" t="s">
        <v>16</v>
      </c>
      <c r="F1640">
        <v>6</v>
      </c>
      <c r="G1640" t="s">
        <v>13</v>
      </c>
      <c r="H1640" s="1">
        <v>45961.275694444441</v>
      </c>
      <c r="I1640" s="5">
        <f>INT(TB[[#This Row],[时间戳]])</f>
        <v>45961</v>
      </c>
      <c r="J1640" s="2">
        <f>HOUR(TB[[#This Row],[时间戳]])</f>
        <v>6</v>
      </c>
      <c r="K1640">
        <v>4483</v>
      </c>
      <c r="L1640">
        <v>2</v>
      </c>
      <c r="M1640">
        <f>TB[[#This Row],[售价]]*TB[[#This Row],[销量]]</f>
        <v>8966</v>
      </c>
      <c r="N1640" t="str">
        <f>IF(TB[[#This Row],[售价]]&lt;1000,"低价商品",IF(TB[[#This Row],[售价]]&lt;5000,"中价商品",IF(TB[[#This Row],[售价]]&lt;10000,"高价商品","超高价商品")))</f>
        <v>中价商品</v>
      </c>
    </row>
    <row r="1641" spans="1:14" x14ac:dyDescent="0.2">
      <c r="A1641">
        <v>60</v>
      </c>
      <c r="B1641">
        <v>153</v>
      </c>
      <c r="C1641" t="s">
        <v>10</v>
      </c>
      <c r="D1641" t="s">
        <v>240</v>
      </c>
      <c r="E1641" t="s">
        <v>16</v>
      </c>
      <c r="F1641">
        <v>6</v>
      </c>
      <c r="G1641" t="s">
        <v>13</v>
      </c>
      <c r="H1641" s="1">
        <v>45961.324305555558</v>
      </c>
      <c r="I1641" s="5">
        <f>INT(TB[[#This Row],[时间戳]])</f>
        <v>45961</v>
      </c>
      <c r="J1641" s="2">
        <f>HOUR(TB[[#This Row],[时间戳]])</f>
        <v>7</v>
      </c>
      <c r="K1641">
        <v>7221</v>
      </c>
      <c r="L1641">
        <v>1</v>
      </c>
      <c r="M1641">
        <f>TB[[#This Row],[售价]]*TB[[#This Row],[销量]]</f>
        <v>7221</v>
      </c>
      <c r="N1641" t="str">
        <f>IF(TB[[#This Row],[售价]]&lt;1000,"低价商品",IF(TB[[#This Row],[售价]]&lt;5000,"中价商品",IF(TB[[#This Row],[售价]]&lt;10000,"高价商品","超高价商品")))</f>
        <v>高价商品</v>
      </c>
    </row>
    <row r="1642" spans="1:14" x14ac:dyDescent="0.2">
      <c r="A1642">
        <v>423</v>
      </c>
      <c r="B1642">
        <v>166</v>
      </c>
      <c r="C1642" t="s">
        <v>34</v>
      </c>
      <c r="D1642" t="s">
        <v>82</v>
      </c>
      <c r="E1642" t="s">
        <v>31</v>
      </c>
      <c r="F1642">
        <v>4</v>
      </c>
      <c r="G1642" t="s">
        <v>13</v>
      </c>
      <c r="H1642" s="1">
        <v>45961.338194444441</v>
      </c>
      <c r="I1642" s="5">
        <f>INT(TB[[#This Row],[时间戳]])</f>
        <v>45961</v>
      </c>
      <c r="J1642" s="2">
        <f>HOUR(TB[[#This Row],[时间戳]])</f>
        <v>8</v>
      </c>
      <c r="K1642">
        <v>698</v>
      </c>
      <c r="L1642">
        <v>1</v>
      </c>
      <c r="M1642">
        <f>TB[[#This Row],[售价]]*TB[[#This Row],[销量]]</f>
        <v>698</v>
      </c>
      <c r="N1642" t="str">
        <f>IF(TB[[#This Row],[售价]]&lt;1000,"低价商品",IF(TB[[#This Row],[售价]]&lt;5000,"中价商品",IF(TB[[#This Row],[售价]]&lt;10000,"高价商品","超高价商品")))</f>
        <v>低价商品</v>
      </c>
    </row>
    <row r="1643" spans="1:14" x14ac:dyDescent="0.2">
      <c r="A1643">
        <v>208</v>
      </c>
      <c r="B1643">
        <v>123</v>
      </c>
      <c r="C1643" t="s">
        <v>14</v>
      </c>
      <c r="D1643" t="s">
        <v>205</v>
      </c>
      <c r="E1643" t="s">
        <v>16</v>
      </c>
      <c r="F1643">
        <v>6</v>
      </c>
      <c r="G1643" t="s">
        <v>13</v>
      </c>
      <c r="H1643" s="1">
        <v>45961.37222222222</v>
      </c>
      <c r="I1643" s="5">
        <f>INT(TB[[#This Row],[时间戳]])</f>
        <v>45961</v>
      </c>
      <c r="J1643" s="2">
        <f>HOUR(TB[[#This Row],[时间戳]])</f>
        <v>8</v>
      </c>
      <c r="K1643">
        <v>6217</v>
      </c>
      <c r="L1643">
        <v>2</v>
      </c>
      <c r="M1643">
        <f>TB[[#This Row],[售价]]*TB[[#This Row],[销量]]</f>
        <v>12434</v>
      </c>
      <c r="N1643" t="str">
        <f>IF(TB[[#This Row],[售价]]&lt;1000,"低价商品",IF(TB[[#This Row],[售价]]&lt;5000,"中价商品",IF(TB[[#This Row],[售价]]&lt;10000,"高价商品","超高价商品")))</f>
        <v>高价商品</v>
      </c>
    </row>
    <row r="1644" spans="1:14" x14ac:dyDescent="0.2">
      <c r="A1644">
        <v>521</v>
      </c>
      <c r="B1644">
        <v>259</v>
      </c>
      <c r="C1644" t="s">
        <v>32</v>
      </c>
      <c r="D1644" t="s">
        <v>335</v>
      </c>
      <c r="E1644" t="s">
        <v>12</v>
      </c>
      <c r="F1644">
        <v>2</v>
      </c>
      <c r="G1644" t="s">
        <v>42</v>
      </c>
      <c r="H1644" s="1">
        <v>45961.386111111111</v>
      </c>
      <c r="I1644" s="5">
        <f>INT(TB[[#This Row],[时间戳]])</f>
        <v>45961</v>
      </c>
      <c r="J1644" s="2">
        <f>HOUR(TB[[#This Row],[时间戳]])</f>
        <v>9</v>
      </c>
      <c r="K1644">
        <v>13881</v>
      </c>
      <c r="L1644">
        <v>0</v>
      </c>
      <c r="M1644">
        <f>TB[[#This Row],[售价]]*TB[[#This Row],[销量]]</f>
        <v>0</v>
      </c>
      <c r="N1644" t="str">
        <f>IF(TB[[#This Row],[售价]]&lt;1000,"低价商品",IF(TB[[#This Row],[售价]]&lt;5000,"中价商品",IF(TB[[#This Row],[售价]]&lt;10000,"高价商品","超高价商品")))</f>
        <v>超高价商品</v>
      </c>
    </row>
    <row r="1645" spans="1:14" x14ac:dyDescent="0.2">
      <c r="A1645">
        <v>326</v>
      </c>
      <c r="B1645">
        <v>238</v>
      </c>
      <c r="C1645" t="s">
        <v>36</v>
      </c>
      <c r="D1645" t="s">
        <v>187</v>
      </c>
      <c r="E1645" t="s">
        <v>12</v>
      </c>
      <c r="F1645">
        <v>2</v>
      </c>
      <c r="G1645" t="s">
        <v>42</v>
      </c>
      <c r="H1645" s="1">
        <v>45961.404166666667</v>
      </c>
      <c r="I1645" s="5">
        <f>INT(TB[[#This Row],[时间戳]])</f>
        <v>45961</v>
      </c>
      <c r="J1645" s="2">
        <f>HOUR(TB[[#This Row],[时间戳]])</f>
        <v>9</v>
      </c>
      <c r="K1645">
        <v>10166</v>
      </c>
      <c r="L1645">
        <v>0</v>
      </c>
      <c r="M1645">
        <f>TB[[#This Row],[售价]]*TB[[#This Row],[销量]]</f>
        <v>0</v>
      </c>
      <c r="N1645" t="str">
        <f>IF(TB[[#This Row],[售价]]&lt;1000,"低价商品",IF(TB[[#This Row],[售价]]&lt;5000,"中价商品",IF(TB[[#This Row],[售价]]&lt;10000,"高价商品","超高价商品")))</f>
        <v>超高价商品</v>
      </c>
    </row>
    <row r="1646" spans="1:14" x14ac:dyDescent="0.2">
      <c r="A1646">
        <v>30</v>
      </c>
      <c r="B1646">
        <v>209</v>
      </c>
      <c r="C1646" t="s">
        <v>14</v>
      </c>
      <c r="D1646" t="s">
        <v>207</v>
      </c>
      <c r="E1646" t="s">
        <v>25</v>
      </c>
      <c r="F1646">
        <v>7</v>
      </c>
      <c r="G1646" t="s">
        <v>13</v>
      </c>
      <c r="H1646" s="1">
        <v>45961.405555555553</v>
      </c>
      <c r="I1646" s="5">
        <f>INT(TB[[#This Row],[时间戳]])</f>
        <v>45961</v>
      </c>
      <c r="J1646" s="2">
        <f>HOUR(TB[[#This Row],[时间戳]])</f>
        <v>9</v>
      </c>
      <c r="K1646">
        <v>6039</v>
      </c>
      <c r="L1646">
        <v>1</v>
      </c>
      <c r="M1646">
        <f>TB[[#This Row],[售价]]*TB[[#This Row],[销量]]</f>
        <v>6039</v>
      </c>
      <c r="N1646" t="str">
        <f>IF(TB[[#This Row],[售价]]&lt;1000,"低价商品",IF(TB[[#This Row],[售价]]&lt;5000,"中价商品",IF(TB[[#This Row],[售价]]&lt;10000,"高价商品","超高价商品")))</f>
        <v>高价商品</v>
      </c>
    </row>
    <row r="1647" spans="1:14" x14ac:dyDescent="0.2">
      <c r="A1647">
        <v>601</v>
      </c>
      <c r="B1647">
        <v>52</v>
      </c>
      <c r="C1647" t="s">
        <v>36</v>
      </c>
      <c r="D1647" t="s">
        <v>90</v>
      </c>
      <c r="E1647" t="s">
        <v>16</v>
      </c>
      <c r="F1647">
        <v>6</v>
      </c>
      <c r="G1647" t="s">
        <v>13</v>
      </c>
      <c r="H1647" s="1">
        <v>45961.431250000001</v>
      </c>
      <c r="I1647" s="5">
        <f>INT(TB[[#This Row],[时间戳]])</f>
        <v>45961</v>
      </c>
      <c r="J1647" s="2">
        <f>HOUR(TB[[#This Row],[时间戳]])</f>
        <v>10</v>
      </c>
      <c r="K1647">
        <v>5638</v>
      </c>
      <c r="L1647">
        <v>1</v>
      </c>
      <c r="M1647">
        <f>TB[[#This Row],[售价]]*TB[[#This Row],[销量]]</f>
        <v>5638</v>
      </c>
      <c r="N1647" t="str">
        <f>IF(TB[[#This Row],[售价]]&lt;1000,"低价商品",IF(TB[[#This Row],[售价]]&lt;5000,"中价商品",IF(TB[[#This Row],[售价]]&lt;10000,"高价商品","超高价商品")))</f>
        <v>高价商品</v>
      </c>
    </row>
    <row r="1648" spans="1:14" x14ac:dyDescent="0.2">
      <c r="A1648">
        <v>129</v>
      </c>
      <c r="B1648">
        <v>156</v>
      </c>
      <c r="C1648" t="s">
        <v>20</v>
      </c>
      <c r="D1648" t="s">
        <v>324</v>
      </c>
      <c r="E1648" t="s">
        <v>12</v>
      </c>
      <c r="F1648">
        <v>2</v>
      </c>
      <c r="G1648" t="s">
        <v>13</v>
      </c>
      <c r="H1648" s="1">
        <v>45961.434027777781</v>
      </c>
      <c r="I1648" s="5">
        <f>INT(TB[[#This Row],[时间戳]])</f>
        <v>45961</v>
      </c>
      <c r="J1648" s="2">
        <f>HOUR(TB[[#This Row],[时间戳]])</f>
        <v>10</v>
      </c>
      <c r="K1648">
        <v>8225</v>
      </c>
      <c r="L1648">
        <v>2</v>
      </c>
      <c r="M1648">
        <f>TB[[#This Row],[售价]]*TB[[#This Row],[销量]]</f>
        <v>16450</v>
      </c>
      <c r="N1648" t="str">
        <f>IF(TB[[#This Row],[售价]]&lt;1000,"低价商品",IF(TB[[#This Row],[售价]]&lt;5000,"中价商品",IF(TB[[#This Row],[售价]]&lt;10000,"高价商品","超高价商品")))</f>
        <v>高价商品</v>
      </c>
    </row>
    <row r="1649" spans="1:14" x14ac:dyDescent="0.2">
      <c r="A1649">
        <v>652</v>
      </c>
      <c r="B1649">
        <v>257</v>
      </c>
      <c r="C1649" t="s">
        <v>44</v>
      </c>
      <c r="D1649" t="s">
        <v>59</v>
      </c>
      <c r="E1649" t="s">
        <v>22</v>
      </c>
      <c r="F1649">
        <v>1</v>
      </c>
      <c r="G1649" t="s">
        <v>42</v>
      </c>
      <c r="H1649" s="1">
        <v>45961.46597222222</v>
      </c>
      <c r="I1649" s="5">
        <f>INT(TB[[#This Row],[时间戳]])</f>
        <v>45961</v>
      </c>
      <c r="J1649" s="2">
        <f>HOUR(TB[[#This Row],[时间戳]])</f>
        <v>11</v>
      </c>
      <c r="K1649">
        <v>5663</v>
      </c>
      <c r="L1649">
        <v>0</v>
      </c>
      <c r="M1649">
        <f>TB[[#This Row],[售价]]*TB[[#This Row],[销量]]</f>
        <v>0</v>
      </c>
      <c r="N1649" t="str">
        <f>IF(TB[[#This Row],[售价]]&lt;1000,"低价商品",IF(TB[[#This Row],[售价]]&lt;5000,"中价商品",IF(TB[[#This Row],[售价]]&lt;10000,"高价商品","超高价商品")))</f>
        <v>高价商品</v>
      </c>
    </row>
    <row r="1650" spans="1:14" x14ac:dyDescent="0.2">
      <c r="A1650">
        <v>554</v>
      </c>
      <c r="B1650">
        <v>87</v>
      </c>
      <c r="C1650" t="s">
        <v>26</v>
      </c>
      <c r="D1650" t="s">
        <v>166</v>
      </c>
      <c r="E1650" t="s">
        <v>39</v>
      </c>
      <c r="F1650">
        <v>5</v>
      </c>
      <c r="G1650" t="s">
        <v>13</v>
      </c>
      <c r="H1650" s="1">
        <v>45961.494444444441</v>
      </c>
      <c r="I1650" s="5">
        <f>INT(TB[[#This Row],[时间戳]])</f>
        <v>45961</v>
      </c>
      <c r="J1650" s="2">
        <f>HOUR(TB[[#This Row],[时间戳]])</f>
        <v>11</v>
      </c>
      <c r="K1650">
        <v>1833</v>
      </c>
      <c r="L1650">
        <v>3</v>
      </c>
      <c r="M1650">
        <f>TB[[#This Row],[售价]]*TB[[#This Row],[销量]]</f>
        <v>5499</v>
      </c>
      <c r="N1650" t="str">
        <f>IF(TB[[#This Row],[售价]]&lt;1000,"低价商品",IF(TB[[#This Row],[售价]]&lt;5000,"中价商品",IF(TB[[#This Row],[售价]]&lt;10000,"高价商品","超高价商品")))</f>
        <v>中价商品</v>
      </c>
    </row>
    <row r="1651" spans="1:14" x14ac:dyDescent="0.2">
      <c r="A1651">
        <v>463</v>
      </c>
      <c r="B1651">
        <v>22</v>
      </c>
      <c r="C1651" t="s">
        <v>17</v>
      </c>
      <c r="D1651" t="s">
        <v>93</v>
      </c>
      <c r="E1651" t="s">
        <v>12</v>
      </c>
      <c r="F1651">
        <v>2</v>
      </c>
      <c r="G1651" t="s">
        <v>13</v>
      </c>
      <c r="H1651" s="1">
        <v>45961.51666666667</v>
      </c>
      <c r="I1651" s="5">
        <f>INT(TB[[#This Row],[时间戳]])</f>
        <v>45961</v>
      </c>
      <c r="J1651" s="2">
        <f>HOUR(TB[[#This Row],[时间戳]])</f>
        <v>12</v>
      </c>
      <c r="K1651">
        <v>8091</v>
      </c>
      <c r="L1651">
        <v>3</v>
      </c>
      <c r="M1651">
        <f>TB[[#This Row],[售价]]*TB[[#This Row],[销量]]</f>
        <v>24273</v>
      </c>
      <c r="N1651" t="str">
        <f>IF(TB[[#This Row],[售价]]&lt;1000,"低价商品",IF(TB[[#This Row],[售价]]&lt;5000,"中价商品",IF(TB[[#This Row],[售价]]&lt;10000,"高价商品","超高价商品")))</f>
        <v>高价商品</v>
      </c>
    </row>
    <row r="1652" spans="1:14" x14ac:dyDescent="0.2">
      <c r="A1652">
        <v>669</v>
      </c>
      <c r="B1652">
        <v>86</v>
      </c>
      <c r="C1652" t="s">
        <v>46</v>
      </c>
      <c r="D1652" t="s">
        <v>104</v>
      </c>
      <c r="E1652" t="s">
        <v>12</v>
      </c>
      <c r="F1652">
        <v>2</v>
      </c>
      <c r="G1652" t="s">
        <v>42</v>
      </c>
      <c r="H1652" s="1">
        <v>45961.517361111109</v>
      </c>
      <c r="I1652" s="5">
        <f>INT(TB[[#This Row],[时间戳]])</f>
        <v>45961</v>
      </c>
      <c r="J1652" s="2">
        <f>HOUR(TB[[#This Row],[时间戳]])</f>
        <v>12</v>
      </c>
      <c r="K1652">
        <v>4053</v>
      </c>
      <c r="L1652">
        <v>0</v>
      </c>
      <c r="M1652">
        <f>TB[[#This Row],[售价]]*TB[[#This Row],[销量]]</f>
        <v>0</v>
      </c>
      <c r="N1652" t="str">
        <f>IF(TB[[#This Row],[售价]]&lt;1000,"低价商品",IF(TB[[#This Row],[售价]]&lt;5000,"中价商品",IF(TB[[#This Row],[售价]]&lt;10000,"高价商品","超高价商品")))</f>
        <v>中价商品</v>
      </c>
    </row>
    <row r="1653" spans="1:14" x14ac:dyDescent="0.2">
      <c r="A1653">
        <v>613</v>
      </c>
      <c r="B1653">
        <v>129</v>
      </c>
      <c r="C1653" t="s">
        <v>44</v>
      </c>
      <c r="D1653" t="s">
        <v>410</v>
      </c>
      <c r="E1653" t="s">
        <v>25</v>
      </c>
      <c r="F1653">
        <v>7</v>
      </c>
      <c r="G1653" t="s">
        <v>13</v>
      </c>
      <c r="H1653" s="1">
        <v>45961.524305555555</v>
      </c>
      <c r="I1653" s="5">
        <f>INT(TB[[#This Row],[时间戳]])</f>
        <v>45961</v>
      </c>
      <c r="J1653" s="2">
        <f>HOUR(TB[[#This Row],[时间戳]])</f>
        <v>12</v>
      </c>
      <c r="K1653">
        <v>1500</v>
      </c>
      <c r="L1653">
        <v>4</v>
      </c>
      <c r="M1653">
        <f>TB[[#This Row],[售价]]*TB[[#This Row],[销量]]</f>
        <v>6000</v>
      </c>
      <c r="N1653" t="str">
        <f>IF(TB[[#This Row],[售价]]&lt;1000,"低价商品",IF(TB[[#This Row],[售价]]&lt;5000,"中价商品",IF(TB[[#This Row],[售价]]&lt;10000,"高价商品","超高价商品")))</f>
        <v>中价商品</v>
      </c>
    </row>
    <row r="1654" spans="1:14" x14ac:dyDescent="0.2">
      <c r="A1654">
        <v>600</v>
      </c>
      <c r="B1654">
        <v>262</v>
      </c>
      <c r="C1654" t="s">
        <v>34</v>
      </c>
      <c r="D1654" t="s">
        <v>323</v>
      </c>
      <c r="E1654" t="s">
        <v>39</v>
      </c>
      <c r="F1654">
        <v>5</v>
      </c>
      <c r="G1654" t="s">
        <v>13</v>
      </c>
      <c r="H1654" s="1">
        <v>45961.529861111114</v>
      </c>
      <c r="I1654" s="5">
        <f>INT(TB[[#This Row],[时间戳]])</f>
        <v>45961</v>
      </c>
      <c r="J1654" s="2">
        <f>HOUR(TB[[#This Row],[时间戳]])</f>
        <v>12</v>
      </c>
      <c r="K1654">
        <v>3579</v>
      </c>
      <c r="L1654">
        <v>1</v>
      </c>
      <c r="M1654">
        <f>TB[[#This Row],[售价]]*TB[[#This Row],[销量]]</f>
        <v>3579</v>
      </c>
      <c r="N1654" t="str">
        <f>IF(TB[[#This Row],[售价]]&lt;1000,"低价商品",IF(TB[[#This Row],[售价]]&lt;5000,"中价商品",IF(TB[[#This Row],[售价]]&lt;10000,"高价商品","超高价商品")))</f>
        <v>中价商品</v>
      </c>
    </row>
    <row r="1655" spans="1:14" x14ac:dyDescent="0.2">
      <c r="A1655">
        <v>547</v>
      </c>
      <c r="B1655">
        <v>289</v>
      </c>
      <c r="C1655" t="s">
        <v>26</v>
      </c>
      <c r="D1655" t="s">
        <v>65</v>
      </c>
      <c r="E1655" t="s">
        <v>22</v>
      </c>
      <c r="F1655">
        <v>1</v>
      </c>
      <c r="G1655" t="s">
        <v>13</v>
      </c>
      <c r="H1655" s="1">
        <v>45961.538194444445</v>
      </c>
      <c r="I1655" s="5">
        <f>INT(TB[[#This Row],[时间戳]])</f>
        <v>45961</v>
      </c>
      <c r="J1655" s="2">
        <f>HOUR(TB[[#This Row],[时间戳]])</f>
        <v>12</v>
      </c>
      <c r="K1655">
        <v>3127</v>
      </c>
      <c r="L1655">
        <v>4</v>
      </c>
      <c r="M1655">
        <f>TB[[#This Row],[售价]]*TB[[#This Row],[销量]]</f>
        <v>12508</v>
      </c>
      <c r="N1655" t="str">
        <f>IF(TB[[#This Row],[售价]]&lt;1000,"低价商品",IF(TB[[#This Row],[售价]]&lt;5000,"中价商品",IF(TB[[#This Row],[售价]]&lt;10000,"高价商品","超高价商品")))</f>
        <v>中价商品</v>
      </c>
    </row>
    <row r="1656" spans="1:14" x14ac:dyDescent="0.2">
      <c r="A1656">
        <v>716</v>
      </c>
      <c r="B1656">
        <v>63</v>
      </c>
      <c r="C1656" t="s">
        <v>14</v>
      </c>
      <c r="D1656" t="s">
        <v>405</v>
      </c>
      <c r="E1656" t="s">
        <v>19</v>
      </c>
      <c r="F1656">
        <v>3</v>
      </c>
      <c r="G1656" t="s">
        <v>13</v>
      </c>
      <c r="H1656" s="1">
        <v>45961.539583333331</v>
      </c>
      <c r="I1656" s="5">
        <f>INT(TB[[#This Row],[时间戳]])</f>
        <v>45961</v>
      </c>
      <c r="J1656" s="2">
        <f>HOUR(TB[[#This Row],[时间戳]])</f>
        <v>12</v>
      </c>
      <c r="K1656">
        <v>2025</v>
      </c>
      <c r="L1656">
        <v>4</v>
      </c>
      <c r="M1656">
        <f>TB[[#This Row],[售价]]*TB[[#This Row],[销量]]</f>
        <v>8100</v>
      </c>
      <c r="N1656" t="str">
        <f>IF(TB[[#This Row],[售价]]&lt;1000,"低价商品",IF(TB[[#This Row],[售价]]&lt;5000,"中价商品",IF(TB[[#This Row],[售价]]&lt;10000,"高价商品","超高价商品")))</f>
        <v>中价商品</v>
      </c>
    </row>
    <row r="1657" spans="1:14" x14ac:dyDescent="0.2">
      <c r="A1657">
        <v>443</v>
      </c>
      <c r="B1657">
        <v>108</v>
      </c>
      <c r="C1657" t="s">
        <v>20</v>
      </c>
      <c r="D1657" t="s">
        <v>147</v>
      </c>
      <c r="E1657" t="s">
        <v>22</v>
      </c>
      <c r="F1657">
        <v>1</v>
      </c>
      <c r="G1657" t="s">
        <v>13</v>
      </c>
      <c r="H1657" s="1">
        <v>45961.590277777781</v>
      </c>
      <c r="I1657" s="5">
        <f>INT(TB[[#This Row],[时间戳]])</f>
        <v>45961</v>
      </c>
      <c r="J1657" s="2">
        <f>HOUR(TB[[#This Row],[时间戳]])</f>
        <v>14</v>
      </c>
      <c r="K1657">
        <v>7674</v>
      </c>
      <c r="L1657">
        <v>3</v>
      </c>
      <c r="M1657">
        <f>TB[[#This Row],[售价]]*TB[[#This Row],[销量]]</f>
        <v>23022</v>
      </c>
      <c r="N1657" t="str">
        <f>IF(TB[[#This Row],[售价]]&lt;1000,"低价商品",IF(TB[[#This Row],[售价]]&lt;5000,"中价商品",IF(TB[[#This Row],[售价]]&lt;10000,"高价商品","超高价商品")))</f>
        <v>高价商品</v>
      </c>
    </row>
    <row r="1658" spans="1:14" x14ac:dyDescent="0.2">
      <c r="A1658">
        <v>651</v>
      </c>
      <c r="B1658">
        <v>134</v>
      </c>
      <c r="C1658" t="s">
        <v>34</v>
      </c>
      <c r="D1658" t="s">
        <v>389</v>
      </c>
      <c r="E1658" t="s">
        <v>39</v>
      </c>
      <c r="F1658">
        <v>5</v>
      </c>
      <c r="G1658" t="s">
        <v>13</v>
      </c>
      <c r="H1658" s="1">
        <v>45961.605555555558</v>
      </c>
      <c r="I1658" s="5">
        <f>INT(TB[[#This Row],[时间戳]])</f>
        <v>45961</v>
      </c>
      <c r="J1658" s="2">
        <f>HOUR(TB[[#This Row],[时间戳]])</f>
        <v>14</v>
      </c>
      <c r="K1658">
        <v>3358</v>
      </c>
      <c r="L1658">
        <v>2</v>
      </c>
      <c r="M1658">
        <f>TB[[#This Row],[售价]]*TB[[#This Row],[销量]]</f>
        <v>6716</v>
      </c>
      <c r="N1658" t="str">
        <f>IF(TB[[#This Row],[售价]]&lt;1000,"低价商品",IF(TB[[#This Row],[售价]]&lt;5000,"中价商品",IF(TB[[#This Row],[售价]]&lt;10000,"高价商品","超高价商品")))</f>
        <v>中价商品</v>
      </c>
    </row>
    <row r="1659" spans="1:14" x14ac:dyDescent="0.2">
      <c r="A1659">
        <v>252</v>
      </c>
      <c r="B1659">
        <v>165</v>
      </c>
      <c r="C1659" t="s">
        <v>44</v>
      </c>
      <c r="D1659" t="s">
        <v>132</v>
      </c>
      <c r="E1659" t="s">
        <v>22</v>
      </c>
      <c r="F1659">
        <v>1</v>
      </c>
      <c r="G1659" t="s">
        <v>13</v>
      </c>
      <c r="H1659" s="1">
        <v>45961.612500000003</v>
      </c>
      <c r="I1659" s="5">
        <f>INT(TB[[#This Row],[时间戳]])</f>
        <v>45961</v>
      </c>
      <c r="J1659" s="2">
        <f>HOUR(TB[[#This Row],[时间戳]])</f>
        <v>14</v>
      </c>
      <c r="K1659">
        <v>7328</v>
      </c>
      <c r="L1659">
        <v>4</v>
      </c>
      <c r="M1659">
        <f>TB[[#This Row],[售价]]*TB[[#This Row],[销量]]</f>
        <v>29312</v>
      </c>
      <c r="N1659" t="str">
        <f>IF(TB[[#This Row],[售价]]&lt;1000,"低价商品",IF(TB[[#This Row],[售价]]&lt;5000,"中价商品",IF(TB[[#This Row],[售价]]&lt;10000,"高价商品","超高价商品")))</f>
        <v>高价商品</v>
      </c>
    </row>
    <row r="1660" spans="1:14" x14ac:dyDescent="0.2">
      <c r="A1660">
        <v>337</v>
      </c>
      <c r="B1660">
        <v>9</v>
      </c>
      <c r="C1660" t="s">
        <v>44</v>
      </c>
      <c r="D1660" t="s">
        <v>301</v>
      </c>
      <c r="E1660" t="s">
        <v>22</v>
      </c>
      <c r="F1660">
        <v>1</v>
      </c>
      <c r="G1660" t="s">
        <v>13</v>
      </c>
      <c r="H1660" s="1">
        <v>45961.621527777781</v>
      </c>
      <c r="I1660" s="5">
        <f>INT(TB[[#This Row],[时间戳]])</f>
        <v>45961</v>
      </c>
      <c r="J1660" s="2">
        <f>HOUR(TB[[#This Row],[时间戳]])</f>
        <v>14</v>
      </c>
      <c r="K1660">
        <v>3705</v>
      </c>
      <c r="L1660">
        <v>2</v>
      </c>
      <c r="M1660">
        <f>TB[[#This Row],[售价]]*TB[[#This Row],[销量]]</f>
        <v>7410</v>
      </c>
      <c r="N1660" t="str">
        <f>IF(TB[[#This Row],[售价]]&lt;1000,"低价商品",IF(TB[[#This Row],[售价]]&lt;5000,"中价商品",IF(TB[[#This Row],[售价]]&lt;10000,"高价商品","超高价商品")))</f>
        <v>中价商品</v>
      </c>
    </row>
    <row r="1661" spans="1:14" x14ac:dyDescent="0.2">
      <c r="A1661">
        <v>488</v>
      </c>
      <c r="B1661">
        <v>3</v>
      </c>
      <c r="C1661" t="s">
        <v>10</v>
      </c>
      <c r="D1661" t="s">
        <v>189</v>
      </c>
      <c r="E1661" t="s">
        <v>22</v>
      </c>
      <c r="F1661">
        <v>1</v>
      </c>
      <c r="G1661" t="s">
        <v>13</v>
      </c>
      <c r="H1661" s="1">
        <v>45961.632638888892</v>
      </c>
      <c r="I1661" s="5">
        <f>INT(TB[[#This Row],[时间戳]])</f>
        <v>45961</v>
      </c>
      <c r="J1661" s="2">
        <f>HOUR(TB[[#This Row],[时间戳]])</f>
        <v>15</v>
      </c>
      <c r="K1661">
        <v>6535</v>
      </c>
      <c r="L1661">
        <v>1</v>
      </c>
      <c r="M1661">
        <f>TB[[#This Row],[售价]]*TB[[#This Row],[销量]]</f>
        <v>6535</v>
      </c>
      <c r="N1661" t="str">
        <f>IF(TB[[#This Row],[售价]]&lt;1000,"低价商品",IF(TB[[#This Row],[售价]]&lt;5000,"中价商品",IF(TB[[#This Row],[售价]]&lt;10000,"高价商品","超高价商品")))</f>
        <v>高价商品</v>
      </c>
    </row>
    <row r="1662" spans="1:14" x14ac:dyDescent="0.2">
      <c r="A1662">
        <v>570</v>
      </c>
      <c r="B1662">
        <v>251</v>
      </c>
      <c r="C1662" t="s">
        <v>26</v>
      </c>
      <c r="D1662" t="s">
        <v>95</v>
      </c>
      <c r="E1662" t="s">
        <v>22</v>
      </c>
      <c r="F1662">
        <v>1</v>
      </c>
      <c r="G1662" t="s">
        <v>13</v>
      </c>
      <c r="H1662" s="1">
        <v>45961.649305555555</v>
      </c>
      <c r="I1662" s="5">
        <f>INT(TB[[#This Row],[时间戳]])</f>
        <v>45961</v>
      </c>
      <c r="J1662" s="2">
        <f>HOUR(TB[[#This Row],[时间戳]])</f>
        <v>15</v>
      </c>
      <c r="K1662">
        <v>1222</v>
      </c>
      <c r="L1662">
        <v>2</v>
      </c>
      <c r="M1662">
        <f>TB[[#This Row],[售价]]*TB[[#This Row],[销量]]</f>
        <v>2444</v>
      </c>
      <c r="N1662" t="str">
        <f>IF(TB[[#This Row],[售价]]&lt;1000,"低价商品",IF(TB[[#This Row],[售价]]&lt;5000,"中价商品",IF(TB[[#This Row],[售价]]&lt;10000,"高价商品","超高价商品")))</f>
        <v>中价商品</v>
      </c>
    </row>
    <row r="1663" spans="1:14" x14ac:dyDescent="0.2">
      <c r="A1663">
        <v>667</v>
      </c>
      <c r="B1663">
        <v>40</v>
      </c>
      <c r="C1663" t="s">
        <v>14</v>
      </c>
      <c r="D1663" t="s">
        <v>385</v>
      </c>
      <c r="E1663" t="s">
        <v>12</v>
      </c>
      <c r="F1663">
        <v>2</v>
      </c>
      <c r="G1663" t="s">
        <v>13</v>
      </c>
      <c r="H1663" s="1">
        <v>45961.662499999999</v>
      </c>
      <c r="I1663" s="5">
        <f>INT(TB[[#This Row],[时间戳]])</f>
        <v>45961</v>
      </c>
      <c r="J1663" s="2">
        <f>HOUR(TB[[#This Row],[时间戳]])</f>
        <v>15</v>
      </c>
      <c r="K1663">
        <v>10510</v>
      </c>
      <c r="L1663">
        <v>3</v>
      </c>
      <c r="M1663">
        <f>TB[[#This Row],[售价]]*TB[[#This Row],[销量]]</f>
        <v>31530</v>
      </c>
      <c r="N1663" t="str">
        <f>IF(TB[[#This Row],[售价]]&lt;1000,"低价商品",IF(TB[[#This Row],[售价]]&lt;5000,"中价商品",IF(TB[[#This Row],[售价]]&lt;10000,"高价商品","超高价商品")))</f>
        <v>超高价商品</v>
      </c>
    </row>
    <row r="1664" spans="1:14" x14ac:dyDescent="0.2">
      <c r="A1664">
        <v>127</v>
      </c>
      <c r="B1664">
        <v>181</v>
      </c>
      <c r="C1664" t="s">
        <v>44</v>
      </c>
      <c r="D1664" t="s">
        <v>393</v>
      </c>
      <c r="E1664" t="s">
        <v>25</v>
      </c>
      <c r="F1664">
        <v>7</v>
      </c>
      <c r="G1664" t="s">
        <v>13</v>
      </c>
      <c r="H1664" s="1">
        <v>45961.709027777775</v>
      </c>
      <c r="I1664" s="5">
        <f>INT(TB[[#This Row],[时间戳]])</f>
        <v>45961</v>
      </c>
      <c r="J1664" s="2">
        <f>HOUR(TB[[#This Row],[时间戳]])</f>
        <v>17</v>
      </c>
      <c r="K1664">
        <v>5727</v>
      </c>
      <c r="L1664">
        <v>3</v>
      </c>
      <c r="M1664">
        <f>TB[[#This Row],[售价]]*TB[[#This Row],[销量]]</f>
        <v>17181</v>
      </c>
      <c r="N1664" t="str">
        <f>IF(TB[[#This Row],[售价]]&lt;1000,"低价商品",IF(TB[[#This Row],[售价]]&lt;5000,"中价商品",IF(TB[[#This Row],[售价]]&lt;10000,"高价商品","超高价商品")))</f>
        <v>高价商品</v>
      </c>
    </row>
    <row r="1665" spans="1:14" x14ac:dyDescent="0.2">
      <c r="A1665">
        <v>182</v>
      </c>
      <c r="B1665">
        <v>5</v>
      </c>
      <c r="C1665" t="s">
        <v>34</v>
      </c>
      <c r="D1665" t="s">
        <v>62</v>
      </c>
      <c r="E1665" t="s">
        <v>31</v>
      </c>
      <c r="F1665">
        <v>4</v>
      </c>
      <c r="G1665" t="s">
        <v>13</v>
      </c>
      <c r="H1665" s="1">
        <v>45961.72152777778</v>
      </c>
      <c r="I1665" s="5">
        <f>INT(TB[[#This Row],[时间戳]])</f>
        <v>45961</v>
      </c>
      <c r="J1665" s="2">
        <f>HOUR(TB[[#This Row],[时间戳]])</f>
        <v>17</v>
      </c>
      <c r="K1665">
        <v>927</v>
      </c>
      <c r="L1665">
        <v>2</v>
      </c>
      <c r="M1665">
        <f>TB[[#This Row],[售价]]*TB[[#This Row],[销量]]</f>
        <v>1854</v>
      </c>
      <c r="N1665" t="str">
        <f>IF(TB[[#This Row],[售价]]&lt;1000,"低价商品",IF(TB[[#This Row],[售价]]&lt;5000,"中价商品",IF(TB[[#This Row],[售价]]&lt;10000,"高价商品","超高价商品")))</f>
        <v>低价商品</v>
      </c>
    </row>
    <row r="1666" spans="1:14" x14ac:dyDescent="0.2">
      <c r="A1666">
        <v>456</v>
      </c>
      <c r="B1666">
        <v>5</v>
      </c>
      <c r="C1666" t="s">
        <v>34</v>
      </c>
      <c r="D1666" t="s">
        <v>82</v>
      </c>
      <c r="E1666" t="s">
        <v>31</v>
      </c>
      <c r="F1666">
        <v>4</v>
      </c>
      <c r="G1666" t="s">
        <v>42</v>
      </c>
      <c r="H1666" s="1">
        <v>45961.811111111114</v>
      </c>
      <c r="I1666" s="5">
        <f>INT(TB[[#This Row],[时间戳]])</f>
        <v>45961</v>
      </c>
      <c r="J1666" s="2">
        <f>HOUR(TB[[#This Row],[时间戳]])</f>
        <v>19</v>
      </c>
      <c r="K1666">
        <v>341</v>
      </c>
      <c r="L1666">
        <v>0</v>
      </c>
      <c r="M1666">
        <f>TB[[#This Row],[售价]]*TB[[#This Row],[销量]]</f>
        <v>0</v>
      </c>
      <c r="N1666" t="str">
        <f>IF(TB[[#This Row],[售价]]&lt;1000,"低价商品",IF(TB[[#This Row],[售价]]&lt;5000,"中价商品",IF(TB[[#This Row],[售价]]&lt;10000,"高价商品","超高价商品")))</f>
        <v>低价商品</v>
      </c>
    </row>
    <row r="1667" spans="1:14" x14ac:dyDescent="0.2">
      <c r="A1667">
        <v>697</v>
      </c>
      <c r="B1667">
        <v>184</v>
      </c>
      <c r="C1667" t="s">
        <v>10</v>
      </c>
      <c r="D1667" t="s">
        <v>244</v>
      </c>
      <c r="E1667" t="s">
        <v>19</v>
      </c>
      <c r="F1667">
        <v>3</v>
      </c>
      <c r="G1667" t="s">
        <v>13</v>
      </c>
      <c r="H1667" s="1">
        <v>45961.845833333333</v>
      </c>
      <c r="I1667" s="5">
        <f>INT(TB[[#This Row],[时间戳]])</f>
        <v>45961</v>
      </c>
      <c r="J1667" s="2">
        <f>HOUR(TB[[#This Row],[时间戳]])</f>
        <v>20</v>
      </c>
      <c r="K1667">
        <v>3494</v>
      </c>
      <c r="L1667">
        <v>2</v>
      </c>
      <c r="M1667">
        <f>TB[[#This Row],[售价]]*TB[[#This Row],[销量]]</f>
        <v>6988</v>
      </c>
      <c r="N1667" t="str">
        <f>IF(TB[[#This Row],[售价]]&lt;1000,"低价商品",IF(TB[[#This Row],[售价]]&lt;5000,"中价商品",IF(TB[[#This Row],[售价]]&lt;10000,"高价商品","超高价商品")))</f>
        <v>中价商品</v>
      </c>
    </row>
    <row r="1668" spans="1:14" x14ac:dyDescent="0.2">
      <c r="A1668">
        <v>311</v>
      </c>
      <c r="B1668">
        <v>114</v>
      </c>
      <c r="C1668" t="s">
        <v>46</v>
      </c>
      <c r="D1668" t="s">
        <v>121</v>
      </c>
      <c r="E1668" t="s">
        <v>25</v>
      </c>
      <c r="F1668">
        <v>7</v>
      </c>
      <c r="G1668" t="s">
        <v>42</v>
      </c>
      <c r="H1668" s="1">
        <v>45961.85</v>
      </c>
      <c r="I1668" s="5">
        <f>INT(TB[[#This Row],[时间戳]])</f>
        <v>45961</v>
      </c>
      <c r="J1668" s="2">
        <f>HOUR(TB[[#This Row],[时间戳]])</f>
        <v>20</v>
      </c>
      <c r="K1668">
        <v>2914</v>
      </c>
      <c r="L1668">
        <v>0</v>
      </c>
      <c r="M1668">
        <f>TB[[#This Row],[售价]]*TB[[#This Row],[销量]]</f>
        <v>0</v>
      </c>
      <c r="N1668" t="str">
        <f>IF(TB[[#This Row],[售价]]&lt;1000,"低价商品",IF(TB[[#This Row],[售价]]&lt;5000,"中价商品",IF(TB[[#This Row],[售价]]&lt;10000,"高价商品","超高价商品")))</f>
        <v>中价商品</v>
      </c>
    </row>
    <row r="1669" spans="1:14" x14ac:dyDescent="0.2">
      <c r="A1669">
        <v>288</v>
      </c>
      <c r="B1669">
        <v>253</v>
      </c>
      <c r="C1669" t="s">
        <v>34</v>
      </c>
      <c r="D1669" t="s">
        <v>139</v>
      </c>
      <c r="E1669" t="s">
        <v>39</v>
      </c>
      <c r="F1669">
        <v>5</v>
      </c>
      <c r="G1669" t="s">
        <v>13</v>
      </c>
      <c r="H1669" s="1">
        <v>45961.899305555555</v>
      </c>
      <c r="I1669" s="5">
        <f>INT(TB[[#This Row],[时间戳]])</f>
        <v>45961</v>
      </c>
      <c r="J1669" s="2">
        <f>HOUR(TB[[#This Row],[时间戳]])</f>
        <v>21</v>
      </c>
      <c r="K1669">
        <v>1811</v>
      </c>
      <c r="L1669">
        <v>2</v>
      </c>
      <c r="M1669">
        <f>TB[[#This Row],[售价]]*TB[[#This Row],[销量]]</f>
        <v>3622</v>
      </c>
      <c r="N1669" t="str">
        <f>IF(TB[[#This Row],[售价]]&lt;1000,"低价商品",IF(TB[[#This Row],[售价]]&lt;5000,"中价商品",IF(TB[[#This Row],[售价]]&lt;10000,"高价商品","超高价商品")))</f>
        <v>中价商品</v>
      </c>
    </row>
    <row r="1670" spans="1:14" x14ac:dyDescent="0.2">
      <c r="A1670">
        <v>114</v>
      </c>
      <c r="B1670">
        <v>143</v>
      </c>
      <c r="C1670" t="s">
        <v>32</v>
      </c>
      <c r="D1670" t="s">
        <v>326</v>
      </c>
      <c r="E1670" t="s">
        <v>19</v>
      </c>
      <c r="F1670">
        <v>3</v>
      </c>
      <c r="G1670" t="s">
        <v>13</v>
      </c>
      <c r="H1670" s="1">
        <v>45961.901388888888</v>
      </c>
      <c r="I1670" s="5">
        <f>INT(TB[[#This Row],[时间戳]])</f>
        <v>45961</v>
      </c>
      <c r="J1670" s="2">
        <f>HOUR(TB[[#This Row],[时间戳]])</f>
        <v>21</v>
      </c>
      <c r="K1670">
        <v>3015</v>
      </c>
      <c r="L1670">
        <v>4</v>
      </c>
      <c r="M1670">
        <f>TB[[#This Row],[售价]]*TB[[#This Row],[销量]]</f>
        <v>12060</v>
      </c>
      <c r="N1670" t="str">
        <f>IF(TB[[#This Row],[售价]]&lt;1000,"低价商品",IF(TB[[#This Row],[售价]]&lt;5000,"中价商品",IF(TB[[#This Row],[售价]]&lt;10000,"高价商品","超高价商品")))</f>
        <v>中价商品</v>
      </c>
    </row>
    <row r="1671" spans="1:14" x14ac:dyDescent="0.2">
      <c r="A1671">
        <v>566</v>
      </c>
      <c r="B1671">
        <v>100</v>
      </c>
      <c r="C1671" t="s">
        <v>44</v>
      </c>
      <c r="D1671" t="s">
        <v>338</v>
      </c>
      <c r="E1671" t="s">
        <v>16</v>
      </c>
      <c r="F1671">
        <v>6</v>
      </c>
      <c r="G1671" t="s">
        <v>13</v>
      </c>
      <c r="H1671" s="1">
        <v>45961.932638888888</v>
      </c>
      <c r="I1671" s="5">
        <f>INT(TB[[#This Row],[时间戳]])</f>
        <v>45961</v>
      </c>
      <c r="J1671" s="2">
        <f>HOUR(TB[[#This Row],[时间戳]])</f>
        <v>22</v>
      </c>
      <c r="K1671">
        <v>11380</v>
      </c>
      <c r="L1671">
        <v>2</v>
      </c>
      <c r="M1671">
        <f>TB[[#This Row],[售价]]*TB[[#This Row],[销量]]</f>
        <v>22760</v>
      </c>
      <c r="N1671" t="str">
        <f>IF(TB[[#This Row],[售价]]&lt;1000,"低价商品",IF(TB[[#This Row],[售价]]&lt;5000,"中价商品",IF(TB[[#This Row],[售价]]&lt;10000,"高价商品","超高价商品")))</f>
        <v>超高价商品</v>
      </c>
    </row>
    <row r="1672" spans="1:14" x14ac:dyDescent="0.2">
      <c r="A1672">
        <v>699</v>
      </c>
      <c r="B1672">
        <v>290</v>
      </c>
      <c r="C1672" t="s">
        <v>46</v>
      </c>
      <c r="D1672" t="s">
        <v>266</v>
      </c>
      <c r="E1672" t="s">
        <v>12</v>
      </c>
      <c r="F1672">
        <v>2</v>
      </c>
      <c r="G1672" t="s">
        <v>42</v>
      </c>
      <c r="H1672" s="1">
        <v>45961.941666666666</v>
      </c>
      <c r="I1672" s="5">
        <f>INT(TB[[#This Row],[时间戳]])</f>
        <v>45961</v>
      </c>
      <c r="J1672" s="2">
        <f>HOUR(TB[[#This Row],[时间戳]])</f>
        <v>22</v>
      </c>
      <c r="K1672">
        <v>14988</v>
      </c>
      <c r="L1672">
        <v>0</v>
      </c>
      <c r="M1672">
        <f>TB[[#This Row],[售价]]*TB[[#This Row],[销量]]</f>
        <v>0</v>
      </c>
      <c r="N1672" t="str">
        <f>IF(TB[[#This Row],[售价]]&lt;1000,"低价商品",IF(TB[[#This Row],[售价]]&lt;5000,"中价商品",IF(TB[[#This Row],[售价]]&lt;10000,"高价商品","超高价商品")))</f>
        <v>超高价商品</v>
      </c>
    </row>
    <row r="1673" spans="1:14" x14ac:dyDescent="0.2">
      <c r="A1673">
        <v>764</v>
      </c>
      <c r="B1673">
        <v>34</v>
      </c>
      <c r="C1673" t="s">
        <v>46</v>
      </c>
      <c r="D1673" t="s">
        <v>135</v>
      </c>
      <c r="E1673" t="s">
        <v>22</v>
      </c>
      <c r="F1673">
        <v>1</v>
      </c>
      <c r="G1673" t="s">
        <v>13</v>
      </c>
      <c r="H1673" s="1">
        <v>45961.980555555558</v>
      </c>
      <c r="I1673" s="5">
        <f>INT(TB[[#This Row],[时间戳]])</f>
        <v>45961</v>
      </c>
      <c r="J1673" s="2">
        <f>HOUR(TB[[#This Row],[时间戳]])</f>
        <v>23</v>
      </c>
      <c r="K1673">
        <v>2270</v>
      </c>
      <c r="L1673">
        <v>2</v>
      </c>
      <c r="M1673">
        <f>TB[[#This Row],[售价]]*TB[[#This Row],[销量]]</f>
        <v>4540</v>
      </c>
      <c r="N1673" t="str">
        <f>IF(TB[[#This Row],[售价]]&lt;1000,"低价商品",IF(TB[[#This Row],[售价]]&lt;5000,"中价商品",IF(TB[[#This Row],[售价]]&lt;10000,"高价商品","超高价商品")))</f>
        <v>中价商品</v>
      </c>
    </row>
    <row r="1674" spans="1:14" x14ac:dyDescent="0.2">
      <c r="A1674">
        <v>536</v>
      </c>
      <c r="B1674">
        <v>141</v>
      </c>
      <c r="C1674" t="s">
        <v>46</v>
      </c>
      <c r="D1674" t="s">
        <v>231</v>
      </c>
      <c r="E1674" t="s">
        <v>16</v>
      </c>
      <c r="F1674">
        <v>6</v>
      </c>
      <c r="G1674" t="s">
        <v>13</v>
      </c>
      <c r="H1674" s="1">
        <v>45962.017361111109</v>
      </c>
      <c r="I1674" s="5">
        <f>INT(TB[[#This Row],[时间戳]])</f>
        <v>45962</v>
      </c>
      <c r="J1674" s="2">
        <f>HOUR(TB[[#This Row],[时间戳]])</f>
        <v>0</v>
      </c>
      <c r="K1674">
        <v>4019</v>
      </c>
      <c r="L1674">
        <v>1</v>
      </c>
      <c r="M1674">
        <f>TB[[#This Row],[售价]]*TB[[#This Row],[销量]]</f>
        <v>4019</v>
      </c>
      <c r="N1674" t="str">
        <f>IF(TB[[#This Row],[售价]]&lt;1000,"低价商品",IF(TB[[#This Row],[售价]]&lt;5000,"中价商品",IF(TB[[#This Row],[售价]]&lt;10000,"高价商品","超高价商品")))</f>
        <v>中价商品</v>
      </c>
    </row>
    <row r="1675" spans="1:14" x14ac:dyDescent="0.2">
      <c r="A1675">
        <v>630</v>
      </c>
      <c r="B1675">
        <v>130</v>
      </c>
      <c r="C1675" t="s">
        <v>10</v>
      </c>
      <c r="D1675" t="s">
        <v>294</v>
      </c>
      <c r="E1675" t="s">
        <v>31</v>
      </c>
      <c r="F1675">
        <v>4</v>
      </c>
      <c r="G1675" t="s">
        <v>13</v>
      </c>
      <c r="H1675" s="1">
        <v>45962.04791666667</v>
      </c>
      <c r="I1675" s="5">
        <f>INT(TB[[#This Row],[时间戳]])</f>
        <v>45962</v>
      </c>
      <c r="J1675" s="2">
        <f>HOUR(TB[[#This Row],[时间戳]])</f>
        <v>1</v>
      </c>
      <c r="K1675">
        <v>589</v>
      </c>
      <c r="L1675">
        <v>2</v>
      </c>
      <c r="M1675">
        <f>TB[[#This Row],[售价]]*TB[[#This Row],[销量]]</f>
        <v>1178</v>
      </c>
      <c r="N1675" t="str">
        <f>IF(TB[[#This Row],[售价]]&lt;1000,"低价商品",IF(TB[[#This Row],[售价]]&lt;5000,"中价商品",IF(TB[[#This Row],[售价]]&lt;10000,"高价商品","超高价商品")))</f>
        <v>低价商品</v>
      </c>
    </row>
    <row r="1676" spans="1:14" x14ac:dyDescent="0.2">
      <c r="A1676">
        <v>438</v>
      </c>
      <c r="B1676">
        <v>27</v>
      </c>
      <c r="C1676" t="s">
        <v>44</v>
      </c>
      <c r="D1676" t="s">
        <v>59</v>
      </c>
      <c r="E1676" t="s">
        <v>22</v>
      </c>
      <c r="F1676">
        <v>1</v>
      </c>
      <c r="G1676" t="s">
        <v>13</v>
      </c>
      <c r="H1676" s="1">
        <v>45962.076388888891</v>
      </c>
      <c r="I1676" s="5">
        <f>INT(TB[[#This Row],[时间戳]])</f>
        <v>45962</v>
      </c>
      <c r="J1676" s="2">
        <f>HOUR(TB[[#This Row],[时间戳]])</f>
        <v>1</v>
      </c>
      <c r="K1676">
        <v>6662</v>
      </c>
      <c r="L1676">
        <v>1</v>
      </c>
      <c r="M1676">
        <f>TB[[#This Row],[售价]]*TB[[#This Row],[销量]]</f>
        <v>6662</v>
      </c>
      <c r="N1676" t="str">
        <f>IF(TB[[#This Row],[售价]]&lt;1000,"低价商品",IF(TB[[#This Row],[售价]]&lt;5000,"中价商品",IF(TB[[#This Row],[售价]]&lt;10000,"高价商品","超高价商品")))</f>
        <v>高价商品</v>
      </c>
    </row>
    <row r="1677" spans="1:14" x14ac:dyDescent="0.2">
      <c r="A1677">
        <v>125</v>
      </c>
      <c r="B1677">
        <v>266</v>
      </c>
      <c r="C1677" t="s">
        <v>17</v>
      </c>
      <c r="D1677" t="s">
        <v>309</v>
      </c>
      <c r="E1677" t="s">
        <v>16</v>
      </c>
      <c r="F1677">
        <v>6</v>
      </c>
      <c r="G1677" t="s">
        <v>13</v>
      </c>
      <c r="H1677" s="1">
        <v>45962.083333333336</v>
      </c>
      <c r="I1677" s="5">
        <f>INT(TB[[#This Row],[时间戳]])</f>
        <v>45962</v>
      </c>
      <c r="J1677" s="2">
        <f>HOUR(TB[[#This Row],[时间戳]])</f>
        <v>2</v>
      </c>
      <c r="K1677">
        <v>7313</v>
      </c>
      <c r="L1677">
        <v>1</v>
      </c>
      <c r="M1677">
        <f>TB[[#This Row],[售价]]*TB[[#This Row],[销量]]</f>
        <v>7313</v>
      </c>
      <c r="N1677" t="str">
        <f>IF(TB[[#This Row],[售价]]&lt;1000,"低价商品",IF(TB[[#This Row],[售价]]&lt;5000,"中价商品",IF(TB[[#This Row],[售价]]&lt;10000,"高价商品","超高价商品")))</f>
        <v>高价商品</v>
      </c>
    </row>
    <row r="1678" spans="1:14" x14ac:dyDescent="0.2">
      <c r="A1678">
        <v>778</v>
      </c>
      <c r="B1678">
        <v>23</v>
      </c>
      <c r="C1678" t="s">
        <v>34</v>
      </c>
      <c r="D1678" t="s">
        <v>331</v>
      </c>
      <c r="E1678" t="s">
        <v>25</v>
      </c>
      <c r="F1678">
        <v>7</v>
      </c>
      <c r="G1678" t="s">
        <v>13</v>
      </c>
      <c r="H1678" s="1">
        <v>45962.084722222222</v>
      </c>
      <c r="I1678" s="5">
        <f>INT(TB[[#This Row],[时间戳]])</f>
        <v>45962</v>
      </c>
      <c r="J1678" s="2">
        <f>HOUR(TB[[#This Row],[时间戳]])</f>
        <v>2</v>
      </c>
      <c r="K1678">
        <v>5375</v>
      </c>
      <c r="L1678">
        <v>2</v>
      </c>
      <c r="M1678">
        <f>TB[[#This Row],[售价]]*TB[[#This Row],[销量]]</f>
        <v>10750</v>
      </c>
      <c r="N1678" t="str">
        <f>IF(TB[[#This Row],[售价]]&lt;1000,"低价商品",IF(TB[[#This Row],[售价]]&lt;5000,"中价商品",IF(TB[[#This Row],[售价]]&lt;10000,"高价商品","超高价商品")))</f>
        <v>高价商品</v>
      </c>
    </row>
    <row r="1679" spans="1:14" x14ac:dyDescent="0.2">
      <c r="A1679">
        <v>546</v>
      </c>
      <c r="B1679">
        <v>230</v>
      </c>
      <c r="C1679" t="s">
        <v>36</v>
      </c>
      <c r="D1679" t="s">
        <v>265</v>
      </c>
      <c r="E1679" t="s">
        <v>31</v>
      </c>
      <c r="F1679">
        <v>4</v>
      </c>
      <c r="G1679" t="s">
        <v>13</v>
      </c>
      <c r="H1679" s="1">
        <v>45962.094444444447</v>
      </c>
      <c r="I1679" s="5">
        <f>INT(TB[[#This Row],[时间戳]])</f>
        <v>45962</v>
      </c>
      <c r="J1679" s="2">
        <f>HOUR(TB[[#This Row],[时间戳]])</f>
        <v>2</v>
      </c>
      <c r="K1679">
        <v>333</v>
      </c>
      <c r="L1679">
        <v>2</v>
      </c>
      <c r="M1679">
        <f>TB[[#This Row],[售价]]*TB[[#This Row],[销量]]</f>
        <v>666</v>
      </c>
      <c r="N1679" t="str">
        <f>IF(TB[[#This Row],[售价]]&lt;1000,"低价商品",IF(TB[[#This Row],[售价]]&lt;5000,"中价商品",IF(TB[[#This Row],[售价]]&lt;10000,"高价商品","超高价商品")))</f>
        <v>低价商品</v>
      </c>
    </row>
    <row r="1680" spans="1:14" x14ac:dyDescent="0.2">
      <c r="A1680">
        <v>343</v>
      </c>
      <c r="B1680">
        <v>42</v>
      </c>
      <c r="C1680" t="s">
        <v>17</v>
      </c>
      <c r="D1680" t="s">
        <v>61</v>
      </c>
      <c r="E1680" t="s">
        <v>31</v>
      </c>
      <c r="F1680">
        <v>4</v>
      </c>
      <c r="G1680" t="s">
        <v>13</v>
      </c>
      <c r="H1680" s="1">
        <v>45962.097916666666</v>
      </c>
      <c r="I1680" s="5">
        <f>INT(TB[[#This Row],[时间戳]])</f>
        <v>45962</v>
      </c>
      <c r="J1680" s="2">
        <f>HOUR(TB[[#This Row],[时间戳]])</f>
        <v>2</v>
      </c>
      <c r="K1680">
        <v>499</v>
      </c>
      <c r="L1680">
        <v>3</v>
      </c>
      <c r="M1680">
        <f>TB[[#This Row],[售价]]*TB[[#This Row],[销量]]</f>
        <v>1497</v>
      </c>
      <c r="N1680" t="str">
        <f>IF(TB[[#This Row],[售价]]&lt;1000,"低价商品",IF(TB[[#This Row],[售价]]&lt;5000,"中价商品",IF(TB[[#This Row],[售价]]&lt;10000,"高价商品","超高价商品")))</f>
        <v>低价商品</v>
      </c>
    </row>
    <row r="1681" spans="1:14" x14ac:dyDescent="0.2">
      <c r="A1681">
        <v>77</v>
      </c>
      <c r="B1681">
        <v>128</v>
      </c>
      <c r="C1681" t="s">
        <v>32</v>
      </c>
      <c r="D1681" t="s">
        <v>326</v>
      </c>
      <c r="E1681" t="s">
        <v>19</v>
      </c>
      <c r="F1681">
        <v>3</v>
      </c>
      <c r="G1681" t="s">
        <v>13</v>
      </c>
      <c r="H1681" s="1">
        <v>45962.119444444441</v>
      </c>
      <c r="I1681" s="5">
        <f>INT(TB[[#This Row],[时间戳]])</f>
        <v>45962</v>
      </c>
      <c r="J1681" s="2">
        <f>HOUR(TB[[#This Row],[时间戳]])</f>
        <v>2</v>
      </c>
      <c r="K1681">
        <v>1884</v>
      </c>
      <c r="L1681">
        <v>3</v>
      </c>
      <c r="M1681">
        <f>TB[[#This Row],[售价]]*TB[[#This Row],[销量]]</f>
        <v>5652</v>
      </c>
      <c r="N1681" t="str">
        <f>IF(TB[[#This Row],[售价]]&lt;1000,"低价商品",IF(TB[[#This Row],[售价]]&lt;5000,"中价商品",IF(TB[[#This Row],[售价]]&lt;10000,"高价商品","超高价商品")))</f>
        <v>中价商品</v>
      </c>
    </row>
    <row r="1682" spans="1:14" x14ac:dyDescent="0.2">
      <c r="A1682">
        <v>65</v>
      </c>
      <c r="B1682">
        <v>50</v>
      </c>
      <c r="C1682" t="s">
        <v>34</v>
      </c>
      <c r="D1682" t="s">
        <v>290</v>
      </c>
      <c r="E1682" t="s">
        <v>25</v>
      </c>
      <c r="F1682">
        <v>7</v>
      </c>
      <c r="G1682" t="s">
        <v>13</v>
      </c>
      <c r="H1682" s="1">
        <v>45962.127083333333</v>
      </c>
      <c r="I1682" s="5">
        <f>INT(TB[[#This Row],[时间戳]])</f>
        <v>45962</v>
      </c>
      <c r="J1682" s="2">
        <f>HOUR(TB[[#This Row],[时间戳]])</f>
        <v>3</v>
      </c>
      <c r="K1682">
        <v>2996</v>
      </c>
      <c r="L1682">
        <v>3</v>
      </c>
      <c r="M1682">
        <f>TB[[#This Row],[售价]]*TB[[#This Row],[销量]]</f>
        <v>8988</v>
      </c>
      <c r="N1682" t="str">
        <f>IF(TB[[#This Row],[售价]]&lt;1000,"低价商品",IF(TB[[#This Row],[售价]]&lt;5000,"中价商品",IF(TB[[#This Row],[售价]]&lt;10000,"高价商品","超高价商品")))</f>
        <v>中价商品</v>
      </c>
    </row>
    <row r="1683" spans="1:14" x14ac:dyDescent="0.2">
      <c r="A1683">
        <v>607</v>
      </c>
      <c r="B1683">
        <v>172</v>
      </c>
      <c r="C1683" t="s">
        <v>17</v>
      </c>
      <c r="D1683" t="s">
        <v>370</v>
      </c>
      <c r="E1683" t="s">
        <v>31</v>
      </c>
      <c r="F1683">
        <v>4</v>
      </c>
      <c r="G1683" t="s">
        <v>13</v>
      </c>
      <c r="H1683" s="1">
        <v>45962.195833333331</v>
      </c>
      <c r="I1683" s="5">
        <f>INT(TB[[#This Row],[时间戳]])</f>
        <v>45962</v>
      </c>
      <c r="J1683" s="2">
        <f>HOUR(TB[[#This Row],[时间戳]])</f>
        <v>4</v>
      </c>
      <c r="K1683">
        <v>152</v>
      </c>
      <c r="L1683">
        <v>2</v>
      </c>
      <c r="M1683">
        <f>TB[[#This Row],[售价]]*TB[[#This Row],[销量]]</f>
        <v>304</v>
      </c>
      <c r="N1683" t="str">
        <f>IF(TB[[#This Row],[售价]]&lt;1000,"低价商品",IF(TB[[#This Row],[售价]]&lt;5000,"中价商品",IF(TB[[#This Row],[售价]]&lt;10000,"高价商品","超高价商品")))</f>
        <v>低价商品</v>
      </c>
    </row>
    <row r="1684" spans="1:14" x14ac:dyDescent="0.2">
      <c r="A1684">
        <v>245</v>
      </c>
      <c r="B1684">
        <v>175</v>
      </c>
      <c r="C1684" t="s">
        <v>14</v>
      </c>
      <c r="D1684" t="s">
        <v>207</v>
      </c>
      <c r="E1684" t="s">
        <v>25</v>
      </c>
      <c r="F1684">
        <v>7</v>
      </c>
      <c r="G1684" t="s">
        <v>13</v>
      </c>
      <c r="H1684" s="1">
        <v>45962.214583333334</v>
      </c>
      <c r="I1684" s="5">
        <f>INT(TB[[#This Row],[时间戳]])</f>
        <v>45962</v>
      </c>
      <c r="J1684" s="2">
        <f>HOUR(TB[[#This Row],[时间戳]])</f>
        <v>5</v>
      </c>
      <c r="K1684">
        <v>3477</v>
      </c>
      <c r="L1684">
        <v>3</v>
      </c>
      <c r="M1684">
        <f>TB[[#This Row],[售价]]*TB[[#This Row],[销量]]</f>
        <v>10431</v>
      </c>
      <c r="N1684" t="str">
        <f>IF(TB[[#This Row],[售价]]&lt;1000,"低价商品",IF(TB[[#This Row],[售价]]&lt;5000,"中价商品",IF(TB[[#This Row],[售价]]&lt;10000,"高价商品","超高价商品")))</f>
        <v>中价商品</v>
      </c>
    </row>
    <row r="1685" spans="1:14" x14ac:dyDescent="0.2">
      <c r="A1685">
        <v>75</v>
      </c>
      <c r="B1685">
        <v>225</v>
      </c>
      <c r="C1685" t="s">
        <v>20</v>
      </c>
      <c r="D1685" t="s">
        <v>64</v>
      </c>
      <c r="E1685" t="s">
        <v>31</v>
      </c>
      <c r="F1685">
        <v>4</v>
      </c>
      <c r="G1685" t="s">
        <v>13</v>
      </c>
      <c r="H1685" s="1">
        <v>45962.246527777781</v>
      </c>
      <c r="I1685" s="5">
        <f>INT(TB[[#This Row],[时间戳]])</f>
        <v>45962</v>
      </c>
      <c r="J1685" s="2">
        <f>HOUR(TB[[#This Row],[时间戳]])</f>
        <v>5</v>
      </c>
      <c r="K1685">
        <v>131</v>
      </c>
      <c r="L1685">
        <v>2</v>
      </c>
      <c r="M1685">
        <f>TB[[#This Row],[售价]]*TB[[#This Row],[销量]]</f>
        <v>262</v>
      </c>
      <c r="N1685" t="str">
        <f>IF(TB[[#This Row],[售价]]&lt;1000,"低价商品",IF(TB[[#This Row],[售价]]&lt;5000,"中价商品",IF(TB[[#This Row],[售价]]&lt;10000,"高价商品","超高价商品")))</f>
        <v>低价商品</v>
      </c>
    </row>
    <row r="1686" spans="1:14" x14ac:dyDescent="0.2">
      <c r="A1686">
        <v>128</v>
      </c>
      <c r="B1686">
        <v>44</v>
      </c>
      <c r="C1686" t="s">
        <v>44</v>
      </c>
      <c r="D1686" t="s">
        <v>60</v>
      </c>
      <c r="E1686" t="s">
        <v>12</v>
      </c>
      <c r="F1686">
        <v>2</v>
      </c>
      <c r="G1686" t="s">
        <v>13</v>
      </c>
      <c r="H1686" s="1">
        <v>45962.249305555553</v>
      </c>
      <c r="I1686" s="5">
        <f>INT(TB[[#This Row],[时间戳]])</f>
        <v>45962</v>
      </c>
      <c r="J1686" s="2">
        <f>HOUR(TB[[#This Row],[时间戳]])</f>
        <v>5</v>
      </c>
      <c r="K1686">
        <v>5687</v>
      </c>
      <c r="L1686">
        <v>1</v>
      </c>
      <c r="M1686">
        <f>TB[[#This Row],[售价]]*TB[[#This Row],[销量]]</f>
        <v>5687</v>
      </c>
      <c r="N1686" t="str">
        <f>IF(TB[[#This Row],[售价]]&lt;1000,"低价商品",IF(TB[[#This Row],[售价]]&lt;5000,"中价商品",IF(TB[[#This Row],[售价]]&lt;10000,"高价商品","超高价商品")))</f>
        <v>高价商品</v>
      </c>
    </row>
    <row r="1687" spans="1:14" x14ac:dyDescent="0.2">
      <c r="A1687">
        <v>711</v>
      </c>
      <c r="B1687">
        <v>34</v>
      </c>
      <c r="C1687" t="s">
        <v>17</v>
      </c>
      <c r="D1687" t="s">
        <v>133</v>
      </c>
      <c r="E1687" t="s">
        <v>31</v>
      </c>
      <c r="F1687">
        <v>4</v>
      </c>
      <c r="G1687" t="s">
        <v>42</v>
      </c>
      <c r="H1687" s="1">
        <v>45962.285416666666</v>
      </c>
      <c r="I1687" s="5">
        <f>INT(TB[[#This Row],[时间戳]])</f>
        <v>45962</v>
      </c>
      <c r="J1687" s="2">
        <f>HOUR(TB[[#This Row],[时间戳]])</f>
        <v>6</v>
      </c>
      <c r="K1687">
        <v>50</v>
      </c>
      <c r="L1687">
        <v>0</v>
      </c>
      <c r="M1687">
        <f>TB[[#This Row],[售价]]*TB[[#This Row],[销量]]</f>
        <v>0</v>
      </c>
      <c r="N1687" t="str">
        <f>IF(TB[[#This Row],[售价]]&lt;1000,"低价商品",IF(TB[[#This Row],[售价]]&lt;5000,"中价商品",IF(TB[[#This Row],[售价]]&lt;10000,"高价商品","超高价商品")))</f>
        <v>低价商品</v>
      </c>
    </row>
    <row r="1688" spans="1:14" x14ac:dyDescent="0.2">
      <c r="A1688">
        <v>309</v>
      </c>
      <c r="B1688">
        <v>222</v>
      </c>
      <c r="C1688" t="s">
        <v>44</v>
      </c>
      <c r="D1688" t="s">
        <v>222</v>
      </c>
      <c r="E1688" t="s">
        <v>12</v>
      </c>
      <c r="F1688">
        <v>2</v>
      </c>
      <c r="G1688" t="s">
        <v>13</v>
      </c>
      <c r="H1688" s="1">
        <v>45962.332638888889</v>
      </c>
      <c r="I1688" s="5">
        <f>INT(TB[[#This Row],[时间戳]])</f>
        <v>45962</v>
      </c>
      <c r="J1688" s="2">
        <f>HOUR(TB[[#This Row],[时间戳]])</f>
        <v>7</v>
      </c>
      <c r="K1688">
        <v>5920</v>
      </c>
      <c r="L1688">
        <v>2</v>
      </c>
      <c r="M1688">
        <f>TB[[#This Row],[售价]]*TB[[#This Row],[销量]]</f>
        <v>11840</v>
      </c>
      <c r="N1688" t="str">
        <f>IF(TB[[#This Row],[售价]]&lt;1000,"低价商品",IF(TB[[#This Row],[售价]]&lt;5000,"中价商品",IF(TB[[#This Row],[售价]]&lt;10000,"高价商品","超高价商品")))</f>
        <v>高价商品</v>
      </c>
    </row>
    <row r="1689" spans="1:14" x14ac:dyDescent="0.2">
      <c r="A1689">
        <v>54</v>
      </c>
      <c r="B1689">
        <v>151</v>
      </c>
      <c r="C1689" t="s">
        <v>10</v>
      </c>
      <c r="D1689" t="s">
        <v>189</v>
      </c>
      <c r="E1689" t="s">
        <v>22</v>
      </c>
      <c r="F1689">
        <v>1</v>
      </c>
      <c r="G1689" t="s">
        <v>13</v>
      </c>
      <c r="H1689" s="1">
        <v>45962.345138888886</v>
      </c>
      <c r="I1689" s="5">
        <f>INT(TB[[#This Row],[时间戳]])</f>
        <v>45962</v>
      </c>
      <c r="J1689" s="2">
        <f>HOUR(TB[[#This Row],[时间戳]])</f>
        <v>8</v>
      </c>
      <c r="K1689">
        <v>1390</v>
      </c>
      <c r="L1689">
        <v>3</v>
      </c>
      <c r="M1689">
        <f>TB[[#This Row],[售价]]*TB[[#This Row],[销量]]</f>
        <v>4170</v>
      </c>
      <c r="N1689" t="str">
        <f>IF(TB[[#This Row],[售价]]&lt;1000,"低价商品",IF(TB[[#This Row],[售价]]&lt;5000,"中价商品",IF(TB[[#This Row],[售价]]&lt;10000,"高价商品","超高价商品")))</f>
        <v>中价商品</v>
      </c>
    </row>
    <row r="1690" spans="1:14" x14ac:dyDescent="0.2">
      <c r="A1690">
        <v>633</v>
      </c>
      <c r="B1690">
        <v>211</v>
      </c>
      <c r="C1690" t="s">
        <v>17</v>
      </c>
      <c r="D1690" t="s">
        <v>74</v>
      </c>
      <c r="E1690" t="s">
        <v>22</v>
      </c>
      <c r="F1690">
        <v>1</v>
      </c>
      <c r="G1690" t="s">
        <v>13</v>
      </c>
      <c r="H1690" s="1">
        <v>45962.361805555556</v>
      </c>
      <c r="I1690" s="5">
        <f>INT(TB[[#This Row],[时间戳]])</f>
        <v>45962</v>
      </c>
      <c r="J1690" s="2">
        <f>HOUR(TB[[#This Row],[时间戳]])</f>
        <v>8</v>
      </c>
      <c r="K1690">
        <v>7957</v>
      </c>
      <c r="L1690">
        <v>3</v>
      </c>
      <c r="M1690">
        <f>TB[[#This Row],[售价]]*TB[[#This Row],[销量]]</f>
        <v>23871</v>
      </c>
      <c r="N1690" t="str">
        <f>IF(TB[[#This Row],[售价]]&lt;1000,"低价商品",IF(TB[[#This Row],[售价]]&lt;5000,"中价商品",IF(TB[[#This Row],[售价]]&lt;10000,"高价商品","超高价商品")))</f>
        <v>高价商品</v>
      </c>
    </row>
    <row r="1691" spans="1:14" x14ac:dyDescent="0.2">
      <c r="A1691">
        <v>465</v>
      </c>
      <c r="B1691">
        <v>197</v>
      </c>
      <c r="C1691" t="s">
        <v>46</v>
      </c>
      <c r="D1691" t="s">
        <v>159</v>
      </c>
      <c r="E1691" t="s">
        <v>16</v>
      </c>
      <c r="F1691">
        <v>6</v>
      </c>
      <c r="G1691" t="s">
        <v>13</v>
      </c>
      <c r="H1691" s="1">
        <v>45962.388888888891</v>
      </c>
      <c r="I1691" s="5">
        <f>INT(TB[[#This Row],[时间戳]])</f>
        <v>45962</v>
      </c>
      <c r="J1691" s="2">
        <f>HOUR(TB[[#This Row],[时间戳]])</f>
        <v>9</v>
      </c>
      <c r="K1691">
        <v>5925</v>
      </c>
      <c r="L1691">
        <v>3</v>
      </c>
      <c r="M1691">
        <f>TB[[#This Row],[售价]]*TB[[#This Row],[销量]]</f>
        <v>17775</v>
      </c>
      <c r="N1691" t="str">
        <f>IF(TB[[#This Row],[售价]]&lt;1000,"低价商品",IF(TB[[#This Row],[售价]]&lt;5000,"中价商品",IF(TB[[#This Row],[售价]]&lt;10000,"高价商品","超高价商品")))</f>
        <v>高价商品</v>
      </c>
    </row>
    <row r="1692" spans="1:14" x14ac:dyDescent="0.2">
      <c r="A1692">
        <v>104</v>
      </c>
      <c r="B1692">
        <v>174</v>
      </c>
      <c r="C1692" t="s">
        <v>46</v>
      </c>
      <c r="D1692" t="s">
        <v>150</v>
      </c>
      <c r="E1692" t="s">
        <v>25</v>
      </c>
      <c r="F1692">
        <v>7</v>
      </c>
      <c r="G1692" t="s">
        <v>13</v>
      </c>
      <c r="H1692" s="1">
        <v>45962.392361111109</v>
      </c>
      <c r="I1692" s="5">
        <f>INT(TB[[#This Row],[时间戳]])</f>
        <v>45962</v>
      </c>
      <c r="J1692" s="2">
        <f>HOUR(TB[[#This Row],[时间戳]])</f>
        <v>9</v>
      </c>
      <c r="K1692">
        <v>5321</v>
      </c>
      <c r="L1692">
        <v>4</v>
      </c>
      <c r="M1692">
        <f>TB[[#This Row],[售价]]*TB[[#This Row],[销量]]</f>
        <v>21284</v>
      </c>
      <c r="N1692" t="str">
        <f>IF(TB[[#This Row],[售价]]&lt;1000,"低价商品",IF(TB[[#This Row],[售价]]&lt;5000,"中价商品",IF(TB[[#This Row],[售价]]&lt;10000,"高价商品","超高价商品")))</f>
        <v>高价商品</v>
      </c>
    </row>
    <row r="1693" spans="1:14" x14ac:dyDescent="0.2">
      <c r="A1693">
        <v>530</v>
      </c>
      <c r="B1693">
        <v>169</v>
      </c>
      <c r="C1693" t="s">
        <v>10</v>
      </c>
      <c r="D1693" t="s">
        <v>351</v>
      </c>
      <c r="E1693" t="s">
        <v>31</v>
      </c>
      <c r="F1693">
        <v>4</v>
      </c>
      <c r="G1693" t="s">
        <v>13</v>
      </c>
      <c r="H1693" s="1">
        <v>45962.404861111114</v>
      </c>
      <c r="I1693" s="5">
        <f>INT(TB[[#This Row],[时间戳]])</f>
        <v>45962</v>
      </c>
      <c r="J1693" s="2">
        <f>HOUR(TB[[#This Row],[时间戳]])</f>
        <v>9</v>
      </c>
      <c r="K1693">
        <v>1500</v>
      </c>
      <c r="L1693">
        <v>2</v>
      </c>
      <c r="M1693">
        <f>TB[[#This Row],[售价]]*TB[[#This Row],[销量]]</f>
        <v>3000</v>
      </c>
      <c r="N1693" t="str">
        <f>IF(TB[[#This Row],[售价]]&lt;1000,"低价商品",IF(TB[[#This Row],[售价]]&lt;5000,"中价商品",IF(TB[[#This Row],[售价]]&lt;10000,"高价商品","超高价商品")))</f>
        <v>中价商品</v>
      </c>
    </row>
    <row r="1694" spans="1:14" x14ac:dyDescent="0.2">
      <c r="A1694">
        <v>13</v>
      </c>
      <c r="B1694">
        <v>35</v>
      </c>
      <c r="C1694" t="s">
        <v>14</v>
      </c>
      <c r="D1694" t="s">
        <v>205</v>
      </c>
      <c r="E1694" t="s">
        <v>16</v>
      </c>
      <c r="F1694">
        <v>6</v>
      </c>
      <c r="G1694" t="s">
        <v>13</v>
      </c>
      <c r="H1694" s="1">
        <v>45962.414583333331</v>
      </c>
      <c r="I1694" s="5">
        <f>INT(TB[[#This Row],[时间戳]])</f>
        <v>45962</v>
      </c>
      <c r="J1694" s="2">
        <f>HOUR(TB[[#This Row],[时间戳]])</f>
        <v>9</v>
      </c>
      <c r="K1694">
        <v>11528</v>
      </c>
      <c r="L1694">
        <v>2</v>
      </c>
      <c r="M1694">
        <f>TB[[#This Row],[售价]]*TB[[#This Row],[销量]]</f>
        <v>23056</v>
      </c>
      <c r="N1694" t="str">
        <f>IF(TB[[#This Row],[售价]]&lt;1000,"低价商品",IF(TB[[#This Row],[售价]]&lt;5000,"中价商品",IF(TB[[#This Row],[售价]]&lt;10000,"高价商品","超高价商品")))</f>
        <v>超高价商品</v>
      </c>
    </row>
    <row r="1695" spans="1:14" x14ac:dyDescent="0.2">
      <c r="A1695">
        <v>653</v>
      </c>
      <c r="B1695">
        <v>261</v>
      </c>
      <c r="C1695" t="s">
        <v>46</v>
      </c>
      <c r="D1695" t="s">
        <v>341</v>
      </c>
      <c r="E1695" t="s">
        <v>31</v>
      </c>
      <c r="F1695">
        <v>4</v>
      </c>
      <c r="G1695" t="s">
        <v>42</v>
      </c>
      <c r="H1695" s="1">
        <v>45962.417361111111</v>
      </c>
      <c r="I1695" s="5">
        <f>INT(TB[[#This Row],[时间戳]])</f>
        <v>45962</v>
      </c>
      <c r="J1695" s="2">
        <f>HOUR(TB[[#This Row],[时间戳]])</f>
        <v>10</v>
      </c>
      <c r="K1695">
        <v>1163</v>
      </c>
      <c r="L1695">
        <v>0</v>
      </c>
      <c r="M1695">
        <f>TB[[#This Row],[售价]]*TB[[#This Row],[销量]]</f>
        <v>0</v>
      </c>
      <c r="N1695" t="str">
        <f>IF(TB[[#This Row],[售价]]&lt;1000,"低价商品",IF(TB[[#This Row],[售价]]&lt;5000,"中价商品",IF(TB[[#This Row],[售价]]&lt;10000,"高价商品","超高价商品")))</f>
        <v>中价商品</v>
      </c>
    </row>
    <row r="1696" spans="1:14" x14ac:dyDescent="0.2">
      <c r="A1696">
        <v>743</v>
      </c>
      <c r="B1696">
        <v>228</v>
      </c>
      <c r="C1696" t="s">
        <v>17</v>
      </c>
      <c r="D1696" t="s">
        <v>137</v>
      </c>
      <c r="E1696" t="s">
        <v>31</v>
      </c>
      <c r="F1696">
        <v>4</v>
      </c>
      <c r="G1696" t="s">
        <v>42</v>
      </c>
      <c r="H1696" s="1">
        <v>45962.425694444442</v>
      </c>
      <c r="I1696" s="5">
        <f>INT(TB[[#This Row],[时间戳]])</f>
        <v>45962</v>
      </c>
      <c r="J1696" s="2">
        <f>HOUR(TB[[#This Row],[时间戳]])</f>
        <v>10</v>
      </c>
      <c r="K1696">
        <v>555</v>
      </c>
      <c r="L1696">
        <v>0</v>
      </c>
      <c r="M1696">
        <f>TB[[#This Row],[售价]]*TB[[#This Row],[销量]]</f>
        <v>0</v>
      </c>
      <c r="N1696" t="str">
        <f>IF(TB[[#This Row],[售价]]&lt;1000,"低价商品",IF(TB[[#This Row],[售价]]&lt;5000,"中价商品",IF(TB[[#This Row],[售价]]&lt;10000,"高价商品","超高价商品")))</f>
        <v>低价商品</v>
      </c>
    </row>
    <row r="1697" spans="1:14" x14ac:dyDescent="0.2">
      <c r="A1697">
        <v>62</v>
      </c>
      <c r="B1697">
        <v>66</v>
      </c>
      <c r="C1697" t="s">
        <v>26</v>
      </c>
      <c r="D1697" t="s">
        <v>131</v>
      </c>
      <c r="E1697" t="s">
        <v>22</v>
      </c>
      <c r="F1697">
        <v>1</v>
      </c>
      <c r="G1697" t="s">
        <v>13</v>
      </c>
      <c r="H1697" s="1">
        <v>45962.427083333336</v>
      </c>
      <c r="I1697" s="5">
        <f>INT(TB[[#This Row],[时间戳]])</f>
        <v>45962</v>
      </c>
      <c r="J1697" s="2">
        <f>HOUR(TB[[#This Row],[时间戳]])</f>
        <v>10</v>
      </c>
      <c r="K1697">
        <v>2447</v>
      </c>
      <c r="L1697">
        <v>4</v>
      </c>
      <c r="M1697">
        <f>TB[[#This Row],[售价]]*TB[[#This Row],[销量]]</f>
        <v>9788</v>
      </c>
      <c r="N1697" t="str">
        <f>IF(TB[[#This Row],[售价]]&lt;1000,"低价商品",IF(TB[[#This Row],[售价]]&lt;5000,"中价商品",IF(TB[[#This Row],[售价]]&lt;10000,"高价商品","超高价商品")))</f>
        <v>中价商品</v>
      </c>
    </row>
    <row r="1698" spans="1:14" x14ac:dyDescent="0.2">
      <c r="A1698">
        <v>668</v>
      </c>
      <c r="B1698">
        <v>184</v>
      </c>
      <c r="C1698" t="s">
        <v>17</v>
      </c>
      <c r="D1698" t="s">
        <v>354</v>
      </c>
      <c r="E1698" t="s">
        <v>16</v>
      </c>
      <c r="F1698">
        <v>6</v>
      </c>
      <c r="G1698" t="s">
        <v>13</v>
      </c>
      <c r="H1698" s="1">
        <v>45962.427777777775</v>
      </c>
      <c r="I1698" s="5">
        <f>INT(TB[[#This Row],[时间戳]])</f>
        <v>45962</v>
      </c>
      <c r="J1698" s="2">
        <f>HOUR(TB[[#This Row],[时间戳]])</f>
        <v>10</v>
      </c>
      <c r="K1698">
        <v>7205</v>
      </c>
      <c r="L1698">
        <v>1</v>
      </c>
      <c r="M1698">
        <f>TB[[#This Row],[售价]]*TB[[#This Row],[销量]]</f>
        <v>7205</v>
      </c>
      <c r="N1698" t="str">
        <f>IF(TB[[#This Row],[售价]]&lt;1000,"低价商品",IF(TB[[#This Row],[售价]]&lt;5000,"中价商品",IF(TB[[#This Row],[售价]]&lt;10000,"高价商品","超高价商品")))</f>
        <v>高价商品</v>
      </c>
    </row>
    <row r="1699" spans="1:14" x14ac:dyDescent="0.2">
      <c r="A1699">
        <v>151</v>
      </c>
      <c r="B1699">
        <v>241</v>
      </c>
      <c r="C1699" t="s">
        <v>20</v>
      </c>
      <c r="D1699" t="s">
        <v>152</v>
      </c>
      <c r="E1699" t="s">
        <v>16</v>
      </c>
      <c r="F1699">
        <v>6</v>
      </c>
      <c r="G1699" t="s">
        <v>13</v>
      </c>
      <c r="H1699" s="1">
        <v>45962.429861111108</v>
      </c>
      <c r="I1699" s="5">
        <f>INT(TB[[#This Row],[时间戳]])</f>
        <v>45962</v>
      </c>
      <c r="J1699" s="2">
        <f>HOUR(TB[[#This Row],[时间戳]])</f>
        <v>10</v>
      </c>
      <c r="K1699">
        <v>7196</v>
      </c>
      <c r="L1699">
        <v>1</v>
      </c>
      <c r="M1699">
        <f>TB[[#This Row],[售价]]*TB[[#This Row],[销量]]</f>
        <v>7196</v>
      </c>
      <c r="N1699" t="str">
        <f>IF(TB[[#This Row],[售价]]&lt;1000,"低价商品",IF(TB[[#This Row],[售价]]&lt;5000,"中价商品",IF(TB[[#This Row],[售价]]&lt;10000,"高价商品","超高价商品")))</f>
        <v>高价商品</v>
      </c>
    </row>
    <row r="1700" spans="1:14" x14ac:dyDescent="0.2">
      <c r="A1700">
        <v>378</v>
      </c>
      <c r="B1700">
        <v>5</v>
      </c>
      <c r="C1700" t="s">
        <v>34</v>
      </c>
      <c r="D1700" t="s">
        <v>365</v>
      </c>
      <c r="E1700" t="s">
        <v>16</v>
      </c>
      <c r="F1700">
        <v>6</v>
      </c>
      <c r="G1700" t="s">
        <v>13</v>
      </c>
      <c r="H1700" s="1">
        <v>45962.490972222222</v>
      </c>
      <c r="I1700" s="5">
        <f>INT(TB[[#This Row],[时间戳]])</f>
        <v>45962</v>
      </c>
      <c r="J1700" s="2">
        <f>HOUR(TB[[#This Row],[时间戳]])</f>
        <v>11</v>
      </c>
      <c r="K1700">
        <v>7165</v>
      </c>
      <c r="L1700">
        <v>2</v>
      </c>
      <c r="M1700">
        <f>TB[[#This Row],[售价]]*TB[[#This Row],[销量]]</f>
        <v>14330</v>
      </c>
      <c r="N1700" t="str">
        <f>IF(TB[[#This Row],[售价]]&lt;1000,"低价商品",IF(TB[[#This Row],[售价]]&lt;5000,"中价商品",IF(TB[[#This Row],[售价]]&lt;10000,"高价商品","超高价商品")))</f>
        <v>高价商品</v>
      </c>
    </row>
    <row r="1701" spans="1:14" x14ac:dyDescent="0.2">
      <c r="A1701">
        <v>244</v>
      </c>
      <c r="B1701">
        <v>260</v>
      </c>
      <c r="C1701" t="s">
        <v>26</v>
      </c>
      <c r="D1701" t="s">
        <v>131</v>
      </c>
      <c r="E1701" t="s">
        <v>22</v>
      </c>
      <c r="F1701">
        <v>1</v>
      </c>
      <c r="G1701" t="s">
        <v>13</v>
      </c>
      <c r="H1701" s="1">
        <v>45962.505555555559</v>
      </c>
      <c r="I1701" s="5">
        <f>INT(TB[[#This Row],[时间戳]])</f>
        <v>45962</v>
      </c>
      <c r="J1701" s="2">
        <f>HOUR(TB[[#This Row],[时间戳]])</f>
        <v>12</v>
      </c>
      <c r="K1701">
        <v>5340</v>
      </c>
      <c r="L1701">
        <v>1</v>
      </c>
      <c r="M1701">
        <f>TB[[#This Row],[售价]]*TB[[#This Row],[销量]]</f>
        <v>5340</v>
      </c>
      <c r="N1701" t="str">
        <f>IF(TB[[#This Row],[售价]]&lt;1000,"低价商品",IF(TB[[#This Row],[售价]]&lt;5000,"中价商品",IF(TB[[#This Row],[售价]]&lt;10000,"高价商品","超高价商品")))</f>
        <v>高价商品</v>
      </c>
    </row>
    <row r="1702" spans="1:14" x14ac:dyDescent="0.2">
      <c r="A1702">
        <v>201</v>
      </c>
      <c r="B1702">
        <v>103</v>
      </c>
      <c r="C1702" t="s">
        <v>17</v>
      </c>
      <c r="D1702" t="s">
        <v>67</v>
      </c>
      <c r="E1702" t="s">
        <v>39</v>
      </c>
      <c r="F1702">
        <v>5</v>
      </c>
      <c r="G1702" t="s">
        <v>13</v>
      </c>
      <c r="H1702" s="1">
        <v>45962.567361111112</v>
      </c>
      <c r="I1702" s="5">
        <f>INT(TB[[#This Row],[时间戳]])</f>
        <v>45962</v>
      </c>
      <c r="J1702" s="2">
        <f>HOUR(TB[[#This Row],[时间戳]])</f>
        <v>13</v>
      </c>
      <c r="K1702">
        <v>2918</v>
      </c>
      <c r="L1702">
        <v>2</v>
      </c>
      <c r="M1702">
        <f>TB[[#This Row],[售价]]*TB[[#This Row],[销量]]</f>
        <v>5836</v>
      </c>
      <c r="N1702" t="str">
        <f>IF(TB[[#This Row],[售价]]&lt;1000,"低价商品",IF(TB[[#This Row],[售价]]&lt;5000,"中价商品",IF(TB[[#This Row],[售价]]&lt;10000,"高价商品","超高价商品")))</f>
        <v>中价商品</v>
      </c>
    </row>
    <row r="1703" spans="1:14" x14ac:dyDescent="0.2">
      <c r="A1703">
        <v>194</v>
      </c>
      <c r="B1703">
        <v>244</v>
      </c>
      <c r="C1703" t="s">
        <v>14</v>
      </c>
      <c r="D1703" t="s">
        <v>53</v>
      </c>
      <c r="E1703" t="s">
        <v>12</v>
      </c>
      <c r="F1703">
        <v>2</v>
      </c>
      <c r="G1703" t="s">
        <v>13</v>
      </c>
      <c r="H1703" s="1">
        <v>45962.577777777777</v>
      </c>
      <c r="I1703" s="5">
        <f>INT(TB[[#This Row],[时间戳]])</f>
        <v>45962</v>
      </c>
      <c r="J1703" s="2">
        <f>HOUR(TB[[#This Row],[时间戳]])</f>
        <v>13</v>
      </c>
      <c r="K1703">
        <v>14397</v>
      </c>
      <c r="L1703">
        <v>1</v>
      </c>
      <c r="M1703">
        <f>TB[[#This Row],[售价]]*TB[[#This Row],[销量]]</f>
        <v>14397</v>
      </c>
      <c r="N1703" t="str">
        <f>IF(TB[[#This Row],[售价]]&lt;1000,"低价商品",IF(TB[[#This Row],[售价]]&lt;5000,"中价商品",IF(TB[[#This Row],[售价]]&lt;10000,"高价商品","超高价商品")))</f>
        <v>超高价商品</v>
      </c>
    </row>
    <row r="1704" spans="1:14" x14ac:dyDescent="0.2">
      <c r="A1704">
        <v>710</v>
      </c>
      <c r="B1704">
        <v>170</v>
      </c>
      <c r="C1704" t="s">
        <v>44</v>
      </c>
      <c r="D1704" t="s">
        <v>161</v>
      </c>
      <c r="E1704" t="s">
        <v>31</v>
      </c>
      <c r="F1704">
        <v>4</v>
      </c>
      <c r="G1704" t="s">
        <v>42</v>
      </c>
      <c r="H1704" s="1">
        <v>45962.584722222222</v>
      </c>
      <c r="I1704" s="5">
        <f>INT(TB[[#This Row],[时间戳]])</f>
        <v>45962</v>
      </c>
      <c r="J1704" s="2">
        <f>HOUR(TB[[#This Row],[时间戳]])</f>
        <v>14</v>
      </c>
      <c r="K1704">
        <v>1500</v>
      </c>
      <c r="L1704">
        <v>0</v>
      </c>
      <c r="M1704">
        <f>TB[[#This Row],[售价]]*TB[[#This Row],[销量]]</f>
        <v>0</v>
      </c>
      <c r="N1704" t="str">
        <f>IF(TB[[#This Row],[售价]]&lt;1000,"低价商品",IF(TB[[#This Row],[售价]]&lt;5000,"中价商品",IF(TB[[#This Row],[售价]]&lt;10000,"高价商品","超高价商品")))</f>
        <v>中价商品</v>
      </c>
    </row>
    <row r="1705" spans="1:14" x14ac:dyDescent="0.2">
      <c r="A1705">
        <v>307</v>
      </c>
      <c r="B1705">
        <v>215</v>
      </c>
      <c r="C1705" t="s">
        <v>34</v>
      </c>
      <c r="D1705" t="s">
        <v>125</v>
      </c>
      <c r="E1705" t="s">
        <v>31</v>
      </c>
      <c r="F1705">
        <v>4</v>
      </c>
      <c r="G1705" t="s">
        <v>13</v>
      </c>
      <c r="H1705" s="1">
        <v>45962.597916666666</v>
      </c>
      <c r="I1705" s="5">
        <f>INT(TB[[#This Row],[时间戳]])</f>
        <v>45962</v>
      </c>
      <c r="J1705" s="2">
        <f>HOUR(TB[[#This Row],[时间戳]])</f>
        <v>14</v>
      </c>
      <c r="K1705">
        <v>1323</v>
      </c>
      <c r="L1705">
        <v>1</v>
      </c>
      <c r="M1705">
        <f>TB[[#This Row],[售价]]*TB[[#This Row],[销量]]</f>
        <v>1323</v>
      </c>
      <c r="N1705" t="str">
        <f>IF(TB[[#This Row],[售价]]&lt;1000,"低价商品",IF(TB[[#This Row],[售价]]&lt;5000,"中价商品",IF(TB[[#This Row],[售价]]&lt;10000,"高价商品","超高价商品")))</f>
        <v>中价商品</v>
      </c>
    </row>
    <row r="1706" spans="1:14" x14ac:dyDescent="0.2">
      <c r="A1706">
        <v>44</v>
      </c>
      <c r="B1706">
        <v>254</v>
      </c>
      <c r="C1706" t="s">
        <v>14</v>
      </c>
      <c r="D1706" t="s">
        <v>280</v>
      </c>
      <c r="E1706" t="s">
        <v>12</v>
      </c>
      <c r="F1706">
        <v>2</v>
      </c>
      <c r="G1706" t="s">
        <v>42</v>
      </c>
      <c r="H1706" s="1">
        <v>45962.60833333333</v>
      </c>
      <c r="I1706" s="5">
        <f>INT(TB[[#This Row],[时间戳]])</f>
        <v>45962</v>
      </c>
      <c r="J1706" s="2">
        <f>HOUR(TB[[#This Row],[时间戳]])</f>
        <v>14</v>
      </c>
      <c r="K1706">
        <v>9267</v>
      </c>
      <c r="L1706">
        <v>0</v>
      </c>
      <c r="M1706">
        <f>TB[[#This Row],[售价]]*TB[[#This Row],[销量]]</f>
        <v>0</v>
      </c>
      <c r="N1706" t="str">
        <f>IF(TB[[#This Row],[售价]]&lt;1000,"低价商品",IF(TB[[#This Row],[售价]]&lt;5000,"中价商品",IF(TB[[#This Row],[售价]]&lt;10000,"高价商品","超高价商品")))</f>
        <v>高价商品</v>
      </c>
    </row>
    <row r="1707" spans="1:14" x14ac:dyDescent="0.2">
      <c r="A1707">
        <v>478</v>
      </c>
      <c r="B1707">
        <v>110</v>
      </c>
      <c r="C1707" t="s">
        <v>32</v>
      </c>
      <c r="D1707" t="s">
        <v>38</v>
      </c>
      <c r="E1707" t="s">
        <v>39</v>
      </c>
      <c r="F1707">
        <v>5</v>
      </c>
      <c r="G1707" t="s">
        <v>13</v>
      </c>
      <c r="H1707" s="1">
        <v>45962.61041666667</v>
      </c>
      <c r="I1707" s="5">
        <f>INT(TB[[#This Row],[时间戳]])</f>
        <v>45962</v>
      </c>
      <c r="J1707" s="2">
        <f>HOUR(TB[[#This Row],[时间戳]])</f>
        <v>14</v>
      </c>
      <c r="K1707">
        <v>1499</v>
      </c>
      <c r="L1707">
        <v>2</v>
      </c>
      <c r="M1707">
        <f>TB[[#This Row],[售价]]*TB[[#This Row],[销量]]</f>
        <v>2998</v>
      </c>
      <c r="N1707" t="str">
        <f>IF(TB[[#This Row],[售价]]&lt;1000,"低价商品",IF(TB[[#This Row],[售价]]&lt;5000,"中价商品",IF(TB[[#This Row],[售价]]&lt;10000,"高价商品","超高价商品")))</f>
        <v>中价商品</v>
      </c>
    </row>
    <row r="1708" spans="1:14" x14ac:dyDescent="0.2">
      <c r="A1708">
        <v>385</v>
      </c>
      <c r="B1708">
        <v>106</v>
      </c>
      <c r="C1708" t="s">
        <v>34</v>
      </c>
      <c r="D1708" t="s">
        <v>232</v>
      </c>
      <c r="E1708" t="s">
        <v>22</v>
      </c>
      <c r="F1708">
        <v>1</v>
      </c>
      <c r="G1708" t="s">
        <v>13</v>
      </c>
      <c r="H1708" s="1">
        <v>45962.629861111112</v>
      </c>
      <c r="I1708" s="5">
        <f>INT(TB[[#This Row],[时间戳]])</f>
        <v>45962</v>
      </c>
      <c r="J1708" s="2">
        <f>HOUR(TB[[#This Row],[时间戳]])</f>
        <v>15</v>
      </c>
      <c r="K1708">
        <v>3004</v>
      </c>
      <c r="L1708">
        <v>3</v>
      </c>
      <c r="M1708">
        <f>TB[[#This Row],[售价]]*TB[[#This Row],[销量]]</f>
        <v>9012</v>
      </c>
      <c r="N1708" t="str">
        <f>IF(TB[[#This Row],[售价]]&lt;1000,"低价商品",IF(TB[[#This Row],[售价]]&lt;5000,"中价商品",IF(TB[[#This Row],[售价]]&lt;10000,"高价商品","超高价商品")))</f>
        <v>中价商品</v>
      </c>
    </row>
    <row r="1709" spans="1:14" x14ac:dyDescent="0.2">
      <c r="A1709">
        <v>11</v>
      </c>
      <c r="B1709">
        <v>38</v>
      </c>
      <c r="C1709" t="s">
        <v>10</v>
      </c>
      <c r="D1709" t="s">
        <v>241</v>
      </c>
      <c r="E1709" t="s">
        <v>12</v>
      </c>
      <c r="F1709">
        <v>2</v>
      </c>
      <c r="G1709" t="s">
        <v>13</v>
      </c>
      <c r="H1709" s="1">
        <v>45962.634027777778</v>
      </c>
      <c r="I1709" s="5">
        <f>INT(TB[[#This Row],[时间戳]])</f>
        <v>45962</v>
      </c>
      <c r="J1709" s="2">
        <f>HOUR(TB[[#This Row],[时间戳]])</f>
        <v>15</v>
      </c>
      <c r="K1709">
        <v>10452</v>
      </c>
      <c r="L1709">
        <v>4</v>
      </c>
      <c r="M1709">
        <f>TB[[#This Row],[售价]]*TB[[#This Row],[销量]]</f>
        <v>41808</v>
      </c>
      <c r="N1709" t="str">
        <f>IF(TB[[#This Row],[售价]]&lt;1000,"低价商品",IF(TB[[#This Row],[售价]]&lt;5000,"中价商品",IF(TB[[#This Row],[售价]]&lt;10000,"高价商品","超高价商品")))</f>
        <v>超高价商品</v>
      </c>
    </row>
    <row r="1710" spans="1:14" x14ac:dyDescent="0.2">
      <c r="A1710">
        <v>146</v>
      </c>
      <c r="B1710">
        <v>149</v>
      </c>
      <c r="C1710" t="s">
        <v>20</v>
      </c>
      <c r="D1710" t="s">
        <v>78</v>
      </c>
      <c r="E1710" t="s">
        <v>22</v>
      </c>
      <c r="F1710">
        <v>1</v>
      </c>
      <c r="G1710" t="s">
        <v>13</v>
      </c>
      <c r="H1710" s="1">
        <v>45962.652083333334</v>
      </c>
      <c r="I1710" s="5">
        <f>INT(TB[[#This Row],[时间戳]])</f>
        <v>45962</v>
      </c>
      <c r="J1710" s="2">
        <f>HOUR(TB[[#This Row],[时间戳]])</f>
        <v>15</v>
      </c>
      <c r="K1710">
        <v>3746</v>
      </c>
      <c r="L1710">
        <v>4</v>
      </c>
      <c r="M1710">
        <f>TB[[#This Row],[售价]]*TB[[#This Row],[销量]]</f>
        <v>14984</v>
      </c>
      <c r="N1710" t="str">
        <f>IF(TB[[#This Row],[售价]]&lt;1000,"低价商品",IF(TB[[#This Row],[售价]]&lt;5000,"中价商品",IF(TB[[#This Row],[售价]]&lt;10000,"高价商品","超高价商品")))</f>
        <v>中价商品</v>
      </c>
    </row>
    <row r="1711" spans="1:14" x14ac:dyDescent="0.2">
      <c r="A1711">
        <v>45</v>
      </c>
      <c r="B1711">
        <v>16</v>
      </c>
      <c r="C1711" t="s">
        <v>46</v>
      </c>
      <c r="D1711" t="s">
        <v>104</v>
      </c>
      <c r="E1711" t="s">
        <v>12</v>
      </c>
      <c r="F1711">
        <v>2</v>
      </c>
      <c r="G1711" t="s">
        <v>13</v>
      </c>
      <c r="H1711" s="1">
        <v>45962.67083333333</v>
      </c>
      <c r="I1711" s="5">
        <f>INT(TB[[#This Row],[时间戳]])</f>
        <v>45962</v>
      </c>
      <c r="J1711" s="2">
        <f>HOUR(TB[[#This Row],[时间戳]])</f>
        <v>16</v>
      </c>
      <c r="K1711">
        <v>11114</v>
      </c>
      <c r="L1711">
        <v>2</v>
      </c>
      <c r="M1711">
        <f>TB[[#This Row],[售价]]*TB[[#This Row],[销量]]</f>
        <v>22228</v>
      </c>
      <c r="N1711" t="str">
        <f>IF(TB[[#This Row],[售价]]&lt;1000,"低价商品",IF(TB[[#This Row],[售价]]&lt;5000,"中价商品",IF(TB[[#This Row],[售价]]&lt;10000,"高价商品","超高价商品")))</f>
        <v>超高价商品</v>
      </c>
    </row>
    <row r="1712" spans="1:14" x14ac:dyDescent="0.2">
      <c r="A1712">
        <v>225</v>
      </c>
      <c r="B1712">
        <v>135</v>
      </c>
      <c r="C1712" t="s">
        <v>36</v>
      </c>
      <c r="D1712" t="s">
        <v>366</v>
      </c>
      <c r="E1712" t="s">
        <v>22</v>
      </c>
      <c r="F1712">
        <v>1</v>
      </c>
      <c r="G1712" t="s">
        <v>13</v>
      </c>
      <c r="H1712" s="1">
        <v>45962.674305555556</v>
      </c>
      <c r="I1712" s="5">
        <f>INT(TB[[#This Row],[时间戳]])</f>
        <v>45962</v>
      </c>
      <c r="J1712" s="2">
        <f>HOUR(TB[[#This Row],[时间戳]])</f>
        <v>16</v>
      </c>
      <c r="K1712">
        <v>2532</v>
      </c>
      <c r="L1712">
        <v>2</v>
      </c>
      <c r="M1712">
        <f>TB[[#This Row],[售价]]*TB[[#This Row],[销量]]</f>
        <v>5064</v>
      </c>
      <c r="N1712" t="str">
        <f>IF(TB[[#This Row],[售价]]&lt;1000,"低价商品",IF(TB[[#This Row],[售价]]&lt;5000,"中价商品",IF(TB[[#This Row],[售价]]&lt;10000,"高价商品","超高价商品")))</f>
        <v>中价商品</v>
      </c>
    </row>
    <row r="1713" spans="1:14" x14ac:dyDescent="0.2">
      <c r="A1713">
        <v>252</v>
      </c>
      <c r="B1713">
        <v>92</v>
      </c>
      <c r="C1713" t="s">
        <v>34</v>
      </c>
      <c r="D1713" t="s">
        <v>164</v>
      </c>
      <c r="E1713" t="s">
        <v>22</v>
      </c>
      <c r="F1713">
        <v>1</v>
      </c>
      <c r="G1713" t="s">
        <v>42</v>
      </c>
      <c r="H1713" s="1">
        <v>45962.675000000003</v>
      </c>
      <c r="I1713" s="5">
        <f>INT(TB[[#This Row],[时间戳]])</f>
        <v>45962</v>
      </c>
      <c r="J1713" s="2">
        <f>HOUR(TB[[#This Row],[时间戳]])</f>
        <v>16</v>
      </c>
      <c r="K1713">
        <v>6777</v>
      </c>
      <c r="L1713">
        <v>0</v>
      </c>
      <c r="M1713">
        <f>TB[[#This Row],[售价]]*TB[[#This Row],[销量]]</f>
        <v>0</v>
      </c>
      <c r="N1713" t="str">
        <f>IF(TB[[#This Row],[售价]]&lt;1000,"低价商品",IF(TB[[#This Row],[售价]]&lt;5000,"中价商品",IF(TB[[#This Row],[售价]]&lt;10000,"高价商品","超高价商品")))</f>
        <v>高价商品</v>
      </c>
    </row>
    <row r="1714" spans="1:14" x14ac:dyDescent="0.2">
      <c r="A1714">
        <v>104</v>
      </c>
      <c r="B1714">
        <v>11</v>
      </c>
      <c r="C1714" t="s">
        <v>26</v>
      </c>
      <c r="D1714" t="s">
        <v>219</v>
      </c>
      <c r="E1714" t="s">
        <v>22</v>
      </c>
      <c r="F1714">
        <v>1</v>
      </c>
      <c r="G1714" t="s">
        <v>13</v>
      </c>
      <c r="H1714" s="1">
        <v>45962.703472222223</v>
      </c>
      <c r="I1714" s="5">
        <f>INT(TB[[#This Row],[时间戳]])</f>
        <v>45962</v>
      </c>
      <c r="J1714" s="2">
        <f>HOUR(TB[[#This Row],[时间戳]])</f>
        <v>16</v>
      </c>
      <c r="K1714">
        <v>2416</v>
      </c>
      <c r="L1714">
        <v>2</v>
      </c>
      <c r="M1714">
        <f>TB[[#This Row],[售价]]*TB[[#This Row],[销量]]</f>
        <v>4832</v>
      </c>
      <c r="N1714" t="str">
        <f>IF(TB[[#This Row],[售价]]&lt;1000,"低价商品",IF(TB[[#This Row],[售价]]&lt;5000,"中价商品",IF(TB[[#This Row],[售价]]&lt;10000,"高价商品","超高价商品")))</f>
        <v>中价商品</v>
      </c>
    </row>
    <row r="1715" spans="1:14" x14ac:dyDescent="0.2">
      <c r="A1715">
        <v>114</v>
      </c>
      <c r="B1715">
        <v>174</v>
      </c>
      <c r="C1715" t="s">
        <v>17</v>
      </c>
      <c r="D1715" t="s">
        <v>361</v>
      </c>
      <c r="E1715" t="s">
        <v>25</v>
      </c>
      <c r="F1715">
        <v>7</v>
      </c>
      <c r="G1715" t="s">
        <v>13</v>
      </c>
      <c r="H1715" s="1">
        <v>45962.714583333334</v>
      </c>
      <c r="I1715" s="5">
        <f>INT(TB[[#This Row],[时间戳]])</f>
        <v>45962</v>
      </c>
      <c r="J1715" s="2">
        <f>HOUR(TB[[#This Row],[时间戳]])</f>
        <v>17</v>
      </c>
      <c r="K1715">
        <v>6919</v>
      </c>
      <c r="L1715">
        <v>2</v>
      </c>
      <c r="M1715">
        <f>TB[[#This Row],[售价]]*TB[[#This Row],[销量]]</f>
        <v>13838</v>
      </c>
      <c r="N1715" t="str">
        <f>IF(TB[[#This Row],[售价]]&lt;1000,"低价商品",IF(TB[[#This Row],[售价]]&lt;5000,"中价商品",IF(TB[[#This Row],[售价]]&lt;10000,"高价商品","超高价商品")))</f>
        <v>高价商品</v>
      </c>
    </row>
    <row r="1716" spans="1:14" x14ac:dyDescent="0.2">
      <c r="A1716">
        <v>379</v>
      </c>
      <c r="B1716">
        <v>191</v>
      </c>
      <c r="C1716" t="s">
        <v>44</v>
      </c>
      <c r="D1716" t="s">
        <v>195</v>
      </c>
      <c r="E1716" t="s">
        <v>22</v>
      </c>
      <c r="F1716">
        <v>1</v>
      </c>
      <c r="G1716" t="s">
        <v>13</v>
      </c>
      <c r="H1716" s="1">
        <v>45962.71597222222</v>
      </c>
      <c r="I1716" s="5">
        <f>INT(TB[[#This Row],[时间戳]])</f>
        <v>45962</v>
      </c>
      <c r="J1716" s="2">
        <f>HOUR(TB[[#This Row],[时间戳]])</f>
        <v>17</v>
      </c>
      <c r="K1716">
        <v>2678</v>
      </c>
      <c r="L1716">
        <v>1</v>
      </c>
      <c r="M1716">
        <f>TB[[#This Row],[售价]]*TB[[#This Row],[销量]]</f>
        <v>2678</v>
      </c>
      <c r="N1716" t="str">
        <f>IF(TB[[#This Row],[售价]]&lt;1000,"低价商品",IF(TB[[#This Row],[售价]]&lt;5000,"中价商品",IF(TB[[#This Row],[售价]]&lt;10000,"高价商品","超高价商品")))</f>
        <v>中价商品</v>
      </c>
    </row>
    <row r="1717" spans="1:14" x14ac:dyDescent="0.2">
      <c r="A1717">
        <v>445</v>
      </c>
      <c r="B1717">
        <v>34</v>
      </c>
      <c r="C1717" t="s">
        <v>20</v>
      </c>
      <c r="D1717" t="s">
        <v>21</v>
      </c>
      <c r="E1717" t="s">
        <v>22</v>
      </c>
      <c r="F1717">
        <v>1</v>
      </c>
      <c r="G1717" t="s">
        <v>13</v>
      </c>
      <c r="H1717" s="1">
        <v>45962.8125</v>
      </c>
      <c r="I1717" s="5">
        <f>INT(TB[[#This Row],[时间戳]])</f>
        <v>45962</v>
      </c>
      <c r="J1717" s="2">
        <f>HOUR(TB[[#This Row],[时间戳]])</f>
        <v>19</v>
      </c>
      <c r="K1717">
        <v>6301</v>
      </c>
      <c r="L1717">
        <v>2</v>
      </c>
      <c r="M1717">
        <f>TB[[#This Row],[售价]]*TB[[#This Row],[销量]]</f>
        <v>12602</v>
      </c>
      <c r="N1717" t="str">
        <f>IF(TB[[#This Row],[售价]]&lt;1000,"低价商品",IF(TB[[#This Row],[售价]]&lt;5000,"中价商品",IF(TB[[#This Row],[售价]]&lt;10000,"高价商品","超高价商品")))</f>
        <v>高价商品</v>
      </c>
    </row>
    <row r="1718" spans="1:14" x14ac:dyDescent="0.2">
      <c r="A1718">
        <v>197</v>
      </c>
      <c r="B1718">
        <v>273</v>
      </c>
      <c r="C1718" t="s">
        <v>26</v>
      </c>
      <c r="D1718" t="s">
        <v>360</v>
      </c>
      <c r="E1718" t="s">
        <v>19</v>
      </c>
      <c r="F1718">
        <v>3</v>
      </c>
      <c r="G1718" t="s">
        <v>42</v>
      </c>
      <c r="H1718" s="1">
        <v>45962.813888888886</v>
      </c>
      <c r="I1718" s="5">
        <f>INT(TB[[#This Row],[时间戳]])</f>
        <v>45962</v>
      </c>
      <c r="J1718" s="2">
        <f>HOUR(TB[[#This Row],[时间戳]])</f>
        <v>19</v>
      </c>
      <c r="K1718">
        <v>2343</v>
      </c>
      <c r="L1718">
        <v>0</v>
      </c>
      <c r="M1718">
        <f>TB[[#This Row],[售价]]*TB[[#This Row],[销量]]</f>
        <v>0</v>
      </c>
      <c r="N1718" t="str">
        <f>IF(TB[[#This Row],[售价]]&lt;1000,"低价商品",IF(TB[[#This Row],[售价]]&lt;5000,"中价商品",IF(TB[[#This Row],[售价]]&lt;10000,"高价商品","超高价商品")))</f>
        <v>中价商品</v>
      </c>
    </row>
    <row r="1719" spans="1:14" x14ac:dyDescent="0.2">
      <c r="A1719">
        <v>614</v>
      </c>
      <c r="B1719">
        <v>220</v>
      </c>
      <c r="C1719" t="s">
        <v>34</v>
      </c>
      <c r="D1719" t="s">
        <v>290</v>
      </c>
      <c r="E1719" t="s">
        <v>25</v>
      </c>
      <c r="F1719">
        <v>7</v>
      </c>
      <c r="G1719" t="s">
        <v>13</v>
      </c>
      <c r="H1719" s="1">
        <v>45962.835416666669</v>
      </c>
      <c r="I1719" s="5">
        <f>INT(TB[[#This Row],[时间戳]])</f>
        <v>45962</v>
      </c>
      <c r="J1719" s="2">
        <f>HOUR(TB[[#This Row],[时间戳]])</f>
        <v>20</v>
      </c>
      <c r="K1719">
        <v>4753</v>
      </c>
      <c r="L1719">
        <v>2</v>
      </c>
      <c r="M1719">
        <f>TB[[#This Row],[售价]]*TB[[#This Row],[销量]]</f>
        <v>9506</v>
      </c>
      <c r="N1719" t="str">
        <f>IF(TB[[#This Row],[售价]]&lt;1000,"低价商品",IF(TB[[#This Row],[售价]]&lt;5000,"中价商品",IF(TB[[#This Row],[售价]]&lt;10000,"高价商品","超高价商品")))</f>
        <v>中价商品</v>
      </c>
    </row>
    <row r="1720" spans="1:14" x14ac:dyDescent="0.2">
      <c r="A1720">
        <v>602</v>
      </c>
      <c r="B1720">
        <v>97</v>
      </c>
      <c r="C1720" t="s">
        <v>10</v>
      </c>
      <c r="D1720" t="s">
        <v>352</v>
      </c>
      <c r="E1720" t="s">
        <v>12</v>
      </c>
      <c r="F1720">
        <v>2</v>
      </c>
      <c r="G1720" t="s">
        <v>13</v>
      </c>
      <c r="H1720" s="1">
        <v>45962.911111111112</v>
      </c>
      <c r="I1720" s="5">
        <f>INT(TB[[#This Row],[时间戳]])</f>
        <v>45962</v>
      </c>
      <c r="J1720" s="2">
        <f>HOUR(TB[[#This Row],[时间戳]])</f>
        <v>21</v>
      </c>
      <c r="K1720">
        <v>14347</v>
      </c>
      <c r="L1720">
        <v>2</v>
      </c>
      <c r="M1720">
        <f>TB[[#This Row],[售价]]*TB[[#This Row],[销量]]</f>
        <v>28694</v>
      </c>
      <c r="N1720" t="str">
        <f>IF(TB[[#This Row],[售价]]&lt;1000,"低价商品",IF(TB[[#This Row],[售价]]&lt;5000,"中价商品",IF(TB[[#This Row],[售价]]&lt;10000,"高价商品","超高价商品")))</f>
        <v>超高价商品</v>
      </c>
    </row>
    <row r="1721" spans="1:14" x14ac:dyDescent="0.2">
      <c r="A1721">
        <v>254</v>
      </c>
      <c r="B1721">
        <v>28</v>
      </c>
      <c r="C1721" t="s">
        <v>26</v>
      </c>
      <c r="D1721" t="s">
        <v>92</v>
      </c>
      <c r="E1721" t="s">
        <v>19</v>
      </c>
      <c r="F1721">
        <v>3</v>
      </c>
      <c r="G1721" t="s">
        <v>42</v>
      </c>
      <c r="H1721" s="1">
        <v>45962.916666666664</v>
      </c>
      <c r="I1721" s="5">
        <f>INT(TB[[#This Row],[时间戳]])</f>
        <v>45962</v>
      </c>
      <c r="J1721" s="2">
        <f>HOUR(TB[[#This Row],[时间戳]])</f>
        <v>22</v>
      </c>
      <c r="K1721">
        <v>5836</v>
      </c>
      <c r="L1721">
        <v>0</v>
      </c>
      <c r="M1721">
        <f>TB[[#This Row],[售价]]*TB[[#This Row],[销量]]</f>
        <v>0</v>
      </c>
      <c r="N1721" t="str">
        <f>IF(TB[[#This Row],[售价]]&lt;1000,"低价商品",IF(TB[[#This Row],[售价]]&lt;5000,"中价商品",IF(TB[[#This Row],[售价]]&lt;10000,"高价商品","超高价商品")))</f>
        <v>高价商品</v>
      </c>
    </row>
    <row r="1722" spans="1:14" x14ac:dyDescent="0.2">
      <c r="A1722">
        <v>501</v>
      </c>
      <c r="B1722">
        <v>108</v>
      </c>
      <c r="C1722" t="s">
        <v>20</v>
      </c>
      <c r="D1722" t="s">
        <v>328</v>
      </c>
      <c r="E1722" t="s">
        <v>16</v>
      </c>
      <c r="F1722">
        <v>6</v>
      </c>
      <c r="G1722" t="s">
        <v>13</v>
      </c>
      <c r="H1722" s="1">
        <v>45962.919444444444</v>
      </c>
      <c r="I1722" s="5">
        <f>INT(TB[[#This Row],[时间戳]])</f>
        <v>45962</v>
      </c>
      <c r="J1722" s="2">
        <f>HOUR(TB[[#This Row],[时间戳]])</f>
        <v>22</v>
      </c>
      <c r="K1722">
        <v>6452</v>
      </c>
      <c r="L1722">
        <v>2</v>
      </c>
      <c r="M1722">
        <f>TB[[#This Row],[售价]]*TB[[#This Row],[销量]]</f>
        <v>12904</v>
      </c>
      <c r="N1722" t="str">
        <f>IF(TB[[#This Row],[售价]]&lt;1000,"低价商品",IF(TB[[#This Row],[售价]]&lt;5000,"中价商品",IF(TB[[#This Row],[售价]]&lt;10000,"高价商品","超高价商品")))</f>
        <v>高价商品</v>
      </c>
    </row>
    <row r="1723" spans="1:14" x14ac:dyDescent="0.2">
      <c r="A1723">
        <v>630</v>
      </c>
      <c r="B1723">
        <v>34</v>
      </c>
      <c r="C1723" t="s">
        <v>44</v>
      </c>
      <c r="D1723" t="s">
        <v>372</v>
      </c>
      <c r="E1723" t="s">
        <v>22</v>
      </c>
      <c r="F1723">
        <v>1</v>
      </c>
      <c r="G1723" t="s">
        <v>13</v>
      </c>
      <c r="H1723" s="1">
        <v>45962.921527777777</v>
      </c>
      <c r="I1723" s="5">
        <f>INT(TB[[#This Row],[时间戳]])</f>
        <v>45962</v>
      </c>
      <c r="J1723" s="2">
        <f>HOUR(TB[[#This Row],[时间戳]])</f>
        <v>22</v>
      </c>
      <c r="K1723">
        <v>6799</v>
      </c>
      <c r="L1723">
        <v>2</v>
      </c>
      <c r="M1723">
        <f>TB[[#This Row],[售价]]*TB[[#This Row],[销量]]</f>
        <v>13598</v>
      </c>
      <c r="N1723" t="str">
        <f>IF(TB[[#This Row],[售价]]&lt;1000,"低价商品",IF(TB[[#This Row],[售价]]&lt;5000,"中价商品",IF(TB[[#This Row],[售价]]&lt;10000,"高价商品","超高价商品")))</f>
        <v>高价商品</v>
      </c>
    </row>
    <row r="1724" spans="1:14" x14ac:dyDescent="0.2">
      <c r="A1724">
        <v>770</v>
      </c>
      <c r="B1724">
        <v>261</v>
      </c>
      <c r="C1724" t="s">
        <v>17</v>
      </c>
      <c r="D1724" t="s">
        <v>369</v>
      </c>
      <c r="E1724" t="s">
        <v>16</v>
      </c>
      <c r="F1724">
        <v>6</v>
      </c>
      <c r="G1724" t="s">
        <v>13</v>
      </c>
      <c r="H1724" s="1">
        <v>45962.928472222222</v>
      </c>
      <c r="I1724" s="5">
        <f>INT(TB[[#This Row],[时间戳]])</f>
        <v>45962</v>
      </c>
      <c r="J1724" s="2">
        <f>HOUR(TB[[#This Row],[时间戳]])</f>
        <v>22</v>
      </c>
      <c r="K1724">
        <v>4803</v>
      </c>
      <c r="L1724">
        <v>2</v>
      </c>
      <c r="M1724">
        <f>TB[[#This Row],[售价]]*TB[[#This Row],[销量]]</f>
        <v>9606</v>
      </c>
      <c r="N1724" t="str">
        <f>IF(TB[[#This Row],[售价]]&lt;1000,"低价商品",IF(TB[[#This Row],[售价]]&lt;5000,"中价商品",IF(TB[[#This Row],[售价]]&lt;10000,"高价商品","超高价商品")))</f>
        <v>中价商品</v>
      </c>
    </row>
    <row r="1725" spans="1:14" x14ac:dyDescent="0.2">
      <c r="A1725">
        <v>184</v>
      </c>
      <c r="B1725">
        <v>165</v>
      </c>
      <c r="C1725" t="s">
        <v>20</v>
      </c>
      <c r="D1725" t="s">
        <v>261</v>
      </c>
      <c r="E1725" t="s">
        <v>22</v>
      </c>
      <c r="F1725">
        <v>1</v>
      </c>
      <c r="G1725" t="s">
        <v>42</v>
      </c>
      <c r="H1725" s="1">
        <v>45962.929861111108</v>
      </c>
      <c r="I1725" s="5">
        <f>INT(TB[[#This Row],[时间戳]])</f>
        <v>45962</v>
      </c>
      <c r="J1725" s="2">
        <f>HOUR(TB[[#This Row],[时间戳]])</f>
        <v>22</v>
      </c>
      <c r="K1725">
        <v>4120</v>
      </c>
      <c r="L1725">
        <v>0</v>
      </c>
      <c r="M1725">
        <f>TB[[#This Row],[售价]]*TB[[#This Row],[销量]]</f>
        <v>0</v>
      </c>
      <c r="N1725" t="str">
        <f>IF(TB[[#This Row],[售价]]&lt;1000,"低价商品",IF(TB[[#This Row],[售价]]&lt;5000,"中价商品",IF(TB[[#This Row],[售价]]&lt;10000,"高价商品","超高价商品")))</f>
        <v>中价商品</v>
      </c>
    </row>
    <row r="1726" spans="1:14" x14ac:dyDescent="0.2">
      <c r="A1726">
        <v>486</v>
      </c>
      <c r="B1726">
        <v>138</v>
      </c>
      <c r="C1726" t="s">
        <v>44</v>
      </c>
      <c r="D1726" t="s">
        <v>169</v>
      </c>
      <c r="E1726" t="s">
        <v>31</v>
      </c>
      <c r="F1726">
        <v>4</v>
      </c>
      <c r="G1726" t="s">
        <v>42</v>
      </c>
      <c r="H1726" s="1">
        <v>45962.95208333333</v>
      </c>
      <c r="I1726" s="5">
        <f>INT(TB[[#This Row],[时间戳]])</f>
        <v>45962</v>
      </c>
      <c r="J1726" s="2">
        <f>HOUR(TB[[#This Row],[时间戳]])</f>
        <v>22</v>
      </c>
      <c r="K1726">
        <v>884</v>
      </c>
      <c r="L1726">
        <v>0</v>
      </c>
      <c r="M1726">
        <f>TB[[#This Row],[售价]]*TB[[#This Row],[销量]]</f>
        <v>0</v>
      </c>
      <c r="N1726" t="str">
        <f>IF(TB[[#This Row],[售价]]&lt;1000,"低价商品",IF(TB[[#This Row],[售价]]&lt;5000,"中价商品",IF(TB[[#This Row],[售价]]&lt;10000,"高价商品","超高价商品")))</f>
        <v>低价商品</v>
      </c>
    </row>
    <row r="1727" spans="1:14" x14ac:dyDescent="0.2">
      <c r="A1727">
        <v>38</v>
      </c>
      <c r="B1727">
        <v>107</v>
      </c>
      <c r="C1727" t="s">
        <v>46</v>
      </c>
      <c r="D1727" t="s">
        <v>121</v>
      </c>
      <c r="E1727" t="s">
        <v>25</v>
      </c>
      <c r="F1727">
        <v>7</v>
      </c>
      <c r="G1727" t="s">
        <v>13</v>
      </c>
      <c r="H1727" s="1">
        <v>45962.952777777777</v>
      </c>
      <c r="I1727" s="5">
        <f>INT(TB[[#This Row],[时间戳]])</f>
        <v>45962</v>
      </c>
      <c r="J1727" s="2">
        <f>HOUR(TB[[#This Row],[时间戳]])</f>
        <v>22</v>
      </c>
      <c r="K1727">
        <v>6266</v>
      </c>
      <c r="L1727">
        <v>1</v>
      </c>
      <c r="M1727">
        <f>TB[[#This Row],[售价]]*TB[[#This Row],[销量]]</f>
        <v>6266</v>
      </c>
      <c r="N1727" t="str">
        <f>IF(TB[[#This Row],[售价]]&lt;1000,"低价商品",IF(TB[[#This Row],[售价]]&lt;5000,"中价商品",IF(TB[[#This Row],[售价]]&lt;10000,"高价商品","超高价商品")))</f>
        <v>高价商品</v>
      </c>
    </row>
    <row r="1728" spans="1:14" x14ac:dyDescent="0.2">
      <c r="A1728">
        <v>406</v>
      </c>
      <c r="B1728">
        <v>112</v>
      </c>
      <c r="C1728" t="s">
        <v>44</v>
      </c>
      <c r="D1728" t="s">
        <v>338</v>
      </c>
      <c r="E1728" t="s">
        <v>16</v>
      </c>
      <c r="F1728">
        <v>6</v>
      </c>
      <c r="G1728" t="s">
        <v>42</v>
      </c>
      <c r="H1728" s="1">
        <v>45962.96597222222</v>
      </c>
      <c r="I1728" s="5">
        <f>INT(TB[[#This Row],[时间戳]])</f>
        <v>45962</v>
      </c>
      <c r="J1728" s="2">
        <f>HOUR(TB[[#This Row],[时间戳]])</f>
        <v>23</v>
      </c>
      <c r="K1728">
        <v>5499</v>
      </c>
      <c r="L1728">
        <v>0</v>
      </c>
      <c r="M1728">
        <f>TB[[#This Row],[售价]]*TB[[#This Row],[销量]]</f>
        <v>0</v>
      </c>
      <c r="N1728" t="str">
        <f>IF(TB[[#This Row],[售价]]&lt;1000,"低价商品",IF(TB[[#This Row],[售价]]&lt;5000,"中价商品",IF(TB[[#This Row],[售价]]&lt;10000,"高价商品","超高价商品")))</f>
        <v>高价商品</v>
      </c>
    </row>
    <row r="1729" spans="1:14" x14ac:dyDescent="0.2">
      <c r="A1729">
        <v>161</v>
      </c>
      <c r="B1729">
        <v>192</v>
      </c>
      <c r="C1729" t="s">
        <v>17</v>
      </c>
      <c r="D1729" t="s">
        <v>255</v>
      </c>
      <c r="E1729" t="s">
        <v>31</v>
      </c>
      <c r="F1729">
        <v>4</v>
      </c>
      <c r="G1729" t="s">
        <v>13</v>
      </c>
      <c r="H1729" s="1">
        <v>45963.071527777778</v>
      </c>
      <c r="I1729" s="5">
        <f>INT(TB[[#This Row],[时间戳]])</f>
        <v>45963</v>
      </c>
      <c r="J1729" s="2">
        <f>HOUR(TB[[#This Row],[时间戳]])</f>
        <v>1</v>
      </c>
      <c r="K1729">
        <v>693</v>
      </c>
      <c r="L1729">
        <v>2</v>
      </c>
      <c r="M1729">
        <f>TB[[#This Row],[售价]]*TB[[#This Row],[销量]]</f>
        <v>1386</v>
      </c>
      <c r="N1729" t="str">
        <f>IF(TB[[#This Row],[售价]]&lt;1000,"低价商品",IF(TB[[#This Row],[售价]]&lt;5000,"中价商品",IF(TB[[#This Row],[售价]]&lt;10000,"高价商品","超高价商品")))</f>
        <v>低价商品</v>
      </c>
    </row>
    <row r="1730" spans="1:14" x14ac:dyDescent="0.2">
      <c r="A1730">
        <v>770</v>
      </c>
      <c r="B1730">
        <v>44</v>
      </c>
      <c r="C1730" t="s">
        <v>14</v>
      </c>
      <c r="D1730" t="s">
        <v>43</v>
      </c>
      <c r="E1730" t="s">
        <v>31</v>
      </c>
      <c r="F1730">
        <v>4</v>
      </c>
      <c r="G1730" t="s">
        <v>13</v>
      </c>
      <c r="H1730" s="1">
        <v>45963.102083333331</v>
      </c>
      <c r="I1730" s="5">
        <f>INT(TB[[#This Row],[时间戳]])</f>
        <v>45963</v>
      </c>
      <c r="J1730" s="2">
        <f>HOUR(TB[[#This Row],[时间戳]])</f>
        <v>2</v>
      </c>
      <c r="K1730">
        <v>652</v>
      </c>
      <c r="L1730">
        <v>2</v>
      </c>
      <c r="M1730">
        <f>TB[[#This Row],[售价]]*TB[[#This Row],[销量]]</f>
        <v>1304</v>
      </c>
      <c r="N1730" t="str">
        <f>IF(TB[[#This Row],[售价]]&lt;1000,"低价商品",IF(TB[[#This Row],[售价]]&lt;5000,"中价商品",IF(TB[[#This Row],[售价]]&lt;10000,"高价商品","超高价商品")))</f>
        <v>低价商品</v>
      </c>
    </row>
    <row r="1731" spans="1:14" x14ac:dyDescent="0.2">
      <c r="A1731">
        <v>236</v>
      </c>
      <c r="B1731">
        <v>299</v>
      </c>
      <c r="C1731" t="s">
        <v>20</v>
      </c>
      <c r="D1731" t="s">
        <v>383</v>
      </c>
      <c r="E1731" t="s">
        <v>12</v>
      </c>
      <c r="F1731">
        <v>2</v>
      </c>
      <c r="G1731" t="s">
        <v>13</v>
      </c>
      <c r="H1731" s="1">
        <v>45963.119444444441</v>
      </c>
      <c r="I1731" s="5">
        <f>INT(TB[[#This Row],[时间戳]])</f>
        <v>45963</v>
      </c>
      <c r="J1731" s="2">
        <f>HOUR(TB[[#This Row],[时间戳]])</f>
        <v>2</v>
      </c>
      <c r="K1731">
        <v>8861</v>
      </c>
      <c r="L1731">
        <v>1</v>
      </c>
      <c r="M1731">
        <f>TB[[#This Row],[售价]]*TB[[#This Row],[销量]]</f>
        <v>8861</v>
      </c>
      <c r="N1731" t="str">
        <f>IF(TB[[#This Row],[售价]]&lt;1000,"低价商品",IF(TB[[#This Row],[售价]]&lt;5000,"中价商品",IF(TB[[#This Row],[售价]]&lt;10000,"高价商品","超高价商品")))</f>
        <v>高价商品</v>
      </c>
    </row>
    <row r="1732" spans="1:14" x14ac:dyDescent="0.2">
      <c r="A1732">
        <v>345</v>
      </c>
      <c r="B1732">
        <v>219</v>
      </c>
      <c r="C1732" t="s">
        <v>20</v>
      </c>
      <c r="D1732" t="s">
        <v>367</v>
      </c>
      <c r="E1732" t="s">
        <v>25</v>
      </c>
      <c r="F1732">
        <v>7</v>
      </c>
      <c r="G1732" t="s">
        <v>13</v>
      </c>
      <c r="H1732" s="1">
        <v>45963.126388888886</v>
      </c>
      <c r="I1732" s="5">
        <f>INT(TB[[#This Row],[时间戳]])</f>
        <v>45963</v>
      </c>
      <c r="J1732" s="2">
        <f>HOUR(TB[[#This Row],[时间戳]])</f>
        <v>3</v>
      </c>
      <c r="K1732">
        <v>1875</v>
      </c>
      <c r="L1732">
        <v>1</v>
      </c>
      <c r="M1732">
        <f>TB[[#This Row],[售价]]*TB[[#This Row],[销量]]</f>
        <v>1875</v>
      </c>
      <c r="N1732" t="str">
        <f>IF(TB[[#This Row],[售价]]&lt;1000,"低价商品",IF(TB[[#This Row],[售价]]&lt;5000,"中价商品",IF(TB[[#This Row],[售价]]&lt;10000,"高价商品","超高价商品")))</f>
        <v>中价商品</v>
      </c>
    </row>
    <row r="1733" spans="1:14" x14ac:dyDescent="0.2">
      <c r="A1733">
        <v>377</v>
      </c>
      <c r="B1733">
        <v>255</v>
      </c>
      <c r="C1733" t="s">
        <v>17</v>
      </c>
      <c r="D1733" t="s">
        <v>128</v>
      </c>
      <c r="E1733" t="s">
        <v>12</v>
      </c>
      <c r="F1733">
        <v>2</v>
      </c>
      <c r="G1733" t="s">
        <v>13</v>
      </c>
      <c r="H1733" s="1">
        <v>45963.144444444442</v>
      </c>
      <c r="I1733" s="5">
        <f>INT(TB[[#This Row],[时间戳]])</f>
        <v>45963</v>
      </c>
      <c r="J1733" s="2">
        <f>HOUR(TB[[#This Row],[时间戳]])</f>
        <v>3</v>
      </c>
      <c r="K1733">
        <v>11430</v>
      </c>
      <c r="L1733">
        <v>2</v>
      </c>
      <c r="M1733">
        <f>TB[[#This Row],[售价]]*TB[[#This Row],[销量]]</f>
        <v>22860</v>
      </c>
      <c r="N1733" t="str">
        <f>IF(TB[[#This Row],[售价]]&lt;1000,"低价商品",IF(TB[[#This Row],[售价]]&lt;5000,"中价商品",IF(TB[[#This Row],[售价]]&lt;10000,"高价商品","超高价商品")))</f>
        <v>超高价商品</v>
      </c>
    </row>
    <row r="1734" spans="1:14" x14ac:dyDescent="0.2">
      <c r="A1734">
        <v>184</v>
      </c>
      <c r="B1734">
        <v>227</v>
      </c>
      <c r="C1734" t="s">
        <v>17</v>
      </c>
      <c r="D1734" t="s">
        <v>74</v>
      </c>
      <c r="E1734" t="s">
        <v>22</v>
      </c>
      <c r="F1734">
        <v>1</v>
      </c>
      <c r="G1734" t="s">
        <v>13</v>
      </c>
      <c r="H1734" s="1">
        <v>45963.158333333333</v>
      </c>
      <c r="I1734" s="5">
        <f>INT(TB[[#This Row],[时间戳]])</f>
        <v>45963</v>
      </c>
      <c r="J1734" s="2">
        <f>HOUR(TB[[#This Row],[时间戳]])</f>
        <v>3</v>
      </c>
      <c r="K1734">
        <v>3536</v>
      </c>
      <c r="L1734">
        <v>2</v>
      </c>
      <c r="M1734">
        <f>TB[[#This Row],[售价]]*TB[[#This Row],[销量]]</f>
        <v>7072</v>
      </c>
      <c r="N1734" t="str">
        <f>IF(TB[[#This Row],[售价]]&lt;1000,"低价商品",IF(TB[[#This Row],[售价]]&lt;5000,"中价商品",IF(TB[[#This Row],[售价]]&lt;10000,"高价商品","超高价商品")))</f>
        <v>中价商品</v>
      </c>
    </row>
    <row r="1735" spans="1:14" x14ac:dyDescent="0.2">
      <c r="A1735">
        <v>85</v>
      </c>
      <c r="B1735">
        <v>151</v>
      </c>
      <c r="C1735" t="s">
        <v>14</v>
      </c>
      <c r="D1735" t="s">
        <v>305</v>
      </c>
      <c r="E1735" t="s">
        <v>25</v>
      </c>
      <c r="F1735">
        <v>7</v>
      </c>
      <c r="G1735" t="s">
        <v>13</v>
      </c>
      <c r="H1735" s="1">
        <v>45963.168749999997</v>
      </c>
      <c r="I1735" s="5">
        <f>INT(TB[[#This Row],[时间戳]])</f>
        <v>45963</v>
      </c>
      <c r="J1735" s="2">
        <f>HOUR(TB[[#This Row],[时间戳]])</f>
        <v>4</v>
      </c>
      <c r="K1735">
        <v>3350</v>
      </c>
      <c r="L1735">
        <v>1</v>
      </c>
      <c r="M1735">
        <f>TB[[#This Row],[售价]]*TB[[#This Row],[销量]]</f>
        <v>3350</v>
      </c>
      <c r="N1735" t="str">
        <f>IF(TB[[#This Row],[售价]]&lt;1000,"低价商品",IF(TB[[#This Row],[售价]]&lt;5000,"中价商品",IF(TB[[#This Row],[售价]]&lt;10000,"高价商品","超高价商品")))</f>
        <v>中价商品</v>
      </c>
    </row>
    <row r="1736" spans="1:14" x14ac:dyDescent="0.2">
      <c r="A1736">
        <v>284</v>
      </c>
      <c r="B1736">
        <v>117</v>
      </c>
      <c r="C1736" t="s">
        <v>20</v>
      </c>
      <c r="D1736" t="s">
        <v>394</v>
      </c>
      <c r="E1736" t="s">
        <v>39</v>
      </c>
      <c r="F1736">
        <v>5</v>
      </c>
      <c r="G1736" t="s">
        <v>13</v>
      </c>
      <c r="H1736" s="1">
        <v>45963.17083333333</v>
      </c>
      <c r="I1736" s="5">
        <f>INT(TB[[#This Row],[时间戳]])</f>
        <v>45963</v>
      </c>
      <c r="J1736" s="2">
        <f>HOUR(TB[[#This Row],[时间戳]])</f>
        <v>4</v>
      </c>
      <c r="K1736">
        <v>2917</v>
      </c>
      <c r="L1736">
        <v>2</v>
      </c>
      <c r="M1736">
        <f>TB[[#This Row],[售价]]*TB[[#This Row],[销量]]</f>
        <v>5834</v>
      </c>
      <c r="N1736" t="str">
        <f>IF(TB[[#This Row],[售价]]&lt;1000,"低价商品",IF(TB[[#This Row],[售价]]&lt;5000,"中价商品",IF(TB[[#This Row],[售价]]&lt;10000,"高价商品","超高价商品")))</f>
        <v>中价商品</v>
      </c>
    </row>
    <row r="1737" spans="1:14" x14ac:dyDescent="0.2">
      <c r="A1737">
        <v>40</v>
      </c>
      <c r="B1737">
        <v>280</v>
      </c>
      <c r="C1737" t="s">
        <v>14</v>
      </c>
      <c r="D1737" t="s">
        <v>228</v>
      </c>
      <c r="E1737" t="s">
        <v>31</v>
      </c>
      <c r="F1737">
        <v>4</v>
      </c>
      <c r="G1737" t="s">
        <v>13</v>
      </c>
      <c r="H1737" s="1">
        <v>45963.211111111108</v>
      </c>
      <c r="I1737" s="5">
        <f>INT(TB[[#This Row],[时间戳]])</f>
        <v>45963</v>
      </c>
      <c r="J1737" s="2">
        <f>HOUR(TB[[#This Row],[时间戳]])</f>
        <v>5</v>
      </c>
      <c r="K1737">
        <v>111</v>
      </c>
      <c r="L1737">
        <v>2</v>
      </c>
      <c r="M1737">
        <f>TB[[#This Row],[售价]]*TB[[#This Row],[销量]]</f>
        <v>222</v>
      </c>
      <c r="N1737" t="str">
        <f>IF(TB[[#This Row],[售价]]&lt;1000,"低价商品",IF(TB[[#This Row],[售价]]&lt;5000,"中价商品",IF(TB[[#This Row],[售价]]&lt;10000,"高价商品","超高价商品")))</f>
        <v>低价商品</v>
      </c>
    </row>
    <row r="1738" spans="1:14" x14ac:dyDescent="0.2">
      <c r="A1738">
        <v>338</v>
      </c>
      <c r="B1738">
        <v>129</v>
      </c>
      <c r="C1738" t="s">
        <v>32</v>
      </c>
      <c r="D1738" t="s">
        <v>251</v>
      </c>
      <c r="E1738" t="s">
        <v>12</v>
      </c>
      <c r="F1738">
        <v>2</v>
      </c>
      <c r="G1738" t="s">
        <v>13</v>
      </c>
      <c r="H1738" s="1">
        <v>45963.222222222219</v>
      </c>
      <c r="I1738" s="5">
        <f>INT(TB[[#This Row],[时间戳]])</f>
        <v>45963</v>
      </c>
      <c r="J1738" s="2">
        <f>HOUR(TB[[#This Row],[时间戳]])</f>
        <v>5</v>
      </c>
      <c r="K1738">
        <v>7251</v>
      </c>
      <c r="L1738">
        <v>4</v>
      </c>
      <c r="M1738">
        <f>TB[[#This Row],[售价]]*TB[[#This Row],[销量]]</f>
        <v>29004</v>
      </c>
      <c r="N1738" t="str">
        <f>IF(TB[[#This Row],[售价]]&lt;1000,"低价商品",IF(TB[[#This Row],[售价]]&lt;5000,"中价商品",IF(TB[[#This Row],[售价]]&lt;10000,"高价商品","超高价商品")))</f>
        <v>高价商品</v>
      </c>
    </row>
    <row r="1739" spans="1:14" x14ac:dyDescent="0.2">
      <c r="A1739">
        <v>723</v>
      </c>
      <c r="B1739">
        <v>71</v>
      </c>
      <c r="C1739" t="s">
        <v>36</v>
      </c>
      <c r="D1739" t="s">
        <v>366</v>
      </c>
      <c r="E1739" t="s">
        <v>22</v>
      </c>
      <c r="F1739">
        <v>1</v>
      </c>
      <c r="G1739" t="s">
        <v>13</v>
      </c>
      <c r="H1739" s="1">
        <v>45963.226388888892</v>
      </c>
      <c r="I1739" s="5">
        <f>INT(TB[[#This Row],[时间戳]])</f>
        <v>45963</v>
      </c>
      <c r="J1739" s="2">
        <f>HOUR(TB[[#This Row],[时间戳]])</f>
        <v>5</v>
      </c>
      <c r="K1739">
        <v>3660</v>
      </c>
      <c r="L1739">
        <v>1</v>
      </c>
      <c r="M1739">
        <f>TB[[#This Row],[售价]]*TB[[#This Row],[销量]]</f>
        <v>3660</v>
      </c>
      <c r="N1739" t="str">
        <f>IF(TB[[#This Row],[售价]]&lt;1000,"低价商品",IF(TB[[#This Row],[售价]]&lt;5000,"中价商品",IF(TB[[#This Row],[售价]]&lt;10000,"高价商品","超高价商品")))</f>
        <v>中价商品</v>
      </c>
    </row>
    <row r="1740" spans="1:14" x14ac:dyDescent="0.2">
      <c r="A1740">
        <v>289</v>
      </c>
      <c r="B1740">
        <v>178</v>
      </c>
      <c r="C1740" t="s">
        <v>10</v>
      </c>
      <c r="D1740" t="s">
        <v>241</v>
      </c>
      <c r="E1740" t="s">
        <v>12</v>
      </c>
      <c r="F1740">
        <v>2</v>
      </c>
      <c r="G1740" t="s">
        <v>13</v>
      </c>
      <c r="H1740" s="1">
        <v>45963.234722222223</v>
      </c>
      <c r="I1740" s="5">
        <f>INT(TB[[#This Row],[时间戳]])</f>
        <v>45963</v>
      </c>
      <c r="J1740" s="2">
        <f>HOUR(TB[[#This Row],[时间戳]])</f>
        <v>5</v>
      </c>
      <c r="K1740">
        <v>12831</v>
      </c>
      <c r="L1740">
        <v>5</v>
      </c>
      <c r="M1740">
        <f>TB[[#This Row],[售价]]*TB[[#This Row],[销量]]</f>
        <v>64155</v>
      </c>
      <c r="N1740" t="str">
        <f>IF(TB[[#This Row],[售价]]&lt;1000,"低价商品",IF(TB[[#This Row],[售价]]&lt;5000,"中价商品",IF(TB[[#This Row],[售价]]&lt;10000,"高价商品","超高价商品")))</f>
        <v>超高价商品</v>
      </c>
    </row>
    <row r="1741" spans="1:14" x14ac:dyDescent="0.2">
      <c r="A1741">
        <v>484</v>
      </c>
      <c r="B1741">
        <v>263</v>
      </c>
      <c r="C1741" t="s">
        <v>46</v>
      </c>
      <c r="D1741" t="s">
        <v>180</v>
      </c>
      <c r="E1741" t="s">
        <v>31</v>
      </c>
      <c r="F1741">
        <v>4</v>
      </c>
      <c r="G1741" t="s">
        <v>42</v>
      </c>
      <c r="H1741" s="1">
        <v>45963.244444444441</v>
      </c>
      <c r="I1741" s="5">
        <f>INT(TB[[#This Row],[时间戳]])</f>
        <v>45963</v>
      </c>
      <c r="J1741" s="2">
        <f>HOUR(TB[[#This Row],[时间戳]])</f>
        <v>5</v>
      </c>
      <c r="K1741">
        <v>884</v>
      </c>
      <c r="L1741">
        <v>0</v>
      </c>
      <c r="M1741">
        <f>TB[[#This Row],[售价]]*TB[[#This Row],[销量]]</f>
        <v>0</v>
      </c>
      <c r="N1741" t="str">
        <f>IF(TB[[#This Row],[售价]]&lt;1000,"低价商品",IF(TB[[#This Row],[售价]]&lt;5000,"中价商品",IF(TB[[#This Row],[售价]]&lt;10000,"高价商品","超高价商品")))</f>
        <v>低价商品</v>
      </c>
    </row>
    <row r="1742" spans="1:14" x14ac:dyDescent="0.2">
      <c r="A1742">
        <v>233</v>
      </c>
      <c r="B1742">
        <v>108</v>
      </c>
      <c r="C1742" t="s">
        <v>17</v>
      </c>
      <c r="D1742" t="s">
        <v>214</v>
      </c>
      <c r="E1742" t="s">
        <v>22</v>
      </c>
      <c r="F1742">
        <v>1</v>
      </c>
      <c r="G1742" t="s">
        <v>13</v>
      </c>
      <c r="H1742" s="1">
        <v>45963.276388888888</v>
      </c>
      <c r="I1742" s="5">
        <f>INT(TB[[#This Row],[时间戳]])</f>
        <v>45963</v>
      </c>
      <c r="J1742" s="2">
        <f>HOUR(TB[[#This Row],[时间戳]])</f>
        <v>6</v>
      </c>
      <c r="K1742">
        <v>7111</v>
      </c>
      <c r="L1742">
        <v>2</v>
      </c>
      <c r="M1742">
        <f>TB[[#This Row],[售价]]*TB[[#This Row],[销量]]</f>
        <v>14222</v>
      </c>
      <c r="N1742" t="str">
        <f>IF(TB[[#This Row],[售价]]&lt;1000,"低价商品",IF(TB[[#This Row],[售价]]&lt;5000,"中价商品",IF(TB[[#This Row],[售价]]&lt;10000,"高价商品","超高价商品")))</f>
        <v>高价商品</v>
      </c>
    </row>
    <row r="1743" spans="1:14" x14ac:dyDescent="0.2">
      <c r="A1743">
        <v>566</v>
      </c>
      <c r="B1743">
        <v>240</v>
      </c>
      <c r="C1743" t="s">
        <v>20</v>
      </c>
      <c r="D1743" t="s">
        <v>230</v>
      </c>
      <c r="E1743" t="s">
        <v>19</v>
      </c>
      <c r="F1743">
        <v>3</v>
      </c>
      <c r="G1743" t="s">
        <v>13</v>
      </c>
      <c r="H1743" s="1">
        <v>45963.301388888889</v>
      </c>
      <c r="I1743" s="5">
        <f>INT(TB[[#This Row],[时间戳]])</f>
        <v>45963</v>
      </c>
      <c r="J1743" s="2">
        <f>HOUR(TB[[#This Row],[时间戳]])</f>
        <v>7</v>
      </c>
      <c r="K1743">
        <v>5305</v>
      </c>
      <c r="L1743">
        <v>2</v>
      </c>
      <c r="M1743">
        <f>TB[[#This Row],[售价]]*TB[[#This Row],[销量]]</f>
        <v>10610</v>
      </c>
      <c r="N1743" t="str">
        <f>IF(TB[[#This Row],[售价]]&lt;1000,"低价商品",IF(TB[[#This Row],[售价]]&lt;5000,"中价商品",IF(TB[[#This Row],[售价]]&lt;10000,"高价商品","超高价商品")))</f>
        <v>高价商品</v>
      </c>
    </row>
    <row r="1744" spans="1:14" x14ac:dyDescent="0.2">
      <c r="A1744">
        <v>193</v>
      </c>
      <c r="B1744">
        <v>220</v>
      </c>
      <c r="C1744" t="s">
        <v>14</v>
      </c>
      <c r="D1744" t="s">
        <v>53</v>
      </c>
      <c r="E1744" t="s">
        <v>12</v>
      </c>
      <c r="F1744">
        <v>2</v>
      </c>
      <c r="G1744" t="s">
        <v>13</v>
      </c>
      <c r="H1744" s="1">
        <v>45963.327777777777</v>
      </c>
      <c r="I1744" s="5">
        <f>INT(TB[[#This Row],[时间戳]])</f>
        <v>45963</v>
      </c>
      <c r="J1744" s="2">
        <f>HOUR(TB[[#This Row],[时间戳]])</f>
        <v>7</v>
      </c>
      <c r="K1744">
        <v>11533</v>
      </c>
      <c r="L1744">
        <v>4</v>
      </c>
      <c r="M1744">
        <f>TB[[#This Row],[售价]]*TB[[#This Row],[销量]]</f>
        <v>46132</v>
      </c>
      <c r="N1744" t="str">
        <f>IF(TB[[#This Row],[售价]]&lt;1000,"低价商品",IF(TB[[#This Row],[售价]]&lt;5000,"中价商品",IF(TB[[#This Row],[售价]]&lt;10000,"高价商品","超高价商品")))</f>
        <v>超高价商品</v>
      </c>
    </row>
    <row r="1745" spans="1:14" x14ac:dyDescent="0.2">
      <c r="A1745">
        <v>461</v>
      </c>
      <c r="B1745">
        <v>286</v>
      </c>
      <c r="C1745" t="s">
        <v>32</v>
      </c>
      <c r="D1745" t="s">
        <v>79</v>
      </c>
      <c r="E1745" t="s">
        <v>31</v>
      </c>
      <c r="F1745">
        <v>4</v>
      </c>
      <c r="G1745" t="s">
        <v>13</v>
      </c>
      <c r="H1745" s="1">
        <v>45963.328472222223</v>
      </c>
      <c r="I1745" s="5">
        <f>INT(TB[[#This Row],[时间戳]])</f>
        <v>45963</v>
      </c>
      <c r="J1745" s="2">
        <f>HOUR(TB[[#This Row],[时间戳]])</f>
        <v>7</v>
      </c>
      <c r="K1745">
        <v>1492</v>
      </c>
      <c r="L1745">
        <v>1</v>
      </c>
      <c r="M1745">
        <f>TB[[#This Row],[售价]]*TB[[#This Row],[销量]]</f>
        <v>1492</v>
      </c>
      <c r="N1745" t="str">
        <f>IF(TB[[#This Row],[售价]]&lt;1000,"低价商品",IF(TB[[#This Row],[售价]]&lt;5000,"中价商品",IF(TB[[#This Row],[售价]]&lt;10000,"高价商品","超高价商品")))</f>
        <v>中价商品</v>
      </c>
    </row>
    <row r="1746" spans="1:14" x14ac:dyDescent="0.2">
      <c r="A1746">
        <v>132</v>
      </c>
      <c r="B1746">
        <v>157</v>
      </c>
      <c r="C1746" t="s">
        <v>26</v>
      </c>
      <c r="D1746" t="s">
        <v>364</v>
      </c>
      <c r="E1746" t="s">
        <v>39</v>
      </c>
      <c r="F1746">
        <v>5</v>
      </c>
      <c r="G1746" t="s">
        <v>13</v>
      </c>
      <c r="H1746" s="1">
        <v>45963.338194444441</v>
      </c>
      <c r="I1746" s="5">
        <f>INT(TB[[#This Row],[时间戳]])</f>
        <v>45963</v>
      </c>
      <c r="J1746" s="2">
        <f>HOUR(TB[[#This Row],[时间戳]])</f>
        <v>8</v>
      </c>
      <c r="K1746">
        <v>914</v>
      </c>
      <c r="L1746">
        <v>1</v>
      </c>
      <c r="M1746">
        <f>TB[[#This Row],[售价]]*TB[[#This Row],[销量]]</f>
        <v>914</v>
      </c>
      <c r="N1746" t="str">
        <f>IF(TB[[#This Row],[售价]]&lt;1000,"低价商品",IF(TB[[#This Row],[售价]]&lt;5000,"中价商品",IF(TB[[#This Row],[售价]]&lt;10000,"高价商品","超高价商品")))</f>
        <v>低价商品</v>
      </c>
    </row>
    <row r="1747" spans="1:14" x14ac:dyDescent="0.2">
      <c r="A1747">
        <v>348</v>
      </c>
      <c r="B1747">
        <v>116</v>
      </c>
      <c r="C1747" t="s">
        <v>44</v>
      </c>
      <c r="D1747" t="s">
        <v>408</v>
      </c>
      <c r="E1747" t="s">
        <v>39</v>
      </c>
      <c r="F1747">
        <v>5</v>
      </c>
      <c r="G1747" t="s">
        <v>13</v>
      </c>
      <c r="H1747" s="1">
        <v>45963.35</v>
      </c>
      <c r="I1747" s="5">
        <f>INT(TB[[#This Row],[时间戳]])</f>
        <v>45963</v>
      </c>
      <c r="J1747" s="2">
        <f>HOUR(TB[[#This Row],[时间戳]])</f>
        <v>8</v>
      </c>
      <c r="K1747">
        <v>3626</v>
      </c>
      <c r="L1747">
        <v>2</v>
      </c>
      <c r="M1747">
        <f>TB[[#This Row],[售价]]*TB[[#This Row],[销量]]</f>
        <v>7252</v>
      </c>
      <c r="N1747" t="str">
        <f>IF(TB[[#This Row],[售价]]&lt;1000,"低价商品",IF(TB[[#This Row],[售价]]&lt;5000,"中价商品",IF(TB[[#This Row],[售价]]&lt;10000,"高价商品","超高价商品")))</f>
        <v>中价商品</v>
      </c>
    </row>
    <row r="1748" spans="1:14" x14ac:dyDescent="0.2">
      <c r="A1748">
        <v>307</v>
      </c>
      <c r="B1748">
        <v>167</v>
      </c>
      <c r="C1748" t="s">
        <v>17</v>
      </c>
      <c r="D1748" t="s">
        <v>198</v>
      </c>
      <c r="E1748" t="s">
        <v>19</v>
      </c>
      <c r="F1748">
        <v>3</v>
      </c>
      <c r="G1748" t="s">
        <v>13</v>
      </c>
      <c r="H1748" s="1">
        <v>45963.350694444445</v>
      </c>
      <c r="I1748" s="5">
        <f>INT(TB[[#This Row],[时间戳]])</f>
        <v>45963</v>
      </c>
      <c r="J1748" s="2">
        <f>HOUR(TB[[#This Row],[时间戳]])</f>
        <v>8</v>
      </c>
      <c r="K1748">
        <v>4950</v>
      </c>
      <c r="L1748">
        <v>4</v>
      </c>
      <c r="M1748">
        <f>TB[[#This Row],[售价]]*TB[[#This Row],[销量]]</f>
        <v>19800</v>
      </c>
      <c r="N1748" t="str">
        <f>IF(TB[[#This Row],[售价]]&lt;1000,"低价商品",IF(TB[[#This Row],[售价]]&lt;5000,"中价商品",IF(TB[[#This Row],[售价]]&lt;10000,"高价商品","超高价商品")))</f>
        <v>中价商品</v>
      </c>
    </row>
    <row r="1749" spans="1:14" x14ac:dyDescent="0.2">
      <c r="A1749">
        <v>143</v>
      </c>
      <c r="B1749">
        <v>79</v>
      </c>
      <c r="C1749" t="s">
        <v>46</v>
      </c>
      <c r="D1749" t="s">
        <v>315</v>
      </c>
      <c r="E1749" t="s">
        <v>12</v>
      </c>
      <c r="F1749">
        <v>2</v>
      </c>
      <c r="G1749" t="s">
        <v>13</v>
      </c>
      <c r="H1749" s="1">
        <v>45963.356249999997</v>
      </c>
      <c r="I1749" s="5">
        <f>INT(TB[[#This Row],[时间戳]])</f>
        <v>45963</v>
      </c>
      <c r="J1749" s="2">
        <f>HOUR(TB[[#This Row],[时间戳]])</f>
        <v>8</v>
      </c>
      <c r="K1749">
        <v>13427</v>
      </c>
      <c r="L1749">
        <v>2</v>
      </c>
      <c r="M1749">
        <f>TB[[#This Row],[售价]]*TB[[#This Row],[销量]]</f>
        <v>26854</v>
      </c>
      <c r="N1749" t="str">
        <f>IF(TB[[#This Row],[售价]]&lt;1000,"低价商品",IF(TB[[#This Row],[售价]]&lt;5000,"中价商品",IF(TB[[#This Row],[售价]]&lt;10000,"高价商品","超高价商品")))</f>
        <v>超高价商品</v>
      </c>
    </row>
    <row r="1750" spans="1:14" x14ac:dyDescent="0.2">
      <c r="A1750">
        <v>588</v>
      </c>
      <c r="B1750">
        <v>201</v>
      </c>
      <c r="C1750" t="s">
        <v>46</v>
      </c>
      <c r="D1750" t="s">
        <v>150</v>
      </c>
      <c r="E1750" t="s">
        <v>25</v>
      </c>
      <c r="F1750">
        <v>7</v>
      </c>
      <c r="G1750" t="s">
        <v>13</v>
      </c>
      <c r="H1750" s="1">
        <v>45963.382638888892</v>
      </c>
      <c r="I1750" s="5">
        <f>INT(TB[[#This Row],[时间戳]])</f>
        <v>45963</v>
      </c>
      <c r="J1750" s="2">
        <f>HOUR(TB[[#This Row],[时间戳]])</f>
        <v>9</v>
      </c>
      <c r="K1750">
        <v>4295</v>
      </c>
      <c r="L1750">
        <v>1</v>
      </c>
      <c r="M1750">
        <f>TB[[#This Row],[售价]]*TB[[#This Row],[销量]]</f>
        <v>4295</v>
      </c>
      <c r="N1750" t="str">
        <f>IF(TB[[#This Row],[售价]]&lt;1000,"低价商品",IF(TB[[#This Row],[售价]]&lt;5000,"中价商品",IF(TB[[#This Row],[售价]]&lt;10000,"高价商品","超高价商品")))</f>
        <v>中价商品</v>
      </c>
    </row>
    <row r="1751" spans="1:14" x14ac:dyDescent="0.2">
      <c r="A1751">
        <v>548</v>
      </c>
      <c r="B1751">
        <v>198</v>
      </c>
      <c r="C1751" t="s">
        <v>17</v>
      </c>
      <c r="D1751" t="s">
        <v>74</v>
      </c>
      <c r="E1751" t="s">
        <v>22</v>
      </c>
      <c r="F1751">
        <v>1</v>
      </c>
      <c r="G1751" t="s">
        <v>13</v>
      </c>
      <c r="H1751" s="1">
        <v>45963.385416666664</v>
      </c>
      <c r="I1751" s="5">
        <f>INT(TB[[#This Row],[时间戳]])</f>
        <v>45963</v>
      </c>
      <c r="J1751" s="2">
        <f>HOUR(TB[[#This Row],[时间戳]])</f>
        <v>9</v>
      </c>
      <c r="K1751">
        <v>4027</v>
      </c>
      <c r="L1751">
        <v>1</v>
      </c>
      <c r="M1751">
        <f>TB[[#This Row],[售价]]*TB[[#This Row],[销量]]</f>
        <v>4027</v>
      </c>
      <c r="N1751" t="str">
        <f>IF(TB[[#This Row],[售价]]&lt;1000,"低价商品",IF(TB[[#This Row],[售价]]&lt;5000,"中价商品",IF(TB[[#This Row],[售价]]&lt;10000,"高价商品","超高价商品")))</f>
        <v>中价商品</v>
      </c>
    </row>
    <row r="1752" spans="1:14" x14ac:dyDescent="0.2">
      <c r="A1752">
        <v>584</v>
      </c>
      <c r="B1752">
        <v>232</v>
      </c>
      <c r="C1752" t="s">
        <v>14</v>
      </c>
      <c r="D1752" t="s">
        <v>145</v>
      </c>
      <c r="E1752" t="s">
        <v>22</v>
      </c>
      <c r="F1752">
        <v>1</v>
      </c>
      <c r="G1752" t="s">
        <v>13</v>
      </c>
      <c r="H1752" s="1">
        <v>45963.399305555555</v>
      </c>
      <c r="I1752" s="5">
        <f>INT(TB[[#This Row],[时间戳]])</f>
        <v>45963</v>
      </c>
      <c r="J1752" s="2">
        <f>HOUR(TB[[#This Row],[时间戳]])</f>
        <v>9</v>
      </c>
      <c r="K1752">
        <v>2585</v>
      </c>
      <c r="L1752">
        <v>4</v>
      </c>
      <c r="M1752">
        <f>TB[[#This Row],[售价]]*TB[[#This Row],[销量]]</f>
        <v>10340</v>
      </c>
      <c r="N1752" t="str">
        <f>IF(TB[[#This Row],[售价]]&lt;1000,"低价商品",IF(TB[[#This Row],[售价]]&lt;5000,"中价商品",IF(TB[[#This Row],[售价]]&lt;10000,"高价商品","超高价商品")))</f>
        <v>中价商品</v>
      </c>
    </row>
    <row r="1753" spans="1:14" x14ac:dyDescent="0.2">
      <c r="A1753">
        <v>107</v>
      </c>
      <c r="B1753">
        <v>284</v>
      </c>
      <c r="C1753" t="s">
        <v>14</v>
      </c>
      <c r="D1753" t="s">
        <v>190</v>
      </c>
      <c r="E1753" t="s">
        <v>12</v>
      </c>
      <c r="F1753">
        <v>2</v>
      </c>
      <c r="G1753" t="s">
        <v>13</v>
      </c>
      <c r="H1753" s="1">
        <v>45963.40347222222</v>
      </c>
      <c r="I1753" s="5">
        <f>INT(TB[[#This Row],[时间戳]])</f>
        <v>45963</v>
      </c>
      <c r="J1753" s="2">
        <f>HOUR(TB[[#This Row],[时间戳]])</f>
        <v>9</v>
      </c>
      <c r="K1753">
        <v>14424</v>
      </c>
      <c r="L1753">
        <v>5</v>
      </c>
      <c r="M1753">
        <f>TB[[#This Row],[售价]]*TB[[#This Row],[销量]]</f>
        <v>72120</v>
      </c>
      <c r="N1753" t="str">
        <f>IF(TB[[#This Row],[售价]]&lt;1000,"低价商品",IF(TB[[#This Row],[售价]]&lt;5000,"中价商品",IF(TB[[#This Row],[售价]]&lt;10000,"高价商品","超高价商品")))</f>
        <v>超高价商品</v>
      </c>
    </row>
    <row r="1754" spans="1:14" x14ac:dyDescent="0.2">
      <c r="A1754">
        <v>28</v>
      </c>
      <c r="B1754">
        <v>96</v>
      </c>
      <c r="C1754" t="s">
        <v>46</v>
      </c>
      <c r="D1754" t="s">
        <v>47</v>
      </c>
      <c r="E1754" t="s">
        <v>22</v>
      </c>
      <c r="F1754">
        <v>1</v>
      </c>
      <c r="G1754" t="s">
        <v>13</v>
      </c>
      <c r="H1754" s="1">
        <v>45963.404166666667</v>
      </c>
      <c r="I1754" s="5">
        <f>INT(TB[[#This Row],[时间戳]])</f>
        <v>45963</v>
      </c>
      <c r="J1754" s="2">
        <f>HOUR(TB[[#This Row],[时间戳]])</f>
        <v>9</v>
      </c>
      <c r="K1754">
        <v>2271</v>
      </c>
      <c r="L1754">
        <v>1</v>
      </c>
      <c r="M1754">
        <f>TB[[#This Row],[售价]]*TB[[#This Row],[销量]]</f>
        <v>2271</v>
      </c>
      <c r="N1754" t="str">
        <f>IF(TB[[#This Row],[售价]]&lt;1000,"低价商品",IF(TB[[#This Row],[售价]]&lt;5000,"中价商品",IF(TB[[#This Row],[售价]]&lt;10000,"高价商品","超高价商品")))</f>
        <v>中价商品</v>
      </c>
    </row>
    <row r="1755" spans="1:14" x14ac:dyDescent="0.2">
      <c r="A1755">
        <v>211</v>
      </c>
      <c r="B1755">
        <v>120</v>
      </c>
      <c r="C1755" t="s">
        <v>17</v>
      </c>
      <c r="D1755" t="s">
        <v>257</v>
      </c>
      <c r="E1755" t="s">
        <v>19</v>
      </c>
      <c r="F1755">
        <v>3</v>
      </c>
      <c r="G1755" t="s">
        <v>13</v>
      </c>
      <c r="H1755" s="1">
        <v>45963.40902777778</v>
      </c>
      <c r="I1755" s="5">
        <f>INT(TB[[#This Row],[时间戳]])</f>
        <v>45963</v>
      </c>
      <c r="J1755" s="2">
        <f>HOUR(TB[[#This Row],[时间戳]])</f>
        <v>9</v>
      </c>
      <c r="K1755">
        <v>2965</v>
      </c>
      <c r="L1755">
        <v>1</v>
      </c>
      <c r="M1755">
        <f>TB[[#This Row],[售价]]*TB[[#This Row],[销量]]</f>
        <v>2965</v>
      </c>
      <c r="N1755" t="str">
        <f>IF(TB[[#This Row],[售价]]&lt;1000,"低价商品",IF(TB[[#This Row],[售价]]&lt;5000,"中价商品",IF(TB[[#This Row],[售价]]&lt;10000,"高价商品","超高价商品")))</f>
        <v>中价商品</v>
      </c>
    </row>
    <row r="1756" spans="1:14" x14ac:dyDescent="0.2">
      <c r="A1756">
        <v>466</v>
      </c>
      <c r="B1756">
        <v>30</v>
      </c>
      <c r="C1756" t="s">
        <v>20</v>
      </c>
      <c r="D1756" t="s">
        <v>78</v>
      </c>
      <c r="E1756" t="s">
        <v>22</v>
      </c>
      <c r="F1756">
        <v>1</v>
      </c>
      <c r="G1756" t="s">
        <v>13</v>
      </c>
      <c r="H1756" s="1">
        <v>45963.477777777778</v>
      </c>
      <c r="I1756" s="5">
        <f>INT(TB[[#This Row],[时间戳]])</f>
        <v>45963</v>
      </c>
      <c r="J1756" s="2">
        <f>HOUR(TB[[#This Row],[时间戳]])</f>
        <v>11</v>
      </c>
      <c r="K1756">
        <v>3521</v>
      </c>
      <c r="L1756">
        <v>1</v>
      </c>
      <c r="M1756">
        <f>TB[[#This Row],[售价]]*TB[[#This Row],[销量]]</f>
        <v>3521</v>
      </c>
      <c r="N1756" t="str">
        <f>IF(TB[[#This Row],[售价]]&lt;1000,"低价商品",IF(TB[[#This Row],[售价]]&lt;5000,"中价商品",IF(TB[[#This Row],[售价]]&lt;10000,"高价商品","超高价商品")))</f>
        <v>中价商品</v>
      </c>
    </row>
    <row r="1757" spans="1:14" x14ac:dyDescent="0.2">
      <c r="A1757">
        <v>335</v>
      </c>
      <c r="B1757">
        <v>211</v>
      </c>
      <c r="C1757" t="s">
        <v>10</v>
      </c>
      <c r="D1757" t="s">
        <v>41</v>
      </c>
      <c r="E1757" t="s">
        <v>22</v>
      </c>
      <c r="F1757">
        <v>1</v>
      </c>
      <c r="G1757" t="s">
        <v>13</v>
      </c>
      <c r="H1757" s="1">
        <v>45963.506944444445</v>
      </c>
      <c r="I1757" s="5">
        <f>INT(TB[[#This Row],[时间戳]])</f>
        <v>45963</v>
      </c>
      <c r="J1757" s="2">
        <f>HOUR(TB[[#This Row],[时间戳]])</f>
        <v>12</v>
      </c>
      <c r="K1757">
        <v>4084</v>
      </c>
      <c r="L1757">
        <v>1</v>
      </c>
      <c r="M1757">
        <f>TB[[#This Row],[售价]]*TB[[#This Row],[销量]]</f>
        <v>4084</v>
      </c>
      <c r="N1757" t="str">
        <f>IF(TB[[#This Row],[售价]]&lt;1000,"低价商品",IF(TB[[#This Row],[售价]]&lt;5000,"中价商品",IF(TB[[#This Row],[售价]]&lt;10000,"高价商品","超高价商品")))</f>
        <v>中价商品</v>
      </c>
    </row>
    <row r="1758" spans="1:14" x14ac:dyDescent="0.2">
      <c r="A1758">
        <v>550</v>
      </c>
      <c r="B1758">
        <v>215</v>
      </c>
      <c r="C1758" t="s">
        <v>14</v>
      </c>
      <c r="D1758" t="s">
        <v>49</v>
      </c>
      <c r="E1758" t="s">
        <v>22</v>
      </c>
      <c r="F1758">
        <v>1</v>
      </c>
      <c r="G1758" t="s">
        <v>42</v>
      </c>
      <c r="H1758" s="1">
        <v>45963.565972222219</v>
      </c>
      <c r="I1758" s="5">
        <f>INT(TB[[#This Row],[时间戳]])</f>
        <v>45963</v>
      </c>
      <c r="J1758" s="2">
        <f>HOUR(TB[[#This Row],[时间戳]])</f>
        <v>13</v>
      </c>
      <c r="K1758">
        <v>4083</v>
      </c>
      <c r="L1758">
        <v>0</v>
      </c>
      <c r="M1758">
        <f>TB[[#This Row],[售价]]*TB[[#This Row],[销量]]</f>
        <v>0</v>
      </c>
      <c r="N1758" t="str">
        <f>IF(TB[[#This Row],[售价]]&lt;1000,"低价商品",IF(TB[[#This Row],[售价]]&lt;5000,"中价商品",IF(TB[[#This Row],[售价]]&lt;10000,"高价商品","超高价商品")))</f>
        <v>中价商品</v>
      </c>
    </row>
    <row r="1759" spans="1:14" x14ac:dyDescent="0.2">
      <c r="A1759">
        <v>212</v>
      </c>
      <c r="B1759">
        <v>67</v>
      </c>
      <c r="C1759" t="s">
        <v>14</v>
      </c>
      <c r="D1759" t="s">
        <v>280</v>
      </c>
      <c r="E1759" t="s">
        <v>12</v>
      </c>
      <c r="F1759">
        <v>2</v>
      </c>
      <c r="G1759" t="s">
        <v>13</v>
      </c>
      <c r="H1759" s="1">
        <v>45963.578472222223</v>
      </c>
      <c r="I1759" s="5">
        <f>INT(TB[[#This Row],[时间戳]])</f>
        <v>45963</v>
      </c>
      <c r="J1759" s="2">
        <f>HOUR(TB[[#This Row],[时间戳]])</f>
        <v>13</v>
      </c>
      <c r="K1759">
        <v>12015</v>
      </c>
      <c r="L1759">
        <v>5</v>
      </c>
      <c r="M1759">
        <f>TB[[#This Row],[售价]]*TB[[#This Row],[销量]]</f>
        <v>60075</v>
      </c>
      <c r="N1759" t="str">
        <f>IF(TB[[#This Row],[售价]]&lt;1000,"低价商品",IF(TB[[#This Row],[售价]]&lt;5000,"中价商品",IF(TB[[#This Row],[售价]]&lt;10000,"高价商品","超高价商品")))</f>
        <v>超高价商品</v>
      </c>
    </row>
    <row r="1760" spans="1:14" x14ac:dyDescent="0.2">
      <c r="A1760">
        <v>163</v>
      </c>
      <c r="B1760">
        <v>295</v>
      </c>
      <c r="C1760" t="s">
        <v>17</v>
      </c>
      <c r="D1760" t="s">
        <v>137</v>
      </c>
      <c r="E1760" t="s">
        <v>31</v>
      </c>
      <c r="F1760">
        <v>4</v>
      </c>
      <c r="G1760" t="s">
        <v>13</v>
      </c>
      <c r="H1760" s="1">
        <v>45963.580555555556</v>
      </c>
      <c r="I1760" s="5">
        <f>INT(TB[[#This Row],[时间戳]])</f>
        <v>45963</v>
      </c>
      <c r="J1760" s="2">
        <f>HOUR(TB[[#This Row],[时间戳]])</f>
        <v>13</v>
      </c>
      <c r="K1760">
        <v>429</v>
      </c>
      <c r="L1760">
        <v>5</v>
      </c>
      <c r="M1760">
        <f>TB[[#This Row],[售价]]*TB[[#This Row],[销量]]</f>
        <v>2145</v>
      </c>
      <c r="N1760" t="str">
        <f>IF(TB[[#This Row],[售价]]&lt;1000,"低价商品",IF(TB[[#This Row],[售价]]&lt;5000,"中价商品",IF(TB[[#This Row],[售价]]&lt;10000,"高价商品","超高价商品")))</f>
        <v>低价商品</v>
      </c>
    </row>
    <row r="1761" spans="1:14" x14ac:dyDescent="0.2">
      <c r="A1761">
        <v>734</v>
      </c>
      <c r="B1761">
        <v>235</v>
      </c>
      <c r="C1761" t="s">
        <v>32</v>
      </c>
      <c r="D1761" t="s">
        <v>287</v>
      </c>
      <c r="E1761" t="s">
        <v>19</v>
      </c>
      <c r="F1761">
        <v>3</v>
      </c>
      <c r="G1761" t="s">
        <v>13</v>
      </c>
      <c r="H1761" s="1">
        <v>45963.595138888886</v>
      </c>
      <c r="I1761" s="5">
        <f>INT(TB[[#This Row],[时间戳]])</f>
        <v>45963</v>
      </c>
      <c r="J1761" s="2">
        <f>HOUR(TB[[#This Row],[时间戳]])</f>
        <v>14</v>
      </c>
      <c r="K1761">
        <v>4142</v>
      </c>
      <c r="L1761">
        <v>2</v>
      </c>
      <c r="M1761">
        <f>TB[[#This Row],[售价]]*TB[[#This Row],[销量]]</f>
        <v>8284</v>
      </c>
      <c r="N1761" t="str">
        <f>IF(TB[[#This Row],[售价]]&lt;1000,"低价商品",IF(TB[[#This Row],[售价]]&lt;5000,"中价商品",IF(TB[[#This Row],[售价]]&lt;10000,"高价商品","超高价商品")))</f>
        <v>中价商品</v>
      </c>
    </row>
    <row r="1762" spans="1:14" x14ac:dyDescent="0.2">
      <c r="A1762">
        <v>457</v>
      </c>
      <c r="B1762">
        <v>33</v>
      </c>
      <c r="C1762" t="s">
        <v>10</v>
      </c>
      <c r="D1762" t="s">
        <v>24</v>
      </c>
      <c r="E1762" t="s">
        <v>25</v>
      </c>
      <c r="F1762">
        <v>7</v>
      </c>
      <c r="G1762" t="s">
        <v>13</v>
      </c>
      <c r="H1762" s="1">
        <v>45963.606249999997</v>
      </c>
      <c r="I1762" s="5">
        <f>INT(TB[[#This Row],[时间戳]])</f>
        <v>45963</v>
      </c>
      <c r="J1762" s="2">
        <f>HOUR(TB[[#This Row],[时间戳]])</f>
        <v>14</v>
      </c>
      <c r="K1762">
        <v>3659</v>
      </c>
      <c r="L1762">
        <v>4</v>
      </c>
      <c r="M1762">
        <f>TB[[#This Row],[售价]]*TB[[#This Row],[销量]]</f>
        <v>14636</v>
      </c>
      <c r="N1762" t="str">
        <f>IF(TB[[#This Row],[售价]]&lt;1000,"低价商品",IF(TB[[#This Row],[售价]]&lt;5000,"中价商品",IF(TB[[#This Row],[售价]]&lt;10000,"高价商品","超高价商品")))</f>
        <v>中价商品</v>
      </c>
    </row>
    <row r="1763" spans="1:14" x14ac:dyDescent="0.2">
      <c r="A1763">
        <v>337</v>
      </c>
      <c r="B1763">
        <v>292</v>
      </c>
      <c r="C1763" t="s">
        <v>32</v>
      </c>
      <c r="D1763" t="s">
        <v>287</v>
      </c>
      <c r="E1763" t="s">
        <v>19</v>
      </c>
      <c r="F1763">
        <v>3</v>
      </c>
      <c r="G1763" t="s">
        <v>13</v>
      </c>
      <c r="H1763" s="1">
        <v>45963.640972222223</v>
      </c>
      <c r="I1763" s="5">
        <f>INT(TB[[#This Row],[时间戳]])</f>
        <v>45963</v>
      </c>
      <c r="J1763" s="2">
        <f>HOUR(TB[[#This Row],[时间戳]])</f>
        <v>15</v>
      </c>
      <c r="K1763">
        <v>4879</v>
      </c>
      <c r="L1763">
        <v>2</v>
      </c>
      <c r="M1763">
        <f>TB[[#This Row],[售价]]*TB[[#This Row],[销量]]</f>
        <v>9758</v>
      </c>
      <c r="N1763" t="str">
        <f>IF(TB[[#This Row],[售价]]&lt;1000,"低价商品",IF(TB[[#This Row],[售价]]&lt;5000,"中价商品",IF(TB[[#This Row],[售价]]&lt;10000,"高价商品","超高价商品")))</f>
        <v>中价商品</v>
      </c>
    </row>
    <row r="1764" spans="1:14" x14ac:dyDescent="0.2">
      <c r="A1764">
        <v>41</v>
      </c>
      <c r="B1764">
        <v>47</v>
      </c>
      <c r="C1764" t="s">
        <v>44</v>
      </c>
      <c r="D1764" t="s">
        <v>60</v>
      </c>
      <c r="E1764" t="s">
        <v>12</v>
      </c>
      <c r="F1764">
        <v>2</v>
      </c>
      <c r="G1764" t="s">
        <v>13</v>
      </c>
      <c r="H1764" s="1">
        <v>45963.642361111109</v>
      </c>
      <c r="I1764" s="5">
        <f>INT(TB[[#This Row],[时间戳]])</f>
        <v>45963</v>
      </c>
      <c r="J1764" s="2">
        <f>HOUR(TB[[#This Row],[时间戳]])</f>
        <v>15</v>
      </c>
      <c r="K1764">
        <v>12078</v>
      </c>
      <c r="L1764">
        <v>4</v>
      </c>
      <c r="M1764">
        <f>TB[[#This Row],[售价]]*TB[[#This Row],[销量]]</f>
        <v>48312</v>
      </c>
      <c r="N1764" t="str">
        <f>IF(TB[[#This Row],[售价]]&lt;1000,"低价商品",IF(TB[[#This Row],[售价]]&lt;5000,"中价商品",IF(TB[[#This Row],[售价]]&lt;10000,"高价商品","超高价商品")))</f>
        <v>超高价商品</v>
      </c>
    </row>
    <row r="1765" spans="1:14" x14ac:dyDescent="0.2">
      <c r="A1765">
        <v>718</v>
      </c>
      <c r="B1765">
        <v>153</v>
      </c>
      <c r="C1765" t="s">
        <v>44</v>
      </c>
      <c r="D1765" t="s">
        <v>408</v>
      </c>
      <c r="E1765" t="s">
        <v>39</v>
      </c>
      <c r="F1765">
        <v>5</v>
      </c>
      <c r="G1765" t="s">
        <v>13</v>
      </c>
      <c r="H1765" s="1">
        <v>45963.654861111114</v>
      </c>
      <c r="I1765" s="5">
        <f>INT(TB[[#This Row],[时间戳]])</f>
        <v>45963</v>
      </c>
      <c r="J1765" s="2">
        <f>HOUR(TB[[#This Row],[时间戳]])</f>
        <v>15</v>
      </c>
      <c r="K1765">
        <v>2109</v>
      </c>
      <c r="L1765">
        <v>1</v>
      </c>
      <c r="M1765">
        <f>TB[[#This Row],[售价]]*TB[[#This Row],[销量]]</f>
        <v>2109</v>
      </c>
      <c r="N1765" t="str">
        <f>IF(TB[[#This Row],[售价]]&lt;1000,"低价商品",IF(TB[[#This Row],[售价]]&lt;5000,"中价商品",IF(TB[[#This Row],[售价]]&lt;10000,"高价商品","超高价商品")))</f>
        <v>中价商品</v>
      </c>
    </row>
    <row r="1766" spans="1:14" x14ac:dyDescent="0.2">
      <c r="A1766">
        <v>256</v>
      </c>
      <c r="B1766">
        <v>92</v>
      </c>
      <c r="C1766" t="s">
        <v>26</v>
      </c>
      <c r="D1766" t="s">
        <v>95</v>
      </c>
      <c r="E1766" t="s">
        <v>22</v>
      </c>
      <c r="F1766">
        <v>1</v>
      </c>
      <c r="G1766" t="s">
        <v>42</v>
      </c>
      <c r="H1766" s="1">
        <v>45963.657638888886</v>
      </c>
      <c r="I1766" s="5">
        <f>INT(TB[[#This Row],[时间戳]])</f>
        <v>45963</v>
      </c>
      <c r="J1766" s="2">
        <f>HOUR(TB[[#This Row],[时间戳]])</f>
        <v>15</v>
      </c>
      <c r="K1766">
        <v>4316</v>
      </c>
      <c r="L1766">
        <v>0</v>
      </c>
      <c r="M1766">
        <f>TB[[#This Row],[售价]]*TB[[#This Row],[销量]]</f>
        <v>0</v>
      </c>
      <c r="N1766" t="str">
        <f>IF(TB[[#This Row],[售价]]&lt;1000,"低价商品",IF(TB[[#This Row],[售价]]&lt;5000,"中价商品",IF(TB[[#This Row],[售价]]&lt;10000,"高价商品","超高价商品")))</f>
        <v>中价商品</v>
      </c>
    </row>
    <row r="1767" spans="1:14" x14ac:dyDescent="0.2">
      <c r="A1767">
        <v>394</v>
      </c>
      <c r="B1767">
        <v>94</v>
      </c>
      <c r="C1767" t="s">
        <v>17</v>
      </c>
      <c r="D1767" t="s">
        <v>391</v>
      </c>
      <c r="E1767" t="s">
        <v>25</v>
      </c>
      <c r="F1767">
        <v>7</v>
      </c>
      <c r="G1767" t="s">
        <v>13</v>
      </c>
      <c r="H1767" s="1">
        <v>45963.665277777778</v>
      </c>
      <c r="I1767" s="5">
        <f>INT(TB[[#This Row],[时间戳]])</f>
        <v>45963</v>
      </c>
      <c r="J1767" s="2">
        <f>HOUR(TB[[#This Row],[时间戳]])</f>
        <v>15</v>
      </c>
      <c r="K1767">
        <v>6735</v>
      </c>
      <c r="L1767">
        <v>1</v>
      </c>
      <c r="M1767">
        <f>TB[[#This Row],[售价]]*TB[[#This Row],[销量]]</f>
        <v>6735</v>
      </c>
      <c r="N1767" t="str">
        <f>IF(TB[[#This Row],[售价]]&lt;1000,"低价商品",IF(TB[[#This Row],[售价]]&lt;5000,"中价商品",IF(TB[[#This Row],[售价]]&lt;10000,"高价商品","超高价商品")))</f>
        <v>高价商品</v>
      </c>
    </row>
    <row r="1768" spans="1:14" x14ac:dyDescent="0.2">
      <c r="A1768">
        <v>716</v>
      </c>
      <c r="B1768">
        <v>23</v>
      </c>
      <c r="C1768" t="s">
        <v>14</v>
      </c>
      <c r="D1768" t="s">
        <v>106</v>
      </c>
      <c r="E1768" t="s">
        <v>22</v>
      </c>
      <c r="F1768">
        <v>1</v>
      </c>
      <c r="G1768" t="s">
        <v>13</v>
      </c>
      <c r="H1768" s="1">
        <v>45963.689583333333</v>
      </c>
      <c r="I1768" s="5">
        <f>INT(TB[[#This Row],[时间戳]])</f>
        <v>45963</v>
      </c>
      <c r="J1768" s="2">
        <f>HOUR(TB[[#This Row],[时间戳]])</f>
        <v>16</v>
      </c>
      <c r="K1768">
        <v>6813</v>
      </c>
      <c r="L1768">
        <v>2</v>
      </c>
      <c r="M1768">
        <f>TB[[#This Row],[售价]]*TB[[#This Row],[销量]]</f>
        <v>13626</v>
      </c>
      <c r="N1768" t="str">
        <f>IF(TB[[#This Row],[售价]]&lt;1000,"低价商品",IF(TB[[#This Row],[售价]]&lt;5000,"中价商品",IF(TB[[#This Row],[售价]]&lt;10000,"高价商品","超高价商品")))</f>
        <v>高价商品</v>
      </c>
    </row>
    <row r="1769" spans="1:14" x14ac:dyDescent="0.2">
      <c r="A1769">
        <v>299</v>
      </c>
      <c r="B1769">
        <v>35</v>
      </c>
      <c r="C1769" t="s">
        <v>36</v>
      </c>
      <c r="D1769" t="s">
        <v>55</v>
      </c>
      <c r="E1769" t="s">
        <v>39</v>
      </c>
      <c r="F1769">
        <v>5</v>
      </c>
      <c r="G1769" t="s">
        <v>13</v>
      </c>
      <c r="H1769" s="1">
        <v>45963.701388888891</v>
      </c>
      <c r="I1769" s="5">
        <f>INT(TB[[#This Row],[时间戳]])</f>
        <v>45963</v>
      </c>
      <c r="J1769" s="2">
        <f>HOUR(TB[[#This Row],[时间戳]])</f>
        <v>16</v>
      </c>
      <c r="K1769">
        <v>1661</v>
      </c>
      <c r="L1769">
        <v>4</v>
      </c>
      <c r="M1769">
        <f>TB[[#This Row],[售价]]*TB[[#This Row],[销量]]</f>
        <v>6644</v>
      </c>
      <c r="N1769" t="str">
        <f>IF(TB[[#This Row],[售价]]&lt;1000,"低价商品",IF(TB[[#This Row],[售价]]&lt;5000,"中价商品",IF(TB[[#This Row],[售价]]&lt;10000,"高价商品","超高价商品")))</f>
        <v>中价商品</v>
      </c>
    </row>
    <row r="1770" spans="1:14" x14ac:dyDescent="0.2">
      <c r="A1770">
        <v>422</v>
      </c>
      <c r="B1770">
        <v>284</v>
      </c>
      <c r="C1770" t="s">
        <v>32</v>
      </c>
      <c r="D1770" t="s">
        <v>101</v>
      </c>
      <c r="E1770" t="s">
        <v>39</v>
      </c>
      <c r="F1770">
        <v>5</v>
      </c>
      <c r="G1770" t="s">
        <v>13</v>
      </c>
      <c r="H1770" s="1">
        <v>45963.710416666669</v>
      </c>
      <c r="I1770" s="5">
        <f>INT(TB[[#This Row],[时间戳]])</f>
        <v>45963</v>
      </c>
      <c r="J1770" s="2">
        <f>HOUR(TB[[#This Row],[时间戳]])</f>
        <v>17</v>
      </c>
      <c r="K1770">
        <v>3830</v>
      </c>
      <c r="L1770">
        <v>1</v>
      </c>
      <c r="M1770">
        <f>TB[[#This Row],[售价]]*TB[[#This Row],[销量]]</f>
        <v>3830</v>
      </c>
      <c r="N1770" t="str">
        <f>IF(TB[[#This Row],[售价]]&lt;1000,"低价商品",IF(TB[[#This Row],[售价]]&lt;5000,"中价商品",IF(TB[[#This Row],[售价]]&lt;10000,"高价商品","超高价商品")))</f>
        <v>中价商品</v>
      </c>
    </row>
    <row r="1771" spans="1:14" x14ac:dyDescent="0.2">
      <c r="A1771">
        <v>517</v>
      </c>
      <c r="B1771">
        <v>167</v>
      </c>
      <c r="C1771" t="s">
        <v>14</v>
      </c>
      <c r="D1771" t="s">
        <v>395</v>
      </c>
      <c r="E1771" t="s">
        <v>12</v>
      </c>
      <c r="F1771">
        <v>2</v>
      </c>
      <c r="G1771" t="s">
        <v>42</v>
      </c>
      <c r="H1771" s="1">
        <v>45963.719444444447</v>
      </c>
      <c r="I1771" s="5">
        <f>INT(TB[[#This Row],[时间戳]])</f>
        <v>45963</v>
      </c>
      <c r="J1771" s="2">
        <f>HOUR(TB[[#This Row],[时间戳]])</f>
        <v>17</v>
      </c>
      <c r="K1771">
        <v>5974</v>
      </c>
      <c r="L1771">
        <v>0</v>
      </c>
      <c r="M1771">
        <f>TB[[#This Row],[售价]]*TB[[#This Row],[销量]]</f>
        <v>0</v>
      </c>
      <c r="N1771" t="str">
        <f>IF(TB[[#This Row],[售价]]&lt;1000,"低价商品",IF(TB[[#This Row],[售价]]&lt;5000,"中价商品",IF(TB[[#This Row],[售价]]&lt;10000,"高价商品","超高价商品")))</f>
        <v>高价商品</v>
      </c>
    </row>
    <row r="1772" spans="1:14" x14ac:dyDescent="0.2">
      <c r="A1772">
        <v>213</v>
      </c>
      <c r="B1772">
        <v>260</v>
      </c>
      <c r="C1772" t="s">
        <v>26</v>
      </c>
      <c r="D1772" t="s">
        <v>219</v>
      </c>
      <c r="E1772" t="s">
        <v>22</v>
      </c>
      <c r="F1772">
        <v>1</v>
      </c>
      <c r="G1772" t="s">
        <v>13</v>
      </c>
      <c r="H1772" s="1">
        <v>45963.730555555558</v>
      </c>
      <c r="I1772" s="5">
        <f>INT(TB[[#This Row],[时间戳]])</f>
        <v>45963</v>
      </c>
      <c r="J1772" s="2">
        <f>HOUR(TB[[#This Row],[时间戳]])</f>
        <v>17</v>
      </c>
      <c r="K1772">
        <v>4389</v>
      </c>
      <c r="L1772">
        <v>4</v>
      </c>
      <c r="M1772">
        <f>TB[[#This Row],[售价]]*TB[[#This Row],[销量]]</f>
        <v>17556</v>
      </c>
      <c r="N1772" t="str">
        <f>IF(TB[[#This Row],[售价]]&lt;1000,"低价商品",IF(TB[[#This Row],[售价]]&lt;5000,"中价商品",IF(TB[[#This Row],[售价]]&lt;10000,"高价商品","超高价商品")))</f>
        <v>中价商品</v>
      </c>
    </row>
    <row r="1773" spans="1:14" x14ac:dyDescent="0.2">
      <c r="A1773">
        <v>655</v>
      </c>
      <c r="B1773">
        <v>237</v>
      </c>
      <c r="C1773" t="s">
        <v>10</v>
      </c>
      <c r="D1773" t="s">
        <v>237</v>
      </c>
      <c r="E1773" t="s">
        <v>25</v>
      </c>
      <c r="F1773">
        <v>7</v>
      </c>
      <c r="G1773" t="s">
        <v>13</v>
      </c>
      <c r="H1773" s="1">
        <v>45963.759027777778</v>
      </c>
      <c r="I1773" s="5">
        <f>INT(TB[[#This Row],[时间戳]])</f>
        <v>45963</v>
      </c>
      <c r="J1773" s="2">
        <f>HOUR(TB[[#This Row],[时间戳]])</f>
        <v>18</v>
      </c>
      <c r="K1773">
        <v>1901</v>
      </c>
      <c r="L1773">
        <v>1</v>
      </c>
      <c r="M1773">
        <f>TB[[#This Row],[售价]]*TB[[#This Row],[销量]]</f>
        <v>1901</v>
      </c>
      <c r="N1773" t="str">
        <f>IF(TB[[#This Row],[售价]]&lt;1000,"低价商品",IF(TB[[#This Row],[售价]]&lt;5000,"中价商品",IF(TB[[#This Row],[售价]]&lt;10000,"高价商品","超高价商品")))</f>
        <v>中价商品</v>
      </c>
    </row>
    <row r="1774" spans="1:14" x14ac:dyDescent="0.2">
      <c r="A1774">
        <v>407</v>
      </c>
      <c r="B1774">
        <v>20</v>
      </c>
      <c r="C1774" t="s">
        <v>17</v>
      </c>
      <c r="D1774" t="s">
        <v>61</v>
      </c>
      <c r="E1774" t="s">
        <v>31</v>
      </c>
      <c r="F1774">
        <v>4</v>
      </c>
      <c r="G1774" t="s">
        <v>13</v>
      </c>
      <c r="H1774" s="1">
        <v>45963.8</v>
      </c>
      <c r="I1774" s="5">
        <f>INT(TB[[#This Row],[时间戳]])</f>
        <v>45963</v>
      </c>
      <c r="J1774" s="2">
        <f>HOUR(TB[[#This Row],[时间戳]])</f>
        <v>19</v>
      </c>
      <c r="K1774">
        <v>805</v>
      </c>
      <c r="L1774">
        <v>1</v>
      </c>
      <c r="M1774">
        <f>TB[[#This Row],[售价]]*TB[[#This Row],[销量]]</f>
        <v>805</v>
      </c>
      <c r="N1774" t="str">
        <f>IF(TB[[#This Row],[售价]]&lt;1000,"低价商品",IF(TB[[#This Row],[售价]]&lt;5000,"中价商品",IF(TB[[#This Row],[售价]]&lt;10000,"高价商品","超高价商品")))</f>
        <v>低价商品</v>
      </c>
    </row>
    <row r="1775" spans="1:14" x14ac:dyDescent="0.2">
      <c r="A1775">
        <v>140</v>
      </c>
      <c r="B1775">
        <v>168</v>
      </c>
      <c r="C1775" t="s">
        <v>14</v>
      </c>
      <c r="D1775" t="s">
        <v>223</v>
      </c>
      <c r="E1775" t="s">
        <v>22</v>
      </c>
      <c r="F1775">
        <v>1</v>
      </c>
      <c r="G1775" t="s">
        <v>13</v>
      </c>
      <c r="H1775" s="1">
        <v>45963.857638888891</v>
      </c>
      <c r="I1775" s="5">
        <f>INT(TB[[#This Row],[时间戳]])</f>
        <v>45963</v>
      </c>
      <c r="J1775" s="2">
        <f>HOUR(TB[[#This Row],[时间戳]])</f>
        <v>20</v>
      </c>
      <c r="K1775">
        <v>1015</v>
      </c>
      <c r="L1775">
        <v>5</v>
      </c>
      <c r="M1775">
        <f>TB[[#This Row],[售价]]*TB[[#This Row],[销量]]</f>
        <v>5075</v>
      </c>
      <c r="N1775" t="str">
        <f>IF(TB[[#This Row],[售价]]&lt;1000,"低价商品",IF(TB[[#This Row],[售价]]&lt;5000,"中价商品",IF(TB[[#This Row],[售价]]&lt;10000,"高价商品","超高价商品")))</f>
        <v>中价商品</v>
      </c>
    </row>
    <row r="1776" spans="1:14" x14ac:dyDescent="0.2">
      <c r="A1776">
        <v>473</v>
      </c>
      <c r="B1776">
        <v>35</v>
      </c>
      <c r="C1776" t="s">
        <v>44</v>
      </c>
      <c r="D1776" t="s">
        <v>254</v>
      </c>
      <c r="E1776" t="s">
        <v>25</v>
      </c>
      <c r="F1776">
        <v>7</v>
      </c>
      <c r="G1776" t="s">
        <v>13</v>
      </c>
      <c r="H1776" s="1">
        <v>45963.886111111111</v>
      </c>
      <c r="I1776" s="5">
        <f>INT(TB[[#This Row],[时间戳]])</f>
        <v>45963</v>
      </c>
      <c r="J1776" s="2">
        <f>HOUR(TB[[#This Row],[时间戳]])</f>
        <v>21</v>
      </c>
      <c r="K1776">
        <v>7174</v>
      </c>
      <c r="L1776">
        <v>4</v>
      </c>
      <c r="M1776">
        <f>TB[[#This Row],[售价]]*TB[[#This Row],[销量]]</f>
        <v>28696</v>
      </c>
      <c r="N1776" t="str">
        <f>IF(TB[[#This Row],[售价]]&lt;1000,"低价商品",IF(TB[[#This Row],[售价]]&lt;5000,"中价商品",IF(TB[[#This Row],[售价]]&lt;10000,"高价商品","超高价商品")))</f>
        <v>高价商品</v>
      </c>
    </row>
    <row r="1777" spans="1:14" x14ac:dyDescent="0.2">
      <c r="A1777">
        <v>449</v>
      </c>
      <c r="B1777">
        <v>72</v>
      </c>
      <c r="C1777" t="s">
        <v>32</v>
      </c>
      <c r="D1777" t="s">
        <v>368</v>
      </c>
      <c r="E1777" t="s">
        <v>16</v>
      </c>
      <c r="F1777">
        <v>6</v>
      </c>
      <c r="G1777" t="s">
        <v>42</v>
      </c>
      <c r="H1777" s="1">
        <v>45963.893055555556</v>
      </c>
      <c r="I1777" s="5">
        <f>INT(TB[[#This Row],[时间戳]])</f>
        <v>45963</v>
      </c>
      <c r="J1777" s="2">
        <f>HOUR(TB[[#This Row],[时间戳]])</f>
        <v>21</v>
      </c>
      <c r="K1777">
        <v>3432</v>
      </c>
      <c r="L1777">
        <v>0</v>
      </c>
      <c r="M1777">
        <f>TB[[#This Row],[售价]]*TB[[#This Row],[销量]]</f>
        <v>0</v>
      </c>
      <c r="N1777" t="str">
        <f>IF(TB[[#This Row],[售价]]&lt;1000,"低价商品",IF(TB[[#This Row],[售价]]&lt;5000,"中价商品",IF(TB[[#This Row],[售价]]&lt;10000,"高价商品","超高价商品")))</f>
        <v>中价商品</v>
      </c>
    </row>
    <row r="1778" spans="1:14" x14ac:dyDescent="0.2">
      <c r="A1778">
        <v>19</v>
      </c>
      <c r="B1778">
        <v>52</v>
      </c>
      <c r="C1778" t="s">
        <v>26</v>
      </c>
      <c r="D1778" t="s">
        <v>149</v>
      </c>
      <c r="E1778" t="s">
        <v>39</v>
      </c>
      <c r="F1778">
        <v>5</v>
      </c>
      <c r="G1778" t="s">
        <v>13</v>
      </c>
      <c r="H1778" s="1">
        <v>45963.913888888892</v>
      </c>
      <c r="I1778" s="5">
        <f>INT(TB[[#This Row],[时间戳]])</f>
        <v>45963</v>
      </c>
      <c r="J1778" s="2">
        <f>HOUR(TB[[#This Row],[时间戳]])</f>
        <v>21</v>
      </c>
      <c r="K1778">
        <v>2670</v>
      </c>
      <c r="L1778">
        <v>1</v>
      </c>
      <c r="M1778">
        <f>TB[[#This Row],[售价]]*TB[[#This Row],[销量]]</f>
        <v>2670</v>
      </c>
      <c r="N1778" t="str">
        <f>IF(TB[[#This Row],[售价]]&lt;1000,"低价商品",IF(TB[[#This Row],[售价]]&lt;5000,"中价商品",IF(TB[[#This Row],[售价]]&lt;10000,"高价商品","超高价商品")))</f>
        <v>中价商品</v>
      </c>
    </row>
    <row r="1779" spans="1:14" x14ac:dyDescent="0.2">
      <c r="A1779">
        <v>760</v>
      </c>
      <c r="B1779">
        <v>201</v>
      </c>
      <c r="C1779" t="s">
        <v>14</v>
      </c>
      <c r="D1779" t="s">
        <v>52</v>
      </c>
      <c r="E1779" t="s">
        <v>31</v>
      </c>
      <c r="F1779">
        <v>4</v>
      </c>
      <c r="G1779" t="s">
        <v>13</v>
      </c>
      <c r="H1779" s="1">
        <v>45963.925000000003</v>
      </c>
      <c r="I1779" s="5">
        <f>INT(TB[[#This Row],[时间戳]])</f>
        <v>45963</v>
      </c>
      <c r="J1779" s="2">
        <f>HOUR(TB[[#This Row],[时间戳]])</f>
        <v>22</v>
      </c>
      <c r="K1779">
        <v>362</v>
      </c>
      <c r="L1779">
        <v>5</v>
      </c>
      <c r="M1779">
        <f>TB[[#This Row],[售价]]*TB[[#This Row],[销量]]</f>
        <v>1810</v>
      </c>
      <c r="N1779" t="str">
        <f>IF(TB[[#This Row],[售价]]&lt;1000,"低价商品",IF(TB[[#This Row],[售价]]&lt;5000,"中价商品",IF(TB[[#This Row],[售价]]&lt;10000,"高价商品","超高价商品")))</f>
        <v>低价商品</v>
      </c>
    </row>
    <row r="1780" spans="1:14" x14ac:dyDescent="0.2">
      <c r="A1780">
        <v>280</v>
      </c>
      <c r="B1780">
        <v>79</v>
      </c>
      <c r="C1780" t="s">
        <v>10</v>
      </c>
      <c r="D1780" t="s">
        <v>240</v>
      </c>
      <c r="E1780" t="s">
        <v>16</v>
      </c>
      <c r="F1780">
        <v>6</v>
      </c>
      <c r="G1780" t="s">
        <v>42</v>
      </c>
      <c r="H1780" s="1">
        <v>45963.929861111108</v>
      </c>
      <c r="I1780" s="5">
        <f>INT(TB[[#This Row],[时间戳]])</f>
        <v>45963</v>
      </c>
      <c r="J1780" s="2">
        <f>HOUR(TB[[#This Row],[时间戳]])</f>
        <v>22</v>
      </c>
      <c r="K1780">
        <v>4598</v>
      </c>
      <c r="L1780">
        <v>0</v>
      </c>
      <c r="M1780">
        <f>TB[[#This Row],[售价]]*TB[[#This Row],[销量]]</f>
        <v>0</v>
      </c>
      <c r="N1780" t="str">
        <f>IF(TB[[#This Row],[售价]]&lt;1000,"低价商品",IF(TB[[#This Row],[售价]]&lt;5000,"中价商品",IF(TB[[#This Row],[售价]]&lt;10000,"高价商品","超高价商品")))</f>
        <v>中价商品</v>
      </c>
    </row>
    <row r="1781" spans="1:14" x14ac:dyDescent="0.2">
      <c r="A1781">
        <v>732</v>
      </c>
      <c r="B1781">
        <v>18</v>
      </c>
      <c r="C1781" t="s">
        <v>26</v>
      </c>
      <c r="D1781" t="s">
        <v>149</v>
      </c>
      <c r="E1781" t="s">
        <v>39</v>
      </c>
      <c r="F1781">
        <v>5</v>
      </c>
      <c r="G1781" t="s">
        <v>13</v>
      </c>
      <c r="H1781" s="1">
        <v>45963.963888888888</v>
      </c>
      <c r="I1781" s="5">
        <f>INT(TB[[#This Row],[时间戳]])</f>
        <v>45963</v>
      </c>
      <c r="J1781" s="2">
        <f>HOUR(TB[[#This Row],[时间戳]])</f>
        <v>23</v>
      </c>
      <c r="K1781">
        <v>2587</v>
      </c>
      <c r="L1781">
        <v>1</v>
      </c>
      <c r="M1781">
        <f>TB[[#This Row],[售价]]*TB[[#This Row],[销量]]</f>
        <v>2587</v>
      </c>
      <c r="N1781" t="str">
        <f>IF(TB[[#This Row],[售价]]&lt;1000,"低价商品",IF(TB[[#This Row],[售价]]&lt;5000,"中价商品",IF(TB[[#This Row],[售价]]&lt;10000,"高价商品","超高价商品")))</f>
        <v>中价商品</v>
      </c>
    </row>
    <row r="1782" spans="1:14" x14ac:dyDescent="0.2">
      <c r="A1782">
        <v>714</v>
      </c>
      <c r="B1782">
        <v>25</v>
      </c>
      <c r="C1782" t="s">
        <v>32</v>
      </c>
      <c r="D1782" t="s">
        <v>176</v>
      </c>
      <c r="E1782" t="s">
        <v>22</v>
      </c>
      <c r="F1782">
        <v>1</v>
      </c>
      <c r="G1782" t="s">
        <v>13</v>
      </c>
      <c r="H1782" s="1">
        <v>45963.964583333334</v>
      </c>
      <c r="I1782" s="5">
        <f>INT(TB[[#This Row],[时间戳]])</f>
        <v>45963</v>
      </c>
      <c r="J1782" s="2">
        <f>HOUR(TB[[#This Row],[时间戳]])</f>
        <v>23</v>
      </c>
      <c r="K1782">
        <v>6601</v>
      </c>
      <c r="L1782">
        <v>4</v>
      </c>
      <c r="M1782">
        <f>TB[[#This Row],[售价]]*TB[[#This Row],[销量]]</f>
        <v>26404</v>
      </c>
      <c r="N1782" t="str">
        <f>IF(TB[[#This Row],[售价]]&lt;1000,"低价商品",IF(TB[[#This Row],[售价]]&lt;5000,"中价商品",IF(TB[[#This Row],[售价]]&lt;10000,"高价商品","超高价商品")))</f>
        <v>高价商品</v>
      </c>
    </row>
    <row r="1783" spans="1:14" x14ac:dyDescent="0.2">
      <c r="A1783">
        <v>707</v>
      </c>
      <c r="B1783">
        <v>158</v>
      </c>
      <c r="C1783" t="s">
        <v>14</v>
      </c>
      <c r="D1783" t="s">
        <v>280</v>
      </c>
      <c r="E1783" t="s">
        <v>12</v>
      </c>
      <c r="F1783">
        <v>2</v>
      </c>
      <c r="G1783" t="s">
        <v>13</v>
      </c>
      <c r="H1783" s="1">
        <v>45964.007638888892</v>
      </c>
      <c r="I1783" s="5">
        <f>INT(TB[[#This Row],[时间戳]])</f>
        <v>45964</v>
      </c>
      <c r="J1783" s="2">
        <f>HOUR(TB[[#This Row],[时间戳]])</f>
        <v>0</v>
      </c>
      <c r="K1783">
        <v>14467</v>
      </c>
      <c r="L1783">
        <v>5</v>
      </c>
      <c r="M1783">
        <f>TB[[#This Row],[售价]]*TB[[#This Row],[销量]]</f>
        <v>72335</v>
      </c>
      <c r="N1783" t="str">
        <f>IF(TB[[#This Row],[售价]]&lt;1000,"低价商品",IF(TB[[#This Row],[售价]]&lt;5000,"中价商品",IF(TB[[#This Row],[售价]]&lt;10000,"高价商品","超高价商品")))</f>
        <v>超高价商品</v>
      </c>
    </row>
    <row r="1784" spans="1:14" x14ac:dyDescent="0.2">
      <c r="A1784">
        <v>50</v>
      </c>
      <c r="B1784">
        <v>194</v>
      </c>
      <c r="C1784" t="s">
        <v>46</v>
      </c>
      <c r="D1784" t="s">
        <v>180</v>
      </c>
      <c r="E1784" t="s">
        <v>31</v>
      </c>
      <c r="F1784">
        <v>4</v>
      </c>
      <c r="G1784" t="s">
        <v>42</v>
      </c>
      <c r="H1784" s="1">
        <v>45964.018750000003</v>
      </c>
      <c r="I1784" s="5">
        <f>INT(TB[[#This Row],[时间戳]])</f>
        <v>45964</v>
      </c>
      <c r="J1784" s="2">
        <f>HOUR(TB[[#This Row],[时间戳]])</f>
        <v>0</v>
      </c>
      <c r="K1784">
        <v>785</v>
      </c>
      <c r="L1784">
        <v>0</v>
      </c>
      <c r="M1784">
        <f>TB[[#This Row],[售价]]*TB[[#This Row],[销量]]</f>
        <v>0</v>
      </c>
      <c r="N1784" t="str">
        <f>IF(TB[[#This Row],[售价]]&lt;1000,"低价商品",IF(TB[[#This Row],[售价]]&lt;5000,"中价商品",IF(TB[[#This Row],[售价]]&lt;10000,"高价商品","超高价商品")))</f>
        <v>低价商品</v>
      </c>
    </row>
    <row r="1785" spans="1:14" x14ac:dyDescent="0.2">
      <c r="A1785">
        <v>205</v>
      </c>
      <c r="B1785">
        <v>47</v>
      </c>
      <c r="C1785" t="s">
        <v>34</v>
      </c>
      <c r="D1785" t="s">
        <v>35</v>
      </c>
      <c r="E1785" t="s">
        <v>19</v>
      </c>
      <c r="F1785">
        <v>3</v>
      </c>
      <c r="G1785" t="s">
        <v>13</v>
      </c>
      <c r="H1785" s="1">
        <v>45964.037499999999</v>
      </c>
      <c r="I1785" s="5">
        <f>INT(TB[[#This Row],[时间戳]])</f>
        <v>45964</v>
      </c>
      <c r="J1785" s="2">
        <f>HOUR(TB[[#This Row],[时间戳]])</f>
        <v>0</v>
      </c>
      <c r="K1785">
        <v>3079</v>
      </c>
      <c r="L1785">
        <v>1</v>
      </c>
      <c r="M1785">
        <f>TB[[#This Row],[售价]]*TB[[#This Row],[销量]]</f>
        <v>3079</v>
      </c>
      <c r="N1785" t="str">
        <f>IF(TB[[#This Row],[售价]]&lt;1000,"低价商品",IF(TB[[#This Row],[售价]]&lt;5000,"中价商品",IF(TB[[#This Row],[售价]]&lt;10000,"高价商品","超高价商品")))</f>
        <v>中价商品</v>
      </c>
    </row>
    <row r="1786" spans="1:14" x14ac:dyDescent="0.2">
      <c r="A1786">
        <v>346</v>
      </c>
      <c r="B1786">
        <v>99</v>
      </c>
      <c r="C1786" t="s">
        <v>10</v>
      </c>
      <c r="D1786" t="s">
        <v>134</v>
      </c>
      <c r="E1786" t="s">
        <v>22</v>
      </c>
      <c r="F1786">
        <v>1</v>
      </c>
      <c r="G1786" t="s">
        <v>13</v>
      </c>
      <c r="H1786" s="1">
        <v>45964.057638888888</v>
      </c>
      <c r="I1786" s="5">
        <f>INT(TB[[#This Row],[时间戳]])</f>
        <v>45964</v>
      </c>
      <c r="J1786" s="2">
        <f>HOUR(TB[[#This Row],[时间戳]])</f>
        <v>1</v>
      </c>
      <c r="K1786">
        <v>1146</v>
      </c>
      <c r="L1786">
        <v>1</v>
      </c>
      <c r="M1786">
        <f>TB[[#This Row],[售价]]*TB[[#This Row],[销量]]</f>
        <v>1146</v>
      </c>
      <c r="N1786" t="str">
        <f>IF(TB[[#This Row],[售价]]&lt;1000,"低价商品",IF(TB[[#This Row],[售价]]&lt;5000,"中价商品",IF(TB[[#This Row],[售价]]&lt;10000,"高价商品","超高价商品")))</f>
        <v>中价商品</v>
      </c>
    </row>
    <row r="1787" spans="1:14" x14ac:dyDescent="0.2">
      <c r="A1787">
        <v>99</v>
      </c>
      <c r="B1787">
        <v>86</v>
      </c>
      <c r="C1787" t="s">
        <v>14</v>
      </c>
      <c r="D1787" t="s">
        <v>49</v>
      </c>
      <c r="E1787" t="s">
        <v>22</v>
      </c>
      <c r="F1787">
        <v>1</v>
      </c>
      <c r="G1787" t="s">
        <v>13</v>
      </c>
      <c r="H1787" s="1">
        <v>45964.098611111112</v>
      </c>
      <c r="I1787" s="5">
        <f>INT(TB[[#This Row],[时间戳]])</f>
        <v>45964</v>
      </c>
      <c r="J1787" s="2">
        <f>HOUR(TB[[#This Row],[时间戳]])</f>
        <v>2</v>
      </c>
      <c r="K1787">
        <v>6712</v>
      </c>
      <c r="L1787">
        <v>3</v>
      </c>
      <c r="M1787">
        <f>TB[[#This Row],[售价]]*TB[[#This Row],[销量]]</f>
        <v>20136</v>
      </c>
      <c r="N1787" t="str">
        <f>IF(TB[[#This Row],[售价]]&lt;1000,"低价商品",IF(TB[[#This Row],[售价]]&lt;5000,"中价商品",IF(TB[[#This Row],[售价]]&lt;10000,"高价商品","超高价商品")))</f>
        <v>高价商品</v>
      </c>
    </row>
    <row r="1788" spans="1:14" x14ac:dyDescent="0.2">
      <c r="A1788">
        <v>111</v>
      </c>
      <c r="B1788">
        <v>168</v>
      </c>
      <c r="C1788" t="s">
        <v>17</v>
      </c>
      <c r="D1788" t="s">
        <v>255</v>
      </c>
      <c r="E1788" t="s">
        <v>31</v>
      </c>
      <c r="F1788">
        <v>4</v>
      </c>
      <c r="G1788" t="s">
        <v>13</v>
      </c>
      <c r="H1788" s="1">
        <v>45964.117361111108</v>
      </c>
      <c r="I1788" s="5">
        <f>INT(TB[[#This Row],[时间戳]])</f>
        <v>45964</v>
      </c>
      <c r="J1788" s="2">
        <f>HOUR(TB[[#This Row],[时间戳]])</f>
        <v>2</v>
      </c>
      <c r="K1788">
        <v>214</v>
      </c>
      <c r="L1788">
        <v>1</v>
      </c>
      <c r="M1788">
        <f>TB[[#This Row],[售价]]*TB[[#This Row],[销量]]</f>
        <v>214</v>
      </c>
      <c r="N1788" t="str">
        <f>IF(TB[[#This Row],[售价]]&lt;1000,"低价商品",IF(TB[[#This Row],[售价]]&lt;5000,"中价商品",IF(TB[[#This Row],[售价]]&lt;10000,"高价商品","超高价商品")))</f>
        <v>低价商品</v>
      </c>
    </row>
    <row r="1789" spans="1:14" x14ac:dyDescent="0.2">
      <c r="A1789">
        <v>213</v>
      </c>
      <c r="B1789">
        <v>278</v>
      </c>
      <c r="C1789" t="s">
        <v>32</v>
      </c>
      <c r="D1789" t="s">
        <v>287</v>
      </c>
      <c r="E1789" t="s">
        <v>19</v>
      </c>
      <c r="F1789">
        <v>3</v>
      </c>
      <c r="G1789" t="s">
        <v>13</v>
      </c>
      <c r="H1789" s="1">
        <v>45964.134722222225</v>
      </c>
      <c r="I1789" s="5">
        <f>INT(TB[[#This Row],[时间戳]])</f>
        <v>45964</v>
      </c>
      <c r="J1789" s="2">
        <f>HOUR(TB[[#This Row],[时间戳]])</f>
        <v>3</v>
      </c>
      <c r="K1789">
        <v>4230</v>
      </c>
      <c r="L1789">
        <v>1</v>
      </c>
      <c r="M1789">
        <f>TB[[#This Row],[售价]]*TB[[#This Row],[销量]]</f>
        <v>4230</v>
      </c>
      <c r="N1789" t="str">
        <f>IF(TB[[#This Row],[售价]]&lt;1000,"低价商品",IF(TB[[#This Row],[售价]]&lt;5000,"中价商品",IF(TB[[#This Row],[售价]]&lt;10000,"高价商品","超高价商品")))</f>
        <v>中价商品</v>
      </c>
    </row>
    <row r="1790" spans="1:14" x14ac:dyDescent="0.2">
      <c r="A1790">
        <v>219</v>
      </c>
      <c r="B1790">
        <v>55</v>
      </c>
      <c r="C1790" t="s">
        <v>14</v>
      </c>
      <c r="D1790" t="s">
        <v>49</v>
      </c>
      <c r="E1790" t="s">
        <v>22</v>
      </c>
      <c r="F1790">
        <v>1</v>
      </c>
      <c r="G1790" t="s">
        <v>42</v>
      </c>
      <c r="H1790" s="1">
        <v>45964.136111111111</v>
      </c>
      <c r="I1790" s="5">
        <f>INT(TB[[#This Row],[时间戳]])</f>
        <v>45964</v>
      </c>
      <c r="J1790" s="2">
        <f>HOUR(TB[[#This Row],[时间戳]])</f>
        <v>3</v>
      </c>
      <c r="K1790">
        <v>4255</v>
      </c>
      <c r="L1790">
        <v>0</v>
      </c>
      <c r="M1790">
        <f>TB[[#This Row],[售价]]*TB[[#This Row],[销量]]</f>
        <v>0</v>
      </c>
      <c r="N1790" t="str">
        <f>IF(TB[[#This Row],[售价]]&lt;1000,"低价商品",IF(TB[[#This Row],[售价]]&lt;5000,"中价商品",IF(TB[[#This Row],[售价]]&lt;10000,"高价商品","超高价商品")))</f>
        <v>中价商品</v>
      </c>
    </row>
    <row r="1791" spans="1:14" x14ac:dyDescent="0.2">
      <c r="A1791">
        <v>412</v>
      </c>
      <c r="B1791">
        <v>162</v>
      </c>
      <c r="C1791" t="s">
        <v>26</v>
      </c>
      <c r="D1791" t="s">
        <v>225</v>
      </c>
      <c r="E1791" t="s">
        <v>31</v>
      </c>
      <c r="F1791">
        <v>4</v>
      </c>
      <c r="G1791" t="s">
        <v>13</v>
      </c>
      <c r="H1791" s="1">
        <v>45964.149305555555</v>
      </c>
      <c r="I1791" s="5">
        <f>INT(TB[[#This Row],[时间戳]])</f>
        <v>45964</v>
      </c>
      <c r="J1791" s="2">
        <f>HOUR(TB[[#This Row],[时间戳]])</f>
        <v>3</v>
      </c>
      <c r="K1791">
        <v>745</v>
      </c>
      <c r="L1791">
        <v>1</v>
      </c>
      <c r="M1791">
        <f>TB[[#This Row],[售价]]*TB[[#This Row],[销量]]</f>
        <v>745</v>
      </c>
      <c r="N1791" t="str">
        <f>IF(TB[[#This Row],[售价]]&lt;1000,"低价商品",IF(TB[[#This Row],[售价]]&lt;5000,"中价商品",IF(TB[[#This Row],[售价]]&lt;10000,"高价商品","超高价商品")))</f>
        <v>低价商品</v>
      </c>
    </row>
    <row r="1792" spans="1:14" x14ac:dyDescent="0.2">
      <c r="A1792">
        <v>226</v>
      </c>
      <c r="B1792">
        <v>34</v>
      </c>
      <c r="C1792" t="s">
        <v>32</v>
      </c>
      <c r="D1792" t="s">
        <v>110</v>
      </c>
      <c r="E1792" t="s">
        <v>25</v>
      </c>
      <c r="F1792">
        <v>7</v>
      </c>
      <c r="G1792" t="s">
        <v>13</v>
      </c>
      <c r="H1792" s="1">
        <v>45964.152777777781</v>
      </c>
      <c r="I1792" s="5">
        <f>INT(TB[[#This Row],[时间戳]])</f>
        <v>45964</v>
      </c>
      <c r="J1792" s="2">
        <f>HOUR(TB[[#This Row],[时间戳]])</f>
        <v>3</v>
      </c>
      <c r="K1792">
        <v>1597</v>
      </c>
      <c r="L1792">
        <v>3</v>
      </c>
      <c r="M1792">
        <f>TB[[#This Row],[售价]]*TB[[#This Row],[销量]]</f>
        <v>4791</v>
      </c>
      <c r="N1792" t="str">
        <f>IF(TB[[#This Row],[售价]]&lt;1000,"低价商品",IF(TB[[#This Row],[售价]]&lt;5000,"中价商品",IF(TB[[#This Row],[售价]]&lt;10000,"高价商品","超高价商品")))</f>
        <v>中价商品</v>
      </c>
    </row>
    <row r="1793" spans="1:14" x14ac:dyDescent="0.2">
      <c r="A1793">
        <v>45</v>
      </c>
      <c r="B1793">
        <v>35</v>
      </c>
      <c r="C1793" t="s">
        <v>46</v>
      </c>
      <c r="D1793" t="s">
        <v>220</v>
      </c>
      <c r="E1793" t="s">
        <v>39</v>
      </c>
      <c r="F1793">
        <v>5</v>
      </c>
      <c r="G1793" t="s">
        <v>13</v>
      </c>
      <c r="H1793" s="1">
        <v>45964.177083333336</v>
      </c>
      <c r="I1793" s="5">
        <f>INT(TB[[#This Row],[时间戳]])</f>
        <v>45964</v>
      </c>
      <c r="J1793" s="2">
        <f>HOUR(TB[[#This Row],[时间戳]])</f>
        <v>4</v>
      </c>
      <c r="K1793">
        <v>3437</v>
      </c>
      <c r="L1793">
        <v>3</v>
      </c>
      <c r="M1793">
        <f>TB[[#This Row],[售价]]*TB[[#This Row],[销量]]</f>
        <v>10311</v>
      </c>
      <c r="N1793" t="str">
        <f>IF(TB[[#This Row],[售价]]&lt;1000,"低价商品",IF(TB[[#This Row],[售价]]&lt;5000,"中价商品",IF(TB[[#This Row],[售价]]&lt;10000,"高价商品","超高价商品")))</f>
        <v>中价商品</v>
      </c>
    </row>
    <row r="1794" spans="1:14" x14ac:dyDescent="0.2">
      <c r="A1794">
        <v>512</v>
      </c>
      <c r="B1794">
        <v>53</v>
      </c>
      <c r="C1794" t="s">
        <v>36</v>
      </c>
      <c r="D1794" t="s">
        <v>192</v>
      </c>
      <c r="E1794" t="s">
        <v>22</v>
      </c>
      <c r="F1794">
        <v>1</v>
      </c>
      <c r="G1794" t="s">
        <v>42</v>
      </c>
      <c r="H1794" s="1">
        <v>45964.19027777778</v>
      </c>
      <c r="I1794" s="5">
        <f>INT(TB[[#This Row],[时间戳]])</f>
        <v>45964</v>
      </c>
      <c r="J1794" s="2">
        <f>HOUR(TB[[#This Row],[时间戳]])</f>
        <v>4</v>
      </c>
      <c r="K1794">
        <v>2800</v>
      </c>
      <c r="L1794">
        <v>0</v>
      </c>
      <c r="M1794">
        <f>TB[[#This Row],[售价]]*TB[[#This Row],[销量]]</f>
        <v>0</v>
      </c>
      <c r="N1794" t="str">
        <f>IF(TB[[#This Row],[售价]]&lt;1000,"低价商品",IF(TB[[#This Row],[售价]]&lt;5000,"中价商品",IF(TB[[#This Row],[售价]]&lt;10000,"高价商品","超高价商品")))</f>
        <v>中价商品</v>
      </c>
    </row>
    <row r="1795" spans="1:14" x14ac:dyDescent="0.2">
      <c r="A1795">
        <v>98</v>
      </c>
      <c r="B1795">
        <v>167</v>
      </c>
      <c r="C1795" t="s">
        <v>26</v>
      </c>
      <c r="D1795" t="s">
        <v>306</v>
      </c>
      <c r="E1795" t="s">
        <v>31</v>
      </c>
      <c r="F1795">
        <v>4</v>
      </c>
      <c r="G1795" t="s">
        <v>13</v>
      </c>
      <c r="H1795" s="1">
        <v>45964.211111111108</v>
      </c>
      <c r="I1795" s="5">
        <f>INT(TB[[#This Row],[时间戳]])</f>
        <v>45964</v>
      </c>
      <c r="J1795" s="2">
        <f>HOUR(TB[[#This Row],[时间戳]])</f>
        <v>5</v>
      </c>
      <c r="K1795">
        <v>1239</v>
      </c>
      <c r="L1795">
        <v>5</v>
      </c>
      <c r="M1795">
        <f>TB[[#This Row],[售价]]*TB[[#This Row],[销量]]</f>
        <v>6195</v>
      </c>
      <c r="N1795" t="str">
        <f>IF(TB[[#This Row],[售价]]&lt;1000,"低价商品",IF(TB[[#This Row],[售价]]&lt;5000,"中价商品",IF(TB[[#This Row],[售价]]&lt;10000,"高价商品","超高价商品")))</f>
        <v>中价商品</v>
      </c>
    </row>
    <row r="1796" spans="1:14" x14ac:dyDescent="0.2">
      <c r="A1796">
        <v>180</v>
      </c>
      <c r="B1796">
        <v>163</v>
      </c>
      <c r="C1796" t="s">
        <v>26</v>
      </c>
      <c r="D1796" t="s">
        <v>392</v>
      </c>
      <c r="E1796" t="s">
        <v>16</v>
      </c>
      <c r="F1796">
        <v>6</v>
      </c>
      <c r="G1796" t="s">
        <v>13</v>
      </c>
      <c r="H1796" s="1">
        <v>45964.212500000001</v>
      </c>
      <c r="I1796" s="5">
        <f>INT(TB[[#This Row],[时间戳]])</f>
        <v>45964</v>
      </c>
      <c r="J1796" s="2">
        <f>HOUR(TB[[#This Row],[时间戳]])</f>
        <v>5</v>
      </c>
      <c r="K1796">
        <v>8513</v>
      </c>
      <c r="L1796">
        <v>1</v>
      </c>
      <c r="M1796">
        <f>TB[[#This Row],[售价]]*TB[[#This Row],[销量]]</f>
        <v>8513</v>
      </c>
      <c r="N1796" t="str">
        <f>IF(TB[[#This Row],[售价]]&lt;1000,"低价商品",IF(TB[[#This Row],[售价]]&lt;5000,"中价商品",IF(TB[[#This Row],[售价]]&lt;10000,"高价商品","超高价商品")))</f>
        <v>高价商品</v>
      </c>
    </row>
    <row r="1797" spans="1:14" x14ac:dyDescent="0.2">
      <c r="A1797">
        <v>344</v>
      </c>
      <c r="B1797">
        <v>10</v>
      </c>
      <c r="C1797" t="s">
        <v>44</v>
      </c>
      <c r="D1797" t="s">
        <v>59</v>
      </c>
      <c r="E1797" t="s">
        <v>22</v>
      </c>
      <c r="F1797">
        <v>1</v>
      </c>
      <c r="G1797" t="s">
        <v>42</v>
      </c>
      <c r="H1797" s="1">
        <v>45964.213888888888</v>
      </c>
      <c r="I1797" s="5">
        <f>INT(TB[[#This Row],[时间戳]])</f>
        <v>45964</v>
      </c>
      <c r="J1797" s="2">
        <f>HOUR(TB[[#This Row],[时间戳]])</f>
        <v>5</v>
      </c>
      <c r="K1797">
        <v>8000</v>
      </c>
      <c r="L1797">
        <v>0</v>
      </c>
      <c r="M1797">
        <f>TB[[#This Row],[售价]]*TB[[#This Row],[销量]]</f>
        <v>0</v>
      </c>
      <c r="N1797" t="str">
        <f>IF(TB[[#This Row],[售价]]&lt;1000,"低价商品",IF(TB[[#This Row],[售价]]&lt;5000,"中价商品",IF(TB[[#This Row],[售价]]&lt;10000,"高价商品","超高价商品")))</f>
        <v>高价商品</v>
      </c>
    </row>
    <row r="1798" spans="1:14" x14ac:dyDescent="0.2">
      <c r="A1798">
        <v>524</v>
      </c>
      <c r="B1798">
        <v>120</v>
      </c>
      <c r="C1798" t="s">
        <v>44</v>
      </c>
      <c r="D1798" t="s">
        <v>163</v>
      </c>
      <c r="E1798" t="s">
        <v>12</v>
      </c>
      <c r="F1798">
        <v>2</v>
      </c>
      <c r="G1798" t="s">
        <v>42</v>
      </c>
      <c r="H1798" s="1">
        <v>45964.236805555556</v>
      </c>
      <c r="I1798" s="5">
        <f>INT(TB[[#This Row],[时间戳]])</f>
        <v>45964</v>
      </c>
      <c r="J1798" s="2">
        <f>HOUR(TB[[#This Row],[时间戳]])</f>
        <v>5</v>
      </c>
      <c r="K1798">
        <v>14069</v>
      </c>
      <c r="L1798">
        <v>0</v>
      </c>
      <c r="M1798">
        <f>TB[[#This Row],[售价]]*TB[[#This Row],[销量]]</f>
        <v>0</v>
      </c>
      <c r="N1798" t="str">
        <f>IF(TB[[#This Row],[售价]]&lt;1000,"低价商品",IF(TB[[#This Row],[售价]]&lt;5000,"中价商品",IF(TB[[#This Row],[售价]]&lt;10000,"高价商品","超高价商品")))</f>
        <v>超高价商品</v>
      </c>
    </row>
    <row r="1799" spans="1:14" x14ac:dyDescent="0.2">
      <c r="A1799">
        <v>22</v>
      </c>
      <c r="B1799">
        <v>64</v>
      </c>
      <c r="C1799" t="s">
        <v>10</v>
      </c>
      <c r="D1799" t="s">
        <v>41</v>
      </c>
      <c r="E1799" t="s">
        <v>22</v>
      </c>
      <c r="F1799">
        <v>1</v>
      </c>
      <c r="G1799" t="s">
        <v>13</v>
      </c>
      <c r="H1799" s="1">
        <v>45964.238194444442</v>
      </c>
      <c r="I1799" s="5">
        <f>INT(TB[[#This Row],[时间戳]])</f>
        <v>45964</v>
      </c>
      <c r="J1799" s="2">
        <f>HOUR(TB[[#This Row],[时间戳]])</f>
        <v>5</v>
      </c>
      <c r="K1799">
        <v>5224</v>
      </c>
      <c r="L1799">
        <v>3</v>
      </c>
      <c r="M1799">
        <f>TB[[#This Row],[售价]]*TB[[#This Row],[销量]]</f>
        <v>15672</v>
      </c>
      <c r="N1799" t="str">
        <f>IF(TB[[#This Row],[售价]]&lt;1000,"低价商品",IF(TB[[#This Row],[售价]]&lt;5000,"中价商品",IF(TB[[#This Row],[售价]]&lt;10000,"高价商品","超高价商品")))</f>
        <v>高价商品</v>
      </c>
    </row>
    <row r="1800" spans="1:14" x14ac:dyDescent="0.2">
      <c r="A1800">
        <v>635</v>
      </c>
      <c r="B1800">
        <v>41</v>
      </c>
      <c r="C1800" t="s">
        <v>17</v>
      </c>
      <c r="D1800" t="s">
        <v>61</v>
      </c>
      <c r="E1800" t="s">
        <v>31</v>
      </c>
      <c r="F1800">
        <v>4</v>
      </c>
      <c r="G1800" t="s">
        <v>13</v>
      </c>
      <c r="H1800" s="1">
        <v>45964.239583333336</v>
      </c>
      <c r="I1800" s="5">
        <f>INT(TB[[#This Row],[时间戳]])</f>
        <v>45964</v>
      </c>
      <c r="J1800" s="2">
        <f>HOUR(TB[[#This Row],[时间戳]])</f>
        <v>5</v>
      </c>
      <c r="K1800">
        <v>603</v>
      </c>
      <c r="L1800">
        <v>1</v>
      </c>
      <c r="M1800">
        <f>TB[[#This Row],[售价]]*TB[[#This Row],[销量]]</f>
        <v>603</v>
      </c>
      <c r="N1800" t="str">
        <f>IF(TB[[#This Row],[售价]]&lt;1000,"低价商品",IF(TB[[#This Row],[售价]]&lt;5000,"中价商品",IF(TB[[#This Row],[售价]]&lt;10000,"高价商品","超高价商品")))</f>
        <v>低价商品</v>
      </c>
    </row>
    <row r="1801" spans="1:14" x14ac:dyDescent="0.2">
      <c r="A1801">
        <v>304</v>
      </c>
      <c r="B1801">
        <v>104</v>
      </c>
      <c r="C1801" t="s">
        <v>34</v>
      </c>
      <c r="D1801" t="s">
        <v>346</v>
      </c>
      <c r="E1801" t="s">
        <v>22</v>
      </c>
      <c r="F1801">
        <v>1</v>
      </c>
      <c r="G1801" t="s">
        <v>13</v>
      </c>
      <c r="H1801" s="1">
        <v>45964.240277777775</v>
      </c>
      <c r="I1801" s="5">
        <f>INT(TB[[#This Row],[时间戳]])</f>
        <v>45964</v>
      </c>
      <c r="J1801" s="2">
        <f>HOUR(TB[[#This Row],[时间戳]])</f>
        <v>5</v>
      </c>
      <c r="K1801">
        <v>1360</v>
      </c>
      <c r="L1801">
        <v>1</v>
      </c>
      <c r="M1801">
        <f>TB[[#This Row],[售价]]*TB[[#This Row],[销量]]</f>
        <v>1360</v>
      </c>
      <c r="N1801" t="str">
        <f>IF(TB[[#This Row],[售价]]&lt;1000,"低价商品",IF(TB[[#This Row],[售价]]&lt;5000,"中价商品",IF(TB[[#This Row],[售价]]&lt;10000,"高价商品","超高价商品")))</f>
        <v>中价商品</v>
      </c>
    </row>
    <row r="1802" spans="1:14" x14ac:dyDescent="0.2">
      <c r="A1802">
        <v>244</v>
      </c>
      <c r="B1802">
        <v>228</v>
      </c>
      <c r="C1802" t="s">
        <v>32</v>
      </c>
      <c r="D1802" t="s">
        <v>411</v>
      </c>
      <c r="E1802" t="s">
        <v>39</v>
      </c>
      <c r="F1802">
        <v>5</v>
      </c>
      <c r="G1802" t="s">
        <v>13</v>
      </c>
      <c r="H1802" s="1">
        <v>45964.29791666667</v>
      </c>
      <c r="I1802" s="5">
        <f>INT(TB[[#This Row],[时间戳]])</f>
        <v>45964</v>
      </c>
      <c r="J1802" s="2">
        <f>HOUR(TB[[#This Row],[时间戳]])</f>
        <v>7</v>
      </c>
      <c r="K1802">
        <v>1413</v>
      </c>
      <c r="L1802">
        <v>1</v>
      </c>
      <c r="M1802">
        <f>TB[[#This Row],[售价]]*TB[[#This Row],[销量]]</f>
        <v>1413</v>
      </c>
      <c r="N1802" t="str">
        <f>IF(TB[[#This Row],[售价]]&lt;1000,"低价商品",IF(TB[[#This Row],[售价]]&lt;5000,"中价商品",IF(TB[[#This Row],[售价]]&lt;10000,"高价商品","超高价商品")))</f>
        <v>中价商品</v>
      </c>
    </row>
    <row r="1803" spans="1:14" x14ac:dyDescent="0.2">
      <c r="A1803">
        <v>660</v>
      </c>
      <c r="B1803">
        <v>21</v>
      </c>
      <c r="C1803" t="s">
        <v>36</v>
      </c>
      <c r="D1803" t="s">
        <v>102</v>
      </c>
      <c r="E1803" t="s">
        <v>19</v>
      </c>
      <c r="F1803">
        <v>3</v>
      </c>
      <c r="G1803" t="s">
        <v>13</v>
      </c>
      <c r="H1803" s="1">
        <v>45964.322222222225</v>
      </c>
      <c r="I1803" s="5">
        <f>INT(TB[[#This Row],[时间戳]])</f>
        <v>45964</v>
      </c>
      <c r="J1803" s="2">
        <f>HOUR(TB[[#This Row],[时间戳]])</f>
        <v>7</v>
      </c>
      <c r="K1803">
        <v>4060</v>
      </c>
      <c r="L1803">
        <v>1</v>
      </c>
      <c r="M1803">
        <f>TB[[#This Row],[售价]]*TB[[#This Row],[销量]]</f>
        <v>4060</v>
      </c>
      <c r="N1803" t="str">
        <f>IF(TB[[#This Row],[售价]]&lt;1000,"低价商品",IF(TB[[#This Row],[售价]]&lt;5000,"中价商品",IF(TB[[#This Row],[售价]]&lt;10000,"高价商品","超高价商品")))</f>
        <v>中价商品</v>
      </c>
    </row>
    <row r="1804" spans="1:14" x14ac:dyDescent="0.2">
      <c r="A1804">
        <v>235</v>
      </c>
      <c r="B1804">
        <v>170</v>
      </c>
      <c r="C1804" t="s">
        <v>36</v>
      </c>
      <c r="D1804" t="s">
        <v>386</v>
      </c>
      <c r="E1804" t="s">
        <v>22</v>
      </c>
      <c r="F1804">
        <v>1</v>
      </c>
      <c r="G1804" t="s">
        <v>42</v>
      </c>
      <c r="H1804" s="1">
        <v>45964.330555555556</v>
      </c>
      <c r="I1804" s="5">
        <f>INT(TB[[#This Row],[时间戳]])</f>
        <v>45964</v>
      </c>
      <c r="J1804" s="2">
        <f>HOUR(TB[[#This Row],[时间戳]])</f>
        <v>7</v>
      </c>
      <c r="K1804">
        <v>5278</v>
      </c>
      <c r="L1804">
        <v>0</v>
      </c>
      <c r="M1804">
        <f>TB[[#This Row],[售价]]*TB[[#This Row],[销量]]</f>
        <v>0</v>
      </c>
      <c r="N1804" t="str">
        <f>IF(TB[[#This Row],[售价]]&lt;1000,"低价商品",IF(TB[[#This Row],[售价]]&lt;5000,"中价商品",IF(TB[[#This Row],[售价]]&lt;10000,"高价商品","超高价商品")))</f>
        <v>高价商品</v>
      </c>
    </row>
    <row r="1805" spans="1:14" x14ac:dyDescent="0.2">
      <c r="A1805">
        <v>56</v>
      </c>
      <c r="B1805">
        <v>128</v>
      </c>
      <c r="C1805" t="s">
        <v>32</v>
      </c>
      <c r="D1805" t="s">
        <v>200</v>
      </c>
      <c r="E1805" t="s">
        <v>25</v>
      </c>
      <c r="F1805">
        <v>7</v>
      </c>
      <c r="G1805" t="s">
        <v>13</v>
      </c>
      <c r="H1805" s="1">
        <v>45964.336805555555</v>
      </c>
      <c r="I1805" s="5">
        <f>INT(TB[[#This Row],[时间戳]])</f>
        <v>45964</v>
      </c>
      <c r="J1805" s="2">
        <f>HOUR(TB[[#This Row],[时间戳]])</f>
        <v>8</v>
      </c>
      <c r="K1805">
        <v>4231</v>
      </c>
      <c r="L1805">
        <v>3</v>
      </c>
      <c r="M1805">
        <f>TB[[#This Row],[售价]]*TB[[#This Row],[销量]]</f>
        <v>12693</v>
      </c>
      <c r="N1805" t="str">
        <f>IF(TB[[#This Row],[售价]]&lt;1000,"低价商品",IF(TB[[#This Row],[售价]]&lt;5000,"中价商品",IF(TB[[#This Row],[售价]]&lt;10000,"高价商品","超高价商品")))</f>
        <v>中价商品</v>
      </c>
    </row>
    <row r="1806" spans="1:14" x14ac:dyDescent="0.2">
      <c r="A1806">
        <v>391</v>
      </c>
      <c r="B1806">
        <v>267</v>
      </c>
      <c r="C1806" t="s">
        <v>32</v>
      </c>
      <c r="D1806" t="s">
        <v>215</v>
      </c>
      <c r="E1806" t="s">
        <v>31</v>
      </c>
      <c r="F1806">
        <v>4</v>
      </c>
      <c r="G1806" t="s">
        <v>13</v>
      </c>
      <c r="H1806" s="1">
        <v>45964.344444444447</v>
      </c>
      <c r="I1806" s="5">
        <f>INT(TB[[#This Row],[时间戳]])</f>
        <v>45964</v>
      </c>
      <c r="J1806" s="2">
        <f>HOUR(TB[[#This Row],[时间戳]])</f>
        <v>8</v>
      </c>
      <c r="K1806">
        <v>1500</v>
      </c>
      <c r="L1806">
        <v>3</v>
      </c>
      <c r="M1806">
        <f>TB[[#This Row],[售价]]*TB[[#This Row],[销量]]</f>
        <v>4500</v>
      </c>
      <c r="N1806" t="str">
        <f>IF(TB[[#This Row],[售价]]&lt;1000,"低价商品",IF(TB[[#This Row],[售价]]&lt;5000,"中价商品",IF(TB[[#This Row],[售价]]&lt;10000,"高价商品","超高价商品")))</f>
        <v>中价商品</v>
      </c>
    </row>
    <row r="1807" spans="1:14" x14ac:dyDescent="0.2">
      <c r="A1807">
        <v>7</v>
      </c>
      <c r="B1807">
        <v>34</v>
      </c>
      <c r="C1807" t="s">
        <v>44</v>
      </c>
      <c r="D1807" t="s">
        <v>372</v>
      </c>
      <c r="E1807" t="s">
        <v>22</v>
      </c>
      <c r="F1807">
        <v>1</v>
      </c>
      <c r="G1807" t="s">
        <v>13</v>
      </c>
      <c r="H1807" s="1">
        <v>45964.37222222222</v>
      </c>
      <c r="I1807" s="5">
        <f>INT(TB[[#This Row],[时间戳]])</f>
        <v>45964</v>
      </c>
      <c r="J1807" s="2">
        <f>HOUR(TB[[#This Row],[时间戳]])</f>
        <v>8</v>
      </c>
      <c r="K1807">
        <v>3527</v>
      </c>
      <c r="L1807">
        <v>5</v>
      </c>
      <c r="M1807">
        <f>TB[[#This Row],[售价]]*TB[[#This Row],[销量]]</f>
        <v>17635</v>
      </c>
      <c r="N1807" t="str">
        <f>IF(TB[[#This Row],[售价]]&lt;1000,"低价商品",IF(TB[[#This Row],[售价]]&lt;5000,"中价商品",IF(TB[[#This Row],[售价]]&lt;10000,"高价商品","超高价商品")))</f>
        <v>中价商品</v>
      </c>
    </row>
    <row r="1808" spans="1:14" x14ac:dyDescent="0.2">
      <c r="A1808">
        <v>650</v>
      </c>
      <c r="B1808">
        <v>73</v>
      </c>
      <c r="C1808" t="s">
        <v>32</v>
      </c>
      <c r="D1808" t="s">
        <v>71</v>
      </c>
      <c r="E1808" t="s">
        <v>25</v>
      </c>
      <c r="F1808">
        <v>7</v>
      </c>
      <c r="G1808" t="s">
        <v>42</v>
      </c>
      <c r="H1808" s="1">
        <v>45964.392361111109</v>
      </c>
      <c r="I1808" s="5">
        <f>INT(TB[[#This Row],[时间戳]])</f>
        <v>45964</v>
      </c>
      <c r="J1808" s="2">
        <f>HOUR(TB[[#This Row],[时间戳]])</f>
        <v>9</v>
      </c>
      <c r="K1808">
        <v>5362</v>
      </c>
      <c r="L1808">
        <v>0</v>
      </c>
      <c r="M1808">
        <f>TB[[#This Row],[售价]]*TB[[#This Row],[销量]]</f>
        <v>0</v>
      </c>
      <c r="N1808" t="str">
        <f>IF(TB[[#This Row],[售价]]&lt;1000,"低价商品",IF(TB[[#This Row],[售价]]&lt;5000,"中价商品",IF(TB[[#This Row],[售价]]&lt;10000,"高价商品","超高价商品")))</f>
        <v>高价商品</v>
      </c>
    </row>
    <row r="1809" spans="1:14" x14ac:dyDescent="0.2">
      <c r="A1809">
        <v>607</v>
      </c>
      <c r="B1809">
        <v>282</v>
      </c>
      <c r="C1809" t="s">
        <v>14</v>
      </c>
      <c r="D1809" t="s">
        <v>356</v>
      </c>
      <c r="E1809" t="s">
        <v>16</v>
      </c>
      <c r="F1809">
        <v>6</v>
      </c>
      <c r="G1809" t="s">
        <v>13</v>
      </c>
      <c r="H1809" s="1">
        <v>45964.395833333336</v>
      </c>
      <c r="I1809" s="5">
        <f>INT(TB[[#This Row],[时间戳]])</f>
        <v>45964</v>
      </c>
      <c r="J1809" s="2">
        <f>HOUR(TB[[#This Row],[时间戳]])</f>
        <v>9</v>
      </c>
      <c r="K1809">
        <v>5209</v>
      </c>
      <c r="L1809">
        <v>1</v>
      </c>
      <c r="M1809">
        <f>TB[[#This Row],[售价]]*TB[[#This Row],[销量]]</f>
        <v>5209</v>
      </c>
      <c r="N1809" t="str">
        <f>IF(TB[[#This Row],[售价]]&lt;1000,"低价商品",IF(TB[[#This Row],[售价]]&lt;5000,"中价商品",IF(TB[[#This Row],[售价]]&lt;10000,"高价商品","超高价商品")))</f>
        <v>高价商品</v>
      </c>
    </row>
    <row r="1810" spans="1:14" x14ac:dyDescent="0.2">
      <c r="A1810">
        <v>437</v>
      </c>
      <c r="B1810">
        <v>240</v>
      </c>
      <c r="C1810" t="s">
        <v>20</v>
      </c>
      <c r="D1810" t="s">
        <v>319</v>
      </c>
      <c r="E1810" t="s">
        <v>31</v>
      </c>
      <c r="F1810">
        <v>4</v>
      </c>
      <c r="G1810" t="s">
        <v>13</v>
      </c>
      <c r="H1810" s="1">
        <v>45964.399305555555</v>
      </c>
      <c r="I1810" s="5">
        <f>INT(TB[[#This Row],[时间戳]])</f>
        <v>45964</v>
      </c>
      <c r="J1810" s="2">
        <f>HOUR(TB[[#This Row],[时间戳]])</f>
        <v>9</v>
      </c>
      <c r="K1810">
        <v>388</v>
      </c>
      <c r="L1810">
        <v>3</v>
      </c>
      <c r="M1810">
        <f>TB[[#This Row],[售价]]*TB[[#This Row],[销量]]</f>
        <v>1164</v>
      </c>
      <c r="N1810" t="str">
        <f>IF(TB[[#This Row],[售价]]&lt;1000,"低价商品",IF(TB[[#This Row],[售价]]&lt;5000,"中价商品",IF(TB[[#This Row],[售价]]&lt;10000,"高价商品","超高价商品")))</f>
        <v>低价商品</v>
      </c>
    </row>
    <row r="1811" spans="1:14" x14ac:dyDescent="0.2">
      <c r="A1811">
        <v>435</v>
      </c>
      <c r="B1811">
        <v>91</v>
      </c>
      <c r="C1811" t="s">
        <v>32</v>
      </c>
      <c r="D1811" t="s">
        <v>208</v>
      </c>
      <c r="E1811" t="s">
        <v>12</v>
      </c>
      <c r="F1811">
        <v>2</v>
      </c>
      <c r="G1811" t="s">
        <v>13</v>
      </c>
      <c r="H1811" s="1">
        <v>45964.401388888888</v>
      </c>
      <c r="I1811" s="5">
        <f>INT(TB[[#This Row],[时间戳]])</f>
        <v>45964</v>
      </c>
      <c r="J1811" s="2">
        <f>HOUR(TB[[#This Row],[时间戳]])</f>
        <v>9</v>
      </c>
      <c r="K1811">
        <v>8987</v>
      </c>
      <c r="L1811">
        <v>1</v>
      </c>
      <c r="M1811">
        <f>TB[[#This Row],[售价]]*TB[[#This Row],[销量]]</f>
        <v>8987</v>
      </c>
      <c r="N1811" t="str">
        <f>IF(TB[[#This Row],[售价]]&lt;1000,"低价商品",IF(TB[[#This Row],[售价]]&lt;5000,"中价商品",IF(TB[[#This Row],[售价]]&lt;10000,"高价商品","超高价商品")))</f>
        <v>高价商品</v>
      </c>
    </row>
    <row r="1812" spans="1:14" x14ac:dyDescent="0.2">
      <c r="A1812">
        <v>591</v>
      </c>
      <c r="B1812">
        <v>230</v>
      </c>
      <c r="C1812" t="s">
        <v>36</v>
      </c>
      <c r="D1812" t="s">
        <v>377</v>
      </c>
      <c r="E1812" t="s">
        <v>12</v>
      </c>
      <c r="F1812">
        <v>2</v>
      </c>
      <c r="G1812" t="s">
        <v>13</v>
      </c>
      <c r="H1812" s="1">
        <v>45964.42083333333</v>
      </c>
      <c r="I1812" s="5">
        <f>INT(TB[[#This Row],[时间戳]])</f>
        <v>45964</v>
      </c>
      <c r="J1812" s="2">
        <f>HOUR(TB[[#This Row],[时间戳]])</f>
        <v>10</v>
      </c>
      <c r="K1812">
        <v>13853</v>
      </c>
      <c r="L1812">
        <v>3</v>
      </c>
      <c r="M1812">
        <f>TB[[#This Row],[售价]]*TB[[#This Row],[销量]]</f>
        <v>41559</v>
      </c>
      <c r="N1812" t="str">
        <f>IF(TB[[#This Row],[售价]]&lt;1000,"低价商品",IF(TB[[#This Row],[售价]]&lt;5000,"中价商品",IF(TB[[#This Row],[售价]]&lt;10000,"高价商品","超高价商品")))</f>
        <v>超高价商品</v>
      </c>
    </row>
    <row r="1813" spans="1:14" x14ac:dyDescent="0.2">
      <c r="A1813">
        <v>369</v>
      </c>
      <c r="B1813">
        <v>204</v>
      </c>
      <c r="C1813" t="s">
        <v>44</v>
      </c>
      <c r="D1813" t="s">
        <v>322</v>
      </c>
      <c r="E1813" t="s">
        <v>16</v>
      </c>
      <c r="F1813">
        <v>6</v>
      </c>
      <c r="G1813" t="s">
        <v>13</v>
      </c>
      <c r="H1813" s="1">
        <v>45964.447916666664</v>
      </c>
      <c r="I1813" s="5">
        <f>INT(TB[[#This Row],[时间戳]])</f>
        <v>45964</v>
      </c>
      <c r="J1813" s="2">
        <f>HOUR(TB[[#This Row],[时间戳]])</f>
        <v>10</v>
      </c>
      <c r="K1813">
        <v>5238</v>
      </c>
      <c r="L1813">
        <v>4</v>
      </c>
      <c r="M1813">
        <f>TB[[#This Row],[售价]]*TB[[#This Row],[销量]]</f>
        <v>20952</v>
      </c>
      <c r="N1813" t="str">
        <f>IF(TB[[#This Row],[售价]]&lt;1000,"低价商品",IF(TB[[#This Row],[售价]]&lt;5000,"中价商品",IF(TB[[#This Row],[售价]]&lt;10000,"高价商品","超高价商品")))</f>
        <v>高价商品</v>
      </c>
    </row>
    <row r="1814" spans="1:14" x14ac:dyDescent="0.2">
      <c r="A1814">
        <v>433</v>
      </c>
      <c r="B1814">
        <v>259</v>
      </c>
      <c r="C1814" t="s">
        <v>44</v>
      </c>
      <c r="D1814" t="s">
        <v>66</v>
      </c>
      <c r="E1814" t="s">
        <v>22</v>
      </c>
      <c r="F1814">
        <v>1</v>
      </c>
      <c r="G1814" t="s">
        <v>13</v>
      </c>
      <c r="H1814" s="1">
        <v>45964.453472222223</v>
      </c>
      <c r="I1814" s="5">
        <f>INT(TB[[#This Row],[时间戳]])</f>
        <v>45964</v>
      </c>
      <c r="J1814" s="2">
        <f>HOUR(TB[[#This Row],[时间戳]])</f>
        <v>10</v>
      </c>
      <c r="K1814">
        <v>3979</v>
      </c>
      <c r="L1814">
        <v>3</v>
      </c>
      <c r="M1814">
        <f>TB[[#This Row],[售价]]*TB[[#This Row],[销量]]</f>
        <v>11937</v>
      </c>
      <c r="N1814" t="str">
        <f>IF(TB[[#This Row],[售价]]&lt;1000,"低价商品",IF(TB[[#This Row],[售价]]&lt;5000,"中价商品",IF(TB[[#This Row],[售价]]&lt;10000,"高价商品","超高价商品")))</f>
        <v>中价商品</v>
      </c>
    </row>
    <row r="1815" spans="1:14" x14ac:dyDescent="0.2">
      <c r="A1815">
        <v>494</v>
      </c>
      <c r="B1815">
        <v>11</v>
      </c>
      <c r="C1815" t="s">
        <v>17</v>
      </c>
      <c r="D1815" t="s">
        <v>119</v>
      </c>
      <c r="E1815" t="s">
        <v>12</v>
      </c>
      <c r="F1815">
        <v>2</v>
      </c>
      <c r="G1815" t="s">
        <v>13</v>
      </c>
      <c r="H1815" s="1">
        <v>45964.453472222223</v>
      </c>
      <c r="I1815" s="5">
        <f>INT(TB[[#This Row],[时间戳]])</f>
        <v>45964</v>
      </c>
      <c r="J1815" s="2">
        <f>HOUR(TB[[#This Row],[时间戳]])</f>
        <v>10</v>
      </c>
      <c r="K1815">
        <v>14160</v>
      </c>
      <c r="L1815">
        <v>1</v>
      </c>
      <c r="M1815">
        <f>TB[[#This Row],[售价]]*TB[[#This Row],[销量]]</f>
        <v>14160</v>
      </c>
      <c r="N1815" t="str">
        <f>IF(TB[[#This Row],[售价]]&lt;1000,"低价商品",IF(TB[[#This Row],[售价]]&lt;5000,"中价商品",IF(TB[[#This Row],[售价]]&lt;10000,"高价商品","超高价商品")))</f>
        <v>超高价商品</v>
      </c>
    </row>
    <row r="1816" spans="1:14" x14ac:dyDescent="0.2">
      <c r="A1816">
        <v>778</v>
      </c>
      <c r="B1816">
        <v>154</v>
      </c>
      <c r="C1816" t="s">
        <v>17</v>
      </c>
      <c r="D1816" t="s">
        <v>74</v>
      </c>
      <c r="E1816" t="s">
        <v>22</v>
      </c>
      <c r="F1816">
        <v>1</v>
      </c>
      <c r="G1816" t="s">
        <v>13</v>
      </c>
      <c r="H1816" s="1">
        <v>45964.455555555556</v>
      </c>
      <c r="I1816" s="5">
        <f>INT(TB[[#This Row],[时间戳]])</f>
        <v>45964</v>
      </c>
      <c r="J1816" s="2">
        <f>HOUR(TB[[#This Row],[时间戳]])</f>
        <v>10</v>
      </c>
      <c r="K1816">
        <v>7236</v>
      </c>
      <c r="L1816">
        <v>3</v>
      </c>
      <c r="M1816">
        <f>TB[[#This Row],[售价]]*TB[[#This Row],[销量]]</f>
        <v>21708</v>
      </c>
      <c r="N1816" t="str">
        <f>IF(TB[[#This Row],[售价]]&lt;1000,"低价商品",IF(TB[[#This Row],[售价]]&lt;5000,"中价商品",IF(TB[[#This Row],[售价]]&lt;10000,"高价商品","超高价商品")))</f>
        <v>高价商品</v>
      </c>
    </row>
    <row r="1817" spans="1:14" x14ac:dyDescent="0.2">
      <c r="A1817">
        <v>745</v>
      </c>
      <c r="B1817">
        <v>90</v>
      </c>
      <c r="C1817" t="s">
        <v>26</v>
      </c>
      <c r="D1817" t="s">
        <v>56</v>
      </c>
      <c r="E1817" t="s">
        <v>22</v>
      </c>
      <c r="F1817">
        <v>1</v>
      </c>
      <c r="G1817" t="s">
        <v>42</v>
      </c>
      <c r="H1817" s="1">
        <v>45964.518750000003</v>
      </c>
      <c r="I1817" s="5">
        <f>INT(TB[[#This Row],[时间戳]])</f>
        <v>45964</v>
      </c>
      <c r="J1817" s="2">
        <f>HOUR(TB[[#This Row],[时间戳]])</f>
        <v>12</v>
      </c>
      <c r="K1817">
        <v>5950</v>
      </c>
      <c r="L1817">
        <v>0</v>
      </c>
      <c r="M1817">
        <f>TB[[#This Row],[售价]]*TB[[#This Row],[销量]]</f>
        <v>0</v>
      </c>
      <c r="N1817" t="str">
        <f>IF(TB[[#This Row],[售价]]&lt;1000,"低价商品",IF(TB[[#This Row],[售价]]&lt;5000,"中价商品",IF(TB[[#This Row],[售价]]&lt;10000,"高价商品","超高价商品")))</f>
        <v>高价商品</v>
      </c>
    </row>
    <row r="1818" spans="1:14" x14ac:dyDescent="0.2">
      <c r="A1818">
        <v>465</v>
      </c>
      <c r="B1818">
        <v>146</v>
      </c>
      <c r="C1818" t="s">
        <v>44</v>
      </c>
      <c r="D1818" t="s">
        <v>132</v>
      </c>
      <c r="E1818" t="s">
        <v>22</v>
      </c>
      <c r="F1818">
        <v>1</v>
      </c>
      <c r="G1818" t="s">
        <v>42</v>
      </c>
      <c r="H1818" s="1">
        <v>45964.525000000001</v>
      </c>
      <c r="I1818" s="5">
        <f>INT(TB[[#This Row],[时间戳]])</f>
        <v>45964</v>
      </c>
      <c r="J1818" s="2">
        <f>HOUR(TB[[#This Row],[时间戳]])</f>
        <v>12</v>
      </c>
      <c r="K1818">
        <v>3101</v>
      </c>
      <c r="L1818">
        <v>0</v>
      </c>
      <c r="M1818">
        <f>TB[[#This Row],[售价]]*TB[[#This Row],[销量]]</f>
        <v>0</v>
      </c>
      <c r="N1818" t="str">
        <f>IF(TB[[#This Row],[售价]]&lt;1000,"低价商品",IF(TB[[#This Row],[售价]]&lt;5000,"中价商品",IF(TB[[#This Row],[售价]]&lt;10000,"高价商品","超高价商品")))</f>
        <v>中价商品</v>
      </c>
    </row>
    <row r="1819" spans="1:14" x14ac:dyDescent="0.2">
      <c r="A1819">
        <v>74</v>
      </c>
      <c r="B1819">
        <v>171</v>
      </c>
      <c r="C1819" t="s">
        <v>46</v>
      </c>
      <c r="D1819" t="s">
        <v>47</v>
      </c>
      <c r="E1819" t="s">
        <v>22</v>
      </c>
      <c r="F1819">
        <v>1</v>
      </c>
      <c r="G1819" t="s">
        <v>42</v>
      </c>
      <c r="H1819" s="1">
        <v>45964.552083333336</v>
      </c>
      <c r="I1819" s="5">
        <f>INT(TB[[#This Row],[时间戳]])</f>
        <v>45964</v>
      </c>
      <c r="J1819" s="2">
        <f>HOUR(TB[[#This Row],[时间戳]])</f>
        <v>13</v>
      </c>
      <c r="K1819">
        <v>4160</v>
      </c>
      <c r="L1819">
        <v>0</v>
      </c>
      <c r="M1819">
        <f>TB[[#This Row],[售价]]*TB[[#This Row],[销量]]</f>
        <v>0</v>
      </c>
      <c r="N1819" t="str">
        <f>IF(TB[[#This Row],[售价]]&lt;1000,"低价商品",IF(TB[[#This Row],[售价]]&lt;5000,"中价商品",IF(TB[[#This Row],[售价]]&lt;10000,"高价商品","超高价商品")))</f>
        <v>中价商品</v>
      </c>
    </row>
    <row r="1820" spans="1:14" x14ac:dyDescent="0.2">
      <c r="A1820">
        <v>159</v>
      </c>
      <c r="B1820">
        <v>98</v>
      </c>
      <c r="C1820" t="s">
        <v>44</v>
      </c>
      <c r="D1820" t="s">
        <v>70</v>
      </c>
      <c r="E1820" t="s">
        <v>12</v>
      </c>
      <c r="F1820">
        <v>2</v>
      </c>
      <c r="G1820" t="s">
        <v>42</v>
      </c>
      <c r="H1820" s="1">
        <v>45964.570138888892</v>
      </c>
      <c r="I1820" s="5">
        <f>INT(TB[[#This Row],[时间戳]])</f>
        <v>45964</v>
      </c>
      <c r="J1820" s="2">
        <f>HOUR(TB[[#This Row],[时间戳]])</f>
        <v>13</v>
      </c>
      <c r="K1820">
        <v>6404</v>
      </c>
      <c r="L1820">
        <v>0</v>
      </c>
      <c r="M1820">
        <f>TB[[#This Row],[售价]]*TB[[#This Row],[销量]]</f>
        <v>0</v>
      </c>
      <c r="N1820" t="str">
        <f>IF(TB[[#This Row],[售价]]&lt;1000,"低价商品",IF(TB[[#This Row],[售价]]&lt;5000,"中价商品",IF(TB[[#This Row],[售价]]&lt;10000,"高价商品","超高价商品")))</f>
        <v>高价商品</v>
      </c>
    </row>
    <row r="1821" spans="1:14" x14ac:dyDescent="0.2">
      <c r="A1821">
        <v>743</v>
      </c>
      <c r="B1821">
        <v>192</v>
      </c>
      <c r="C1821" t="s">
        <v>20</v>
      </c>
      <c r="D1821" t="s">
        <v>324</v>
      </c>
      <c r="E1821" t="s">
        <v>12</v>
      </c>
      <c r="F1821">
        <v>2</v>
      </c>
      <c r="G1821" t="s">
        <v>13</v>
      </c>
      <c r="H1821" s="1">
        <v>45964.57916666667</v>
      </c>
      <c r="I1821" s="5">
        <f>INT(TB[[#This Row],[时间戳]])</f>
        <v>45964</v>
      </c>
      <c r="J1821" s="2">
        <f>HOUR(TB[[#This Row],[时间戳]])</f>
        <v>13</v>
      </c>
      <c r="K1821">
        <v>4000</v>
      </c>
      <c r="L1821">
        <v>1</v>
      </c>
      <c r="M1821">
        <f>TB[[#This Row],[售价]]*TB[[#This Row],[销量]]</f>
        <v>4000</v>
      </c>
      <c r="N1821" t="str">
        <f>IF(TB[[#This Row],[售价]]&lt;1000,"低价商品",IF(TB[[#This Row],[售价]]&lt;5000,"中价商品",IF(TB[[#This Row],[售价]]&lt;10000,"高价商品","超高价商品")))</f>
        <v>中价商品</v>
      </c>
    </row>
    <row r="1822" spans="1:14" x14ac:dyDescent="0.2">
      <c r="A1822">
        <v>761</v>
      </c>
      <c r="B1822">
        <v>192</v>
      </c>
      <c r="C1822" t="s">
        <v>17</v>
      </c>
      <c r="D1822" t="s">
        <v>177</v>
      </c>
      <c r="E1822" t="s">
        <v>22</v>
      </c>
      <c r="F1822">
        <v>1</v>
      </c>
      <c r="G1822" t="s">
        <v>13</v>
      </c>
      <c r="H1822" s="1">
        <v>45964.583333333336</v>
      </c>
      <c r="I1822" s="5">
        <f>INT(TB[[#This Row],[时间戳]])</f>
        <v>45964</v>
      </c>
      <c r="J1822" s="2">
        <f>HOUR(TB[[#This Row],[时间戳]])</f>
        <v>14</v>
      </c>
      <c r="K1822">
        <v>5032</v>
      </c>
      <c r="L1822">
        <v>4</v>
      </c>
      <c r="M1822">
        <f>TB[[#This Row],[售价]]*TB[[#This Row],[销量]]</f>
        <v>20128</v>
      </c>
      <c r="N1822" t="str">
        <f>IF(TB[[#This Row],[售价]]&lt;1000,"低价商品",IF(TB[[#This Row],[售价]]&lt;5000,"中价商品",IF(TB[[#This Row],[售价]]&lt;10000,"高价商品","超高价商品")))</f>
        <v>高价商品</v>
      </c>
    </row>
    <row r="1823" spans="1:14" x14ac:dyDescent="0.2">
      <c r="A1823">
        <v>603</v>
      </c>
      <c r="B1823">
        <v>37</v>
      </c>
      <c r="C1823" t="s">
        <v>36</v>
      </c>
      <c r="D1823" t="s">
        <v>274</v>
      </c>
      <c r="E1823" t="s">
        <v>16</v>
      </c>
      <c r="F1823">
        <v>6</v>
      </c>
      <c r="G1823" t="s">
        <v>13</v>
      </c>
      <c r="H1823" s="1">
        <v>45964.585416666669</v>
      </c>
      <c r="I1823" s="5">
        <f>INT(TB[[#This Row],[时间戳]])</f>
        <v>45964</v>
      </c>
      <c r="J1823" s="2">
        <f>HOUR(TB[[#This Row],[时间戳]])</f>
        <v>14</v>
      </c>
      <c r="K1823">
        <v>8342</v>
      </c>
      <c r="L1823">
        <v>5</v>
      </c>
      <c r="M1823">
        <f>TB[[#This Row],[售价]]*TB[[#This Row],[销量]]</f>
        <v>41710</v>
      </c>
      <c r="N1823" t="str">
        <f>IF(TB[[#This Row],[售价]]&lt;1000,"低价商品",IF(TB[[#This Row],[售价]]&lt;5000,"中价商品",IF(TB[[#This Row],[售价]]&lt;10000,"高价商品","超高价商品")))</f>
        <v>高价商品</v>
      </c>
    </row>
    <row r="1824" spans="1:14" x14ac:dyDescent="0.2">
      <c r="A1824">
        <v>580</v>
      </c>
      <c r="B1824">
        <v>84</v>
      </c>
      <c r="C1824" t="s">
        <v>14</v>
      </c>
      <c r="D1824" t="s">
        <v>357</v>
      </c>
      <c r="E1824" t="s">
        <v>16</v>
      </c>
      <c r="F1824">
        <v>6</v>
      </c>
      <c r="G1824" t="s">
        <v>13</v>
      </c>
      <c r="H1824" s="1">
        <v>45964.602777777778</v>
      </c>
      <c r="I1824" s="5">
        <f>INT(TB[[#This Row],[时间戳]])</f>
        <v>45964</v>
      </c>
      <c r="J1824" s="2">
        <f>HOUR(TB[[#This Row],[时间戳]])</f>
        <v>14</v>
      </c>
      <c r="K1824">
        <v>8516</v>
      </c>
      <c r="L1824">
        <v>3</v>
      </c>
      <c r="M1824">
        <f>TB[[#This Row],[售价]]*TB[[#This Row],[销量]]</f>
        <v>25548</v>
      </c>
      <c r="N1824" t="str">
        <f>IF(TB[[#This Row],[售价]]&lt;1000,"低价商品",IF(TB[[#This Row],[售价]]&lt;5000,"中价商品",IF(TB[[#This Row],[售价]]&lt;10000,"高价商品","超高价商品")))</f>
        <v>高价商品</v>
      </c>
    </row>
    <row r="1825" spans="1:14" x14ac:dyDescent="0.2">
      <c r="A1825">
        <v>790</v>
      </c>
      <c r="B1825">
        <v>179</v>
      </c>
      <c r="C1825" t="s">
        <v>17</v>
      </c>
      <c r="D1825" t="s">
        <v>309</v>
      </c>
      <c r="E1825" t="s">
        <v>16</v>
      </c>
      <c r="F1825">
        <v>6</v>
      </c>
      <c r="G1825" t="s">
        <v>13</v>
      </c>
      <c r="H1825" s="1">
        <v>45964.630555555559</v>
      </c>
      <c r="I1825" s="5">
        <f>INT(TB[[#This Row],[时间戳]])</f>
        <v>45964</v>
      </c>
      <c r="J1825" s="2">
        <f>HOUR(TB[[#This Row],[时间戳]])</f>
        <v>15</v>
      </c>
      <c r="K1825">
        <v>5372</v>
      </c>
      <c r="L1825">
        <v>1</v>
      </c>
      <c r="M1825">
        <f>TB[[#This Row],[售价]]*TB[[#This Row],[销量]]</f>
        <v>5372</v>
      </c>
      <c r="N1825" t="str">
        <f>IF(TB[[#This Row],[售价]]&lt;1000,"低价商品",IF(TB[[#This Row],[售价]]&lt;5000,"中价商品",IF(TB[[#This Row],[售价]]&lt;10000,"高价商品","超高价商品")))</f>
        <v>高价商品</v>
      </c>
    </row>
    <row r="1826" spans="1:14" x14ac:dyDescent="0.2">
      <c r="A1826">
        <v>714</v>
      </c>
      <c r="B1826">
        <v>30</v>
      </c>
      <c r="C1826" t="s">
        <v>44</v>
      </c>
      <c r="D1826" t="s">
        <v>100</v>
      </c>
      <c r="E1826" t="s">
        <v>19</v>
      </c>
      <c r="F1826">
        <v>3</v>
      </c>
      <c r="G1826" t="s">
        <v>13</v>
      </c>
      <c r="H1826" s="1">
        <v>45964.649305555555</v>
      </c>
      <c r="I1826" s="5">
        <f>INT(TB[[#This Row],[时间戳]])</f>
        <v>45964</v>
      </c>
      <c r="J1826" s="2">
        <f>HOUR(TB[[#This Row],[时间戳]])</f>
        <v>15</v>
      </c>
      <c r="K1826">
        <v>5837</v>
      </c>
      <c r="L1826">
        <v>5</v>
      </c>
      <c r="M1826">
        <f>TB[[#This Row],[售价]]*TB[[#This Row],[销量]]</f>
        <v>29185</v>
      </c>
      <c r="N1826" t="str">
        <f>IF(TB[[#This Row],[售价]]&lt;1000,"低价商品",IF(TB[[#This Row],[售价]]&lt;5000,"中价商品",IF(TB[[#This Row],[售价]]&lt;10000,"高价商品","超高价商品")))</f>
        <v>高价商品</v>
      </c>
    </row>
    <row r="1827" spans="1:14" x14ac:dyDescent="0.2">
      <c r="A1827">
        <v>249</v>
      </c>
      <c r="B1827">
        <v>245</v>
      </c>
      <c r="C1827" t="s">
        <v>17</v>
      </c>
      <c r="D1827" t="s">
        <v>390</v>
      </c>
      <c r="E1827" t="s">
        <v>39</v>
      </c>
      <c r="F1827">
        <v>5</v>
      </c>
      <c r="G1827" t="s">
        <v>13</v>
      </c>
      <c r="H1827" s="1">
        <v>45964.663194444445</v>
      </c>
      <c r="I1827" s="5">
        <f>INT(TB[[#This Row],[时间戳]])</f>
        <v>45964</v>
      </c>
      <c r="J1827" s="2">
        <f>HOUR(TB[[#This Row],[时间戳]])</f>
        <v>15</v>
      </c>
      <c r="K1827">
        <v>3463</v>
      </c>
      <c r="L1827">
        <v>3</v>
      </c>
      <c r="M1827">
        <f>TB[[#This Row],[售价]]*TB[[#This Row],[销量]]</f>
        <v>10389</v>
      </c>
      <c r="N1827" t="str">
        <f>IF(TB[[#This Row],[售价]]&lt;1000,"低价商品",IF(TB[[#This Row],[售价]]&lt;5000,"中价商品",IF(TB[[#This Row],[售价]]&lt;10000,"高价商品","超高价商品")))</f>
        <v>中价商品</v>
      </c>
    </row>
    <row r="1828" spans="1:14" x14ac:dyDescent="0.2">
      <c r="A1828">
        <v>268</v>
      </c>
      <c r="B1828">
        <v>234</v>
      </c>
      <c r="C1828" t="s">
        <v>10</v>
      </c>
      <c r="D1828" t="s">
        <v>116</v>
      </c>
      <c r="E1828" t="s">
        <v>31</v>
      </c>
      <c r="F1828">
        <v>4</v>
      </c>
      <c r="G1828" t="s">
        <v>13</v>
      </c>
      <c r="H1828" s="1">
        <v>45964.663888888892</v>
      </c>
      <c r="I1828" s="5">
        <f>INT(TB[[#This Row],[时间戳]])</f>
        <v>45964</v>
      </c>
      <c r="J1828" s="2">
        <f>HOUR(TB[[#This Row],[时间戳]])</f>
        <v>15</v>
      </c>
      <c r="K1828">
        <v>105</v>
      </c>
      <c r="L1828">
        <v>5</v>
      </c>
      <c r="M1828">
        <f>TB[[#This Row],[售价]]*TB[[#This Row],[销量]]</f>
        <v>525</v>
      </c>
      <c r="N1828" t="str">
        <f>IF(TB[[#This Row],[售价]]&lt;1000,"低价商品",IF(TB[[#This Row],[售价]]&lt;5000,"中价商品",IF(TB[[#This Row],[售价]]&lt;10000,"高价商品","超高价商品")))</f>
        <v>低价商品</v>
      </c>
    </row>
    <row r="1829" spans="1:14" x14ac:dyDescent="0.2">
      <c r="A1829">
        <v>617</v>
      </c>
      <c r="B1829">
        <v>297</v>
      </c>
      <c r="C1829" t="s">
        <v>36</v>
      </c>
      <c r="D1829" t="s">
        <v>366</v>
      </c>
      <c r="E1829" t="s">
        <v>22</v>
      </c>
      <c r="F1829">
        <v>1</v>
      </c>
      <c r="G1829" t="s">
        <v>42</v>
      </c>
      <c r="H1829" s="1">
        <v>45964.727777777778</v>
      </c>
      <c r="I1829" s="5">
        <f>INT(TB[[#This Row],[时间戳]])</f>
        <v>45964</v>
      </c>
      <c r="J1829" s="2">
        <f>HOUR(TB[[#This Row],[时间戳]])</f>
        <v>17</v>
      </c>
      <c r="K1829">
        <v>6454</v>
      </c>
      <c r="L1829">
        <v>0</v>
      </c>
      <c r="M1829">
        <f>TB[[#This Row],[售价]]*TB[[#This Row],[销量]]</f>
        <v>0</v>
      </c>
      <c r="N1829" t="str">
        <f>IF(TB[[#This Row],[售价]]&lt;1000,"低价商品",IF(TB[[#This Row],[售价]]&lt;5000,"中价商品",IF(TB[[#This Row],[售价]]&lt;10000,"高价商品","超高价商品")))</f>
        <v>高价商品</v>
      </c>
    </row>
    <row r="1830" spans="1:14" x14ac:dyDescent="0.2">
      <c r="A1830">
        <v>790</v>
      </c>
      <c r="B1830">
        <v>48</v>
      </c>
      <c r="C1830" t="s">
        <v>10</v>
      </c>
      <c r="D1830" t="s">
        <v>201</v>
      </c>
      <c r="E1830" t="s">
        <v>31</v>
      </c>
      <c r="F1830">
        <v>4</v>
      </c>
      <c r="G1830" t="s">
        <v>13</v>
      </c>
      <c r="H1830" s="1">
        <v>45964.756944444445</v>
      </c>
      <c r="I1830" s="5">
        <f>INT(TB[[#This Row],[时间戳]])</f>
        <v>45964</v>
      </c>
      <c r="J1830" s="2">
        <f>HOUR(TB[[#This Row],[时间戳]])</f>
        <v>18</v>
      </c>
      <c r="K1830">
        <v>1289</v>
      </c>
      <c r="L1830">
        <v>3</v>
      </c>
      <c r="M1830">
        <f>TB[[#This Row],[售价]]*TB[[#This Row],[销量]]</f>
        <v>3867</v>
      </c>
      <c r="N1830" t="str">
        <f>IF(TB[[#This Row],[售价]]&lt;1000,"低价商品",IF(TB[[#This Row],[售价]]&lt;5000,"中价商品",IF(TB[[#This Row],[售价]]&lt;10000,"高价商品","超高价商品")))</f>
        <v>中价商品</v>
      </c>
    </row>
    <row r="1831" spans="1:14" x14ac:dyDescent="0.2">
      <c r="A1831">
        <v>531</v>
      </c>
      <c r="B1831">
        <v>97</v>
      </c>
      <c r="C1831" t="s">
        <v>46</v>
      </c>
      <c r="D1831" t="s">
        <v>159</v>
      </c>
      <c r="E1831" t="s">
        <v>16</v>
      </c>
      <c r="F1831">
        <v>6</v>
      </c>
      <c r="G1831" t="s">
        <v>13</v>
      </c>
      <c r="H1831" s="1">
        <v>45964.763888888891</v>
      </c>
      <c r="I1831" s="5">
        <f>INT(TB[[#This Row],[时间戳]])</f>
        <v>45964</v>
      </c>
      <c r="J1831" s="2">
        <f>HOUR(TB[[#This Row],[时间戳]])</f>
        <v>18</v>
      </c>
      <c r="K1831">
        <v>8300</v>
      </c>
      <c r="L1831">
        <v>3</v>
      </c>
      <c r="M1831">
        <f>TB[[#This Row],[售价]]*TB[[#This Row],[销量]]</f>
        <v>24900</v>
      </c>
      <c r="N1831" t="str">
        <f>IF(TB[[#This Row],[售价]]&lt;1000,"低价商品",IF(TB[[#This Row],[售价]]&lt;5000,"中价商品",IF(TB[[#This Row],[售价]]&lt;10000,"高价商品","超高价商品")))</f>
        <v>高价商品</v>
      </c>
    </row>
    <row r="1832" spans="1:14" x14ac:dyDescent="0.2">
      <c r="A1832">
        <v>709</v>
      </c>
      <c r="B1832">
        <v>155</v>
      </c>
      <c r="C1832" t="s">
        <v>17</v>
      </c>
      <c r="D1832" t="s">
        <v>109</v>
      </c>
      <c r="E1832" t="s">
        <v>12</v>
      </c>
      <c r="F1832">
        <v>2</v>
      </c>
      <c r="G1832" t="s">
        <v>42</v>
      </c>
      <c r="H1832" s="1">
        <v>45964.835416666669</v>
      </c>
      <c r="I1832" s="5">
        <f>INT(TB[[#This Row],[时间戳]])</f>
        <v>45964</v>
      </c>
      <c r="J1832" s="2">
        <f>HOUR(TB[[#This Row],[时间戳]])</f>
        <v>20</v>
      </c>
      <c r="K1832">
        <v>10813</v>
      </c>
      <c r="L1832">
        <v>0</v>
      </c>
      <c r="M1832">
        <f>TB[[#This Row],[售价]]*TB[[#This Row],[销量]]</f>
        <v>0</v>
      </c>
      <c r="N1832" t="str">
        <f>IF(TB[[#This Row],[售价]]&lt;1000,"低价商品",IF(TB[[#This Row],[售价]]&lt;5000,"中价商品",IF(TB[[#This Row],[售价]]&lt;10000,"高价商品","超高价商品")))</f>
        <v>超高价商品</v>
      </c>
    </row>
    <row r="1833" spans="1:14" x14ac:dyDescent="0.2">
      <c r="A1833">
        <v>316</v>
      </c>
      <c r="B1833">
        <v>211</v>
      </c>
      <c r="C1833" t="s">
        <v>17</v>
      </c>
      <c r="D1833" t="s">
        <v>354</v>
      </c>
      <c r="E1833" t="s">
        <v>16</v>
      </c>
      <c r="F1833">
        <v>6</v>
      </c>
      <c r="G1833" t="s">
        <v>13</v>
      </c>
      <c r="H1833" s="1">
        <v>45964.852777777778</v>
      </c>
      <c r="I1833" s="5">
        <f>INT(TB[[#This Row],[时间戳]])</f>
        <v>45964</v>
      </c>
      <c r="J1833" s="2">
        <f>HOUR(TB[[#This Row],[时间戳]])</f>
        <v>20</v>
      </c>
      <c r="K1833">
        <v>10274</v>
      </c>
      <c r="L1833">
        <v>1</v>
      </c>
      <c r="M1833">
        <f>TB[[#This Row],[售价]]*TB[[#This Row],[销量]]</f>
        <v>10274</v>
      </c>
      <c r="N1833" t="str">
        <f>IF(TB[[#This Row],[售价]]&lt;1000,"低价商品",IF(TB[[#This Row],[售价]]&lt;5000,"中价商品",IF(TB[[#This Row],[售价]]&lt;10000,"高价商品","超高价商品")))</f>
        <v>超高价商品</v>
      </c>
    </row>
    <row r="1834" spans="1:14" x14ac:dyDescent="0.2">
      <c r="A1834">
        <v>147</v>
      </c>
      <c r="B1834">
        <v>138</v>
      </c>
      <c r="C1834" t="s">
        <v>46</v>
      </c>
      <c r="D1834" t="s">
        <v>104</v>
      </c>
      <c r="E1834" t="s">
        <v>12</v>
      </c>
      <c r="F1834">
        <v>2</v>
      </c>
      <c r="G1834" t="s">
        <v>13</v>
      </c>
      <c r="H1834" s="1">
        <v>45964.868750000001</v>
      </c>
      <c r="I1834" s="5">
        <f>INT(TB[[#This Row],[时间戳]])</f>
        <v>45964</v>
      </c>
      <c r="J1834" s="2">
        <f>HOUR(TB[[#This Row],[时间戳]])</f>
        <v>20</v>
      </c>
      <c r="K1834">
        <v>5311</v>
      </c>
      <c r="L1834">
        <v>4</v>
      </c>
      <c r="M1834">
        <f>TB[[#This Row],[售价]]*TB[[#This Row],[销量]]</f>
        <v>21244</v>
      </c>
      <c r="N1834" t="str">
        <f>IF(TB[[#This Row],[售价]]&lt;1000,"低价商品",IF(TB[[#This Row],[售价]]&lt;5000,"中价商品",IF(TB[[#This Row],[售价]]&lt;10000,"高价商品","超高价商品")))</f>
        <v>高价商品</v>
      </c>
    </row>
    <row r="1835" spans="1:14" x14ac:dyDescent="0.2">
      <c r="A1835">
        <v>316</v>
      </c>
      <c r="B1835">
        <v>4</v>
      </c>
      <c r="C1835" t="s">
        <v>17</v>
      </c>
      <c r="D1835" t="s">
        <v>369</v>
      </c>
      <c r="E1835" t="s">
        <v>16</v>
      </c>
      <c r="F1835">
        <v>6</v>
      </c>
      <c r="G1835" t="s">
        <v>13</v>
      </c>
      <c r="H1835" s="1">
        <v>45964.893750000003</v>
      </c>
      <c r="I1835" s="5">
        <f>INT(TB[[#This Row],[时间戳]])</f>
        <v>45964</v>
      </c>
      <c r="J1835" s="2">
        <f>HOUR(TB[[#This Row],[时间戳]])</f>
        <v>21</v>
      </c>
      <c r="K1835">
        <v>5615</v>
      </c>
      <c r="L1835">
        <v>1</v>
      </c>
      <c r="M1835">
        <f>TB[[#This Row],[售价]]*TB[[#This Row],[销量]]</f>
        <v>5615</v>
      </c>
      <c r="N1835" t="str">
        <f>IF(TB[[#This Row],[售价]]&lt;1000,"低价商品",IF(TB[[#This Row],[售价]]&lt;5000,"中价商品",IF(TB[[#This Row],[售价]]&lt;10000,"高价商品","超高价商品")))</f>
        <v>高价商品</v>
      </c>
    </row>
    <row r="1836" spans="1:14" x14ac:dyDescent="0.2">
      <c r="A1836">
        <v>72</v>
      </c>
      <c r="B1836">
        <v>214</v>
      </c>
      <c r="C1836" t="s">
        <v>10</v>
      </c>
      <c r="D1836" t="s">
        <v>201</v>
      </c>
      <c r="E1836" t="s">
        <v>31</v>
      </c>
      <c r="F1836">
        <v>4</v>
      </c>
      <c r="G1836" t="s">
        <v>42</v>
      </c>
      <c r="H1836" s="1">
        <v>45964.925000000003</v>
      </c>
      <c r="I1836" s="5">
        <f>INT(TB[[#This Row],[时间戳]])</f>
        <v>45964</v>
      </c>
      <c r="J1836" s="2">
        <f>HOUR(TB[[#This Row],[时间戳]])</f>
        <v>22</v>
      </c>
      <c r="K1836">
        <v>445</v>
      </c>
      <c r="L1836">
        <v>0</v>
      </c>
      <c r="M1836">
        <f>TB[[#This Row],[售价]]*TB[[#This Row],[销量]]</f>
        <v>0</v>
      </c>
      <c r="N1836" t="str">
        <f>IF(TB[[#This Row],[售价]]&lt;1000,"低价商品",IF(TB[[#This Row],[售价]]&lt;5000,"中价商品",IF(TB[[#This Row],[售价]]&lt;10000,"高价商品","超高价商品")))</f>
        <v>低价商品</v>
      </c>
    </row>
    <row r="1837" spans="1:14" x14ac:dyDescent="0.2">
      <c r="A1837">
        <v>175</v>
      </c>
      <c r="B1837">
        <v>91</v>
      </c>
      <c r="C1837" t="s">
        <v>36</v>
      </c>
      <c r="D1837" t="s">
        <v>284</v>
      </c>
      <c r="E1837" t="s">
        <v>39</v>
      </c>
      <c r="F1837">
        <v>5</v>
      </c>
      <c r="G1837" t="s">
        <v>13</v>
      </c>
      <c r="H1837" s="1">
        <v>45964.944444444445</v>
      </c>
      <c r="I1837" s="5">
        <f>INT(TB[[#This Row],[时间戳]])</f>
        <v>45964</v>
      </c>
      <c r="J1837" s="2">
        <f>HOUR(TB[[#This Row],[时间戳]])</f>
        <v>22</v>
      </c>
      <c r="K1837">
        <v>2963</v>
      </c>
      <c r="L1837">
        <v>4</v>
      </c>
      <c r="M1837">
        <f>TB[[#This Row],[售价]]*TB[[#This Row],[销量]]</f>
        <v>11852</v>
      </c>
      <c r="N1837" t="str">
        <f>IF(TB[[#This Row],[售价]]&lt;1000,"低价商品",IF(TB[[#This Row],[售价]]&lt;5000,"中价商品",IF(TB[[#This Row],[售价]]&lt;10000,"高价商品","超高价商品")))</f>
        <v>中价商品</v>
      </c>
    </row>
    <row r="1838" spans="1:14" x14ac:dyDescent="0.2">
      <c r="A1838">
        <v>499</v>
      </c>
      <c r="B1838">
        <v>94</v>
      </c>
      <c r="C1838" t="s">
        <v>26</v>
      </c>
      <c r="D1838" t="s">
        <v>345</v>
      </c>
      <c r="E1838" t="s">
        <v>12</v>
      </c>
      <c r="F1838">
        <v>2</v>
      </c>
      <c r="G1838" t="s">
        <v>42</v>
      </c>
      <c r="H1838" s="1">
        <v>45964.947222222225</v>
      </c>
      <c r="I1838" s="5">
        <f>INT(TB[[#This Row],[时间戳]])</f>
        <v>45964</v>
      </c>
      <c r="J1838" s="2">
        <f>HOUR(TB[[#This Row],[时间戳]])</f>
        <v>22</v>
      </c>
      <c r="K1838">
        <v>10033</v>
      </c>
      <c r="L1838">
        <v>0</v>
      </c>
      <c r="M1838">
        <f>TB[[#This Row],[售价]]*TB[[#This Row],[销量]]</f>
        <v>0</v>
      </c>
      <c r="N1838" t="str">
        <f>IF(TB[[#This Row],[售价]]&lt;1000,"低价商品",IF(TB[[#This Row],[售价]]&lt;5000,"中价商品",IF(TB[[#This Row],[售价]]&lt;10000,"高价商品","超高价商品")))</f>
        <v>超高价商品</v>
      </c>
    </row>
    <row r="1839" spans="1:14" x14ac:dyDescent="0.2">
      <c r="A1839">
        <v>218</v>
      </c>
      <c r="B1839">
        <v>96</v>
      </c>
      <c r="C1839" t="s">
        <v>44</v>
      </c>
      <c r="D1839" t="s">
        <v>379</v>
      </c>
      <c r="E1839" t="s">
        <v>16</v>
      </c>
      <c r="F1839">
        <v>6</v>
      </c>
      <c r="G1839" t="s">
        <v>13</v>
      </c>
      <c r="H1839" s="1">
        <v>45964.95416666667</v>
      </c>
      <c r="I1839" s="5">
        <f>INT(TB[[#This Row],[时间戳]])</f>
        <v>45964</v>
      </c>
      <c r="J1839" s="2">
        <f>HOUR(TB[[#This Row],[时间戳]])</f>
        <v>22</v>
      </c>
      <c r="K1839">
        <v>10090</v>
      </c>
      <c r="L1839">
        <v>3</v>
      </c>
      <c r="M1839">
        <f>TB[[#This Row],[售价]]*TB[[#This Row],[销量]]</f>
        <v>30270</v>
      </c>
      <c r="N1839" t="str">
        <f>IF(TB[[#This Row],[售价]]&lt;1000,"低价商品",IF(TB[[#This Row],[售价]]&lt;5000,"中价商品",IF(TB[[#This Row],[售价]]&lt;10000,"高价商品","超高价商品")))</f>
        <v>超高价商品</v>
      </c>
    </row>
    <row r="1840" spans="1:14" x14ac:dyDescent="0.2">
      <c r="A1840">
        <v>266</v>
      </c>
      <c r="B1840">
        <v>210</v>
      </c>
      <c r="C1840" t="s">
        <v>26</v>
      </c>
      <c r="D1840" t="s">
        <v>27</v>
      </c>
      <c r="E1840" t="s">
        <v>22</v>
      </c>
      <c r="F1840">
        <v>1</v>
      </c>
      <c r="G1840" t="s">
        <v>42</v>
      </c>
      <c r="H1840" s="1">
        <v>45965.00277777778</v>
      </c>
      <c r="I1840" s="5">
        <f>INT(TB[[#This Row],[时间戳]])</f>
        <v>45965</v>
      </c>
      <c r="J1840" s="2">
        <f>HOUR(TB[[#This Row],[时间戳]])</f>
        <v>0</v>
      </c>
      <c r="K1840">
        <v>2476</v>
      </c>
      <c r="L1840">
        <v>0</v>
      </c>
      <c r="M1840">
        <f>TB[[#This Row],[售价]]*TB[[#This Row],[销量]]</f>
        <v>0</v>
      </c>
      <c r="N1840" t="str">
        <f>IF(TB[[#This Row],[售价]]&lt;1000,"低价商品",IF(TB[[#This Row],[售价]]&lt;5000,"中价商品",IF(TB[[#This Row],[售价]]&lt;10000,"高价商品","超高价商品")))</f>
        <v>中价商品</v>
      </c>
    </row>
    <row r="1841" spans="1:14" x14ac:dyDescent="0.2">
      <c r="A1841">
        <v>652</v>
      </c>
      <c r="B1841">
        <v>86</v>
      </c>
      <c r="C1841" t="s">
        <v>46</v>
      </c>
      <c r="D1841" t="s">
        <v>332</v>
      </c>
      <c r="E1841" t="s">
        <v>19</v>
      </c>
      <c r="F1841">
        <v>3</v>
      </c>
      <c r="G1841" t="s">
        <v>42</v>
      </c>
      <c r="H1841" s="1">
        <v>45965.007638888892</v>
      </c>
      <c r="I1841" s="5">
        <f>INT(TB[[#This Row],[时间戳]])</f>
        <v>45965</v>
      </c>
      <c r="J1841" s="2">
        <f>HOUR(TB[[#This Row],[时间戳]])</f>
        <v>0</v>
      </c>
      <c r="K1841">
        <v>5230</v>
      </c>
      <c r="L1841">
        <v>0</v>
      </c>
      <c r="M1841">
        <f>TB[[#This Row],[售价]]*TB[[#This Row],[销量]]</f>
        <v>0</v>
      </c>
      <c r="N1841" t="str">
        <f>IF(TB[[#This Row],[售价]]&lt;1000,"低价商品",IF(TB[[#This Row],[售价]]&lt;5000,"中价商品",IF(TB[[#This Row],[售价]]&lt;10000,"高价商品","超高价商品")))</f>
        <v>高价商品</v>
      </c>
    </row>
    <row r="1842" spans="1:14" x14ac:dyDescent="0.2">
      <c r="A1842">
        <v>128</v>
      </c>
      <c r="B1842">
        <v>142</v>
      </c>
      <c r="C1842" t="s">
        <v>14</v>
      </c>
      <c r="D1842" t="s">
        <v>106</v>
      </c>
      <c r="E1842" t="s">
        <v>22</v>
      </c>
      <c r="F1842">
        <v>1</v>
      </c>
      <c r="G1842" t="s">
        <v>13</v>
      </c>
      <c r="H1842" s="1">
        <v>45965.015972222223</v>
      </c>
      <c r="I1842" s="5">
        <f>INT(TB[[#This Row],[时间戳]])</f>
        <v>45965</v>
      </c>
      <c r="J1842" s="2">
        <f>HOUR(TB[[#This Row],[时间戳]])</f>
        <v>0</v>
      </c>
      <c r="K1842">
        <v>1603</v>
      </c>
      <c r="L1842">
        <v>2</v>
      </c>
      <c r="M1842">
        <f>TB[[#This Row],[售价]]*TB[[#This Row],[销量]]</f>
        <v>3206</v>
      </c>
      <c r="N1842" t="str">
        <f>IF(TB[[#This Row],[售价]]&lt;1000,"低价商品",IF(TB[[#This Row],[售价]]&lt;5000,"中价商品",IF(TB[[#This Row],[售价]]&lt;10000,"高价商品","超高价商品")))</f>
        <v>中价商品</v>
      </c>
    </row>
    <row r="1843" spans="1:14" x14ac:dyDescent="0.2">
      <c r="A1843">
        <v>241</v>
      </c>
      <c r="B1843">
        <v>245</v>
      </c>
      <c r="C1843" t="s">
        <v>10</v>
      </c>
      <c r="D1843" t="s">
        <v>321</v>
      </c>
      <c r="E1843" t="s">
        <v>39</v>
      </c>
      <c r="F1843">
        <v>5</v>
      </c>
      <c r="G1843" t="s">
        <v>13</v>
      </c>
      <c r="H1843" s="1">
        <v>45965.026388888888</v>
      </c>
      <c r="I1843" s="5">
        <f>INT(TB[[#This Row],[时间戳]])</f>
        <v>45965</v>
      </c>
      <c r="J1843" s="2">
        <f>HOUR(TB[[#This Row],[时间戳]])</f>
        <v>0</v>
      </c>
      <c r="K1843">
        <v>1038</v>
      </c>
      <c r="L1843">
        <v>3</v>
      </c>
      <c r="M1843">
        <f>TB[[#This Row],[售价]]*TB[[#This Row],[销量]]</f>
        <v>3114</v>
      </c>
      <c r="N1843" t="str">
        <f>IF(TB[[#This Row],[售价]]&lt;1000,"低价商品",IF(TB[[#This Row],[售价]]&lt;5000,"中价商品",IF(TB[[#This Row],[售价]]&lt;10000,"高价商品","超高价商品")))</f>
        <v>中价商品</v>
      </c>
    </row>
    <row r="1844" spans="1:14" x14ac:dyDescent="0.2">
      <c r="A1844">
        <v>63</v>
      </c>
      <c r="B1844">
        <v>137</v>
      </c>
      <c r="C1844" t="s">
        <v>14</v>
      </c>
      <c r="D1844" t="s">
        <v>89</v>
      </c>
      <c r="E1844" t="s">
        <v>22</v>
      </c>
      <c r="F1844">
        <v>1</v>
      </c>
      <c r="G1844" t="s">
        <v>13</v>
      </c>
      <c r="H1844" s="1">
        <v>45965.037499999999</v>
      </c>
      <c r="I1844" s="5">
        <f>INT(TB[[#This Row],[时间戳]])</f>
        <v>45965</v>
      </c>
      <c r="J1844" s="2">
        <f>HOUR(TB[[#This Row],[时间戳]])</f>
        <v>0</v>
      </c>
      <c r="K1844">
        <v>5118</v>
      </c>
      <c r="L1844">
        <v>2</v>
      </c>
      <c r="M1844">
        <f>TB[[#This Row],[售价]]*TB[[#This Row],[销量]]</f>
        <v>10236</v>
      </c>
      <c r="N1844" t="str">
        <f>IF(TB[[#This Row],[售价]]&lt;1000,"低价商品",IF(TB[[#This Row],[售价]]&lt;5000,"中价商品",IF(TB[[#This Row],[售价]]&lt;10000,"高价商品","超高价商品")))</f>
        <v>高价商品</v>
      </c>
    </row>
    <row r="1845" spans="1:14" x14ac:dyDescent="0.2">
      <c r="A1845">
        <v>100</v>
      </c>
      <c r="B1845">
        <v>109</v>
      </c>
      <c r="C1845" t="s">
        <v>46</v>
      </c>
      <c r="D1845" t="s">
        <v>180</v>
      </c>
      <c r="E1845" t="s">
        <v>31</v>
      </c>
      <c r="F1845">
        <v>4</v>
      </c>
      <c r="G1845" t="s">
        <v>13</v>
      </c>
      <c r="H1845" s="1">
        <v>45965.054861111108</v>
      </c>
      <c r="I1845" s="5">
        <f>INT(TB[[#This Row],[时间戳]])</f>
        <v>45965</v>
      </c>
      <c r="J1845" s="2">
        <f>HOUR(TB[[#This Row],[时间戳]])</f>
        <v>1</v>
      </c>
      <c r="K1845">
        <v>204</v>
      </c>
      <c r="L1845">
        <v>5</v>
      </c>
      <c r="M1845">
        <f>TB[[#This Row],[售价]]*TB[[#This Row],[销量]]</f>
        <v>1020</v>
      </c>
      <c r="N1845" t="str">
        <f>IF(TB[[#This Row],[售价]]&lt;1000,"低价商品",IF(TB[[#This Row],[售价]]&lt;5000,"中价商品",IF(TB[[#This Row],[售价]]&lt;10000,"高价商品","超高价商品")))</f>
        <v>低价商品</v>
      </c>
    </row>
    <row r="1846" spans="1:14" x14ac:dyDescent="0.2">
      <c r="A1846">
        <v>533</v>
      </c>
      <c r="B1846">
        <v>137</v>
      </c>
      <c r="C1846" t="s">
        <v>17</v>
      </c>
      <c r="D1846" t="s">
        <v>50</v>
      </c>
      <c r="E1846" t="s">
        <v>22</v>
      </c>
      <c r="F1846">
        <v>1</v>
      </c>
      <c r="G1846" t="s">
        <v>13</v>
      </c>
      <c r="H1846" s="1">
        <v>45965.107638888891</v>
      </c>
      <c r="I1846" s="5">
        <f>INT(TB[[#This Row],[时间戳]])</f>
        <v>45965</v>
      </c>
      <c r="J1846" s="2">
        <f>HOUR(TB[[#This Row],[时间戳]])</f>
        <v>2</v>
      </c>
      <c r="K1846">
        <v>5081</v>
      </c>
      <c r="L1846">
        <v>5</v>
      </c>
      <c r="M1846">
        <f>TB[[#This Row],[售价]]*TB[[#This Row],[销量]]</f>
        <v>25405</v>
      </c>
      <c r="N1846" t="str">
        <f>IF(TB[[#This Row],[售价]]&lt;1000,"低价商品",IF(TB[[#This Row],[售价]]&lt;5000,"中价商品",IF(TB[[#This Row],[售价]]&lt;10000,"高价商品","超高价商品")))</f>
        <v>高价商品</v>
      </c>
    </row>
    <row r="1847" spans="1:14" x14ac:dyDescent="0.2">
      <c r="A1847">
        <v>440</v>
      </c>
      <c r="B1847">
        <v>173</v>
      </c>
      <c r="C1847" t="s">
        <v>34</v>
      </c>
      <c r="D1847" t="s">
        <v>164</v>
      </c>
      <c r="E1847" t="s">
        <v>22</v>
      </c>
      <c r="F1847">
        <v>1</v>
      </c>
      <c r="G1847" t="s">
        <v>42</v>
      </c>
      <c r="H1847" s="1">
        <v>45965.112500000003</v>
      </c>
      <c r="I1847" s="5">
        <f>INT(TB[[#This Row],[时间戳]])</f>
        <v>45965</v>
      </c>
      <c r="J1847" s="2">
        <f>HOUR(TB[[#This Row],[时间戳]])</f>
        <v>2</v>
      </c>
      <c r="K1847">
        <v>5022</v>
      </c>
      <c r="L1847">
        <v>0</v>
      </c>
      <c r="M1847">
        <f>TB[[#This Row],[售价]]*TB[[#This Row],[销量]]</f>
        <v>0</v>
      </c>
      <c r="N1847" t="str">
        <f>IF(TB[[#This Row],[售价]]&lt;1000,"低价商品",IF(TB[[#This Row],[售价]]&lt;5000,"中价商品",IF(TB[[#This Row],[售价]]&lt;10000,"高价商品","超高价商品")))</f>
        <v>高价商品</v>
      </c>
    </row>
    <row r="1848" spans="1:14" x14ac:dyDescent="0.2">
      <c r="A1848">
        <v>246</v>
      </c>
      <c r="B1848">
        <v>185</v>
      </c>
      <c r="C1848" t="s">
        <v>34</v>
      </c>
      <c r="D1848" t="s">
        <v>389</v>
      </c>
      <c r="E1848" t="s">
        <v>39</v>
      </c>
      <c r="F1848">
        <v>5</v>
      </c>
      <c r="G1848" t="s">
        <v>13</v>
      </c>
      <c r="H1848" s="1">
        <v>45965.114583333336</v>
      </c>
      <c r="I1848" s="5">
        <f>INT(TB[[#This Row],[时间戳]])</f>
        <v>45965</v>
      </c>
      <c r="J1848" s="2">
        <f>HOUR(TB[[#This Row],[时间戳]])</f>
        <v>2</v>
      </c>
      <c r="K1848">
        <v>2467</v>
      </c>
      <c r="L1848">
        <v>3</v>
      </c>
      <c r="M1848">
        <f>TB[[#This Row],[售价]]*TB[[#This Row],[销量]]</f>
        <v>7401</v>
      </c>
      <c r="N1848" t="str">
        <f>IF(TB[[#This Row],[售价]]&lt;1000,"低价商品",IF(TB[[#This Row],[售价]]&lt;5000,"中价商品",IF(TB[[#This Row],[售价]]&lt;10000,"高价商品","超高价商品")))</f>
        <v>中价商品</v>
      </c>
    </row>
    <row r="1849" spans="1:14" x14ac:dyDescent="0.2">
      <c r="A1849">
        <v>59</v>
      </c>
      <c r="B1849">
        <v>183</v>
      </c>
      <c r="C1849" t="s">
        <v>17</v>
      </c>
      <c r="D1849" t="s">
        <v>292</v>
      </c>
      <c r="E1849" t="s">
        <v>25</v>
      </c>
      <c r="F1849">
        <v>7</v>
      </c>
      <c r="G1849" t="s">
        <v>13</v>
      </c>
      <c r="H1849" s="1">
        <v>45965.118750000001</v>
      </c>
      <c r="I1849" s="5">
        <f>INT(TB[[#This Row],[时间戳]])</f>
        <v>45965</v>
      </c>
      <c r="J1849" s="2">
        <f>HOUR(TB[[#This Row],[时间戳]])</f>
        <v>2</v>
      </c>
      <c r="K1849">
        <v>6952</v>
      </c>
      <c r="L1849">
        <v>3</v>
      </c>
      <c r="M1849">
        <f>TB[[#This Row],[售价]]*TB[[#This Row],[销量]]</f>
        <v>20856</v>
      </c>
      <c r="N1849" t="str">
        <f>IF(TB[[#This Row],[售价]]&lt;1000,"低价商品",IF(TB[[#This Row],[售价]]&lt;5000,"中价商品",IF(TB[[#This Row],[售价]]&lt;10000,"高价商品","超高价商品")))</f>
        <v>高价商品</v>
      </c>
    </row>
    <row r="1850" spans="1:14" x14ac:dyDescent="0.2">
      <c r="A1850">
        <v>716</v>
      </c>
      <c r="B1850">
        <v>206</v>
      </c>
      <c r="C1850" t="s">
        <v>10</v>
      </c>
      <c r="D1850" t="s">
        <v>216</v>
      </c>
      <c r="E1850" t="s">
        <v>39</v>
      </c>
      <c r="F1850">
        <v>5</v>
      </c>
      <c r="G1850" t="s">
        <v>13</v>
      </c>
      <c r="H1850" s="1">
        <v>45965.15902777778</v>
      </c>
      <c r="I1850" s="5">
        <f>INT(TB[[#This Row],[时间戳]])</f>
        <v>45965</v>
      </c>
      <c r="J1850" s="2">
        <f>HOUR(TB[[#This Row],[时间戳]])</f>
        <v>3</v>
      </c>
      <c r="K1850">
        <v>2003</v>
      </c>
      <c r="L1850">
        <v>3</v>
      </c>
      <c r="M1850">
        <f>TB[[#This Row],[售价]]*TB[[#This Row],[销量]]</f>
        <v>6009</v>
      </c>
      <c r="N1850" t="str">
        <f>IF(TB[[#This Row],[售价]]&lt;1000,"低价商品",IF(TB[[#This Row],[售价]]&lt;5000,"中价商品",IF(TB[[#This Row],[售价]]&lt;10000,"高价商品","超高价商品")))</f>
        <v>中价商品</v>
      </c>
    </row>
    <row r="1851" spans="1:14" x14ac:dyDescent="0.2">
      <c r="A1851">
        <v>126</v>
      </c>
      <c r="B1851">
        <v>272</v>
      </c>
      <c r="C1851" t="s">
        <v>10</v>
      </c>
      <c r="D1851" t="s">
        <v>189</v>
      </c>
      <c r="E1851" t="s">
        <v>22</v>
      </c>
      <c r="F1851">
        <v>1</v>
      </c>
      <c r="G1851" t="s">
        <v>13</v>
      </c>
      <c r="H1851" s="1">
        <v>45965.178472222222</v>
      </c>
      <c r="I1851" s="5">
        <f>INT(TB[[#This Row],[时间戳]])</f>
        <v>45965</v>
      </c>
      <c r="J1851" s="2">
        <f>HOUR(TB[[#This Row],[时间戳]])</f>
        <v>4</v>
      </c>
      <c r="K1851">
        <v>6812</v>
      </c>
      <c r="L1851">
        <v>2</v>
      </c>
      <c r="M1851">
        <f>TB[[#This Row],[售价]]*TB[[#This Row],[销量]]</f>
        <v>13624</v>
      </c>
      <c r="N1851" t="str">
        <f>IF(TB[[#This Row],[售价]]&lt;1000,"低价商品",IF(TB[[#This Row],[售价]]&lt;5000,"中价商品",IF(TB[[#This Row],[售价]]&lt;10000,"高价商品","超高价商品")))</f>
        <v>高价商品</v>
      </c>
    </row>
    <row r="1852" spans="1:14" x14ac:dyDescent="0.2">
      <c r="A1852">
        <v>463</v>
      </c>
      <c r="B1852">
        <v>244</v>
      </c>
      <c r="C1852" t="s">
        <v>32</v>
      </c>
      <c r="D1852" t="s">
        <v>148</v>
      </c>
      <c r="E1852" t="s">
        <v>16</v>
      </c>
      <c r="F1852">
        <v>6</v>
      </c>
      <c r="G1852" t="s">
        <v>42</v>
      </c>
      <c r="H1852" s="1">
        <v>45965.184027777781</v>
      </c>
      <c r="I1852" s="5">
        <f>INT(TB[[#This Row],[时间戳]])</f>
        <v>45965</v>
      </c>
      <c r="J1852" s="2">
        <f>HOUR(TB[[#This Row],[时间戳]])</f>
        <v>4</v>
      </c>
      <c r="K1852">
        <v>6736</v>
      </c>
      <c r="L1852">
        <v>0</v>
      </c>
      <c r="M1852">
        <f>TB[[#This Row],[售价]]*TB[[#This Row],[销量]]</f>
        <v>0</v>
      </c>
      <c r="N1852" t="str">
        <f>IF(TB[[#This Row],[售价]]&lt;1000,"低价商品",IF(TB[[#This Row],[售价]]&lt;5000,"中价商品",IF(TB[[#This Row],[售价]]&lt;10000,"高价商品","超高价商品")))</f>
        <v>高价商品</v>
      </c>
    </row>
    <row r="1853" spans="1:14" x14ac:dyDescent="0.2">
      <c r="A1853">
        <v>654</v>
      </c>
      <c r="B1853">
        <v>165</v>
      </c>
      <c r="C1853" t="s">
        <v>32</v>
      </c>
      <c r="D1853" t="s">
        <v>286</v>
      </c>
      <c r="E1853" t="s">
        <v>22</v>
      </c>
      <c r="F1853">
        <v>1</v>
      </c>
      <c r="G1853" t="s">
        <v>13</v>
      </c>
      <c r="H1853" s="1">
        <v>45965.215277777781</v>
      </c>
      <c r="I1853" s="5">
        <f>INT(TB[[#This Row],[时间戳]])</f>
        <v>45965</v>
      </c>
      <c r="J1853" s="2">
        <f>HOUR(TB[[#This Row],[时间戳]])</f>
        <v>5</v>
      </c>
      <c r="K1853">
        <v>5229</v>
      </c>
      <c r="L1853">
        <v>5</v>
      </c>
      <c r="M1853">
        <f>TB[[#This Row],[售价]]*TB[[#This Row],[销量]]</f>
        <v>26145</v>
      </c>
      <c r="N1853" t="str">
        <f>IF(TB[[#This Row],[售价]]&lt;1000,"低价商品",IF(TB[[#This Row],[售价]]&lt;5000,"中价商品",IF(TB[[#This Row],[售价]]&lt;10000,"高价商品","超高价商品")))</f>
        <v>高价商品</v>
      </c>
    </row>
    <row r="1854" spans="1:14" x14ac:dyDescent="0.2">
      <c r="A1854">
        <v>754</v>
      </c>
      <c r="B1854">
        <v>167</v>
      </c>
      <c r="C1854" t="s">
        <v>34</v>
      </c>
      <c r="D1854" t="s">
        <v>108</v>
      </c>
      <c r="E1854" t="s">
        <v>19</v>
      </c>
      <c r="F1854">
        <v>3</v>
      </c>
      <c r="G1854" t="s">
        <v>13</v>
      </c>
      <c r="H1854" s="1">
        <v>45965.252083333333</v>
      </c>
      <c r="I1854" s="5">
        <f>INT(TB[[#This Row],[时间戳]])</f>
        <v>45965</v>
      </c>
      <c r="J1854" s="2">
        <f>HOUR(TB[[#This Row],[时间戳]])</f>
        <v>6</v>
      </c>
      <c r="K1854">
        <v>1760</v>
      </c>
      <c r="L1854">
        <v>5</v>
      </c>
      <c r="M1854">
        <f>TB[[#This Row],[售价]]*TB[[#This Row],[销量]]</f>
        <v>8800</v>
      </c>
      <c r="N1854" t="str">
        <f>IF(TB[[#This Row],[售价]]&lt;1000,"低价商品",IF(TB[[#This Row],[售价]]&lt;5000,"中价商品",IF(TB[[#This Row],[售价]]&lt;10000,"高价商品","超高价商品")))</f>
        <v>中价商品</v>
      </c>
    </row>
    <row r="1855" spans="1:14" x14ac:dyDescent="0.2">
      <c r="A1855">
        <v>410</v>
      </c>
      <c r="B1855">
        <v>42</v>
      </c>
      <c r="C1855" t="s">
        <v>46</v>
      </c>
      <c r="D1855" t="s">
        <v>127</v>
      </c>
      <c r="E1855" t="s">
        <v>12</v>
      </c>
      <c r="F1855">
        <v>2</v>
      </c>
      <c r="G1855" t="s">
        <v>42</v>
      </c>
      <c r="H1855" s="1">
        <v>45965.286111111112</v>
      </c>
      <c r="I1855" s="5">
        <f>INT(TB[[#This Row],[时间戳]])</f>
        <v>45965</v>
      </c>
      <c r="J1855" s="2">
        <f>HOUR(TB[[#This Row],[时间戳]])</f>
        <v>6</v>
      </c>
      <c r="K1855">
        <v>11198</v>
      </c>
      <c r="L1855">
        <v>0</v>
      </c>
      <c r="M1855">
        <f>TB[[#This Row],[售价]]*TB[[#This Row],[销量]]</f>
        <v>0</v>
      </c>
      <c r="N1855" t="str">
        <f>IF(TB[[#This Row],[售价]]&lt;1000,"低价商品",IF(TB[[#This Row],[售价]]&lt;5000,"中价商品",IF(TB[[#This Row],[售价]]&lt;10000,"高价商品","超高价商品")))</f>
        <v>超高价商品</v>
      </c>
    </row>
    <row r="1856" spans="1:14" x14ac:dyDescent="0.2">
      <c r="A1856">
        <v>752</v>
      </c>
      <c r="B1856">
        <v>198</v>
      </c>
      <c r="C1856" t="s">
        <v>44</v>
      </c>
      <c r="D1856" t="s">
        <v>243</v>
      </c>
      <c r="E1856" t="s">
        <v>31</v>
      </c>
      <c r="F1856">
        <v>4</v>
      </c>
      <c r="G1856" t="s">
        <v>13</v>
      </c>
      <c r="H1856" s="1">
        <v>45965.332638888889</v>
      </c>
      <c r="I1856" s="5">
        <f>INT(TB[[#This Row],[时间戳]])</f>
        <v>45965</v>
      </c>
      <c r="J1856" s="2">
        <f>HOUR(TB[[#This Row],[时间戳]])</f>
        <v>7</v>
      </c>
      <c r="K1856">
        <v>782</v>
      </c>
      <c r="L1856">
        <v>3</v>
      </c>
      <c r="M1856">
        <f>TB[[#This Row],[售价]]*TB[[#This Row],[销量]]</f>
        <v>2346</v>
      </c>
      <c r="N1856" t="str">
        <f>IF(TB[[#This Row],[售价]]&lt;1000,"低价商品",IF(TB[[#This Row],[售价]]&lt;5000,"中价商品",IF(TB[[#This Row],[售价]]&lt;10000,"高价商品","超高价商品")))</f>
        <v>低价商品</v>
      </c>
    </row>
    <row r="1857" spans="1:14" x14ac:dyDescent="0.2">
      <c r="A1857">
        <v>147</v>
      </c>
      <c r="B1857">
        <v>267</v>
      </c>
      <c r="C1857" t="s">
        <v>32</v>
      </c>
      <c r="D1857" t="s">
        <v>251</v>
      </c>
      <c r="E1857" t="s">
        <v>12</v>
      </c>
      <c r="F1857">
        <v>2</v>
      </c>
      <c r="G1857" t="s">
        <v>13</v>
      </c>
      <c r="H1857" s="1">
        <v>45965.338194444441</v>
      </c>
      <c r="I1857" s="5">
        <f>INT(TB[[#This Row],[时间戳]])</f>
        <v>45965</v>
      </c>
      <c r="J1857" s="2">
        <f>HOUR(TB[[#This Row],[时间戳]])</f>
        <v>8</v>
      </c>
      <c r="K1857">
        <v>8924</v>
      </c>
      <c r="L1857">
        <v>2</v>
      </c>
      <c r="M1857">
        <f>TB[[#This Row],[售价]]*TB[[#This Row],[销量]]</f>
        <v>17848</v>
      </c>
      <c r="N1857" t="str">
        <f>IF(TB[[#This Row],[售价]]&lt;1000,"低价商品",IF(TB[[#This Row],[售价]]&lt;5000,"中价商品",IF(TB[[#This Row],[售价]]&lt;10000,"高价商品","超高价商品")))</f>
        <v>高价商品</v>
      </c>
    </row>
    <row r="1858" spans="1:14" x14ac:dyDescent="0.2">
      <c r="A1858">
        <v>131</v>
      </c>
      <c r="B1858">
        <v>255</v>
      </c>
      <c r="C1858" t="s">
        <v>20</v>
      </c>
      <c r="D1858" t="s">
        <v>293</v>
      </c>
      <c r="E1858" t="s">
        <v>12</v>
      </c>
      <c r="F1858">
        <v>2</v>
      </c>
      <c r="G1858" t="s">
        <v>13</v>
      </c>
      <c r="H1858" s="1">
        <v>45965.363888888889</v>
      </c>
      <c r="I1858" s="5">
        <f>INT(TB[[#This Row],[时间戳]])</f>
        <v>45965</v>
      </c>
      <c r="J1858" s="2">
        <f>HOUR(TB[[#This Row],[时间戳]])</f>
        <v>8</v>
      </c>
      <c r="K1858">
        <v>13535</v>
      </c>
      <c r="L1858">
        <v>3</v>
      </c>
      <c r="M1858">
        <f>TB[[#This Row],[售价]]*TB[[#This Row],[销量]]</f>
        <v>40605</v>
      </c>
      <c r="N1858" t="str">
        <f>IF(TB[[#This Row],[售价]]&lt;1000,"低价商品",IF(TB[[#This Row],[售价]]&lt;5000,"中价商品",IF(TB[[#This Row],[售价]]&lt;10000,"高价商品","超高价商品")))</f>
        <v>超高价商品</v>
      </c>
    </row>
    <row r="1859" spans="1:14" x14ac:dyDescent="0.2">
      <c r="A1859">
        <v>173</v>
      </c>
      <c r="B1859">
        <v>229</v>
      </c>
      <c r="C1859" t="s">
        <v>20</v>
      </c>
      <c r="D1859" t="s">
        <v>259</v>
      </c>
      <c r="E1859" t="s">
        <v>16</v>
      </c>
      <c r="F1859">
        <v>6</v>
      </c>
      <c r="G1859" t="s">
        <v>13</v>
      </c>
      <c r="H1859" s="1">
        <v>45965.375</v>
      </c>
      <c r="I1859" s="5">
        <f>INT(TB[[#This Row],[时间戳]])</f>
        <v>45965</v>
      </c>
      <c r="J1859" s="2">
        <f>HOUR(TB[[#This Row],[时间戳]])</f>
        <v>9</v>
      </c>
      <c r="K1859">
        <v>3380</v>
      </c>
      <c r="L1859">
        <v>5</v>
      </c>
      <c r="M1859">
        <f>TB[[#This Row],[售价]]*TB[[#This Row],[销量]]</f>
        <v>16900</v>
      </c>
      <c r="N1859" t="str">
        <f>IF(TB[[#This Row],[售价]]&lt;1000,"低价商品",IF(TB[[#This Row],[售价]]&lt;5000,"中价商品",IF(TB[[#This Row],[售价]]&lt;10000,"高价商品","超高价商品")))</f>
        <v>中价商品</v>
      </c>
    </row>
    <row r="1860" spans="1:14" x14ac:dyDescent="0.2">
      <c r="A1860">
        <v>250</v>
      </c>
      <c r="B1860">
        <v>109</v>
      </c>
      <c r="C1860" t="s">
        <v>20</v>
      </c>
      <c r="D1860" t="s">
        <v>340</v>
      </c>
      <c r="E1860" t="s">
        <v>19</v>
      </c>
      <c r="F1860">
        <v>3</v>
      </c>
      <c r="G1860" t="s">
        <v>13</v>
      </c>
      <c r="H1860" s="1">
        <v>45965.40902777778</v>
      </c>
      <c r="I1860" s="5">
        <f>INT(TB[[#This Row],[时间戳]])</f>
        <v>45965</v>
      </c>
      <c r="J1860" s="2">
        <f>HOUR(TB[[#This Row],[时间戳]])</f>
        <v>9</v>
      </c>
      <c r="K1860">
        <v>2493</v>
      </c>
      <c r="L1860">
        <v>2</v>
      </c>
      <c r="M1860">
        <f>TB[[#This Row],[售价]]*TB[[#This Row],[销量]]</f>
        <v>4986</v>
      </c>
      <c r="N1860" t="str">
        <f>IF(TB[[#This Row],[售价]]&lt;1000,"低价商品",IF(TB[[#This Row],[售价]]&lt;5000,"中价商品",IF(TB[[#This Row],[售价]]&lt;10000,"高价商品","超高价商品")))</f>
        <v>中价商品</v>
      </c>
    </row>
    <row r="1861" spans="1:14" x14ac:dyDescent="0.2">
      <c r="A1861">
        <v>446</v>
      </c>
      <c r="B1861">
        <v>15</v>
      </c>
      <c r="C1861" t="s">
        <v>14</v>
      </c>
      <c r="D1861" t="s">
        <v>89</v>
      </c>
      <c r="E1861" t="s">
        <v>22</v>
      </c>
      <c r="F1861">
        <v>1</v>
      </c>
      <c r="G1861" t="s">
        <v>13</v>
      </c>
      <c r="H1861" s="1">
        <v>45965.433333333334</v>
      </c>
      <c r="I1861" s="5">
        <f>INT(TB[[#This Row],[时间戳]])</f>
        <v>45965</v>
      </c>
      <c r="J1861" s="2">
        <f>HOUR(TB[[#This Row],[时间戳]])</f>
        <v>10</v>
      </c>
      <c r="K1861">
        <v>2581</v>
      </c>
      <c r="L1861">
        <v>2</v>
      </c>
      <c r="M1861">
        <f>TB[[#This Row],[售价]]*TB[[#This Row],[销量]]</f>
        <v>5162</v>
      </c>
      <c r="N1861" t="str">
        <f>IF(TB[[#This Row],[售价]]&lt;1000,"低价商品",IF(TB[[#This Row],[售价]]&lt;5000,"中价商品",IF(TB[[#This Row],[售价]]&lt;10000,"高价商品","超高价商品")))</f>
        <v>中价商品</v>
      </c>
    </row>
    <row r="1862" spans="1:14" x14ac:dyDescent="0.2">
      <c r="A1862">
        <v>226</v>
      </c>
      <c r="B1862">
        <v>132</v>
      </c>
      <c r="C1862" t="s">
        <v>17</v>
      </c>
      <c r="D1862" t="s">
        <v>257</v>
      </c>
      <c r="E1862" t="s">
        <v>19</v>
      </c>
      <c r="F1862">
        <v>3</v>
      </c>
      <c r="G1862" t="s">
        <v>13</v>
      </c>
      <c r="H1862" s="1">
        <v>45965.460416666669</v>
      </c>
      <c r="I1862" s="5">
        <f>INT(TB[[#This Row],[时间戳]])</f>
        <v>45965</v>
      </c>
      <c r="J1862" s="2">
        <f>HOUR(TB[[#This Row],[时间戳]])</f>
        <v>11</v>
      </c>
      <c r="K1862">
        <v>2779</v>
      </c>
      <c r="L1862">
        <v>2</v>
      </c>
      <c r="M1862">
        <f>TB[[#This Row],[售价]]*TB[[#This Row],[销量]]</f>
        <v>5558</v>
      </c>
      <c r="N1862" t="str">
        <f>IF(TB[[#This Row],[售价]]&lt;1000,"低价商品",IF(TB[[#This Row],[售价]]&lt;5000,"中价商品",IF(TB[[#This Row],[售价]]&lt;10000,"高价商品","超高价商品")))</f>
        <v>中价商品</v>
      </c>
    </row>
    <row r="1863" spans="1:14" x14ac:dyDescent="0.2">
      <c r="A1863">
        <v>548</v>
      </c>
      <c r="B1863">
        <v>252</v>
      </c>
      <c r="C1863" t="s">
        <v>14</v>
      </c>
      <c r="D1863" t="s">
        <v>43</v>
      </c>
      <c r="E1863" t="s">
        <v>31</v>
      </c>
      <c r="F1863">
        <v>4</v>
      </c>
      <c r="G1863" t="s">
        <v>13</v>
      </c>
      <c r="H1863" s="1">
        <v>45965.480555555558</v>
      </c>
      <c r="I1863" s="5">
        <f>INT(TB[[#This Row],[时间戳]])</f>
        <v>45965</v>
      </c>
      <c r="J1863" s="2">
        <f>HOUR(TB[[#This Row],[时间戳]])</f>
        <v>11</v>
      </c>
      <c r="K1863">
        <v>1456</v>
      </c>
      <c r="L1863">
        <v>2</v>
      </c>
      <c r="M1863">
        <f>TB[[#This Row],[售价]]*TB[[#This Row],[销量]]</f>
        <v>2912</v>
      </c>
      <c r="N1863" t="str">
        <f>IF(TB[[#This Row],[售价]]&lt;1000,"低价商品",IF(TB[[#This Row],[售价]]&lt;5000,"中价商品",IF(TB[[#This Row],[售价]]&lt;10000,"高价商品","超高价商品")))</f>
        <v>中价商品</v>
      </c>
    </row>
    <row r="1864" spans="1:14" x14ac:dyDescent="0.2">
      <c r="A1864">
        <v>590</v>
      </c>
      <c r="B1864">
        <v>34</v>
      </c>
      <c r="C1864" t="s">
        <v>34</v>
      </c>
      <c r="D1864" t="s">
        <v>175</v>
      </c>
      <c r="E1864" t="s">
        <v>22</v>
      </c>
      <c r="F1864">
        <v>1</v>
      </c>
      <c r="G1864" t="s">
        <v>13</v>
      </c>
      <c r="H1864" s="1">
        <v>45965.484027777777</v>
      </c>
      <c r="I1864" s="5">
        <f>INT(TB[[#This Row],[时间戳]])</f>
        <v>45965</v>
      </c>
      <c r="J1864" s="2">
        <f>HOUR(TB[[#This Row],[时间戳]])</f>
        <v>11</v>
      </c>
      <c r="K1864">
        <v>1894</v>
      </c>
      <c r="L1864">
        <v>3</v>
      </c>
      <c r="M1864">
        <f>TB[[#This Row],[售价]]*TB[[#This Row],[销量]]</f>
        <v>5682</v>
      </c>
      <c r="N1864" t="str">
        <f>IF(TB[[#This Row],[售价]]&lt;1000,"低价商品",IF(TB[[#This Row],[售价]]&lt;5000,"中价商品",IF(TB[[#This Row],[售价]]&lt;10000,"高价商品","超高价商品")))</f>
        <v>中价商品</v>
      </c>
    </row>
    <row r="1865" spans="1:14" x14ac:dyDescent="0.2">
      <c r="A1865">
        <v>761</v>
      </c>
      <c r="B1865">
        <v>196</v>
      </c>
      <c r="C1865" t="s">
        <v>17</v>
      </c>
      <c r="D1865" t="s">
        <v>75</v>
      </c>
      <c r="E1865" t="s">
        <v>12</v>
      </c>
      <c r="F1865">
        <v>2</v>
      </c>
      <c r="G1865" t="s">
        <v>13</v>
      </c>
      <c r="H1865" s="1">
        <v>45965.498611111114</v>
      </c>
      <c r="I1865" s="5">
        <f>INT(TB[[#This Row],[时间戳]])</f>
        <v>45965</v>
      </c>
      <c r="J1865" s="2">
        <f>HOUR(TB[[#This Row],[时间戳]])</f>
        <v>11</v>
      </c>
      <c r="K1865">
        <v>14526</v>
      </c>
      <c r="L1865">
        <v>3</v>
      </c>
      <c r="M1865">
        <f>TB[[#This Row],[售价]]*TB[[#This Row],[销量]]</f>
        <v>43578</v>
      </c>
      <c r="N1865" t="str">
        <f>IF(TB[[#This Row],[售价]]&lt;1000,"低价商品",IF(TB[[#This Row],[售价]]&lt;5000,"中价商品",IF(TB[[#This Row],[售价]]&lt;10000,"高价商品","超高价商品")))</f>
        <v>超高价商品</v>
      </c>
    </row>
    <row r="1866" spans="1:14" x14ac:dyDescent="0.2">
      <c r="A1866">
        <v>239</v>
      </c>
      <c r="B1866">
        <v>115</v>
      </c>
      <c r="C1866" t="s">
        <v>20</v>
      </c>
      <c r="D1866" t="s">
        <v>23</v>
      </c>
      <c r="E1866" t="s">
        <v>12</v>
      </c>
      <c r="F1866">
        <v>2</v>
      </c>
      <c r="G1866" t="s">
        <v>13</v>
      </c>
      <c r="H1866" s="1">
        <v>45965.574999999997</v>
      </c>
      <c r="I1866" s="5">
        <f>INT(TB[[#This Row],[时间戳]])</f>
        <v>45965</v>
      </c>
      <c r="J1866" s="2">
        <f>HOUR(TB[[#This Row],[时间戳]])</f>
        <v>13</v>
      </c>
      <c r="K1866">
        <v>14841</v>
      </c>
      <c r="L1866">
        <v>5</v>
      </c>
      <c r="M1866">
        <f>TB[[#This Row],[售价]]*TB[[#This Row],[销量]]</f>
        <v>74205</v>
      </c>
      <c r="N1866" t="str">
        <f>IF(TB[[#This Row],[售价]]&lt;1000,"低价商品",IF(TB[[#This Row],[售价]]&lt;5000,"中价商品",IF(TB[[#This Row],[售价]]&lt;10000,"高价商品","超高价商品")))</f>
        <v>超高价商品</v>
      </c>
    </row>
    <row r="1867" spans="1:14" x14ac:dyDescent="0.2">
      <c r="A1867">
        <v>115</v>
      </c>
      <c r="B1867">
        <v>46</v>
      </c>
      <c r="C1867" t="s">
        <v>36</v>
      </c>
      <c r="D1867" t="s">
        <v>187</v>
      </c>
      <c r="E1867" t="s">
        <v>12</v>
      </c>
      <c r="F1867">
        <v>2</v>
      </c>
      <c r="G1867" t="s">
        <v>42</v>
      </c>
      <c r="H1867" s="1">
        <v>45965.626388888886</v>
      </c>
      <c r="I1867" s="5">
        <f>INT(TB[[#This Row],[时间戳]])</f>
        <v>45965</v>
      </c>
      <c r="J1867" s="2">
        <f>HOUR(TB[[#This Row],[时间戳]])</f>
        <v>15</v>
      </c>
      <c r="K1867">
        <v>8103</v>
      </c>
      <c r="L1867">
        <v>0</v>
      </c>
      <c r="M1867">
        <f>TB[[#This Row],[售价]]*TB[[#This Row],[销量]]</f>
        <v>0</v>
      </c>
      <c r="N1867" t="str">
        <f>IF(TB[[#This Row],[售价]]&lt;1000,"低价商品",IF(TB[[#This Row],[售价]]&lt;5000,"中价商品",IF(TB[[#This Row],[售价]]&lt;10000,"高价商品","超高价商品")))</f>
        <v>高价商品</v>
      </c>
    </row>
    <row r="1868" spans="1:14" x14ac:dyDescent="0.2">
      <c r="A1868">
        <v>763</v>
      </c>
      <c r="B1868">
        <v>60</v>
      </c>
      <c r="C1868" t="s">
        <v>46</v>
      </c>
      <c r="D1868" t="s">
        <v>135</v>
      </c>
      <c r="E1868" t="s">
        <v>22</v>
      </c>
      <c r="F1868">
        <v>1</v>
      </c>
      <c r="G1868" t="s">
        <v>42</v>
      </c>
      <c r="H1868" s="1">
        <v>45965.627083333333</v>
      </c>
      <c r="I1868" s="5">
        <f>INT(TB[[#This Row],[时间戳]])</f>
        <v>45965</v>
      </c>
      <c r="J1868" s="2">
        <f>HOUR(TB[[#This Row],[时间戳]])</f>
        <v>15</v>
      </c>
      <c r="K1868">
        <v>3966</v>
      </c>
      <c r="L1868">
        <v>0</v>
      </c>
      <c r="M1868">
        <f>TB[[#This Row],[售价]]*TB[[#This Row],[销量]]</f>
        <v>0</v>
      </c>
      <c r="N1868" t="str">
        <f>IF(TB[[#This Row],[售价]]&lt;1000,"低价商品",IF(TB[[#This Row],[售价]]&lt;5000,"中价商品",IF(TB[[#This Row],[售价]]&lt;10000,"高价商品","超高价商品")))</f>
        <v>中价商品</v>
      </c>
    </row>
    <row r="1869" spans="1:14" x14ac:dyDescent="0.2">
      <c r="A1869">
        <v>390</v>
      </c>
      <c r="B1869">
        <v>296</v>
      </c>
      <c r="C1869" t="s">
        <v>26</v>
      </c>
      <c r="D1869" t="s">
        <v>306</v>
      </c>
      <c r="E1869" t="s">
        <v>31</v>
      </c>
      <c r="F1869">
        <v>4</v>
      </c>
      <c r="G1869" t="s">
        <v>13</v>
      </c>
      <c r="H1869" s="1">
        <v>45965.630555555559</v>
      </c>
      <c r="I1869" s="5">
        <f>INT(TB[[#This Row],[时间戳]])</f>
        <v>45965</v>
      </c>
      <c r="J1869" s="2">
        <f>HOUR(TB[[#This Row],[时间戳]])</f>
        <v>15</v>
      </c>
      <c r="K1869">
        <v>1211</v>
      </c>
      <c r="L1869">
        <v>2</v>
      </c>
      <c r="M1869">
        <f>TB[[#This Row],[售价]]*TB[[#This Row],[销量]]</f>
        <v>2422</v>
      </c>
      <c r="N1869" t="str">
        <f>IF(TB[[#This Row],[售价]]&lt;1000,"低价商品",IF(TB[[#This Row],[售价]]&lt;5000,"中价商品",IF(TB[[#This Row],[售价]]&lt;10000,"高价商品","超高价商品")))</f>
        <v>中价商品</v>
      </c>
    </row>
    <row r="1870" spans="1:14" x14ac:dyDescent="0.2">
      <c r="A1870">
        <v>549</v>
      </c>
      <c r="B1870">
        <v>98</v>
      </c>
      <c r="C1870" t="s">
        <v>10</v>
      </c>
      <c r="D1870" t="s">
        <v>294</v>
      </c>
      <c r="E1870" t="s">
        <v>31</v>
      </c>
      <c r="F1870">
        <v>4</v>
      </c>
      <c r="G1870" t="s">
        <v>13</v>
      </c>
      <c r="H1870" s="1">
        <v>45965.632638888892</v>
      </c>
      <c r="I1870" s="5">
        <f>INT(TB[[#This Row],[时间戳]])</f>
        <v>45965</v>
      </c>
      <c r="J1870" s="2">
        <f>HOUR(TB[[#This Row],[时间戳]])</f>
        <v>15</v>
      </c>
      <c r="K1870">
        <v>50</v>
      </c>
      <c r="L1870">
        <v>2</v>
      </c>
      <c r="M1870">
        <f>TB[[#This Row],[售价]]*TB[[#This Row],[销量]]</f>
        <v>100</v>
      </c>
      <c r="N1870" t="str">
        <f>IF(TB[[#This Row],[售价]]&lt;1000,"低价商品",IF(TB[[#This Row],[售价]]&lt;5000,"中价商品",IF(TB[[#This Row],[售价]]&lt;10000,"高价商品","超高价商品")))</f>
        <v>低价商品</v>
      </c>
    </row>
    <row r="1871" spans="1:14" x14ac:dyDescent="0.2">
      <c r="A1871">
        <v>696</v>
      </c>
      <c r="B1871">
        <v>65</v>
      </c>
      <c r="C1871" t="s">
        <v>34</v>
      </c>
      <c r="D1871" t="s">
        <v>86</v>
      </c>
      <c r="E1871" t="s">
        <v>12</v>
      </c>
      <c r="F1871">
        <v>2</v>
      </c>
      <c r="G1871" t="s">
        <v>42</v>
      </c>
      <c r="H1871" s="1">
        <v>45965.656944444447</v>
      </c>
      <c r="I1871" s="5">
        <f>INT(TB[[#This Row],[时间戳]])</f>
        <v>45965</v>
      </c>
      <c r="J1871" s="2">
        <f>HOUR(TB[[#This Row],[时间戳]])</f>
        <v>15</v>
      </c>
      <c r="K1871">
        <v>10375</v>
      </c>
      <c r="L1871">
        <v>0</v>
      </c>
      <c r="M1871">
        <f>TB[[#This Row],[售价]]*TB[[#This Row],[销量]]</f>
        <v>0</v>
      </c>
      <c r="N1871" t="str">
        <f>IF(TB[[#This Row],[售价]]&lt;1000,"低价商品",IF(TB[[#This Row],[售价]]&lt;5000,"中价商品",IF(TB[[#This Row],[售价]]&lt;10000,"高价商品","超高价商品")))</f>
        <v>超高价商品</v>
      </c>
    </row>
    <row r="1872" spans="1:14" x14ac:dyDescent="0.2">
      <c r="A1872">
        <v>228</v>
      </c>
      <c r="B1872">
        <v>55</v>
      </c>
      <c r="C1872" t="s">
        <v>46</v>
      </c>
      <c r="D1872" t="s">
        <v>129</v>
      </c>
      <c r="E1872" t="s">
        <v>31</v>
      </c>
      <c r="F1872">
        <v>4</v>
      </c>
      <c r="G1872" t="s">
        <v>13</v>
      </c>
      <c r="H1872" s="1">
        <v>45965.688194444447</v>
      </c>
      <c r="I1872" s="5">
        <f>INT(TB[[#This Row],[时间戳]])</f>
        <v>45965</v>
      </c>
      <c r="J1872" s="2">
        <f>HOUR(TB[[#This Row],[时间戳]])</f>
        <v>16</v>
      </c>
      <c r="K1872">
        <v>1253</v>
      </c>
      <c r="L1872">
        <v>2</v>
      </c>
      <c r="M1872">
        <f>TB[[#This Row],[售价]]*TB[[#This Row],[销量]]</f>
        <v>2506</v>
      </c>
      <c r="N1872" t="str">
        <f>IF(TB[[#This Row],[售价]]&lt;1000,"低价商品",IF(TB[[#This Row],[售价]]&lt;5000,"中价商品",IF(TB[[#This Row],[售价]]&lt;10000,"高价商品","超高价商品")))</f>
        <v>中价商品</v>
      </c>
    </row>
    <row r="1873" spans="1:14" x14ac:dyDescent="0.2">
      <c r="A1873">
        <v>324</v>
      </c>
      <c r="B1873">
        <v>75</v>
      </c>
      <c r="C1873" t="s">
        <v>20</v>
      </c>
      <c r="D1873" t="s">
        <v>167</v>
      </c>
      <c r="E1873" t="s">
        <v>39</v>
      </c>
      <c r="F1873">
        <v>5</v>
      </c>
      <c r="G1873" t="s">
        <v>13</v>
      </c>
      <c r="H1873" s="1">
        <v>45965.692361111112</v>
      </c>
      <c r="I1873" s="5">
        <f>INT(TB[[#This Row],[时间戳]])</f>
        <v>45965</v>
      </c>
      <c r="J1873" s="2">
        <f>HOUR(TB[[#This Row],[时间戳]])</f>
        <v>16</v>
      </c>
      <c r="K1873">
        <v>2223</v>
      </c>
      <c r="L1873">
        <v>5</v>
      </c>
      <c r="M1873">
        <f>TB[[#This Row],[售价]]*TB[[#This Row],[销量]]</f>
        <v>11115</v>
      </c>
      <c r="N1873" t="str">
        <f>IF(TB[[#This Row],[售价]]&lt;1000,"低价商品",IF(TB[[#This Row],[售价]]&lt;5000,"中价商品",IF(TB[[#This Row],[售价]]&lt;10000,"高价商品","超高价商品")))</f>
        <v>中价商品</v>
      </c>
    </row>
    <row r="1874" spans="1:14" x14ac:dyDescent="0.2">
      <c r="A1874">
        <v>151</v>
      </c>
      <c r="B1874">
        <v>146</v>
      </c>
      <c r="C1874" t="s">
        <v>44</v>
      </c>
      <c r="D1874" t="s">
        <v>169</v>
      </c>
      <c r="E1874" t="s">
        <v>31</v>
      </c>
      <c r="F1874">
        <v>4</v>
      </c>
      <c r="G1874" t="s">
        <v>13</v>
      </c>
      <c r="H1874" s="1">
        <v>45965.705555555556</v>
      </c>
      <c r="I1874" s="5">
        <f>INT(TB[[#This Row],[时间戳]])</f>
        <v>45965</v>
      </c>
      <c r="J1874" s="2">
        <f>HOUR(TB[[#This Row],[时间戳]])</f>
        <v>16</v>
      </c>
      <c r="K1874">
        <v>569</v>
      </c>
      <c r="L1874">
        <v>5</v>
      </c>
      <c r="M1874">
        <f>TB[[#This Row],[售价]]*TB[[#This Row],[销量]]</f>
        <v>2845</v>
      </c>
      <c r="N1874" t="str">
        <f>IF(TB[[#This Row],[售价]]&lt;1000,"低价商品",IF(TB[[#This Row],[售价]]&lt;5000,"中价商品",IF(TB[[#This Row],[售价]]&lt;10000,"高价商品","超高价商品")))</f>
        <v>低价商品</v>
      </c>
    </row>
    <row r="1875" spans="1:14" x14ac:dyDescent="0.2">
      <c r="A1875">
        <v>328</v>
      </c>
      <c r="B1875">
        <v>159</v>
      </c>
      <c r="C1875" t="s">
        <v>10</v>
      </c>
      <c r="D1875" t="s">
        <v>278</v>
      </c>
      <c r="E1875" t="s">
        <v>19</v>
      </c>
      <c r="F1875">
        <v>3</v>
      </c>
      <c r="G1875" t="s">
        <v>13</v>
      </c>
      <c r="H1875" s="1">
        <v>45965.739583333336</v>
      </c>
      <c r="I1875" s="5">
        <f>INT(TB[[#This Row],[时间戳]])</f>
        <v>45965</v>
      </c>
      <c r="J1875" s="2">
        <f>HOUR(TB[[#This Row],[时间戳]])</f>
        <v>17</v>
      </c>
      <c r="K1875">
        <v>2876</v>
      </c>
      <c r="L1875">
        <v>2</v>
      </c>
      <c r="M1875">
        <f>TB[[#This Row],[售价]]*TB[[#This Row],[销量]]</f>
        <v>5752</v>
      </c>
      <c r="N1875" t="str">
        <f>IF(TB[[#This Row],[售价]]&lt;1000,"低价商品",IF(TB[[#This Row],[售价]]&lt;5000,"中价商品",IF(TB[[#This Row],[售价]]&lt;10000,"高价商品","超高价商品")))</f>
        <v>中价商品</v>
      </c>
    </row>
    <row r="1876" spans="1:14" x14ac:dyDescent="0.2">
      <c r="A1876">
        <v>724</v>
      </c>
      <c r="B1876">
        <v>294</v>
      </c>
      <c r="C1876" t="s">
        <v>14</v>
      </c>
      <c r="D1876" t="s">
        <v>53</v>
      </c>
      <c r="E1876" t="s">
        <v>12</v>
      </c>
      <c r="F1876">
        <v>2</v>
      </c>
      <c r="G1876" t="s">
        <v>13</v>
      </c>
      <c r="H1876" s="1">
        <v>45965.763888888891</v>
      </c>
      <c r="I1876" s="5">
        <f>INT(TB[[#This Row],[时间戳]])</f>
        <v>45965</v>
      </c>
      <c r="J1876" s="2">
        <f>HOUR(TB[[#This Row],[时间戳]])</f>
        <v>18</v>
      </c>
      <c r="K1876">
        <v>12382</v>
      </c>
      <c r="L1876">
        <v>3</v>
      </c>
      <c r="M1876">
        <f>TB[[#This Row],[售价]]*TB[[#This Row],[销量]]</f>
        <v>37146</v>
      </c>
      <c r="N1876" t="str">
        <f>IF(TB[[#This Row],[售价]]&lt;1000,"低价商品",IF(TB[[#This Row],[售价]]&lt;5000,"中价商品",IF(TB[[#This Row],[售价]]&lt;10000,"高价商品","超高价商品")))</f>
        <v>超高价商品</v>
      </c>
    </row>
    <row r="1877" spans="1:14" x14ac:dyDescent="0.2">
      <c r="A1877">
        <v>299</v>
      </c>
      <c r="B1877">
        <v>193</v>
      </c>
      <c r="C1877" t="s">
        <v>32</v>
      </c>
      <c r="D1877" t="s">
        <v>176</v>
      </c>
      <c r="E1877" t="s">
        <v>22</v>
      </c>
      <c r="F1877">
        <v>1</v>
      </c>
      <c r="G1877" t="s">
        <v>13</v>
      </c>
      <c r="H1877" s="1">
        <v>45965.777777777781</v>
      </c>
      <c r="I1877" s="5">
        <f>INT(TB[[#This Row],[时间戳]])</f>
        <v>45965</v>
      </c>
      <c r="J1877" s="2">
        <f>HOUR(TB[[#This Row],[时间戳]])</f>
        <v>18</v>
      </c>
      <c r="K1877">
        <v>5041</v>
      </c>
      <c r="L1877">
        <v>2</v>
      </c>
      <c r="M1877">
        <f>TB[[#This Row],[售价]]*TB[[#This Row],[销量]]</f>
        <v>10082</v>
      </c>
      <c r="N1877" t="str">
        <f>IF(TB[[#This Row],[售价]]&lt;1000,"低价商品",IF(TB[[#This Row],[售价]]&lt;5000,"中价商品",IF(TB[[#This Row],[售价]]&lt;10000,"高价商品","超高价商品")))</f>
        <v>高价商品</v>
      </c>
    </row>
    <row r="1878" spans="1:14" x14ac:dyDescent="0.2">
      <c r="A1878">
        <v>216</v>
      </c>
      <c r="B1878">
        <v>116</v>
      </c>
      <c r="C1878" t="s">
        <v>26</v>
      </c>
      <c r="D1878" t="s">
        <v>65</v>
      </c>
      <c r="E1878" t="s">
        <v>22</v>
      </c>
      <c r="F1878">
        <v>1</v>
      </c>
      <c r="G1878" t="s">
        <v>42</v>
      </c>
      <c r="H1878" s="1">
        <v>45965.794444444444</v>
      </c>
      <c r="I1878" s="5">
        <f>INT(TB[[#This Row],[时间戳]])</f>
        <v>45965</v>
      </c>
      <c r="J1878" s="2">
        <f>HOUR(TB[[#This Row],[时间戳]])</f>
        <v>19</v>
      </c>
      <c r="K1878">
        <v>1451</v>
      </c>
      <c r="L1878">
        <v>0</v>
      </c>
      <c r="M1878">
        <f>TB[[#This Row],[售价]]*TB[[#This Row],[销量]]</f>
        <v>0</v>
      </c>
      <c r="N1878" t="str">
        <f>IF(TB[[#This Row],[售价]]&lt;1000,"低价商品",IF(TB[[#This Row],[售价]]&lt;5000,"中价商品",IF(TB[[#This Row],[售价]]&lt;10000,"高价商品","超高价商品")))</f>
        <v>中价商品</v>
      </c>
    </row>
    <row r="1879" spans="1:14" x14ac:dyDescent="0.2">
      <c r="A1879">
        <v>500</v>
      </c>
      <c r="B1879">
        <v>201</v>
      </c>
      <c r="C1879" t="s">
        <v>10</v>
      </c>
      <c r="D1879" t="s">
        <v>116</v>
      </c>
      <c r="E1879" t="s">
        <v>31</v>
      </c>
      <c r="F1879">
        <v>4</v>
      </c>
      <c r="G1879" t="s">
        <v>13</v>
      </c>
      <c r="H1879" s="1">
        <v>45965.807638888888</v>
      </c>
      <c r="I1879" s="5">
        <f>INT(TB[[#This Row],[时间戳]])</f>
        <v>45965</v>
      </c>
      <c r="J1879" s="2">
        <f>HOUR(TB[[#This Row],[时间戳]])</f>
        <v>19</v>
      </c>
      <c r="K1879">
        <v>1500</v>
      </c>
      <c r="L1879">
        <v>2</v>
      </c>
      <c r="M1879">
        <f>TB[[#This Row],[售价]]*TB[[#This Row],[销量]]</f>
        <v>3000</v>
      </c>
      <c r="N1879" t="str">
        <f>IF(TB[[#This Row],[售价]]&lt;1000,"低价商品",IF(TB[[#This Row],[售价]]&lt;5000,"中价商品",IF(TB[[#This Row],[售价]]&lt;10000,"高价商品","超高价商品")))</f>
        <v>中价商品</v>
      </c>
    </row>
    <row r="1880" spans="1:14" x14ac:dyDescent="0.2">
      <c r="A1880">
        <v>562</v>
      </c>
      <c r="B1880">
        <v>201</v>
      </c>
      <c r="C1880" t="s">
        <v>26</v>
      </c>
      <c r="D1880" t="s">
        <v>225</v>
      </c>
      <c r="E1880" t="s">
        <v>31</v>
      </c>
      <c r="F1880">
        <v>4</v>
      </c>
      <c r="G1880" t="s">
        <v>13</v>
      </c>
      <c r="H1880" s="1">
        <v>45965.813888888886</v>
      </c>
      <c r="I1880" s="5">
        <f>INT(TB[[#This Row],[时间戳]])</f>
        <v>45965</v>
      </c>
      <c r="J1880" s="2">
        <f>HOUR(TB[[#This Row],[时间戳]])</f>
        <v>19</v>
      </c>
      <c r="K1880">
        <v>799</v>
      </c>
      <c r="L1880">
        <v>5</v>
      </c>
      <c r="M1880">
        <f>TB[[#This Row],[售价]]*TB[[#This Row],[销量]]</f>
        <v>3995</v>
      </c>
      <c r="N1880" t="str">
        <f>IF(TB[[#This Row],[售价]]&lt;1000,"低价商品",IF(TB[[#This Row],[售价]]&lt;5000,"中价商品",IF(TB[[#This Row],[售价]]&lt;10000,"高价商品","超高价商品")))</f>
        <v>低价商品</v>
      </c>
    </row>
    <row r="1881" spans="1:14" x14ac:dyDescent="0.2">
      <c r="A1881">
        <v>776</v>
      </c>
      <c r="B1881">
        <v>201</v>
      </c>
      <c r="C1881" t="s">
        <v>44</v>
      </c>
      <c r="D1881" t="s">
        <v>100</v>
      </c>
      <c r="E1881" t="s">
        <v>19</v>
      </c>
      <c r="F1881">
        <v>3</v>
      </c>
      <c r="G1881" t="s">
        <v>13</v>
      </c>
      <c r="H1881" s="1">
        <v>45965.82916666667</v>
      </c>
      <c r="I1881" s="5">
        <f>INT(TB[[#This Row],[时间戳]])</f>
        <v>45965</v>
      </c>
      <c r="J1881" s="2">
        <f>HOUR(TB[[#This Row],[时间戳]])</f>
        <v>19</v>
      </c>
      <c r="K1881">
        <v>4280</v>
      </c>
      <c r="L1881">
        <v>2</v>
      </c>
      <c r="M1881">
        <f>TB[[#This Row],[售价]]*TB[[#This Row],[销量]]</f>
        <v>8560</v>
      </c>
      <c r="N1881" t="str">
        <f>IF(TB[[#This Row],[售价]]&lt;1000,"低价商品",IF(TB[[#This Row],[售价]]&lt;5000,"中价商品",IF(TB[[#This Row],[售价]]&lt;10000,"高价商品","超高价商品")))</f>
        <v>中价商品</v>
      </c>
    </row>
    <row r="1882" spans="1:14" x14ac:dyDescent="0.2">
      <c r="A1882">
        <v>290</v>
      </c>
      <c r="B1882">
        <v>145</v>
      </c>
      <c r="C1882" t="s">
        <v>20</v>
      </c>
      <c r="D1882" t="s">
        <v>324</v>
      </c>
      <c r="E1882" t="s">
        <v>12</v>
      </c>
      <c r="F1882">
        <v>2</v>
      </c>
      <c r="G1882" t="s">
        <v>13</v>
      </c>
      <c r="H1882" s="1">
        <v>45965.850694444445</v>
      </c>
      <c r="I1882" s="5">
        <f>INT(TB[[#This Row],[时间戳]])</f>
        <v>45965</v>
      </c>
      <c r="J1882" s="2">
        <f>HOUR(TB[[#This Row],[时间戳]])</f>
        <v>20</v>
      </c>
      <c r="K1882">
        <v>10243</v>
      </c>
      <c r="L1882">
        <v>2</v>
      </c>
      <c r="M1882">
        <f>TB[[#This Row],[售价]]*TB[[#This Row],[销量]]</f>
        <v>20486</v>
      </c>
      <c r="N1882" t="str">
        <f>IF(TB[[#This Row],[售价]]&lt;1000,"低价商品",IF(TB[[#This Row],[售价]]&lt;5000,"中价商品",IF(TB[[#This Row],[售价]]&lt;10000,"高价商品","超高价商品")))</f>
        <v>超高价商品</v>
      </c>
    </row>
    <row r="1883" spans="1:14" x14ac:dyDescent="0.2">
      <c r="A1883">
        <v>100</v>
      </c>
      <c r="B1883">
        <v>68</v>
      </c>
      <c r="C1883" t="s">
        <v>20</v>
      </c>
      <c r="D1883" t="s">
        <v>261</v>
      </c>
      <c r="E1883" t="s">
        <v>22</v>
      </c>
      <c r="F1883">
        <v>1</v>
      </c>
      <c r="G1883" t="s">
        <v>13</v>
      </c>
      <c r="H1883" s="1">
        <v>45965.888888888891</v>
      </c>
      <c r="I1883" s="5">
        <f>INT(TB[[#This Row],[时间戳]])</f>
        <v>45965</v>
      </c>
      <c r="J1883" s="2">
        <f>HOUR(TB[[#This Row],[时间戳]])</f>
        <v>21</v>
      </c>
      <c r="K1883">
        <v>6603</v>
      </c>
      <c r="L1883">
        <v>5</v>
      </c>
      <c r="M1883">
        <f>TB[[#This Row],[售价]]*TB[[#This Row],[销量]]</f>
        <v>33015</v>
      </c>
      <c r="N1883" t="str">
        <f>IF(TB[[#This Row],[售价]]&lt;1000,"低价商品",IF(TB[[#This Row],[售价]]&lt;5000,"中价商品",IF(TB[[#This Row],[售价]]&lt;10000,"高价商品","超高价商品")))</f>
        <v>高价商品</v>
      </c>
    </row>
    <row r="1884" spans="1:14" x14ac:dyDescent="0.2">
      <c r="A1884">
        <v>727</v>
      </c>
      <c r="B1884">
        <v>156</v>
      </c>
      <c r="C1884" t="s">
        <v>46</v>
      </c>
      <c r="D1884" t="s">
        <v>80</v>
      </c>
      <c r="E1884" t="s">
        <v>22</v>
      </c>
      <c r="F1884">
        <v>1</v>
      </c>
      <c r="G1884" t="s">
        <v>13</v>
      </c>
      <c r="H1884" s="1">
        <v>45965.907638888886</v>
      </c>
      <c r="I1884" s="5">
        <f>INT(TB[[#This Row],[时间戳]])</f>
        <v>45965</v>
      </c>
      <c r="J1884" s="2">
        <f>HOUR(TB[[#This Row],[时间戳]])</f>
        <v>21</v>
      </c>
      <c r="K1884">
        <v>3834</v>
      </c>
      <c r="L1884">
        <v>2</v>
      </c>
      <c r="M1884">
        <f>TB[[#This Row],[售价]]*TB[[#This Row],[销量]]</f>
        <v>7668</v>
      </c>
      <c r="N1884" t="str">
        <f>IF(TB[[#This Row],[售价]]&lt;1000,"低价商品",IF(TB[[#This Row],[售价]]&lt;5000,"中价商品",IF(TB[[#This Row],[售价]]&lt;10000,"高价商品","超高价商品")))</f>
        <v>中价商品</v>
      </c>
    </row>
    <row r="1885" spans="1:14" x14ac:dyDescent="0.2">
      <c r="A1885">
        <v>141</v>
      </c>
      <c r="B1885">
        <v>227</v>
      </c>
      <c r="C1885" t="s">
        <v>26</v>
      </c>
      <c r="D1885" t="s">
        <v>48</v>
      </c>
      <c r="E1885" t="s">
        <v>31</v>
      </c>
      <c r="F1885">
        <v>4</v>
      </c>
      <c r="G1885" t="s">
        <v>42</v>
      </c>
      <c r="H1885" s="1">
        <v>45965.934027777781</v>
      </c>
      <c r="I1885" s="5">
        <f>INT(TB[[#This Row],[时间戳]])</f>
        <v>45965</v>
      </c>
      <c r="J1885" s="2">
        <f>HOUR(TB[[#This Row],[时间戳]])</f>
        <v>22</v>
      </c>
      <c r="K1885">
        <v>1122</v>
      </c>
      <c r="L1885">
        <v>0</v>
      </c>
      <c r="M1885">
        <f>TB[[#This Row],[售价]]*TB[[#This Row],[销量]]</f>
        <v>0</v>
      </c>
      <c r="N1885" t="str">
        <f>IF(TB[[#This Row],[售价]]&lt;1000,"低价商品",IF(TB[[#This Row],[售价]]&lt;5000,"中价商品",IF(TB[[#This Row],[售价]]&lt;10000,"高价商品","超高价商品")))</f>
        <v>中价商品</v>
      </c>
    </row>
    <row r="1886" spans="1:14" x14ac:dyDescent="0.2">
      <c r="A1886">
        <v>215</v>
      </c>
      <c r="B1886">
        <v>112</v>
      </c>
      <c r="C1886" t="s">
        <v>36</v>
      </c>
      <c r="D1886" t="s">
        <v>366</v>
      </c>
      <c r="E1886" t="s">
        <v>22</v>
      </c>
      <c r="F1886">
        <v>1</v>
      </c>
      <c r="G1886" t="s">
        <v>13</v>
      </c>
      <c r="H1886" s="1">
        <v>45965.936805555553</v>
      </c>
      <c r="I1886" s="5">
        <f>INT(TB[[#This Row],[时间戳]])</f>
        <v>45965</v>
      </c>
      <c r="J1886" s="2">
        <f>HOUR(TB[[#This Row],[时间戳]])</f>
        <v>22</v>
      </c>
      <c r="K1886">
        <v>6748</v>
      </c>
      <c r="L1886">
        <v>5</v>
      </c>
      <c r="M1886">
        <f>TB[[#This Row],[售价]]*TB[[#This Row],[销量]]</f>
        <v>33740</v>
      </c>
      <c r="N1886" t="str">
        <f>IF(TB[[#This Row],[售价]]&lt;1000,"低价商品",IF(TB[[#This Row],[售价]]&lt;5000,"中价商品",IF(TB[[#This Row],[售价]]&lt;10000,"高价商品","超高价商品")))</f>
        <v>高价商品</v>
      </c>
    </row>
    <row r="1887" spans="1:14" x14ac:dyDescent="0.2">
      <c r="A1887">
        <v>744</v>
      </c>
      <c r="B1887">
        <v>295</v>
      </c>
      <c r="C1887" t="s">
        <v>10</v>
      </c>
      <c r="D1887" t="s">
        <v>262</v>
      </c>
      <c r="E1887" t="s">
        <v>25</v>
      </c>
      <c r="F1887">
        <v>7</v>
      </c>
      <c r="G1887" t="s">
        <v>13</v>
      </c>
      <c r="H1887" s="1">
        <v>45965.948611111111</v>
      </c>
      <c r="I1887" s="5">
        <f>INT(TB[[#This Row],[时间戳]])</f>
        <v>45965</v>
      </c>
      <c r="J1887" s="2">
        <f>HOUR(TB[[#This Row],[时间戳]])</f>
        <v>22</v>
      </c>
      <c r="K1887">
        <v>7530</v>
      </c>
      <c r="L1887">
        <v>2</v>
      </c>
      <c r="M1887">
        <f>TB[[#This Row],[售价]]*TB[[#This Row],[销量]]</f>
        <v>15060</v>
      </c>
      <c r="N1887" t="str">
        <f>IF(TB[[#This Row],[售价]]&lt;1000,"低价商品",IF(TB[[#This Row],[售价]]&lt;5000,"中价商品",IF(TB[[#This Row],[售价]]&lt;10000,"高价商品","超高价商品")))</f>
        <v>高价商品</v>
      </c>
    </row>
    <row r="1888" spans="1:14" x14ac:dyDescent="0.2">
      <c r="A1888">
        <v>438</v>
      </c>
      <c r="B1888">
        <v>87</v>
      </c>
      <c r="C1888" t="s">
        <v>26</v>
      </c>
      <c r="D1888" t="s">
        <v>358</v>
      </c>
      <c r="E1888" t="s">
        <v>16</v>
      </c>
      <c r="F1888">
        <v>6</v>
      </c>
      <c r="G1888" t="s">
        <v>42</v>
      </c>
      <c r="H1888" s="1">
        <v>45965.948611111111</v>
      </c>
      <c r="I1888" s="5">
        <f>INT(TB[[#This Row],[时间戳]])</f>
        <v>45965</v>
      </c>
      <c r="J1888" s="2">
        <f>HOUR(TB[[#This Row],[时间戳]])</f>
        <v>22</v>
      </c>
      <c r="K1888">
        <v>3817</v>
      </c>
      <c r="L1888">
        <v>0</v>
      </c>
      <c r="M1888">
        <f>TB[[#This Row],[售价]]*TB[[#This Row],[销量]]</f>
        <v>0</v>
      </c>
      <c r="N1888" t="str">
        <f>IF(TB[[#This Row],[售价]]&lt;1000,"低价商品",IF(TB[[#This Row],[售价]]&lt;5000,"中价商品",IF(TB[[#This Row],[售价]]&lt;10000,"高价商品","超高价商品")))</f>
        <v>中价商品</v>
      </c>
    </row>
    <row r="1889" spans="1:14" x14ac:dyDescent="0.2">
      <c r="A1889">
        <v>184</v>
      </c>
      <c r="B1889">
        <v>27</v>
      </c>
      <c r="C1889" t="s">
        <v>34</v>
      </c>
      <c r="D1889" t="s">
        <v>346</v>
      </c>
      <c r="E1889" t="s">
        <v>22</v>
      </c>
      <c r="F1889">
        <v>1</v>
      </c>
      <c r="G1889" t="s">
        <v>13</v>
      </c>
      <c r="H1889" s="1">
        <v>45965.953472222223</v>
      </c>
      <c r="I1889" s="5">
        <f>INT(TB[[#This Row],[时间戳]])</f>
        <v>45965</v>
      </c>
      <c r="J1889" s="2">
        <f>HOUR(TB[[#This Row],[时间戳]])</f>
        <v>22</v>
      </c>
      <c r="K1889">
        <v>1310</v>
      </c>
      <c r="L1889">
        <v>2</v>
      </c>
      <c r="M1889">
        <f>TB[[#This Row],[售价]]*TB[[#This Row],[销量]]</f>
        <v>2620</v>
      </c>
      <c r="N1889" t="str">
        <f>IF(TB[[#This Row],[售价]]&lt;1000,"低价商品",IF(TB[[#This Row],[售价]]&lt;5000,"中价商品",IF(TB[[#This Row],[售价]]&lt;10000,"高价商品","超高价商品")))</f>
        <v>中价商品</v>
      </c>
    </row>
    <row r="1890" spans="1:14" x14ac:dyDescent="0.2">
      <c r="A1890">
        <v>445</v>
      </c>
      <c r="B1890">
        <v>77</v>
      </c>
      <c r="C1890" t="s">
        <v>34</v>
      </c>
      <c r="D1890" t="s">
        <v>164</v>
      </c>
      <c r="E1890" t="s">
        <v>22</v>
      </c>
      <c r="F1890">
        <v>1</v>
      </c>
      <c r="G1890" t="s">
        <v>13</v>
      </c>
      <c r="H1890" s="1">
        <v>45965.977777777778</v>
      </c>
      <c r="I1890" s="5">
        <f>INT(TB[[#This Row],[时间戳]])</f>
        <v>45965</v>
      </c>
      <c r="J1890" s="2">
        <f>HOUR(TB[[#This Row],[时间戳]])</f>
        <v>23</v>
      </c>
      <c r="K1890">
        <v>2024</v>
      </c>
      <c r="L1890">
        <v>5</v>
      </c>
      <c r="M1890">
        <f>TB[[#This Row],[售价]]*TB[[#This Row],[销量]]</f>
        <v>10120</v>
      </c>
      <c r="N1890" t="str">
        <f>IF(TB[[#This Row],[售价]]&lt;1000,"低价商品",IF(TB[[#This Row],[售价]]&lt;5000,"中价商品",IF(TB[[#This Row],[售价]]&lt;10000,"高价商品","超高价商品")))</f>
        <v>中价商品</v>
      </c>
    </row>
    <row r="1891" spans="1:14" x14ac:dyDescent="0.2">
      <c r="A1891">
        <v>35</v>
      </c>
      <c r="B1891">
        <v>61</v>
      </c>
      <c r="C1891" t="s">
        <v>17</v>
      </c>
      <c r="D1891" t="s">
        <v>390</v>
      </c>
      <c r="E1891" t="s">
        <v>39</v>
      </c>
      <c r="F1891">
        <v>5</v>
      </c>
      <c r="G1891" t="s">
        <v>13</v>
      </c>
      <c r="H1891" s="1">
        <v>45966.065972222219</v>
      </c>
      <c r="I1891" s="5">
        <f>INT(TB[[#This Row],[时间戳]])</f>
        <v>45966</v>
      </c>
      <c r="J1891" s="2">
        <f>HOUR(TB[[#This Row],[时间戳]])</f>
        <v>1</v>
      </c>
      <c r="K1891">
        <v>3537</v>
      </c>
      <c r="L1891">
        <v>4</v>
      </c>
      <c r="M1891">
        <f>TB[[#This Row],[售价]]*TB[[#This Row],[销量]]</f>
        <v>14148</v>
      </c>
      <c r="N1891" t="str">
        <f>IF(TB[[#This Row],[售价]]&lt;1000,"低价商品",IF(TB[[#This Row],[售价]]&lt;5000,"中价商品",IF(TB[[#This Row],[售价]]&lt;10000,"高价商品","超高价商品")))</f>
        <v>中价商品</v>
      </c>
    </row>
    <row r="1892" spans="1:14" x14ac:dyDescent="0.2">
      <c r="A1892">
        <v>705</v>
      </c>
      <c r="B1892">
        <v>89</v>
      </c>
      <c r="C1892" t="s">
        <v>44</v>
      </c>
      <c r="D1892" t="s">
        <v>158</v>
      </c>
      <c r="E1892" t="s">
        <v>31</v>
      </c>
      <c r="F1892">
        <v>4</v>
      </c>
      <c r="G1892" t="s">
        <v>13</v>
      </c>
      <c r="H1892" s="1">
        <v>45966.068055555559</v>
      </c>
      <c r="I1892" s="5">
        <f>INT(TB[[#This Row],[时间戳]])</f>
        <v>45966</v>
      </c>
      <c r="J1892" s="2">
        <f>HOUR(TB[[#This Row],[时间戳]])</f>
        <v>1</v>
      </c>
      <c r="K1892">
        <v>546</v>
      </c>
      <c r="L1892">
        <v>5</v>
      </c>
      <c r="M1892">
        <f>TB[[#This Row],[售价]]*TB[[#This Row],[销量]]</f>
        <v>2730</v>
      </c>
      <c r="N1892" t="str">
        <f>IF(TB[[#This Row],[售价]]&lt;1000,"低价商品",IF(TB[[#This Row],[售价]]&lt;5000,"中价商品",IF(TB[[#This Row],[售价]]&lt;10000,"高价商品","超高价商品")))</f>
        <v>低价商品</v>
      </c>
    </row>
    <row r="1893" spans="1:14" x14ac:dyDescent="0.2">
      <c r="A1893">
        <v>797</v>
      </c>
      <c r="B1893">
        <v>238</v>
      </c>
      <c r="C1893" t="s">
        <v>17</v>
      </c>
      <c r="D1893" t="s">
        <v>234</v>
      </c>
      <c r="E1893" t="s">
        <v>39</v>
      </c>
      <c r="F1893">
        <v>5</v>
      </c>
      <c r="G1893" t="s">
        <v>13</v>
      </c>
      <c r="H1893" s="1">
        <v>45966.07708333333</v>
      </c>
      <c r="I1893" s="5">
        <f>INT(TB[[#This Row],[时间戳]])</f>
        <v>45966</v>
      </c>
      <c r="J1893" s="2">
        <f>HOUR(TB[[#This Row],[时间戳]])</f>
        <v>1</v>
      </c>
      <c r="K1893">
        <v>3654</v>
      </c>
      <c r="L1893">
        <v>2</v>
      </c>
      <c r="M1893">
        <f>TB[[#This Row],[售价]]*TB[[#This Row],[销量]]</f>
        <v>7308</v>
      </c>
      <c r="N1893" t="str">
        <f>IF(TB[[#This Row],[售价]]&lt;1000,"低价商品",IF(TB[[#This Row],[售价]]&lt;5000,"中价商品",IF(TB[[#This Row],[售价]]&lt;10000,"高价商品","超高价商品")))</f>
        <v>中价商品</v>
      </c>
    </row>
    <row r="1894" spans="1:14" x14ac:dyDescent="0.2">
      <c r="A1894">
        <v>669</v>
      </c>
      <c r="B1894">
        <v>228</v>
      </c>
      <c r="C1894" t="s">
        <v>36</v>
      </c>
      <c r="D1894" t="s">
        <v>264</v>
      </c>
      <c r="E1894" t="s">
        <v>12</v>
      </c>
      <c r="F1894">
        <v>2</v>
      </c>
      <c r="G1894" t="s">
        <v>13</v>
      </c>
      <c r="H1894" s="1">
        <v>45966.106944444444</v>
      </c>
      <c r="I1894" s="5">
        <f>INT(TB[[#This Row],[时间戳]])</f>
        <v>45966</v>
      </c>
      <c r="J1894" s="2">
        <f>HOUR(TB[[#This Row],[时间戳]])</f>
        <v>2</v>
      </c>
      <c r="K1894">
        <v>14649</v>
      </c>
      <c r="L1894">
        <v>2</v>
      </c>
      <c r="M1894">
        <f>TB[[#This Row],[售价]]*TB[[#This Row],[销量]]</f>
        <v>29298</v>
      </c>
      <c r="N1894" t="str">
        <f>IF(TB[[#This Row],[售价]]&lt;1000,"低价商品",IF(TB[[#This Row],[售价]]&lt;5000,"中价商品",IF(TB[[#This Row],[售价]]&lt;10000,"高价商品","超高价商品")))</f>
        <v>超高价商品</v>
      </c>
    </row>
    <row r="1895" spans="1:14" x14ac:dyDescent="0.2">
      <c r="A1895">
        <v>85</v>
      </c>
      <c r="B1895">
        <v>63</v>
      </c>
      <c r="C1895" t="s">
        <v>14</v>
      </c>
      <c r="D1895" t="s">
        <v>349</v>
      </c>
      <c r="E1895" t="s">
        <v>25</v>
      </c>
      <c r="F1895">
        <v>7</v>
      </c>
      <c r="G1895" t="s">
        <v>13</v>
      </c>
      <c r="H1895" s="1">
        <v>45966.111111111109</v>
      </c>
      <c r="I1895" s="5">
        <f>INT(TB[[#This Row],[时间戳]])</f>
        <v>45966</v>
      </c>
      <c r="J1895" s="2">
        <f>HOUR(TB[[#This Row],[时间戳]])</f>
        <v>2</v>
      </c>
      <c r="K1895">
        <v>4314</v>
      </c>
      <c r="L1895">
        <v>5</v>
      </c>
      <c r="M1895">
        <f>TB[[#This Row],[售价]]*TB[[#This Row],[销量]]</f>
        <v>21570</v>
      </c>
      <c r="N1895" t="str">
        <f>IF(TB[[#This Row],[售价]]&lt;1000,"低价商品",IF(TB[[#This Row],[售价]]&lt;5000,"中价商品",IF(TB[[#This Row],[售价]]&lt;10000,"高价商品","超高价商品")))</f>
        <v>中价商品</v>
      </c>
    </row>
    <row r="1896" spans="1:14" x14ac:dyDescent="0.2">
      <c r="A1896">
        <v>24</v>
      </c>
      <c r="B1896">
        <v>294</v>
      </c>
      <c r="C1896" t="s">
        <v>20</v>
      </c>
      <c r="D1896" t="s">
        <v>277</v>
      </c>
      <c r="E1896" t="s">
        <v>12</v>
      </c>
      <c r="F1896">
        <v>2</v>
      </c>
      <c r="G1896" t="s">
        <v>13</v>
      </c>
      <c r="H1896" s="1">
        <v>45966.126388888886</v>
      </c>
      <c r="I1896" s="5">
        <f>INT(TB[[#This Row],[时间戳]])</f>
        <v>45966</v>
      </c>
      <c r="J1896" s="2">
        <f>HOUR(TB[[#This Row],[时间戳]])</f>
        <v>3</v>
      </c>
      <c r="K1896">
        <v>12143</v>
      </c>
      <c r="L1896">
        <v>5</v>
      </c>
      <c r="M1896">
        <f>TB[[#This Row],[售价]]*TB[[#This Row],[销量]]</f>
        <v>60715</v>
      </c>
      <c r="N1896" t="str">
        <f>IF(TB[[#This Row],[售价]]&lt;1000,"低价商品",IF(TB[[#This Row],[售价]]&lt;5000,"中价商品",IF(TB[[#This Row],[售价]]&lt;10000,"高价商品","超高价商品")))</f>
        <v>超高价商品</v>
      </c>
    </row>
    <row r="1897" spans="1:14" x14ac:dyDescent="0.2">
      <c r="A1897">
        <v>186</v>
      </c>
      <c r="B1897">
        <v>197</v>
      </c>
      <c r="C1897" t="s">
        <v>14</v>
      </c>
      <c r="D1897" t="s">
        <v>388</v>
      </c>
      <c r="E1897" t="s">
        <v>19</v>
      </c>
      <c r="F1897">
        <v>3</v>
      </c>
      <c r="G1897" t="s">
        <v>42</v>
      </c>
      <c r="H1897" s="1">
        <v>45966.15</v>
      </c>
      <c r="I1897" s="5">
        <f>INT(TB[[#This Row],[时间戳]])</f>
        <v>45966</v>
      </c>
      <c r="J1897" s="2">
        <f>HOUR(TB[[#This Row],[时间戳]])</f>
        <v>3</v>
      </c>
      <c r="K1897">
        <v>5368</v>
      </c>
      <c r="L1897">
        <v>0</v>
      </c>
      <c r="M1897">
        <f>TB[[#This Row],[售价]]*TB[[#This Row],[销量]]</f>
        <v>0</v>
      </c>
      <c r="N1897" t="str">
        <f>IF(TB[[#This Row],[售价]]&lt;1000,"低价商品",IF(TB[[#This Row],[售价]]&lt;5000,"中价商品",IF(TB[[#This Row],[售价]]&lt;10000,"高价商品","超高价商品")))</f>
        <v>高价商品</v>
      </c>
    </row>
    <row r="1898" spans="1:14" x14ac:dyDescent="0.2">
      <c r="A1898">
        <v>586</v>
      </c>
      <c r="B1898">
        <v>65</v>
      </c>
      <c r="C1898" t="s">
        <v>17</v>
      </c>
      <c r="D1898" t="s">
        <v>279</v>
      </c>
      <c r="E1898" t="s">
        <v>22</v>
      </c>
      <c r="F1898">
        <v>1</v>
      </c>
      <c r="G1898" t="s">
        <v>13</v>
      </c>
      <c r="H1898" s="1">
        <v>45966.168055555558</v>
      </c>
      <c r="I1898" s="5">
        <f>INT(TB[[#This Row],[时间戳]])</f>
        <v>45966</v>
      </c>
      <c r="J1898" s="2">
        <f>HOUR(TB[[#This Row],[时间戳]])</f>
        <v>4</v>
      </c>
      <c r="K1898">
        <v>5096</v>
      </c>
      <c r="L1898">
        <v>2</v>
      </c>
      <c r="M1898">
        <f>TB[[#This Row],[售价]]*TB[[#This Row],[销量]]</f>
        <v>10192</v>
      </c>
      <c r="N1898" t="str">
        <f>IF(TB[[#This Row],[售价]]&lt;1000,"低价商品",IF(TB[[#This Row],[售价]]&lt;5000,"中价商品",IF(TB[[#This Row],[售价]]&lt;10000,"高价商品","超高价商品")))</f>
        <v>高价商品</v>
      </c>
    </row>
    <row r="1899" spans="1:14" x14ac:dyDescent="0.2">
      <c r="A1899">
        <v>190</v>
      </c>
      <c r="B1899">
        <v>208</v>
      </c>
      <c r="C1899" t="s">
        <v>14</v>
      </c>
      <c r="D1899" t="s">
        <v>295</v>
      </c>
      <c r="E1899" t="s">
        <v>39</v>
      </c>
      <c r="F1899">
        <v>5</v>
      </c>
      <c r="G1899" t="s">
        <v>13</v>
      </c>
      <c r="H1899" s="1">
        <v>45966.171527777777</v>
      </c>
      <c r="I1899" s="5">
        <f>INT(TB[[#This Row],[时间戳]])</f>
        <v>45966</v>
      </c>
      <c r="J1899" s="2">
        <f>HOUR(TB[[#This Row],[时间戳]])</f>
        <v>4</v>
      </c>
      <c r="K1899">
        <v>1173</v>
      </c>
      <c r="L1899">
        <v>2</v>
      </c>
      <c r="M1899">
        <f>TB[[#This Row],[售价]]*TB[[#This Row],[销量]]</f>
        <v>2346</v>
      </c>
      <c r="N1899" t="str">
        <f>IF(TB[[#This Row],[售价]]&lt;1000,"低价商品",IF(TB[[#This Row],[售价]]&lt;5000,"中价商品",IF(TB[[#This Row],[售价]]&lt;10000,"高价商品","超高价商品")))</f>
        <v>中价商品</v>
      </c>
    </row>
    <row r="1900" spans="1:14" x14ac:dyDescent="0.2">
      <c r="A1900">
        <v>570</v>
      </c>
      <c r="B1900">
        <v>275</v>
      </c>
      <c r="C1900" t="s">
        <v>10</v>
      </c>
      <c r="D1900" t="s">
        <v>183</v>
      </c>
      <c r="E1900" t="s">
        <v>22</v>
      </c>
      <c r="F1900">
        <v>1</v>
      </c>
      <c r="G1900" t="s">
        <v>13</v>
      </c>
      <c r="H1900" s="1">
        <v>45966.179861111108</v>
      </c>
      <c r="I1900" s="5">
        <f>INT(TB[[#This Row],[时间戳]])</f>
        <v>45966</v>
      </c>
      <c r="J1900" s="2">
        <f>HOUR(TB[[#This Row],[时间戳]])</f>
        <v>4</v>
      </c>
      <c r="K1900">
        <v>7817</v>
      </c>
      <c r="L1900">
        <v>4</v>
      </c>
      <c r="M1900">
        <f>TB[[#This Row],[售价]]*TB[[#This Row],[销量]]</f>
        <v>31268</v>
      </c>
      <c r="N1900" t="str">
        <f>IF(TB[[#This Row],[售价]]&lt;1000,"低价商品",IF(TB[[#This Row],[售价]]&lt;5000,"中价商品",IF(TB[[#This Row],[售价]]&lt;10000,"高价商品","超高价商品")))</f>
        <v>高价商品</v>
      </c>
    </row>
    <row r="1901" spans="1:14" x14ac:dyDescent="0.2">
      <c r="A1901">
        <v>532</v>
      </c>
      <c r="B1901">
        <v>300</v>
      </c>
      <c r="C1901" t="s">
        <v>44</v>
      </c>
      <c r="D1901" t="s">
        <v>397</v>
      </c>
      <c r="E1901" t="s">
        <v>25</v>
      </c>
      <c r="F1901">
        <v>7</v>
      </c>
      <c r="G1901" t="s">
        <v>13</v>
      </c>
      <c r="H1901" s="1">
        <v>45966.208333333336</v>
      </c>
      <c r="I1901" s="5">
        <f>INT(TB[[#This Row],[时间戳]])</f>
        <v>45966</v>
      </c>
      <c r="J1901" s="2">
        <f>HOUR(TB[[#This Row],[时间戳]])</f>
        <v>5</v>
      </c>
      <c r="K1901">
        <v>7989</v>
      </c>
      <c r="L1901">
        <v>2</v>
      </c>
      <c r="M1901">
        <f>TB[[#This Row],[售价]]*TB[[#This Row],[销量]]</f>
        <v>15978</v>
      </c>
      <c r="N1901" t="str">
        <f>IF(TB[[#This Row],[售价]]&lt;1000,"低价商品",IF(TB[[#This Row],[售价]]&lt;5000,"中价商品",IF(TB[[#This Row],[售价]]&lt;10000,"高价商品","超高价商品")))</f>
        <v>高价商品</v>
      </c>
    </row>
    <row r="1902" spans="1:14" x14ac:dyDescent="0.2">
      <c r="A1902">
        <v>675</v>
      </c>
      <c r="B1902">
        <v>61</v>
      </c>
      <c r="C1902" t="s">
        <v>14</v>
      </c>
      <c r="D1902" t="s">
        <v>356</v>
      </c>
      <c r="E1902" t="s">
        <v>16</v>
      </c>
      <c r="F1902">
        <v>6</v>
      </c>
      <c r="G1902" t="s">
        <v>13</v>
      </c>
      <c r="H1902" s="1">
        <v>45966.222916666666</v>
      </c>
      <c r="I1902" s="5">
        <f>INT(TB[[#This Row],[时间戳]])</f>
        <v>45966</v>
      </c>
      <c r="J1902" s="2">
        <f>HOUR(TB[[#This Row],[时间戳]])</f>
        <v>5</v>
      </c>
      <c r="K1902">
        <v>10995</v>
      </c>
      <c r="L1902">
        <v>4</v>
      </c>
      <c r="M1902">
        <f>TB[[#This Row],[售价]]*TB[[#This Row],[销量]]</f>
        <v>43980</v>
      </c>
      <c r="N1902" t="str">
        <f>IF(TB[[#This Row],[售价]]&lt;1000,"低价商品",IF(TB[[#This Row],[售价]]&lt;5000,"中价商品",IF(TB[[#This Row],[售价]]&lt;10000,"高价商品","超高价商品")))</f>
        <v>超高价商品</v>
      </c>
    </row>
    <row r="1903" spans="1:14" x14ac:dyDescent="0.2">
      <c r="A1903">
        <v>569</v>
      </c>
      <c r="B1903">
        <v>229</v>
      </c>
      <c r="C1903" t="s">
        <v>26</v>
      </c>
      <c r="D1903" t="s">
        <v>155</v>
      </c>
      <c r="E1903" t="s">
        <v>12</v>
      </c>
      <c r="F1903">
        <v>2</v>
      </c>
      <c r="G1903" t="s">
        <v>42</v>
      </c>
      <c r="H1903" s="1">
        <v>45966.222916666666</v>
      </c>
      <c r="I1903" s="5">
        <f>INT(TB[[#This Row],[时间戳]])</f>
        <v>45966</v>
      </c>
      <c r="J1903" s="2">
        <f>HOUR(TB[[#This Row],[时间戳]])</f>
        <v>5</v>
      </c>
      <c r="K1903">
        <v>7066</v>
      </c>
      <c r="L1903">
        <v>0</v>
      </c>
      <c r="M1903">
        <f>TB[[#This Row],[售价]]*TB[[#This Row],[销量]]</f>
        <v>0</v>
      </c>
      <c r="N1903" t="str">
        <f>IF(TB[[#This Row],[售价]]&lt;1000,"低价商品",IF(TB[[#This Row],[售价]]&lt;5000,"中价商品",IF(TB[[#This Row],[售价]]&lt;10000,"高价商品","超高价商品")))</f>
        <v>高价商品</v>
      </c>
    </row>
    <row r="1904" spans="1:14" x14ac:dyDescent="0.2">
      <c r="A1904">
        <v>589</v>
      </c>
      <c r="B1904">
        <v>106</v>
      </c>
      <c r="C1904" t="s">
        <v>10</v>
      </c>
      <c r="D1904" t="s">
        <v>116</v>
      </c>
      <c r="E1904" t="s">
        <v>31</v>
      </c>
      <c r="F1904">
        <v>4</v>
      </c>
      <c r="G1904" t="s">
        <v>13</v>
      </c>
      <c r="H1904" s="1">
        <v>45966.249305555553</v>
      </c>
      <c r="I1904" s="5">
        <f>INT(TB[[#This Row],[时间戳]])</f>
        <v>45966</v>
      </c>
      <c r="J1904" s="2">
        <f>HOUR(TB[[#This Row],[时间戳]])</f>
        <v>5</v>
      </c>
      <c r="K1904">
        <v>555</v>
      </c>
      <c r="L1904">
        <v>5</v>
      </c>
      <c r="M1904">
        <f>TB[[#This Row],[售价]]*TB[[#This Row],[销量]]</f>
        <v>2775</v>
      </c>
      <c r="N1904" t="str">
        <f>IF(TB[[#This Row],[售价]]&lt;1000,"低价商品",IF(TB[[#This Row],[售价]]&lt;5000,"中价商品",IF(TB[[#This Row],[售价]]&lt;10000,"高价商品","超高价商品")))</f>
        <v>低价商品</v>
      </c>
    </row>
    <row r="1905" spans="1:14" x14ac:dyDescent="0.2">
      <c r="A1905">
        <v>263</v>
      </c>
      <c r="B1905">
        <v>18</v>
      </c>
      <c r="C1905" t="s">
        <v>14</v>
      </c>
      <c r="D1905" t="s">
        <v>52</v>
      </c>
      <c r="E1905" t="s">
        <v>31</v>
      </c>
      <c r="F1905">
        <v>4</v>
      </c>
      <c r="G1905" t="s">
        <v>42</v>
      </c>
      <c r="H1905" s="1">
        <v>45966.25</v>
      </c>
      <c r="I1905" s="5">
        <f>INT(TB[[#This Row],[时间戳]])</f>
        <v>45966</v>
      </c>
      <c r="J1905" s="2">
        <f>HOUR(TB[[#This Row],[时间戳]])</f>
        <v>6</v>
      </c>
      <c r="K1905">
        <v>1268</v>
      </c>
      <c r="L1905">
        <v>0</v>
      </c>
      <c r="M1905">
        <f>TB[[#This Row],[售价]]*TB[[#This Row],[销量]]</f>
        <v>0</v>
      </c>
      <c r="N1905" t="str">
        <f>IF(TB[[#This Row],[售价]]&lt;1000,"低价商品",IF(TB[[#This Row],[售价]]&lt;5000,"中价商品",IF(TB[[#This Row],[售价]]&lt;10000,"高价商品","超高价商品")))</f>
        <v>中价商品</v>
      </c>
    </row>
    <row r="1906" spans="1:14" x14ac:dyDescent="0.2">
      <c r="A1906">
        <v>373</v>
      </c>
      <c r="B1906">
        <v>279</v>
      </c>
      <c r="C1906" t="s">
        <v>20</v>
      </c>
      <c r="D1906" t="s">
        <v>147</v>
      </c>
      <c r="E1906" t="s">
        <v>22</v>
      </c>
      <c r="F1906">
        <v>1</v>
      </c>
      <c r="G1906" t="s">
        <v>13</v>
      </c>
      <c r="H1906" s="1">
        <v>45966.275000000001</v>
      </c>
      <c r="I1906" s="5">
        <f>INT(TB[[#This Row],[时间戳]])</f>
        <v>45966</v>
      </c>
      <c r="J1906" s="2">
        <f>HOUR(TB[[#This Row],[时间戳]])</f>
        <v>6</v>
      </c>
      <c r="K1906">
        <v>1556</v>
      </c>
      <c r="L1906">
        <v>5</v>
      </c>
      <c r="M1906">
        <f>TB[[#This Row],[售价]]*TB[[#This Row],[销量]]</f>
        <v>7780</v>
      </c>
      <c r="N1906" t="str">
        <f>IF(TB[[#This Row],[售价]]&lt;1000,"低价商品",IF(TB[[#This Row],[售价]]&lt;5000,"中价商品",IF(TB[[#This Row],[售价]]&lt;10000,"高价商品","超高价商品")))</f>
        <v>中价商品</v>
      </c>
    </row>
    <row r="1907" spans="1:14" x14ac:dyDescent="0.2">
      <c r="A1907">
        <v>308</v>
      </c>
      <c r="B1907">
        <v>24</v>
      </c>
      <c r="C1907" t="s">
        <v>10</v>
      </c>
      <c r="D1907" t="s">
        <v>298</v>
      </c>
      <c r="E1907" t="s">
        <v>12</v>
      </c>
      <c r="F1907">
        <v>2</v>
      </c>
      <c r="G1907" t="s">
        <v>13</v>
      </c>
      <c r="H1907" s="1">
        <v>45966.279166666667</v>
      </c>
      <c r="I1907" s="5">
        <f>INT(TB[[#This Row],[时间戳]])</f>
        <v>45966</v>
      </c>
      <c r="J1907" s="2">
        <f>HOUR(TB[[#This Row],[时间戳]])</f>
        <v>6</v>
      </c>
      <c r="K1907">
        <v>6827</v>
      </c>
      <c r="L1907">
        <v>2</v>
      </c>
      <c r="M1907">
        <f>TB[[#This Row],[售价]]*TB[[#This Row],[销量]]</f>
        <v>13654</v>
      </c>
      <c r="N1907" t="str">
        <f>IF(TB[[#This Row],[售价]]&lt;1000,"低价商品",IF(TB[[#This Row],[售价]]&lt;5000,"中价商品",IF(TB[[#This Row],[售价]]&lt;10000,"高价商品","超高价商品")))</f>
        <v>高价商品</v>
      </c>
    </row>
    <row r="1908" spans="1:14" x14ac:dyDescent="0.2">
      <c r="A1908">
        <v>456</v>
      </c>
      <c r="B1908">
        <v>72</v>
      </c>
      <c r="C1908" t="s">
        <v>36</v>
      </c>
      <c r="D1908" t="s">
        <v>87</v>
      </c>
      <c r="E1908" t="s">
        <v>19</v>
      </c>
      <c r="F1908">
        <v>3</v>
      </c>
      <c r="G1908" t="s">
        <v>13</v>
      </c>
      <c r="H1908" s="1">
        <v>45966.337500000001</v>
      </c>
      <c r="I1908" s="5">
        <f>INT(TB[[#This Row],[时间戳]])</f>
        <v>45966</v>
      </c>
      <c r="J1908" s="2">
        <f>HOUR(TB[[#This Row],[时间戳]])</f>
        <v>8</v>
      </c>
      <c r="K1908">
        <v>5955</v>
      </c>
      <c r="L1908">
        <v>2</v>
      </c>
      <c r="M1908">
        <f>TB[[#This Row],[售价]]*TB[[#This Row],[销量]]</f>
        <v>11910</v>
      </c>
      <c r="N1908" t="str">
        <f>IF(TB[[#This Row],[售价]]&lt;1000,"低价商品",IF(TB[[#This Row],[售价]]&lt;5000,"中价商品",IF(TB[[#This Row],[售价]]&lt;10000,"高价商品","超高价商品")))</f>
        <v>高价商品</v>
      </c>
    </row>
    <row r="1909" spans="1:14" x14ac:dyDescent="0.2">
      <c r="A1909">
        <v>361</v>
      </c>
      <c r="B1909">
        <v>276</v>
      </c>
      <c r="C1909" t="s">
        <v>34</v>
      </c>
      <c r="D1909" t="s">
        <v>331</v>
      </c>
      <c r="E1909" t="s">
        <v>25</v>
      </c>
      <c r="F1909">
        <v>7</v>
      </c>
      <c r="G1909" t="s">
        <v>13</v>
      </c>
      <c r="H1909" s="1">
        <v>45966.345833333333</v>
      </c>
      <c r="I1909" s="5">
        <f>INT(TB[[#This Row],[时间戳]])</f>
        <v>45966</v>
      </c>
      <c r="J1909" s="2">
        <f>HOUR(TB[[#This Row],[时间戳]])</f>
        <v>8</v>
      </c>
      <c r="K1909">
        <v>6278</v>
      </c>
      <c r="L1909">
        <v>4</v>
      </c>
      <c r="M1909">
        <f>TB[[#This Row],[售价]]*TB[[#This Row],[销量]]</f>
        <v>25112</v>
      </c>
      <c r="N1909" t="str">
        <f>IF(TB[[#This Row],[售价]]&lt;1000,"低价商品",IF(TB[[#This Row],[售价]]&lt;5000,"中价商品",IF(TB[[#This Row],[售价]]&lt;10000,"高价商品","超高价商品")))</f>
        <v>高价商品</v>
      </c>
    </row>
    <row r="1910" spans="1:14" x14ac:dyDescent="0.2">
      <c r="A1910">
        <v>243</v>
      </c>
      <c r="B1910">
        <v>19</v>
      </c>
      <c r="C1910" t="s">
        <v>14</v>
      </c>
      <c r="D1910" t="s">
        <v>30</v>
      </c>
      <c r="E1910" t="s">
        <v>31</v>
      </c>
      <c r="F1910">
        <v>4</v>
      </c>
      <c r="G1910" t="s">
        <v>13</v>
      </c>
      <c r="H1910" s="1">
        <v>45966.353472222225</v>
      </c>
      <c r="I1910" s="5">
        <f>INT(TB[[#This Row],[时间戳]])</f>
        <v>45966</v>
      </c>
      <c r="J1910" s="2">
        <f>HOUR(TB[[#This Row],[时间戳]])</f>
        <v>8</v>
      </c>
      <c r="K1910">
        <v>1002</v>
      </c>
      <c r="L1910">
        <v>5</v>
      </c>
      <c r="M1910">
        <f>TB[[#This Row],[售价]]*TB[[#This Row],[销量]]</f>
        <v>5010</v>
      </c>
      <c r="N1910" t="str">
        <f>IF(TB[[#This Row],[售价]]&lt;1000,"低价商品",IF(TB[[#This Row],[售价]]&lt;5000,"中价商品",IF(TB[[#This Row],[售价]]&lt;10000,"高价商品","超高价商品")))</f>
        <v>中价商品</v>
      </c>
    </row>
    <row r="1911" spans="1:14" x14ac:dyDescent="0.2">
      <c r="A1911">
        <v>138</v>
      </c>
      <c r="B1911">
        <v>283</v>
      </c>
      <c r="C1911" t="s">
        <v>36</v>
      </c>
      <c r="D1911" t="s">
        <v>151</v>
      </c>
      <c r="E1911" t="s">
        <v>25</v>
      </c>
      <c r="F1911">
        <v>7</v>
      </c>
      <c r="G1911" t="s">
        <v>13</v>
      </c>
      <c r="H1911" s="1">
        <v>45966.356249999997</v>
      </c>
      <c r="I1911" s="5">
        <f>INT(TB[[#This Row],[时间戳]])</f>
        <v>45966</v>
      </c>
      <c r="J1911" s="2">
        <f>HOUR(TB[[#This Row],[时间戳]])</f>
        <v>8</v>
      </c>
      <c r="K1911">
        <v>2912</v>
      </c>
      <c r="L1911">
        <v>5</v>
      </c>
      <c r="M1911">
        <f>TB[[#This Row],[售价]]*TB[[#This Row],[销量]]</f>
        <v>14560</v>
      </c>
      <c r="N1911" t="str">
        <f>IF(TB[[#This Row],[售价]]&lt;1000,"低价商品",IF(TB[[#This Row],[售价]]&lt;5000,"中价商品",IF(TB[[#This Row],[售价]]&lt;10000,"高价商品","超高价商品")))</f>
        <v>中价商品</v>
      </c>
    </row>
    <row r="1912" spans="1:14" x14ac:dyDescent="0.2">
      <c r="A1912">
        <v>132</v>
      </c>
      <c r="B1912">
        <v>217</v>
      </c>
      <c r="C1912" t="s">
        <v>34</v>
      </c>
      <c r="D1912" t="s">
        <v>248</v>
      </c>
      <c r="E1912" t="s">
        <v>22</v>
      </c>
      <c r="F1912">
        <v>1</v>
      </c>
      <c r="G1912" t="s">
        <v>13</v>
      </c>
      <c r="H1912" s="1">
        <v>45966.363194444442</v>
      </c>
      <c r="I1912" s="5">
        <f>INT(TB[[#This Row],[时间戳]])</f>
        <v>45966</v>
      </c>
      <c r="J1912" s="2">
        <f>HOUR(TB[[#This Row],[时间戳]])</f>
        <v>8</v>
      </c>
      <c r="K1912">
        <v>2871</v>
      </c>
      <c r="L1912">
        <v>5</v>
      </c>
      <c r="M1912">
        <f>TB[[#This Row],[售价]]*TB[[#This Row],[销量]]</f>
        <v>14355</v>
      </c>
      <c r="N1912" t="str">
        <f>IF(TB[[#This Row],[售价]]&lt;1000,"低价商品",IF(TB[[#This Row],[售价]]&lt;5000,"中价商品",IF(TB[[#This Row],[售价]]&lt;10000,"高价商品","超高价商品")))</f>
        <v>中价商品</v>
      </c>
    </row>
    <row r="1913" spans="1:14" x14ac:dyDescent="0.2">
      <c r="A1913">
        <v>391</v>
      </c>
      <c r="B1913">
        <v>84</v>
      </c>
      <c r="C1913" t="s">
        <v>36</v>
      </c>
      <c r="D1913" t="s">
        <v>210</v>
      </c>
      <c r="E1913" t="s">
        <v>31</v>
      </c>
      <c r="F1913">
        <v>4</v>
      </c>
      <c r="G1913" t="s">
        <v>13</v>
      </c>
      <c r="H1913" s="1">
        <v>45966.401388888888</v>
      </c>
      <c r="I1913" s="5">
        <f>INT(TB[[#This Row],[时间戳]])</f>
        <v>45966</v>
      </c>
      <c r="J1913" s="2">
        <f>HOUR(TB[[#This Row],[时间戳]])</f>
        <v>9</v>
      </c>
      <c r="K1913">
        <v>283</v>
      </c>
      <c r="L1913">
        <v>4</v>
      </c>
      <c r="M1913">
        <f>TB[[#This Row],[售价]]*TB[[#This Row],[销量]]</f>
        <v>1132</v>
      </c>
      <c r="N1913" t="str">
        <f>IF(TB[[#This Row],[售价]]&lt;1000,"低价商品",IF(TB[[#This Row],[售价]]&lt;5000,"中价商品",IF(TB[[#This Row],[售价]]&lt;10000,"高价商品","超高价商品")))</f>
        <v>低价商品</v>
      </c>
    </row>
    <row r="1914" spans="1:14" x14ac:dyDescent="0.2">
      <c r="A1914">
        <v>693</v>
      </c>
      <c r="B1914">
        <v>218</v>
      </c>
      <c r="C1914" t="s">
        <v>14</v>
      </c>
      <c r="D1914" t="s">
        <v>124</v>
      </c>
      <c r="E1914" t="s">
        <v>19</v>
      </c>
      <c r="F1914">
        <v>3</v>
      </c>
      <c r="G1914" t="s">
        <v>13</v>
      </c>
      <c r="H1914" s="1">
        <v>45966.504861111112</v>
      </c>
      <c r="I1914" s="5">
        <f>INT(TB[[#This Row],[时间戳]])</f>
        <v>45966</v>
      </c>
      <c r="J1914" s="2">
        <f>HOUR(TB[[#This Row],[时间戳]])</f>
        <v>12</v>
      </c>
      <c r="K1914">
        <v>4810</v>
      </c>
      <c r="L1914">
        <v>2</v>
      </c>
      <c r="M1914">
        <f>TB[[#This Row],[售价]]*TB[[#This Row],[销量]]</f>
        <v>9620</v>
      </c>
      <c r="N1914" t="str">
        <f>IF(TB[[#This Row],[售价]]&lt;1000,"低价商品",IF(TB[[#This Row],[售价]]&lt;5000,"中价商品",IF(TB[[#This Row],[售价]]&lt;10000,"高价商品","超高价商品")))</f>
        <v>中价商品</v>
      </c>
    </row>
    <row r="1915" spans="1:14" x14ac:dyDescent="0.2">
      <c r="A1915">
        <v>73</v>
      </c>
      <c r="B1915">
        <v>138</v>
      </c>
      <c r="C1915" t="s">
        <v>20</v>
      </c>
      <c r="D1915" t="s">
        <v>267</v>
      </c>
      <c r="E1915" t="s">
        <v>39</v>
      </c>
      <c r="F1915">
        <v>5</v>
      </c>
      <c r="G1915" t="s">
        <v>13</v>
      </c>
      <c r="H1915" s="1">
        <v>45966.513194444444</v>
      </c>
      <c r="I1915" s="5">
        <f>INT(TB[[#This Row],[时间戳]])</f>
        <v>45966</v>
      </c>
      <c r="J1915" s="2">
        <f>HOUR(TB[[#This Row],[时间戳]])</f>
        <v>12</v>
      </c>
      <c r="K1915">
        <v>3517</v>
      </c>
      <c r="L1915">
        <v>2</v>
      </c>
      <c r="M1915">
        <f>TB[[#This Row],[售价]]*TB[[#This Row],[销量]]</f>
        <v>7034</v>
      </c>
      <c r="N1915" t="str">
        <f>IF(TB[[#This Row],[售价]]&lt;1000,"低价商品",IF(TB[[#This Row],[售价]]&lt;5000,"中价商品",IF(TB[[#This Row],[售价]]&lt;10000,"高价商品","超高价商品")))</f>
        <v>中价商品</v>
      </c>
    </row>
    <row r="1916" spans="1:14" x14ac:dyDescent="0.2">
      <c r="A1916">
        <v>578</v>
      </c>
      <c r="B1916">
        <v>262</v>
      </c>
      <c r="C1916" t="s">
        <v>32</v>
      </c>
      <c r="D1916" t="s">
        <v>107</v>
      </c>
      <c r="E1916" t="s">
        <v>31</v>
      </c>
      <c r="F1916">
        <v>4</v>
      </c>
      <c r="G1916" t="s">
        <v>42</v>
      </c>
      <c r="H1916" s="1">
        <v>45966.524305555555</v>
      </c>
      <c r="I1916" s="5">
        <f>INT(TB[[#This Row],[时间戳]])</f>
        <v>45966</v>
      </c>
      <c r="J1916" s="2">
        <f>HOUR(TB[[#This Row],[时间戳]])</f>
        <v>12</v>
      </c>
      <c r="K1916">
        <v>1500</v>
      </c>
      <c r="L1916">
        <v>0</v>
      </c>
      <c r="M1916">
        <f>TB[[#This Row],[售价]]*TB[[#This Row],[销量]]</f>
        <v>0</v>
      </c>
      <c r="N1916" t="str">
        <f>IF(TB[[#This Row],[售价]]&lt;1000,"低价商品",IF(TB[[#This Row],[售价]]&lt;5000,"中价商品",IF(TB[[#This Row],[售价]]&lt;10000,"高价商品","超高价商品")))</f>
        <v>中价商品</v>
      </c>
    </row>
    <row r="1917" spans="1:14" x14ac:dyDescent="0.2">
      <c r="A1917">
        <v>324</v>
      </c>
      <c r="B1917">
        <v>223</v>
      </c>
      <c r="C1917" t="s">
        <v>17</v>
      </c>
      <c r="D1917" t="s">
        <v>119</v>
      </c>
      <c r="E1917" t="s">
        <v>12</v>
      </c>
      <c r="F1917">
        <v>2</v>
      </c>
      <c r="G1917" t="s">
        <v>13</v>
      </c>
      <c r="H1917" s="1">
        <v>45966.54791666667</v>
      </c>
      <c r="I1917" s="5">
        <f>INT(TB[[#This Row],[时间戳]])</f>
        <v>45966</v>
      </c>
      <c r="J1917" s="2">
        <f>HOUR(TB[[#This Row],[时间戳]])</f>
        <v>13</v>
      </c>
      <c r="K1917">
        <v>13794</v>
      </c>
      <c r="L1917">
        <v>4</v>
      </c>
      <c r="M1917">
        <f>TB[[#This Row],[售价]]*TB[[#This Row],[销量]]</f>
        <v>55176</v>
      </c>
      <c r="N1917" t="str">
        <f>IF(TB[[#This Row],[售价]]&lt;1000,"低价商品",IF(TB[[#This Row],[售价]]&lt;5000,"中价商品",IF(TB[[#This Row],[售价]]&lt;10000,"高价商品","超高价商品")))</f>
        <v>超高价商品</v>
      </c>
    </row>
    <row r="1918" spans="1:14" x14ac:dyDescent="0.2">
      <c r="A1918">
        <v>80</v>
      </c>
      <c r="B1918">
        <v>139</v>
      </c>
      <c r="C1918" t="s">
        <v>46</v>
      </c>
      <c r="D1918" t="s">
        <v>231</v>
      </c>
      <c r="E1918" t="s">
        <v>16</v>
      </c>
      <c r="F1918">
        <v>6</v>
      </c>
      <c r="G1918" t="s">
        <v>13</v>
      </c>
      <c r="H1918" s="1">
        <v>45966.587500000001</v>
      </c>
      <c r="I1918" s="5">
        <f>INT(TB[[#This Row],[时间戳]])</f>
        <v>45966</v>
      </c>
      <c r="J1918" s="2">
        <f>HOUR(TB[[#This Row],[时间戳]])</f>
        <v>14</v>
      </c>
      <c r="K1918">
        <v>8021</v>
      </c>
      <c r="L1918">
        <v>2</v>
      </c>
      <c r="M1918">
        <f>TB[[#This Row],[售价]]*TB[[#This Row],[销量]]</f>
        <v>16042</v>
      </c>
      <c r="N1918" t="str">
        <f>IF(TB[[#This Row],[售价]]&lt;1000,"低价商品",IF(TB[[#This Row],[售价]]&lt;5000,"中价商品",IF(TB[[#This Row],[售价]]&lt;10000,"高价商品","超高价商品")))</f>
        <v>高价商品</v>
      </c>
    </row>
    <row r="1919" spans="1:14" x14ac:dyDescent="0.2">
      <c r="A1919">
        <v>417</v>
      </c>
      <c r="B1919">
        <v>34</v>
      </c>
      <c r="C1919" t="s">
        <v>14</v>
      </c>
      <c r="D1919" t="s">
        <v>388</v>
      </c>
      <c r="E1919" t="s">
        <v>19</v>
      </c>
      <c r="F1919">
        <v>3</v>
      </c>
      <c r="G1919" t="s">
        <v>13</v>
      </c>
      <c r="H1919" s="1">
        <v>45966.604166666664</v>
      </c>
      <c r="I1919" s="5">
        <f>INT(TB[[#This Row],[时间戳]])</f>
        <v>45966</v>
      </c>
      <c r="J1919" s="2">
        <f>HOUR(TB[[#This Row],[时间戳]])</f>
        <v>14</v>
      </c>
      <c r="K1919">
        <v>2592</v>
      </c>
      <c r="L1919">
        <v>4</v>
      </c>
      <c r="M1919">
        <f>TB[[#This Row],[售价]]*TB[[#This Row],[销量]]</f>
        <v>10368</v>
      </c>
      <c r="N1919" t="str">
        <f>IF(TB[[#This Row],[售价]]&lt;1000,"低价商品",IF(TB[[#This Row],[售价]]&lt;5000,"中价商品",IF(TB[[#This Row],[售价]]&lt;10000,"高价商品","超高价商品")))</f>
        <v>中价商品</v>
      </c>
    </row>
    <row r="1920" spans="1:14" x14ac:dyDescent="0.2">
      <c r="A1920">
        <v>342</v>
      </c>
      <c r="B1920">
        <v>140</v>
      </c>
      <c r="C1920" t="s">
        <v>14</v>
      </c>
      <c r="D1920" t="s">
        <v>145</v>
      </c>
      <c r="E1920" t="s">
        <v>22</v>
      </c>
      <c r="F1920">
        <v>1</v>
      </c>
      <c r="G1920" t="s">
        <v>13</v>
      </c>
      <c r="H1920" s="1">
        <v>45966.613194444442</v>
      </c>
      <c r="I1920" s="5">
        <f>INT(TB[[#This Row],[时间戳]])</f>
        <v>45966</v>
      </c>
      <c r="J1920" s="2">
        <f>HOUR(TB[[#This Row],[时间戳]])</f>
        <v>14</v>
      </c>
      <c r="K1920">
        <v>3825</v>
      </c>
      <c r="L1920">
        <v>2</v>
      </c>
      <c r="M1920">
        <f>TB[[#This Row],[售价]]*TB[[#This Row],[销量]]</f>
        <v>7650</v>
      </c>
      <c r="N1920" t="str">
        <f>IF(TB[[#This Row],[售价]]&lt;1000,"低价商品",IF(TB[[#This Row],[售价]]&lt;5000,"中价商品",IF(TB[[#This Row],[售价]]&lt;10000,"高价商品","超高价商品")))</f>
        <v>中价商品</v>
      </c>
    </row>
    <row r="1921" spans="1:14" x14ac:dyDescent="0.2">
      <c r="A1921">
        <v>101</v>
      </c>
      <c r="B1921">
        <v>194</v>
      </c>
      <c r="C1921" t="s">
        <v>36</v>
      </c>
      <c r="D1921" t="s">
        <v>406</v>
      </c>
      <c r="E1921" t="s">
        <v>16</v>
      </c>
      <c r="F1921">
        <v>6</v>
      </c>
      <c r="G1921" t="s">
        <v>13</v>
      </c>
      <c r="H1921" s="1">
        <v>45966.623611111114</v>
      </c>
      <c r="I1921" s="5">
        <f>INT(TB[[#This Row],[时间戳]])</f>
        <v>45966</v>
      </c>
      <c r="J1921" s="2">
        <f>HOUR(TB[[#This Row],[时间戳]])</f>
        <v>14</v>
      </c>
      <c r="K1921">
        <v>4312</v>
      </c>
      <c r="L1921">
        <v>2</v>
      </c>
      <c r="M1921">
        <f>TB[[#This Row],[售价]]*TB[[#This Row],[销量]]</f>
        <v>8624</v>
      </c>
      <c r="N1921" t="str">
        <f>IF(TB[[#This Row],[售价]]&lt;1000,"低价商品",IF(TB[[#This Row],[售价]]&lt;5000,"中价商品",IF(TB[[#This Row],[售价]]&lt;10000,"高价商品","超高价商品")))</f>
        <v>中价商品</v>
      </c>
    </row>
    <row r="1922" spans="1:14" x14ac:dyDescent="0.2">
      <c r="A1922">
        <v>180</v>
      </c>
      <c r="B1922">
        <v>270</v>
      </c>
      <c r="C1922" t="s">
        <v>14</v>
      </c>
      <c r="D1922" t="s">
        <v>205</v>
      </c>
      <c r="E1922" t="s">
        <v>16</v>
      </c>
      <c r="F1922">
        <v>6</v>
      </c>
      <c r="G1922" t="s">
        <v>13</v>
      </c>
      <c r="H1922" s="1">
        <v>45966.645138888889</v>
      </c>
      <c r="I1922" s="5">
        <f>INT(TB[[#This Row],[时间戳]])</f>
        <v>45966</v>
      </c>
      <c r="J1922" s="2">
        <f>HOUR(TB[[#This Row],[时间戳]])</f>
        <v>15</v>
      </c>
      <c r="K1922">
        <v>5633</v>
      </c>
      <c r="L1922">
        <v>4</v>
      </c>
      <c r="M1922">
        <f>TB[[#This Row],[售价]]*TB[[#This Row],[销量]]</f>
        <v>22532</v>
      </c>
      <c r="N1922" t="str">
        <f>IF(TB[[#This Row],[售价]]&lt;1000,"低价商品",IF(TB[[#This Row],[售价]]&lt;5000,"中价商品",IF(TB[[#This Row],[售价]]&lt;10000,"高价商品","超高价商品")))</f>
        <v>高价商品</v>
      </c>
    </row>
    <row r="1923" spans="1:14" x14ac:dyDescent="0.2">
      <c r="A1923">
        <v>542</v>
      </c>
      <c r="B1923">
        <v>179</v>
      </c>
      <c r="C1923" t="s">
        <v>44</v>
      </c>
      <c r="D1923" t="s">
        <v>222</v>
      </c>
      <c r="E1923" t="s">
        <v>12</v>
      </c>
      <c r="F1923">
        <v>2</v>
      </c>
      <c r="G1923" t="s">
        <v>42</v>
      </c>
      <c r="H1923" s="1">
        <v>45966.645138888889</v>
      </c>
      <c r="I1923" s="5">
        <f>INT(TB[[#This Row],[时间戳]])</f>
        <v>45966</v>
      </c>
      <c r="J1923" s="2">
        <f>HOUR(TB[[#This Row],[时间戳]])</f>
        <v>15</v>
      </c>
      <c r="K1923">
        <v>9123</v>
      </c>
      <c r="L1923">
        <v>0</v>
      </c>
      <c r="M1923">
        <f>TB[[#This Row],[售价]]*TB[[#This Row],[销量]]</f>
        <v>0</v>
      </c>
      <c r="N1923" t="str">
        <f>IF(TB[[#This Row],[售价]]&lt;1000,"低价商品",IF(TB[[#This Row],[售价]]&lt;5000,"中价商品",IF(TB[[#This Row],[售价]]&lt;10000,"高价商品","超高价商品")))</f>
        <v>高价商品</v>
      </c>
    </row>
    <row r="1924" spans="1:14" x14ac:dyDescent="0.2">
      <c r="A1924">
        <v>278</v>
      </c>
      <c r="B1924">
        <v>51</v>
      </c>
      <c r="C1924" t="s">
        <v>36</v>
      </c>
      <c r="D1924" t="s">
        <v>55</v>
      </c>
      <c r="E1924" t="s">
        <v>39</v>
      </c>
      <c r="F1924">
        <v>5</v>
      </c>
      <c r="G1924" t="s">
        <v>13</v>
      </c>
      <c r="H1924" s="1">
        <v>45966.663194444445</v>
      </c>
      <c r="I1924" s="5">
        <f>INT(TB[[#This Row],[时间戳]])</f>
        <v>45966</v>
      </c>
      <c r="J1924" s="2">
        <f>HOUR(TB[[#This Row],[时间戳]])</f>
        <v>15</v>
      </c>
      <c r="K1924">
        <v>3761</v>
      </c>
      <c r="L1924">
        <v>5</v>
      </c>
      <c r="M1924">
        <f>TB[[#This Row],[售价]]*TB[[#This Row],[销量]]</f>
        <v>18805</v>
      </c>
      <c r="N1924" t="str">
        <f>IF(TB[[#This Row],[售价]]&lt;1000,"低价商品",IF(TB[[#This Row],[售价]]&lt;5000,"中价商品",IF(TB[[#This Row],[售价]]&lt;10000,"高价商品","超高价商品")))</f>
        <v>中价商品</v>
      </c>
    </row>
    <row r="1925" spans="1:14" x14ac:dyDescent="0.2">
      <c r="A1925">
        <v>186</v>
      </c>
      <c r="B1925">
        <v>177</v>
      </c>
      <c r="C1925" t="s">
        <v>34</v>
      </c>
      <c r="D1925" t="s">
        <v>62</v>
      </c>
      <c r="E1925" t="s">
        <v>31</v>
      </c>
      <c r="F1925">
        <v>4</v>
      </c>
      <c r="G1925" t="s">
        <v>13</v>
      </c>
      <c r="H1925" s="1">
        <v>45966.67083333333</v>
      </c>
      <c r="I1925" s="5">
        <f>INT(TB[[#This Row],[时间戳]])</f>
        <v>45966</v>
      </c>
      <c r="J1925" s="2">
        <f>HOUR(TB[[#This Row],[时间戳]])</f>
        <v>16</v>
      </c>
      <c r="K1925">
        <v>50</v>
      </c>
      <c r="L1925">
        <v>4</v>
      </c>
      <c r="M1925">
        <f>TB[[#This Row],[售价]]*TB[[#This Row],[销量]]</f>
        <v>200</v>
      </c>
      <c r="N1925" t="str">
        <f>IF(TB[[#This Row],[售价]]&lt;1000,"低价商品",IF(TB[[#This Row],[售价]]&lt;5000,"中价商品",IF(TB[[#This Row],[售价]]&lt;10000,"高价商品","超高价商品")))</f>
        <v>低价商品</v>
      </c>
    </row>
    <row r="1926" spans="1:14" x14ac:dyDescent="0.2">
      <c r="A1926">
        <v>609</v>
      </c>
      <c r="B1926">
        <v>207</v>
      </c>
      <c r="C1926" t="s">
        <v>20</v>
      </c>
      <c r="D1926" t="s">
        <v>21</v>
      </c>
      <c r="E1926" t="s">
        <v>22</v>
      </c>
      <c r="F1926">
        <v>1</v>
      </c>
      <c r="G1926" t="s">
        <v>13</v>
      </c>
      <c r="H1926" s="1">
        <v>45966.7</v>
      </c>
      <c r="I1926" s="5">
        <f>INT(TB[[#This Row],[时间戳]])</f>
        <v>45966</v>
      </c>
      <c r="J1926" s="2">
        <f>HOUR(TB[[#This Row],[时间戳]])</f>
        <v>16</v>
      </c>
      <c r="K1926">
        <v>7782</v>
      </c>
      <c r="L1926">
        <v>5</v>
      </c>
      <c r="M1926">
        <f>TB[[#This Row],[售价]]*TB[[#This Row],[销量]]</f>
        <v>38910</v>
      </c>
      <c r="N1926" t="str">
        <f>IF(TB[[#This Row],[售价]]&lt;1000,"低价商品",IF(TB[[#This Row],[售价]]&lt;5000,"中价商品",IF(TB[[#This Row],[售价]]&lt;10000,"高价商品","超高价商品")))</f>
        <v>高价商品</v>
      </c>
    </row>
    <row r="1927" spans="1:14" x14ac:dyDescent="0.2">
      <c r="A1927">
        <v>10</v>
      </c>
      <c r="B1927">
        <v>263</v>
      </c>
      <c r="C1927" t="s">
        <v>26</v>
      </c>
      <c r="D1927" t="s">
        <v>306</v>
      </c>
      <c r="E1927" t="s">
        <v>31</v>
      </c>
      <c r="F1927">
        <v>4</v>
      </c>
      <c r="G1927" t="s">
        <v>42</v>
      </c>
      <c r="H1927" s="1">
        <v>45966.70208333333</v>
      </c>
      <c r="I1927" s="5">
        <f>INT(TB[[#This Row],[时间戳]])</f>
        <v>45966</v>
      </c>
      <c r="J1927" s="2">
        <f>HOUR(TB[[#This Row],[时间戳]])</f>
        <v>16</v>
      </c>
      <c r="K1927">
        <v>1129</v>
      </c>
      <c r="L1927">
        <v>0</v>
      </c>
      <c r="M1927">
        <f>TB[[#This Row],[售价]]*TB[[#This Row],[销量]]</f>
        <v>0</v>
      </c>
      <c r="N1927" t="str">
        <f>IF(TB[[#This Row],[售价]]&lt;1000,"低价商品",IF(TB[[#This Row],[售价]]&lt;5000,"中价商品",IF(TB[[#This Row],[售价]]&lt;10000,"高价商品","超高价商品")))</f>
        <v>中价商品</v>
      </c>
    </row>
    <row r="1928" spans="1:14" x14ac:dyDescent="0.2">
      <c r="A1928">
        <v>388</v>
      </c>
      <c r="B1928">
        <v>291</v>
      </c>
      <c r="C1928" t="s">
        <v>26</v>
      </c>
      <c r="D1928" t="s">
        <v>182</v>
      </c>
      <c r="E1928" t="s">
        <v>31</v>
      </c>
      <c r="F1928">
        <v>4</v>
      </c>
      <c r="G1928" t="s">
        <v>42</v>
      </c>
      <c r="H1928" s="1">
        <v>45966.718055555553</v>
      </c>
      <c r="I1928" s="5">
        <f>INT(TB[[#This Row],[时间戳]])</f>
        <v>45966</v>
      </c>
      <c r="J1928" s="2">
        <f>HOUR(TB[[#This Row],[时间戳]])</f>
        <v>17</v>
      </c>
      <c r="K1928">
        <v>504</v>
      </c>
      <c r="L1928">
        <v>0</v>
      </c>
      <c r="M1928">
        <f>TB[[#This Row],[售价]]*TB[[#This Row],[销量]]</f>
        <v>0</v>
      </c>
      <c r="N1928" t="str">
        <f>IF(TB[[#This Row],[售价]]&lt;1000,"低价商品",IF(TB[[#This Row],[售价]]&lt;5000,"中价商品",IF(TB[[#This Row],[售价]]&lt;10000,"高价商品","超高价商品")))</f>
        <v>低价商品</v>
      </c>
    </row>
    <row r="1929" spans="1:14" x14ac:dyDescent="0.2">
      <c r="A1929">
        <v>797</v>
      </c>
      <c r="B1929">
        <v>128</v>
      </c>
      <c r="C1929" t="s">
        <v>34</v>
      </c>
      <c r="D1929" t="s">
        <v>398</v>
      </c>
      <c r="E1929" t="s">
        <v>16</v>
      </c>
      <c r="F1929">
        <v>6</v>
      </c>
      <c r="G1929" t="s">
        <v>13</v>
      </c>
      <c r="H1929" s="1">
        <v>45966.730555555558</v>
      </c>
      <c r="I1929" s="5">
        <f>INT(TB[[#This Row],[时间戳]])</f>
        <v>45966</v>
      </c>
      <c r="J1929" s="2">
        <f>HOUR(TB[[#This Row],[时间戳]])</f>
        <v>17</v>
      </c>
      <c r="K1929">
        <v>6207</v>
      </c>
      <c r="L1929">
        <v>4</v>
      </c>
      <c r="M1929">
        <f>TB[[#This Row],[售价]]*TB[[#This Row],[销量]]</f>
        <v>24828</v>
      </c>
      <c r="N1929" t="str">
        <f>IF(TB[[#This Row],[售价]]&lt;1000,"低价商品",IF(TB[[#This Row],[售价]]&lt;5000,"中价商品",IF(TB[[#This Row],[售价]]&lt;10000,"高价商品","超高价商品")))</f>
        <v>高价商品</v>
      </c>
    </row>
    <row r="1930" spans="1:14" x14ac:dyDescent="0.2">
      <c r="A1930">
        <v>188</v>
      </c>
      <c r="B1930">
        <v>225</v>
      </c>
      <c r="C1930" t="s">
        <v>17</v>
      </c>
      <c r="D1930" t="s">
        <v>137</v>
      </c>
      <c r="E1930" t="s">
        <v>31</v>
      </c>
      <c r="F1930">
        <v>4</v>
      </c>
      <c r="G1930" t="s">
        <v>13</v>
      </c>
      <c r="H1930" s="1">
        <v>45966.749305555553</v>
      </c>
      <c r="I1930" s="5">
        <f>INT(TB[[#This Row],[时间戳]])</f>
        <v>45966</v>
      </c>
      <c r="J1930" s="2">
        <f>HOUR(TB[[#This Row],[时间戳]])</f>
        <v>17</v>
      </c>
      <c r="K1930">
        <v>1500</v>
      </c>
      <c r="L1930">
        <v>5</v>
      </c>
      <c r="M1930">
        <f>TB[[#This Row],[售价]]*TB[[#This Row],[销量]]</f>
        <v>7500</v>
      </c>
      <c r="N1930" t="str">
        <f>IF(TB[[#This Row],[售价]]&lt;1000,"低价商品",IF(TB[[#This Row],[售价]]&lt;5000,"中价商品",IF(TB[[#This Row],[售价]]&lt;10000,"高价商品","超高价商品")))</f>
        <v>中价商品</v>
      </c>
    </row>
    <row r="1931" spans="1:14" x14ac:dyDescent="0.2">
      <c r="A1931">
        <v>283</v>
      </c>
      <c r="B1931">
        <v>220</v>
      </c>
      <c r="C1931" t="s">
        <v>20</v>
      </c>
      <c r="D1931" t="s">
        <v>383</v>
      </c>
      <c r="E1931" t="s">
        <v>12</v>
      </c>
      <c r="F1931">
        <v>2</v>
      </c>
      <c r="G1931" t="s">
        <v>42</v>
      </c>
      <c r="H1931" s="1">
        <v>45966.750694444447</v>
      </c>
      <c r="I1931" s="5">
        <f>INT(TB[[#This Row],[时间戳]])</f>
        <v>45966</v>
      </c>
      <c r="J1931" s="2">
        <f>HOUR(TB[[#This Row],[时间戳]])</f>
        <v>18</v>
      </c>
      <c r="K1931">
        <v>9838</v>
      </c>
      <c r="L1931">
        <v>0</v>
      </c>
      <c r="M1931">
        <f>TB[[#This Row],[售价]]*TB[[#This Row],[销量]]</f>
        <v>0</v>
      </c>
      <c r="N1931" t="str">
        <f>IF(TB[[#This Row],[售价]]&lt;1000,"低价商品",IF(TB[[#This Row],[售价]]&lt;5000,"中价商品",IF(TB[[#This Row],[售价]]&lt;10000,"高价商品","超高价商品")))</f>
        <v>高价商品</v>
      </c>
    </row>
    <row r="1932" spans="1:14" x14ac:dyDescent="0.2">
      <c r="A1932">
        <v>651</v>
      </c>
      <c r="B1932">
        <v>45</v>
      </c>
      <c r="C1932" t="s">
        <v>32</v>
      </c>
      <c r="D1932" t="s">
        <v>288</v>
      </c>
      <c r="E1932" t="s">
        <v>22</v>
      </c>
      <c r="F1932">
        <v>1</v>
      </c>
      <c r="G1932" t="s">
        <v>13</v>
      </c>
      <c r="H1932" s="1">
        <v>45966.76666666667</v>
      </c>
      <c r="I1932" s="5">
        <f>INT(TB[[#This Row],[时间戳]])</f>
        <v>45966</v>
      </c>
      <c r="J1932" s="2">
        <f>HOUR(TB[[#This Row],[时间戳]])</f>
        <v>18</v>
      </c>
      <c r="K1932">
        <v>5431</v>
      </c>
      <c r="L1932">
        <v>2</v>
      </c>
      <c r="M1932">
        <f>TB[[#This Row],[售价]]*TB[[#This Row],[销量]]</f>
        <v>10862</v>
      </c>
      <c r="N1932" t="str">
        <f>IF(TB[[#This Row],[售价]]&lt;1000,"低价商品",IF(TB[[#This Row],[售价]]&lt;5000,"中价商品",IF(TB[[#This Row],[售价]]&lt;10000,"高价商品","超高价商品")))</f>
        <v>高价商品</v>
      </c>
    </row>
    <row r="1933" spans="1:14" x14ac:dyDescent="0.2">
      <c r="A1933">
        <v>650</v>
      </c>
      <c r="B1933">
        <v>41</v>
      </c>
      <c r="C1933" t="s">
        <v>34</v>
      </c>
      <c r="D1933" t="s">
        <v>325</v>
      </c>
      <c r="E1933" t="s">
        <v>25</v>
      </c>
      <c r="F1933">
        <v>7</v>
      </c>
      <c r="G1933" t="s">
        <v>42</v>
      </c>
      <c r="H1933" s="1">
        <v>45966.781944444447</v>
      </c>
      <c r="I1933" s="5">
        <f>INT(TB[[#This Row],[时间戳]])</f>
        <v>45966</v>
      </c>
      <c r="J1933" s="2">
        <f>HOUR(TB[[#This Row],[时间戳]])</f>
        <v>18</v>
      </c>
      <c r="K1933">
        <v>4011</v>
      </c>
      <c r="L1933">
        <v>0</v>
      </c>
      <c r="M1933">
        <f>TB[[#This Row],[售价]]*TB[[#This Row],[销量]]</f>
        <v>0</v>
      </c>
      <c r="N1933" t="str">
        <f>IF(TB[[#This Row],[售价]]&lt;1000,"低价商品",IF(TB[[#This Row],[售价]]&lt;5000,"中价商品",IF(TB[[#This Row],[售价]]&lt;10000,"高价商品","超高价商品")))</f>
        <v>中价商品</v>
      </c>
    </row>
    <row r="1934" spans="1:14" x14ac:dyDescent="0.2">
      <c r="A1934">
        <v>170</v>
      </c>
      <c r="B1934">
        <v>295</v>
      </c>
      <c r="C1934" t="s">
        <v>32</v>
      </c>
      <c r="D1934" t="s">
        <v>58</v>
      </c>
      <c r="E1934" t="s">
        <v>31</v>
      </c>
      <c r="F1934">
        <v>4</v>
      </c>
      <c r="G1934" t="s">
        <v>42</v>
      </c>
      <c r="H1934" s="1">
        <v>45966.796527777777</v>
      </c>
      <c r="I1934" s="5">
        <f>INT(TB[[#This Row],[时间戳]])</f>
        <v>45966</v>
      </c>
      <c r="J1934" s="2">
        <f>HOUR(TB[[#This Row],[时间戳]])</f>
        <v>19</v>
      </c>
      <c r="K1934">
        <v>380</v>
      </c>
      <c r="L1934">
        <v>0</v>
      </c>
      <c r="M1934">
        <f>TB[[#This Row],[售价]]*TB[[#This Row],[销量]]</f>
        <v>0</v>
      </c>
      <c r="N1934" t="str">
        <f>IF(TB[[#This Row],[售价]]&lt;1000,"低价商品",IF(TB[[#This Row],[售价]]&lt;5000,"中价商品",IF(TB[[#This Row],[售价]]&lt;10000,"高价商品","超高价商品")))</f>
        <v>低价商品</v>
      </c>
    </row>
    <row r="1935" spans="1:14" x14ac:dyDescent="0.2">
      <c r="A1935">
        <v>505</v>
      </c>
      <c r="B1935">
        <v>6</v>
      </c>
      <c r="C1935" t="s">
        <v>36</v>
      </c>
      <c r="D1935" t="s">
        <v>192</v>
      </c>
      <c r="E1935" t="s">
        <v>22</v>
      </c>
      <c r="F1935">
        <v>1</v>
      </c>
      <c r="G1935" t="s">
        <v>42</v>
      </c>
      <c r="H1935" s="1">
        <v>45966.813888888886</v>
      </c>
      <c r="I1935" s="5">
        <f>INT(TB[[#This Row],[时间戳]])</f>
        <v>45966</v>
      </c>
      <c r="J1935" s="2">
        <f>HOUR(TB[[#This Row],[时间戳]])</f>
        <v>19</v>
      </c>
      <c r="K1935">
        <v>1313</v>
      </c>
      <c r="L1935">
        <v>0</v>
      </c>
      <c r="M1935">
        <f>TB[[#This Row],[售价]]*TB[[#This Row],[销量]]</f>
        <v>0</v>
      </c>
      <c r="N1935" t="str">
        <f>IF(TB[[#This Row],[售价]]&lt;1000,"低价商品",IF(TB[[#This Row],[售价]]&lt;5000,"中价商品",IF(TB[[#This Row],[售价]]&lt;10000,"高价商品","超高价商品")))</f>
        <v>中价商品</v>
      </c>
    </row>
    <row r="1936" spans="1:14" x14ac:dyDescent="0.2">
      <c r="A1936">
        <v>140</v>
      </c>
      <c r="B1936">
        <v>246</v>
      </c>
      <c r="C1936" t="s">
        <v>20</v>
      </c>
      <c r="D1936" t="s">
        <v>334</v>
      </c>
      <c r="E1936" t="s">
        <v>22</v>
      </c>
      <c r="F1936">
        <v>1</v>
      </c>
      <c r="G1936" t="s">
        <v>13</v>
      </c>
      <c r="H1936" s="1">
        <v>45966.834722222222</v>
      </c>
      <c r="I1936" s="5">
        <f>INT(TB[[#This Row],[时间戳]])</f>
        <v>45966</v>
      </c>
      <c r="J1936" s="2">
        <f>HOUR(TB[[#This Row],[时间戳]])</f>
        <v>20</v>
      </c>
      <c r="K1936">
        <v>4619</v>
      </c>
      <c r="L1936">
        <v>2</v>
      </c>
      <c r="M1936">
        <f>TB[[#This Row],[售价]]*TB[[#This Row],[销量]]</f>
        <v>9238</v>
      </c>
      <c r="N1936" t="str">
        <f>IF(TB[[#This Row],[售价]]&lt;1000,"低价商品",IF(TB[[#This Row],[售价]]&lt;5000,"中价商品",IF(TB[[#This Row],[售价]]&lt;10000,"高价商品","超高价商品")))</f>
        <v>中价商品</v>
      </c>
    </row>
    <row r="1937" spans="1:14" x14ac:dyDescent="0.2">
      <c r="A1937">
        <v>416</v>
      </c>
      <c r="B1937">
        <v>8</v>
      </c>
      <c r="C1937" t="s">
        <v>20</v>
      </c>
      <c r="D1937" t="s">
        <v>319</v>
      </c>
      <c r="E1937" t="s">
        <v>31</v>
      </c>
      <c r="F1937">
        <v>4</v>
      </c>
      <c r="G1937" t="s">
        <v>13</v>
      </c>
      <c r="H1937" s="1">
        <v>45966.864583333336</v>
      </c>
      <c r="I1937" s="5">
        <f>INT(TB[[#This Row],[时间戳]])</f>
        <v>45966</v>
      </c>
      <c r="J1937" s="2">
        <f>HOUR(TB[[#This Row],[时间戳]])</f>
        <v>20</v>
      </c>
      <c r="K1937">
        <v>1132</v>
      </c>
      <c r="L1937">
        <v>5</v>
      </c>
      <c r="M1937">
        <f>TB[[#This Row],[售价]]*TB[[#This Row],[销量]]</f>
        <v>5660</v>
      </c>
      <c r="N1937" t="str">
        <f>IF(TB[[#This Row],[售价]]&lt;1000,"低价商品",IF(TB[[#This Row],[售价]]&lt;5000,"中价商品",IF(TB[[#This Row],[售价]]&lt;10000,"高价商品","超高价商品")))</f>
        <v>中价商品</v>
      </c>
    </row>
    <row r="1938" spans="1:14" x14ac:dyDescent="0.2">
      <c r="A1938">
        <v>436</v>
      </c>
      <c r="B1938">
        <v>274</v>
      </c>
      <c r="C1938" t="s">
        <v>10</v>
      </c>
      <c r="D1938" t="s">
        <v>68</v>
      </c>
      <c r="E1938" t="s">
        <v>22</v>
      </c>
      <c r="F1938">
        <v>1</v>
      </c>
      <c r="G1938" t="s">
        <v>13</v>
      </c>
      <c r="H1938" s="1">
        <v>45966.870138888888</v>
      </c>
      <c r="I1938" s="5">
        <f>INT(TB[[#This Row],[时间戳]])</f>
        <v>45966</v>
      </c>
      <c r="J1938" s="2">
        <f>HOUR(TB[[#This Row],[时间戳]])</f>
        <v>20</v>
      </c>
      <c r="K1938">
        <v>5945</v>
      </c>
      <c r="L1938">
        <v>5</v>
      </c>
      <c r="M1938">
        <f>TB[[#This Row],[售价]]*TB[[#This Row],[销量]]</f>
        <v>29725</v>
      </c>
      <c r="N1938" t="str">
        <f>IF(TB[[#This Row],[售价]]&lt;1000,"低价商品",IF(TB[[#This Row],[售价]]&lt;5000,"中价商品",IF(TB[[#This Row],[售价]]&lt;10000,"高价商品","超高价商品")))</f>
        <v>高价商品</v>
      </c>
    </row>
    <row r="1939" spans="1:14" x14ac:dyDescent="0.2">
      <c r="A1939">
        <v>44</v>
      </c>
      <c r="B1939">
        <v>230</v>
      </c>
      <c r="C1939" t="s">
        <v>20</v>
      </c>
      <c r="D1939" t="s">
        <v>399</v>
      </c>
      <c r="E1939" t="s">
        <v>31</v>
      </c>
      <c r="F1939">
        <v>4</v>
      </c>
      <c r="G1939" t="s">
        <v>13</v>
      </c>
      <c r="H1939" s="1">
        <v>45966.902777777781</v>
      </c>
      <c r="I1939" s="5">
        <f>INT(TB[[#This Row],[时间戳]])</f>
        <v>45966</v>
      </c>
      <c r="J1939" s="2">
        <f>HOUR(TB[[#This Row],[时间戳]])</f>
        <v>21</v>
      </c>
      <c r="K1939">
        <v>681</v>
      </c>
      <c r="L1939">
        <v>5</v>
      </c>
      <c r="M1939">
        <f>TB[[#This Row],[售价]]*TB[[#This Row],[销量]]</f>
        <v>3405</v>
      </c>
      <c r="N1939" t="str">
        <f>IF(TB[[#This Row],[售价]]&lt;1000,"低价商品",IF(TB[[#This Row],[售价]]&lt;5000,"中价商品",IF(TB[[#This Row],[售价]]&lt;10000,"高价商品","超高价商品")))</f>
        <v>低价商品</v>
      </c>
    </row>
    <row r="1940" spans="1:14" x14ac:dyDescent="0.2">
      <c r="A1940">
        <v>180</v>
      </c>
      <c r="B1940">
        <v>39</v>
      </c>
      <c r="C1940" t="s">
        <v>20</v>
      </c>
      <c r="D1940" t="s">
        <v>152</v>
      </c>
      <c r="E1940" t="s">
        <v>16</v>
      </c>
      <c r="F1940">
        <v>6</v>
      </c>
      <c r="G1940" t="s">
        <v>13</v>
      </c>
      <c r="H1940" s="1">
        <v>45966.915277777778</v>
      </c>
      <c r="I1940" s="5">
        <f>INT(TB[[#This Row],[时间戳]])</f>
        <v>45966</v>
      </c>
      <c r="J1940" s="2">
        <f>HOUR(TB[[#This Row],[时间戳]])</f>
        <v>21</v>
      </c>
      <c r="K1940">
        <v>4906</v>
      </c>
      <c r="L1940">
        <v>2</v>
      </c>
      <c r="M1940">
        <f>TB[[#This Row],[售价]]*TB[[#This Row],[销量]]</f>
        <v>9812</v>
      </c>
      <c r="N1940" t="str">
        <f>IF(TB[[#This Row],[售价]]&lt;1000,"低价商品",IF(TB[[#This Row],[售价]]&lt;5000,"中价商品",IF(TB[[#This Row],[售价]]&lt;10000,"高价商品","超高价商品")))</f>
        <v>中价商品</v>
      </c>
    </row>
    <row r="1941" spans="1:14" x14ac:dyDescent="0.2">
      <c r="A1941">
        <v>53</v>
      </c>
      <c r="B1941">
        <v>217</v>
      </c>
      <c r="C1941" t="s">
        <v>20</v>
      </c>
      <c r="D1941" t="s">
        <v>296</v>
      </c>
      <c r="E1941" t="s">
        <v>25</v>
      </c>
      <c r="F1941">
        <v>7</v>
      </c>
      <c r="G1941" t="s">
        <v>13</v>
      </c>
      <c r="H1941" s="1">
        <v>45966.916666666664</v>
      </c>
      <c r="I1941" s="5">
        <f>INT(TB[[#This Row],[时间戳]])</f>
        <v>45966</v>
      </c>
      <c r="J1941" s="2">
        <f>HOUR(TB[[#This Row],[时间戳]])</f>
        <v>22</v>
      </c>
      <c r="K1941">
        <v>4374</v>
      </c>
      <c r="L1941">
        <v>4</v>
      </c>
      <c r="M1941">
        <f>TB[[#This Row],[售价]]*TB[[#This Row],[销量]]</f>
        <v>17496</v>
      </c>
      <c r="N1941" t="str">
        <f>IF(TB[[#This Row],[售价]]&lt;1000,"低价商品",IF(TB[[#This Row],[售价]]&lt;5000,"中价商品",IF(TB[[#This Row],[售价]]&lt;10000,"高价商品","超高价商品")))</f>
        <v>中价商品</v>
      </c>
    </row>
    <row r="1942" spans="1:14" x14ac:dyDescent="0.2">
      <c r="A1942">
        <v>116</v>
      </c>
      <c r="B1942">
        <v>174</v>
      </c>
      <c r="C1942" t="s">
        <v>26</v>
      </c>
      <c r="D1942" t="s">
        <v>219</v>
      </c>
      <c r="E1942" t="s">
        <v>22</v>
      </c>
      <c r="F1942">
        <v>1</v>
      </c>
      <c r="G1942" t="s">
        <v>13</v>
      </c>
      <c r="H1942" s="1">
        <v>45966.918055555558</v>
      </c>
      <c r="I1942" s="5">
        <f>INT(TB[[#This Row],[时间戳]])</f>
        <v>45966</v>
      </c>
      <c r="J1942" s="2">
        <f>HOUR(TB[[#This Row],[时间戳]])</f>
        <v>22</v>
      </c>
      <c r="K1942">
        <v>5053</v>
      </c>
      <c r="L1942">
        <v>5</v>
      </c>
      <c r="M1942">
        <f>TB[[#This Row],[售价]]*TB[[#This Row],[销量]]</f>
        <v>25265</v>
      </c>
      <c r="N1942" t="str">
        <f>IF(TB[[#This Row],[售价]]&lt;1000,"低价商品",IF(TB[[#This Row],[售价]]&lt;5000,"中价商品",IF(TB[[#This Row],[售价]]&lt;10000,"高价商品","超高价商品")))</f>
        <v>高价商品</v>
      </c>
    </row>
    <row r="1943" spans="1:14" x14ac:dyDescent="0.2">
      <c r="A1943">
        <v>298</v>
      </c>
      <c r="B1943">
        <v>154</v>
      </c>
      <c r="C1943" t="s">
        <v>20</v>
      </c>
      <c r="D1943" t="s">
        <v>78</v>
      </c>
      <c r="E1943" t="s">
        <v>22</v>
      </c>
      <c r="F1943">
        <v>1</v>
      </c>
      <c r="G1943" t="s">
        <v>13</v>
      </c>
      <c r="H1943" s="1">
        <v>45966.925000000003</v>
      </c>
      <c r="I1943" s="5">
        <f>INT(TB[[#This Row],[时间戳]])</f>
        <v>45966</v>
      </c>
      <c r="J1943" s="2">
        <f>HOUR(TB[[#This Row],[时间戳]])</f>
        <v>22</v>
      </c>
      <c r="K1943">
        <v>6489</v>
      </c>
      <c r="L1943">
        <v>5</v>
      </c>
      <c r="M1943">
        <f>TB[[#This Row],[售价]]*TB[[#This Row],[销量]]</f>
        <v>32445</v>
      </c>
      <c r="N1943" t="str">
        <f>IF(TB[[#This Row],[售价]]&lt;1000,"低价商品",IF(TB[[#This Row],[售价]]&lt;5000,"中价商品",IF(TB[[#This Row],[售价]]&lt;10000,"高价商品","超高价商品")))</f>
        <v>高价商品</v>
      </c>
    </row>
    <row r="1944" spans="1:14" x14ac:dyDescent="0.2">
      <c r="A1944">
        <v>3</v>
      </c>
      <c r="B1944">
        <v>292</v>
      </c>
      <c r="C1944" t="s">
        <v>36</v>
      </c>
      <c r="D1944" t="s">
        <v>318</v>
      </c>
      <c r="E1944" t="s">
        <v>16</v>
      </c>
      <c r="F1944">
        <v>6</v>
      </c>
      <c r="G1944" t="s">
        <v>13</v>
      </c>
      <c r="H1944" s="1">
        <v>45966.953472222223</v>
      </c>
      <c r="I1944" s="5">
        <f>INT(TB[[#This Row],[时间戳]])</f>
        <v>45966</v>
      </c>
      <c r="J1944" s="2">
        <f>HOUR(TB[[#This Row],[时间戳]])</f>
        <v>22</v>
      </c>
      <c r="K1944">
        <v>9865</v>
      </c>
      <c r="L1944">
        <v>2</v>
      </c>
      <c r="M1944">
        <f>TB[[#This Row],[售价]]*TB[[#This Row],[销量]]</f>
        <v>19730</v>
      </c>
      <c r="N1944" t="str">
        <f>IF(TB[[#This Row],[售价]]&lt;1000,"低价商品",IF(TB[[#This Row],[售价]]&lt;5000,"中价商品",IF(TB[[#This Row],[售价]]&lt;10000,"高价商品","超高价商品")))</f>
        <v>高价商品</v>
      </c>
    </row>
    <row r="1945" spans="1:14" x14ac:dyDescent="0.2">
      <c r="A1945">
        <v>528</v>
      </c>
      <c r="B1945">
        <v>19</v>
      </c>
      <c r="C1945" t="s">
        <v>36</v>
      </c>
      <c r="D1945" t="s">
        <v>274</v>
      </c>
      <c r="E1945" t="s">
        <v>16</v>
      </c>
      <c r="F1945">
        <v>6</v>
      </c>
      <c r="G1945" t="s">
        <v>13</v>
      </c>
      <c r="H1945" s="1">
        <v>45966.976388888892</v>
      </c>
      <c r="I1945" s="5">
        <f>INT(TB[[#This Row],[时间戳]])</f>
        <v>45966</v>
      </c>
      <c r="J1945" s="2">
        <f>HOUR(TB[[#This Row],[时间戳]])</f>
        <v>23</v>
      </c>
      <c r="K1945">
        <v>8360</v>
      </c>
      <c r="L1945">
        <v>2</v>
      </c>
      <c r="M1945">
        <f>TB[[#This Row],[售价]]*TB[[#This Row],[销量]]</f>
        <v>16720</v>
      </c>
      <c r="N1945" t="str">
        <f>IF(TB[[#This Row],[售价]]&lt;1000,"低价商品",IF(TB[[#This Row],[售价]]&lt;5000,"中价商品",IF(TB[[#This Row],[售价]]&lt;10000,"高价商品","超高价商品")))</f>
        <v>高价商品</v>
      </c>
    </row>
    <row r="1946" spans="1:14" x14ac:dyDescent="0.2">
      <c r="A1946">
        <v>365</v>
      </c>
      <c r="B1946">
        <v>4</v>
      </c>
      <c r="C1946" t="s">
        <v>44</v>
      </c>
      <c r="D1946" t="s">
        <v>59</v>
      </c>
      <c r="E1946" t="s">
        <v>22</v>
      </c>
      <c r="F1946">
        <v>1</v>
      </c>
      <c r="G1946" t="s">
        <v>13</v>
      </c>
      <c r="H1946" s="1">
        <v>45967.004861111112</v>
      </c>
      <c r="I1946" s="5">
        <f>INT(TB[[#This Row],[时间戳]])</f>
        <v>45967</v>
      </c>
      <c r="J1946" s="2">
        <f>HOUR(TB[[#This Row],[时间戳]])</f>
        <v>0</v>
      </c>
      <c r="K1946">
        <v>4909</v>
      </c>
      <c r="L1946">
        <v>4</v>
      </c>
      <c r="M1946">
        <f>TB[[#This Row],[售价]]*TB[[#This Row],[销量]]</f>
        <v>19636</v>
      </c>
      <c r="N1946" t="str">
        <f>IF(TB[[#This Row],[售价]]&lt;1000,"低价商品",IF(TB[[#This Row],[售价]]&lt;5000,"中价商品",IF(TB[[#This Row],[售价]]&lt;10000,"高价商品","超高价商品")))</f>
        <v>中价商品</v>
      </c>
    </row>
    <row r="1947" spans="1:14" x14ac:dyDescent="0.2">
      <c r="A1947">
        <v>363</v>
      </c>
      <c r="B1947">
        <v>55</v>
      </c>
      <c r="C1947" t="s">
        <v>34</v>
      </c>
      <c r="D1947" t="s">
        <v>248</v>
      </c>
      <c r="E1947" t="s">
        <v>22</v>
      </c>
      <c r="F1947">
        <v>1</v>
      </c>
      <c r="G1947" t="s">
        <v>13</v>
      </c>
      <c r="H1947" s="1">
        <v>45967.018055555556</v>
      </c>
      <c r="I1947" s="5">
        <f>INT(TB[[#This Row],[时间戳]])</f>
        <v>45967</v>
      </c>
      <c r="J1947" s="2">
        <f>HOUR(TB[[#This Row],[时间戳]])</f>
        <v>0</v>
      </c>
      <c r="K1947">
        <v>6077</v>
      </c>
      <c r="L1947">
        <v>5</v>
      </c>
      <c r="M1947">
        <f>TB[[#This Row],[售价]]*TB[[#This Row],[销量]]</f>
        <v>30385</v>
      </c>
      <c r="N1947" t="str">
        <f>IF(TB[[#This Row],[售价]]&lt;1000,"低价商品",IF(TB[[#This Row],[售价]]&lt;5000,"中价商品",IF(TB[[#This Row],[售价]]&lt;10000,"高价商品","超高价商品")))</f>
        <v>高价商品</v>
      </c>
    </row>
    <row r="1948" spans="1:14" x14ac:dyDescent="0.2">
      <c r="A1948">
        <v>364</v>
      </c>
      <c r="B1948">
        <v>5</v>
      </c>
      <c r="C1948" t="s">
        <v>26</v>
      </c>
      <c r="D1948" t="s">
        <v>95</v>
      </c>
      <c r="E1948" t="s">
        <v>22</v>
      </c>
      <c r="F1948">
        <v>1</v>
      </c>
      <c r="G1948" t="s">
        <v>13</v>
      </c>
      <c r="H1948" s="1">
        <v>45967.029166666667</v>
      </c>
      <c r="I1948" s="5">
        <f>INT(TB[[#This Row],[时间戳]])</f>
        <v>45967</v>
      </c>
      <c r="J1948" s="2">
        <f>HOUR(TB[[#This Row],[时间戳]])</f>
        <v>0</v>
      </c>
      <c r="K1948">
        <v>1021</v>
      </c>
      <c r="L1948">
        <v>2</v>
      </c>
      <c r="M1948">
        <f>TB[[#This Row],[售价]]*TB[[#This Row],[销量]]</f>
        <v>2042</v>
      </c>
      <c r="N1948" t="str">
        <f>IF(TB[[#This Row],[售价]]&lt;1000,"低价商品",IF(TB[[#This Row],[售价]]&lt;5000,"中价商品",IF(TB[[#This Row],[售价]]&lt;10000,"高价商品","超高价商品")))</f>
        <v>中价商品</v>
      </c>
    </row>
    <row r="1949" spans="1:14" x14ac:dyDescent="0.2">
      <c r="A1949">
        <v>87</v>
      </c>
      <c r="B1949">
        <v>271</v>
      </c>
      <c r="C1949" t="s">
        <v>44</v>
      </c>
      <c r="D1949" t="s">
        <v>76</v>
      </c>
      <c r="E1949" t="s">
        <v>31</v>
      </c>
      <c r="F1949">
        <v>4</v>
      </c>
      <c r="G1949" t="s">
        <v>13</v>
      </c>
      <c r="H1949" s="1">
        <v>45967.031944444447</v>
      </c>
      <c r="I1949" s="5">
        <f>INT(TB[[#This Row],[时间戳]])</f>
        <v>45967</v>
      </c>
      <c r="J1949" s="2">
        <f>HOUR(TB[[#This Row],[时间戳]])</f>
        <v>0</v>
      </c>
      <c r="K1949">
        <v>277</v>
      </c>
      <c r="L1949">
        <v>5</v>
      </c>
      <c r="M1949">
        <f>TB[[#This Row],[售价]]*TB[[#This Row],[销量]]</f>
        <v>1385</v>
      </c>
      <c r="N1949" t="str">
        <f>IF(TB[[#This Row],[售价]]&lt;1000,"低价商品",IF(TB[[#This Row],[售价]]&lt;5000,"中价商品",IF(TB[[#This Row],[售价]]&lt;10000,"高价商品","超高价商品")))</f>
        <v>低价商品</v>
      </c>
    </row>
    <row r="1950" spans="1:14" x14ac:dyDescent="0.2">
      <c r="A1950">
        <v>500</v>
      </c>
      <c r="B1950">
        <v>4</v>
      </c>
      <c r="C1950" t="s">
        <v>17</v>
      </c>
      <c r="D1950" t="s">
        <v>28</v>
      </c>
      <c r="E1950" t="s">
        <v>12</v>
      </c>
      <c r="F1950">
        <v>2</v>
      </c>
      <c r="G1950" t="s">
        <v>13</v>
      </c>
      <c r="H1950" s="1">
        <v>45967.038888888892</v>
      </c>
      <c r="I1950" s="5">
        <f>INT(TB[[#This Row],[时间戳]])</f>
        <v>45967</v>
      </c>
      <c r="J1950" s="2">
        <f>HOUR(TB[[#This Row],[时间戳]])</f>
        <v>0</v>
      </c>
      <c r="K1950">
        <v>12304</v>
      </c>
      <c r="L1950">
        <v>4</v>
      </c>
      <c r="M1950">
        <f>TB[[#This Row],[售价]]*TB[[#This Row],[销量]]</f>
        <v>49216</v>
      </c>
      <c r="N1950" t="str">
        <f>IF(TB[[#This Row],[售价]]&lt;1000,"低价商品",IF(TB[[#This Row],[售价]]&lt;5000,"中价商品",IF(TB[[#This Row],[售价]]&lt;10000,"高价商品","超高价商品")))</f>
        <v>超高价商品</v>
      </c>
    </row>
    <row r="1951" spans="1:14" x14ac:dyDescent="0.2">
      <c r="A1951">
        <v>482</v>
      </c>
      <c r="B1951">
        <v>203</v>
      </c>
      <c r="C1951" t="s">
        <v>36</v>
      </c>
      <c r="D1951" t="s">
        <v>238</v>
      </c>
      <c r="E1951" t="s">
        <v>12</v>
      </c>
      <c r="F1951">
        <v>2</v>
      </c>
      <c r="G1951" t="s">
        <v>13</v>
      </c>
      <c r="H1951" s="1">
        <v>45967.049305555556</v>
      </c>
      <c r="I1951" s="5">
        <f>INT(TB[[#This Row],[时间戳]])</f>
        <v>45967</v>
      </c>
      <c r="J1951" s="2">
        <f>HOUR(TB[[#This Row],[时间戳]])</f>
        <v>1</v>
      </c>
      <c r="K1951">
        <v>6742</v>
      </c>
      <c r="L1951">
        <v>2</v>
      </c>
      <c r="M1951">
        <f>TB[[#This Row],[售价]]*TB[[#This Row],[销量]]</f>
        <v>13484</v>
      </c>
      <c r="N1951" t="str">
        <f>IF(TB[[#This Row],[售价]]&lt;1000,"低价商品",IF(TB[[#This Row],[售价]]&lt;5000,"中价商品",IF(TB[[#This Row],[售价]]&lt;10000,"高价商品","超高价商品")))</f>
        <v>高价商品</v>
      </c>
    </row>
    <row r="1952" spans="1:14" x14ac:dyDescent="0.2">
      <c r="A1952">
        <v>187</v>
      </c>
      <c r="B1952">
        <v>275</v>
      </c>
      <c r="C1952" t="s">
        <v>34</v>
      </c>
      <c r="D1952" t="s">
        <v>402</v>
      </c>
      <c r="E1952" t="s">
        <v>16</v>
      </c>
      <c r="F1952">
        <v>6</v>
      </c>
      <c r="G1952" t="s">
        <v>42</v>
      </c>
      <c r="H1952" s="1">
        <v>45967.051388888889</v>
      </c>
      <c r="I1952" s="5">
        <f>INT(TB[[#This Row],[时间戳]])</f>
        <v>45967</v>
      </c>
      <c r="J1952" s="2">
        <f>HOUR(TB[[#This Row],[时间戳]])</f>
        <v>1</v>
      </c>
      <c r="K1952">
        <v>8085</v>
      </c>
      <c r="L1952">
        <v>0</v>
      </c>
      <c r="M1952">
        <f>TB[[#This Row],[售价]]*TB[[#This Row],[销量]]</f>
        <v>0</v>
      </c>
      <c r="N1952" t="str">
        <f>IF(TB[[#This Row],[售价]]&lt;1000,"低价商品",IF(TB[[#This Row],[售价]]&lt;5000,"中价商品",IF(TB[[#This Row],[售价]]&lt;10000,"高价商品","超高价商品")))</f>
        <v>高价商品</v>
      </c>
    </row>
    <row r="1953" spans="1:14" x14ac:dyDescent="0.2">
      <c r="A1953">
        <v>673</v>
      </c>
      <c r="B1953">
        <v>225</v>
      </c>
      <c r="C1953" t="s">
        <v>14</v>
      </c>
      <c r="D1953" t="s">
        <v>106</v>
      </c>
      <c r="E1953" t="s">
        <v>22</v>
      </c>
      <c r="F1953">
        <v>1</v>
      </c>
      <c r="G1953" t="s">
        <v>13</v>
      </c>
      <c r="H1953" s="1">
        <v>45967.055555555555</v>
      </c>
      <c r="I1953" s="5">
        <f>INT(TB[[#This Row],[时间戳]])</f>
        <v>45967</v>
      </c>
      <c r="J1953" s="2">
        <f>HOUR(TB[[#This Row],[时间戳]])</f>
        <v>1</v>
      </c>
      <c r="K1953">
        <v>7585</v>
      </c>
      <c r="L1953">
        <v>4</v>
      </c>
      <c r="M1953">
        <f>TB[[#This Row],[售价]]*TB[[#This Row],[销量]]</f>
        <v>30340</v>
      </c>
      <c r="N1953" t="str">
        <f>IF(TB[[#This Row],[售价]]&lt;1000,"低价商品",IF(TB[[#This Row],[售价]]&lt;5000,"中价商品",IF(TB[[#This Row],[售价]]&lt;10000,"高价商品","超高价商品")))</f>
        <v>高价商品</v>
      </c>
    </row>
    <row r="1954" spans="1:14" x14ac:dyDescent="0.2">
      <c r="A1954">
        <v>445</v>
      </c>
      <c r="B1954">
        <v>3</v>
      </c>
      <c r="C1954" t="s">
        <v>34</v>
      </c>
      <c r="D1954" t="s">
        <v>105</v>
      </c>
      <c r="E1954" t="s">
        <v>12</v>
      </c>
      <c r="F1954">
        <v>2</v>
      </c>
      <c r="G1954" t="s">
        <v>13</v>
      </c>
      <c r="H1954" s="1">
        <v>45967.072916666664</v>
      </c>
      <c r="I1954" s="5">
        <f>INT(TB[[#This Row],[时间戳]])</f>
        <v>45967</v>
      </c>
      <c r="J1954" s="2">
        <f>HOUR(TB[[#This Row],[时间戳]])</f>
        <v>1</v>
      </c>
      <c r="K1954">
        <v>6522</v>
      </c>
      <c r="L1954">
        <v>2</v>
      </c>
      <c r="M1954">
        <f>TB[[#This Row],[售价]]*TB[[#This Row],[销量]]</f>
        <v>13044</v>
      </c>
      <c r="N1954" t="str">
        <f>IF(TB[[#This Row],[售价]]&lt;1000,"低价商品",IF(TB[[#This Row],[售价]]&lt;5000,"中价商品",IF(TB[[#This Row],[售价]]&lt;10000,"高价商品","超高价商品")))</f>
        <v>高价商品</v>
      </c>
    </row>
    <row r="1955" spans="1:14" x14ac:dyDescent="0.2">
      <c r="A1955">
        <v>195</v>
      </c>
      <c r="B1955">
        <v>146</v>
      </c>
      <c r="C1955" t="s">
        <v>32</v>
      </c>
      <c r="D1955" t="s">
        <v>411</v>
      </c>
      <c r="E1955" t="s">
        <v>39</v>
      </c>
      <c r="F1955">
        <v>5</v>
      </c>
      <c r="G1955" t="s">
        <v>13</v>
      </c>
      <c r="H1955" s="1">
        <v>45967.097222222219</v>
      </c>
      <c r="I1955" s="5">
        <f>INT(TB[[#This Row],[时间戳]])</f>
        <v>45967</v>
      </c>
      <c r="J1955" s="2">
        <f>HOUR(TB[[#This Row],[时间戳]])</f>
        <v>2</v>
      </c>
      <c r="K1955">
        <v>2434</v>
      </c>
      <c r="L1955">
        <v>2</v>
      </c>
      <c r="M1955">
        <f>TB[[#This Row],[售价]]*TB[[#This Row],[销量]]</f>
        <v>4868</v>
      </c>
      <c r="N1955" t="str">
        <f>IF(TB[[#This Row],[售价]]&lt;1000,"低价商品",IF(TB[[#This Row],[售价]]&lt;5000,"中价商品",IF(TB[[#This Row],[售价]]&lt;10000,"高价商品","超高价商品")))</f>
        <v>中价商品</v>
      </c>
    </row>
    <row r="1956" spans="1:14" x14ac:dyDescent="0.2">
      <c r="A1956">
        <v>762</v>
      </c>
      <c r="B1956">
        <v>170</v>
      </c>
      <c r="C1956" t="s">
        <v>17</v>
      </c>
      <c r="D1956" t="s">
        <v>128</v>
      </c>
      <c r="E1956" t="s">
        <v>12</v>
      </c>
      <c r="F1956">
        <v>2</v>
      </c>
      <c r="G1956" t="s">
        <v>13</v>
      </c>
      <c r="H1956" s="1">
        <v>45967.215277777781</v>
      </c>
      <c r="I1956" s="5">
        <f>INT(TB[[#This Row],[时间戳]])</f>
        <v>45967</v>
      </c>
      <c r="J1956" s="2">
        <f>HOUR(TB[[#This Row],[时间戳]])</f>
        <v>5</v>
      </c>
      <c r="K1956">
        <v>4527</v>
      </c>
      <c r="L1956">
        <v>2</v>
      </c>
      <c r="M1956">
        <f>TB[[#This Row],[售价]]*TB[[#This Row],[销量]]</f>
        <v>9054</v>
      </c>
      <c r="N1956" t="str">
        <f>IF(TB[[#This Row],[售价]]&lt;1000,"低价商品",IF(TB[[#This Row],[售价]]&lt;5000,"中价商品",IF(TB[[#This Row],[售价]]&lt;10000,"高价商品","超高价商品")))</f>
        <v>中价商品</v>
      </c>
    </row>
    <row r="1957" spans="1:14" x14ac:dyDescent="0.2">
      <c r="A1957">
        <v>682</v>
      </c>
      <c r="B1957">
        <v>137</v>
      </c>
      <c r="C1957" t="s">
        <v>32</v>
      </c>
      <c r="D1957" t="s">
        <v>110</v>
      </c>
      <c r="E1957" t="s">
        <v>25</v>
      </c>
      <c r="F1957">
        <v>7</v>
      </c>
      <c r="G1957" t="s">
        <v>13</v>
      </c>
      <c r="H1957" s="1">
        <v>45967.26458333333</v>
      </c>
      <c r="I1957" s="5">
        <f>INT(TB[[#This Row],[时间戳]])</f>
        <v>45967</v>
      </c>
      <c r="J1957" s="2">
        <f>HOUR(TB[[#This Row],[时间戳]])</f>
        <v>6</v>
      </c>
      <c r="K1957">
        <v>1640</v>
      </c>
      <c r="L1957">
        <v>5</v>
      </c>
      <c r="M1957">
        <f>TB[[#This Row],[售价]]*TB[[#This Row],[销量]]</f>
        <v>8200</v>
      </c>
      <c r="N1957" t="str">
        <f>IF(TB[[#This Row],[售价]]&lt;1000,"低价商品",IF(TB[[#This Row],[售价]]&lt;5000,"中价商品",IF(TB[[#This Row],[售价]]&lt;10000,"高价商品","超高价商品")))</f>
        <v>中价商品</v>
      </c>
    </row>
    <row r="1958" spans="1:14" x14ac:dyDescent="0.2">
      <c r="A1958">
        <v>508</v>
      </c>
      <c r="B1958">
        <v>66</v>
      </c>
      <c r="C1958" t="s">
        <v>44</v>
      </c>
      <c r="D1958" t="s">
        <v>301</v>
      </c>
      <c r="E1958" t="s">
        <v>22</v>
      </c>
      <c r="F1958">
        <v>1</v>
      </c>
      <c r="G1958" t="s">
        <v>13</v>
      </c>
      <c r="H1958" s="1">
        <v>45967.283333333333</v>
      </c>
      <c r="I1958" s="5">
        <f>INT(TB[[#This Row],[时间戳]])</f>
        <v>45967</v>
      </c>
      <c r="J1958" s="2">
        <f>HOUR(TB[[#This Row],[时间戳]])</f>
        <v>6</v>
      </c>
      <c r="K1958">
        <v>1988</v>
      </c>
      <c r="L1958">
        <v>4</v>
      </c>
      <c r="M1958">
        <f>TB[[#This Row],[售价]]*TB[[#This Row],[销量]]</f>
        <v>7952</v>
      </c>
      <c r="N1958" t="str">
        <f>IF(TB[[#This Row],[售价]]&lt;1000,"低价商品",IF(TB[[#This Row],[售价]]&lt;5000,"中价商品",IF(TB[[#This Row],[售价]]&lt;10000,"高价商品","超高价商品")))</f>
        <v>中价商品</v>
      </c>
    </row>
    <row r="1959" spans="1:14" x14ac:dyDescent="0.2">
      <c r="A1959">
        <v>744</v>
      </c>
      <c r="B1959">
        <v>200</v>
      </c>
      <c r="C1959" t="s">
        <v>17</v>
      </c>
      <c r="D1959" t="s">
        <v>292</v>
      </c>
      <c r="E1959" t="s">
        <v>25</v>
      </c>
      <c r="F1959">
        <v>7</v>
      </c>
      <c r="G1959" t="s">
        <v>13</v>
      </c>
      <c r="H1959" s="1">
        <v>45967.293749999997</v>
      </c>
      <c r="I1959" s="5">
        <f>INT(TB[[#This Row],[时间戳]])</f>
        <v>45967</v>
      </c>
      <c r="J1959" s="2">
        <f>HOUR(TB[[#This Row],[时间戳]])</f>
        <v>7</v>
      </c>
      <c r="K1959">
        <v>4345</v>
      </c>
      <c r="L1959">
        <v>4</v>
      </c>
      <c r="M1959">
        <f>TB[[#This Row],[售价]]*TB[[#This Row],[销量]]</f>
        <v>17380</v>
      </c>
      <c r="N1959" t="str">
        <f>IF(TB[[#This Row],[售价]]&lt;1000,"低价商品",IF(TB[[#This Row],[售价]]&lt;5000,"中价商品",IF(TB[[#This Row],[售价]]&lt;10000,"高价商品","超高价商品")))</f>
        <v>中价商品</v>
      </c>
    </row>
    <row r="1960" spans="1:14" x14ac:dyDescent="0.2">
      <c r="A1960">
        <v>130</v>
      </c>
      <c r="B1960">
        <v>80</v>
      </c>
      <c r="C1960" t="s">
        <v>14</v>
      </c>
      <c r="D1960" t="s">
        <v>205</v>
      </c>
      <c r="E1960" t="s">
        <v>16</v>
      </c>
      <c r="F1960">
        <v>6</v>
      </c>
      <c r="G1960" t="s">
        <v>13</v>
      </c>
      <c r="H1960" s="1">
        <v>45967.3125</v>
      </c>
      <c r="I1960" s="5">
        <f>INT(TB[[#This Row],[时间戳]])</f>
        <v>45967</v>
      </c>
      <c r="J1960" s="2">
        <f>HOUR(TB[[#This Row],[时间戳]])</f>
        <v>7</v>
      </c>
      <c r="K1960">
        <v>4009</v>
      </c>
      <c r="L1960">
        <v>4</v>
      </c>
      <c r="M1960">
        <f>TB[[#This Row],[售价]]*TB[[#This Row],[销量]]</f>
        <v>16036</v>
      </c>
      <c r="N1960" t="str">
        <f>IF(TB[[#This Row],[售价]]&lt;1000,"低价商品",IF(TB[[#This Row],[售价]]&lt;5000,"中价商品",IF(TB[[#This Row],[售价]]&lt;10000,"高价商品","超高价商品")))</f>
        <v>中价商品</v>
      </c>
    </row>
    <row r="1961" spans="1:14" x14ac:dyDescent="0.2">
      <c r="A1961">
        <v>54</v>
      </c>
      <c r="B1961">
        <v>176</v>
      </c>
      <c r="C1961" t="s">
        <v>10</v>
      </c>
      <c r="D1961" t="s">
        <v>116</v>
      </c>
      <c r="E1961" t="s">
        <v>31</v>
      </c>
      <c r="F1961">
        <v>4</v>
      </c>
      <c r="G1961" t="s">
        <v>13</v>
      </c>
      <c r="H1961" s="1">
        <v>45967.34097222222</v>
      </c>
      <c r="I1961" s="5">
        <f>INT(TB[[#This Row],[时间戳]])</f>
        <v>45967</v>
      </c>
      <c r="J1961" s="2">
        <f>HOUR(TB[[#This Row],[时间戳]])</f>
        <v>8</v>
      </c>
      <c r="K1961">
        <v>810</v>
      </c>
      <c r="L1961">
        <v>4</v>
      </c>
      <c r="M1961">
        <f>TB[[#This Row],[售价]]*TB[[#This Row],[销量]]</f>
        <v>3240</v>
      </c>
      <c r="N1961" t="str">
        <f>IF(TB[[#This Row],[售价]]&lt;1000,"低价商品",IF(TB[[#This Row],[售价]]&lt;5000,"中价商品",IF(TB[[#This Row],[售价]]&lt;10000,"高价商品","超高价商品")))</f>
        <v>低价商品</v>
      </c>
    </row>
    <row r="1962" spans="1:14" x14ac:dyDescent="0.2">
      <c r="A1962">
        <v>492</v>
      </c>
      <c r="B1962">
        <v>149</v>
      </c>
      <c r="C1962" t="s">
        <v>10</v>
      </c>
      <c r="D1962" t="s">
        <v>283</v>
      </c>
      <c r="E1962" t="s">
        <v>25</v>
      </c>
      <c r="F1962">
        <v>7</v>
      </c>
      <c r="G1962" t="s">
        <v>13</v>
      </c>
      <c r="H1962" s="1">
        <v>45967.343055555553</v>
      </c>
      <c r="I1962" s="5">
        <f>INT(TB[[#This Row],[时间戳]])</f>
        <v>45967</v>
      </c>
      <c r="J1962" s="2">
        <f>HOUR(TB[[#This Row],[时间戳]])</f>
        <v>8</v>
      </c>
      <c r="K1962">
        <v>5124</v>
      </c>
      <c r="L1962">
        <v>4</v>
      </c>
      <c r="M1962">
        <f>TB[[#This Row],[售价]]*TB[[#This Row],[销量]]</f>
        <v>20496</v>
      </c>
      <c r="N1962" t="str">
        <f>IF(TB[[#This Row],[售价]]&lt;1000,"低价商品",IF(TB[[#This Row],[售价]]&lt;5000,"中价商品",IF(TB[[#This Row],[售价]]&lt;10000,"高价商品","超高价商品")))</f>
        <v>高价商品</v>
      </c>
    </row>
    <row r="1963" spans="1:14" x14ac:dyDescent="0.2">
      <c r="A1963">
        <v>254</v>
      </c>
      <c r="B1963">
        <v>79</v>
      </c>
      <c r="C1963" t="s">
        <v>14</v>
      </c>
      <c r="D1963" t="s">
        <v>357</v>
      </c>
      <c r="E1963" t="s">
        <v>16</v>
      </c>
      <c r="F1963">
        <v>6</v>
      </c>
      <c r="G1963" t="s">
        <v>13</v>
      </c>
      <c r="H1963" s="1">
        <v>45967.352777777778</v>
      </c>
      <c r="I1963" s="5">
        <f>INT(TB[[#This Row],[时间戳]])</f>
        <v>45967</v>
      </c>
      <c r="J1963" s="2">
        <f>HOUR(TB[[#This Row],[时间戳]])</f>
        <v>8</v>
      </c>
      <c r="K1963">
        <v>6671</v>
      </c>
      <c r="L1963">
        <v>4</v>
      </c>
      <c r="M1963">
        <f>TB[[#This Row],[售价]]*TB[[#This Row],[销量]]</f>
        <v>26684</v>
      </c>
      <c r="N1963" t="str">
        <f>IF(TB[[#This Row],[售价]]&lt;1000,"低价商品",IF(TB[[#This Row],[售价]]&lt;5000,"中价商品",IF(TB[[#This Row],[售价]]&lt;10000,"高价商品","超高价商品")))</f>
        <v>高价商品</v>
      </c>
    </row>
    <row r="1964" spans="1:14" x14ac:dyDescent="0.2">
      <c r="A1964">
        <v>786</v>
      </c>
      <c r="B1964">
        <v>59</v>
      </c>
      <c r="C1964" t="s">
        <v>32</v>
      </c>
      <c r="D1964" t="s">
        <v>107</v>
      </c>
      <c r="E1964" t="s">
        <v>31</v>
      </c>
      <c r="F1964">
        <v>4</v>
      </c>
      <c r="G1964" t="s">
        <v>13</v>
      </c>
      <c r="H1964" s="1">
        <v>45967.386111111111</v>
      </c>
      <c r="I1964" s="5">
        <f>INT(TB[[#This Row],[时间戳]])</f>
        <v>45967</v>
      </c>
      <c r="J1964" s="2">
        <f>HOUR(TB[[#This Row],[时间戳]])</f>
        <v>9</v>
      </c>
      <c r="K1964">
        <v>992</v>
      </c>
      <c r="L1964">
        <v>2</v>
      </c>
      <c r="M1964">
        <f>TB[[#This Row],[售价]]*TB[[#This Row],[销量]]</f>
        <v>1984</v>
      </c>
      <c r="N1964" t="str">
        <f>IF(TB[[#This Row],[售价]]&lt;1000,"低价商品",IF(TB[[#This Row],[售价]]&lt;5000,"中价商品",IF(TB[[#This Row],[售价]]&lt;10000,"高价商品","超高价商品")))</f>
        <v>低价商品</v>
      </c>
    </row>
    <row r="1965" spans="1:14" x14ac:dyDescent="0.2">
      <c r="A1965">
        <v>204</v>
      </c>
      <c r="B1965">
        <v>243</v>
      </c>
      <c r="C1965" t="s">
        <v>32</v>
      </c>
      <c r="D1965" t="s">
        <v>79</v>
      </c>
      <c r="E1965" t="s">
        <v>31</v>
      </c>
      <c r="F1965">
        <v>4</v>
      </c>
      <c r="G1965" t="s">
        <v>13</v>
      </c>
      <c r="H1965" s="1">
        <v>45967.395138888889</v>
      </c>
      <c r="I1965" s="5">
        <f>INT(TB[[#This Row],[时间戳]])</f>
        <v>45967</v>
      </c>
      <c r="J1965" s="2">
        <f>HOUR(TB[[#This Row],[时间戳]])</f>
        <v>9</v>
      </c>
      <c r="K1965">
        <v>747</v>
      </c>
      <c r="L1965">
        <v>2</v>
      </c>
      <c r="M1965">
        <f>TB[[#This Row],[售价]]*TB[[#This Row],[销量]]</f>
        <v>1494</v>
      </c>
      <c r="N1965" t="str">
        <f>IF(TB[[#This Row],[售价]]&lt;1000,"低价商品",IF(TB[[#This Row],[售价]]&lt;5000,"中价商品",IF(TB[[#This Row],[售价]]&lt;10000,"高价商品","超高价商品")))</f>
        <v>低价商品</v>
      </c>
    </row>
    <row r="1966" spans="1:14" x14ac:dyDescent="0.2">
      <c r="A1966">
        <v>626</v>
      </c>
      <c r="B1966">
        <v>93</v>
      </c>
      <c r="C1966" t="s">
        <v>14</v>
      </c>
      <c r="D1966" t="s">
        <v>52</v>
      </c>
      <c r="E1966" t="s">
        <v>31</v>
      </c>
      <c r="F1966">
        <v>4</v>
      </c>
      <c r="G1966" t="s">
        <v>13</v>
      </c>
      <c r="H1966" s="1">
        <v>45967.411111111112</v>
      </c>
      <c r="I1966" s="5">
        <f>INT(TB[[#This Row],[时间戳]])</f>
        <v>45967</v>
      </c>
      <c r="J1966" s="2">
        <f>HOUR(TB[[#This Row],[时间戳]])</f>
        <v>9</v>
      </c>
      <c r="K1966">
        <v>1500</v>
      </c>
      <c r="L1966">
        <v>4</v>
      </c>
      <c r="M1966">
        <f>TB[[#This Row],[售价]]*TB[[#This Row],[销量]]</f>
        <v>6000</v>
      </c>
      <c r="N1966" t="str">
        <f>IF(TB[[#This Row],[售价]]&lt;1000,"低价商品",IF(TB[[#This Row],[售价]]&lt;5000,"中价商品",IF(TB[[#This Row],[售价]]&lt;10000,"高价商品","超高价商品")))</f>
        <v>中价商品</v>
      </c>
    </row>
    <row r="1967" spans="1:14" x14ac:dyDescent="0.2">
      <c r="A1967">
        <v>124</v>
      </c>
      <c r="B1967">
        <v>68</v>
      </c>
      <c r="C1967" t="s">
        <v>26</v>
      </c>
      <c r="D1967" t="s">
        <v>182</v>
      </c>
      <c r="E1967" t="s">
        <v>31</v>
      </c>
      <c r="F1967">
        <v>4</v>
      </c>
      <c r="G1967" t="s">
        <v>13</v>
      </c>
      <c r="H1967" s="1">
        <v>45967.427083333336</v>
      </c>
      <c r="I1967" s="5">
        <f>INT(TB[[#This Row],[时间戳]])</f>
        <v>45967</v>
      </c>
      <c r="J1967" s="2">
        <f>HOUR(TB[[#This Row],[时间戳]])</f>
        <v>10</v>
      </c>
      <c r="K1967">
        <v>538</v>
      </c>
      <c r="L1967">
        <v>4</v>
      </c>
      <c r="M1967">
        <f>TB[[#This Row],[售价]]*TB[[#This Row],[销量]]</f>
        <v>2152</v>
      </c>
      <c r="N1967" t="str">
        <f>IF(TB[[#This Row],[售价]]&lt;1000,"低价商品",IF(TB[[#This Row],[售价]]&lt;5000,"中价商品",IF(TB[[#This Row],[售价]]&lt;10000,"高价商品","超高价商品")))</f>
        <v>低价商品</v>
      </c>
    </row>
    <row r="1968" spans="1:14" x14ac:dyDescent="0.2">
      <c r="A1968">
        <v>150</v>
      </c>
      <c r="B1968">
        <v>219</v>
      </c>
      <c r="C1968" t="s">
        <v>36</v>
      </c>
      <c r="D1968" t="s">
        <v>366</v>
      </c>
      <c r="E1968" t="s">
        <v>22</v>
      </c>
      <c r="F1968">
        <v>1</v>
      </c>
      <c r="G1968" t="s">
        <v>13</v>
      </c>
      <c r="H1968" s="1">
        <v>45967.431250000001</v>
      </c>
      <c r="I1968" s="5">
        <f>INT(TB[[#This Row],[时间戳]])</f>
        <v>45967</v>
      </c>
      <c r="J1968" s="2">
        <f>HOUR(TB[[#This Row],[时间戳]])</f>
        <v>10</v>
      </c>
      <c r="K1968">
        <v>4106</v>
      </c>
      <c r="L1968">
        <v>5</v>
      </c>
      <c r="M1968">
        <f>TB[[#This Row],[售价]]*TB[[#This Row],[销量]]</f>
        <v>20530</v>
      </c>
      <c r="N1968" t="str">
        <f>IF(TB[[#This Row],[售价]]&lt;1000,"低价商品",IF(TB[[#This Row],[售价]]&lt;5000,"中价商品",IF(TB[[#This Row],[售价]]&lt;10000,"高价商品","超高价商品")))</f>
        <v>中价商品</v>
      </c>
    </row>
    <row r="1969" spans="1:14" x14ac:dyDescent="0.2">
      <c r="A1969">
        <v>53</v>
      </c>
      <c r="B1969">
        <v>195</v>
      </c>
      <c r="C1969" t="s">
        <v>32</v>
      </c>
      <c r="D1969" t="s">
        <v>138</v>
      </c>
      <c r="E1969" t="s">
        <v>12</v>
      </c>
      <c r="F1969">
        <v>2</v>
      </c>
      <c r="G1969" t="s">
        <v>13</v>
      </c>
      <c r="H1969" s="1">
        <v>45967.439583333333</v>
      </c>
      <c r="I1969" s="5">
        <f>INT(TB[[#This Row],[时间戳]])</f>
        <v>45967</v>
      </c>
      <c r="J1969" s="2">
        <f>HOUR(TB[[#This Row],[时间戳]])</f>
        <v>10</v>
      </c>
      <c r="K1969">
        <v>4404</v>
      </c>
      <c r="L1969">
        <v>5</v>
      </c>
      <c r="M1969">
        <f>TB[[#This Row],[售价]]*TB[[#This Row],[销量]]</f>
        <v>22020</v>
      </c>
      <c r="N1969" t="str">
        <f>IF(TB[[#This Row],[售价]]&lt;1000,"低价商品",IF(TB[[#This Row],[售价]]&lt;5000,"中价商品",IF(TB[[#This Row],[售价]]&lt;10000,"高价商品","超高价商品")))</f>
        <v>中价商品</v>
      </c>
    </row>
    <row r="1970" spans="1:14" x14ac:dyDescent="0.2">
      <c r="A1970">
        <v>649</v>
      </c>
      <c r="B1970">
        <v>119</v>
      </c>
      <c r="C1970" t="s">
        <v>36</v>
      </c>
      <c r="D1970" t="s">
        <v>274</v>
      </c>
      <c r="E1970" t="s">
        <v>16</v>
      </c>
      <c r="F1970">
        <v>6</v>
      </c>
      <c r="G1970" t="s">
        <v>13</v>
      </c>
      <c r="H1970" s="1">
        <v>45967.446527777778</v>
      </c>
      <c r="I1970" s="5">
        <f>INT(TB[[#This Row],[时间戳]])</f>
        <v>45967</v>
      </c>
      <c r="J1970" s="2">
        <f>HOUR(TB[[#This Row],[时间戳]])</f>
        <v>10</v>
      </c>
      <c r="K1970">
        <v>8741</v>
      </c>
      <c r="L1970">
        <v>2</v>
      </c>
      <c r="M1970">
        <f>TB[[#This Row],[售价]]*TB[[#This Row],[销量]]</f>
        <v>17482</v>
      </c>
      <c r="N1970" t="str">
        <f>IF(TB[[#This Row],[售价]]&lt;1000,"低价商品",IF(TB[[#This Row],[售价]]&lt;5000,"中价商品",IF(TB[[#This Row],[售价]]&lt;10000,"高价商品","超高价商品")))</f>
        <v>高价商品</v>
      </c>
    </row>
    <row r="1971" spans="1:14" x14ac:dyDescent="0.2">
      <c r="A1971">
        <v>63</v>
      </c>
      <c r="B1971">
        <v>262</v>
      </c>
      <c r="C1971" t="s">
        <v>17</v>
      </c>
      <c r="D1971" t="s">
        <v>128</v>
      </c>
      <c r="E1971" t="s">
        <v>12</v>
      </c>
      <c r="F1971">
        <v>2</v>
      </c>
      <c r="G1971" t="s">
        <v>13</v>
      </c>
      <c r="H1971" s="1">
        <v>45967.447222222225</v>
      </c>
      <c r="I1971" s="5">
        <f>INT(TB[[#This Row],[时间戳]])</f>
        <v>45967</v>
      </c>
      <c r="J1971" s="2">
        <f>HOUR(TB[[#This Row],[时间戳]])</f>
        <v>10</v>
      </c>
      <c r="K1971">
        <v>7605</v>
      </c>
      <c r="L1971">
        <v>5</v>
      </c>
      <c r="M1971">
        <f>TB[[#This Row],[售价]]*TB[[#This Row],[销量]]</f>
        <v>38025</v>
      </c>
      <c r="N1971" t="str">
        <f>IF(TB[[#This Row],[售价]]&lt;1000,"低价商品",IF(TB[[#This Row],[售价]]&lt;5000,"中价商品",IF(TB[[#This Row],[售价]]&lt;10000,"高价商品","超高价商品")))</f>
        <v>高价商品</v>
      </c>
    </row>
    <row r="1972" spans="1:14" x14ac:dyDescent="0.2">
      <c r="A1972">
        <v>113</v>
      </c>
      <c r="B1972">
        <v>138</v>
      </c>
      <c r="C1972" t="s">
        <v>10</v>
      </c>
      <c r="D1972" t="s">
        <v>247</v>
      </c>
      <c r="E1972" t="s">
        <v>31</v>
      </c>
      <c r="F1972">
        <v>4</v>
      </c>
      <c r="G1972" t="s">
        <v>42</v>
      </c>
      <c r="H1972" s="1">
        <v>45967.447916666664</v>
      </c>
      <c r="I1972" s="5">
        <f>INT(TB[[#This Row],[时间戳]])</f>
        <v>45967</v>
      </c>
      <c r="J1972" s="2">
        <f>HOUR(TB[[#This Row],[时间戳]])</f>
        <v>10</v>
      </c>
      <c r="K1972">
        <v>1053</v>
      </c>
      <c r="L1972">
        <v>0</v>
      </c>
      <c r="M1972">
        <f>TB[[#This Row],[售价]]*TB[[#This Row],[销量]]</f>
        <v>0</v>
      </c>
      <c r="N1972" t="str">
        <f>IF(TB[[#This Row],[售价]]&lt;1000,"低价商品",IF(TB[[#This Row],[售价]]&lt;5000,"中价商品",IF(TB[[#This Row],[售价]]&lt;10000,"高价商品","超高价商品")))</f>
        <v>中价商品</v>
      </c>
    </row>
    <row r="1973" spans="1:14" x14ac:dyDescent="0.2">
      <c r="A1973">
        <v>253</v>
      </c>
      <c r="B1973">
        <v>164</v>
      </c>
      <c r="C1973" t="s">
        <v>34</v>
      </c>
      <c r="D1973" t="s">
        <v>62</v>
      </c>
      <c r="E1973" t="s">
        <v>31</v>
      </c>
      <c r="F1973">
        <v>4</v>
      </c>
      <c r="G1973" t="s">
        <v>13</v>
      </c>
      <c r="H1973" s="1">
        <v>45967.480555555558</v>
      </c>
      <c r="I1973" s="5">
        <f>INT(TB[[#This Row],[时间戳]])</f>
        <v>45967</v>
      </c>
      <c r="J1973" s="2">
        <f>HOUR(TB[[#This Row],[时间戳]])</f>
        <v>11</v>
      </c>
      <c r="K1973">
        <v>737</v>
      </c>
      <c r="L1973">
        <v>2</v>
      </c>
      <c r="M1973">
        <f>TB[[#This Row],[售价]]*TB[[#This Row],[销量]]</f>
        <v>1474</v>
      </c>
      <c r="N1973" t="str">
        <f>IF(TB[[#This Row],[售价]]&lt;1000,"低价商品",IF(TB[[#This Row],[售价]]&lt;5000,"中价商品",IF(TB[[#This Row],[售价]]&lt;10000,"高价商品","超高价商品")))</f>
        <v>低价商品</v>
      </c>
    </row>
    <row r="1974" spans="1:14" x14ac:dyDescent="0.2">
      <c r="A1974">
        <v>54</v>
      </c>
      <c r="B1974">
        <v>165</v>
      </c>
      <c r="C1974" t="s">
        <v>10</v>
      </c>
      <c r="D1974" t="s">
        <v>201</v>
      </c>
      <c r="E1974" t="s">
        <v>31</v>
      </c>
      <c r="F1974">
        <v>4</v>
      </c>
      <c r="G1974" t="s">
        <v>42</v>
      </c>
      <c r="H1974" s="1">
        <v>45967.486111111109</v>
      </c>
      <c r="I1974" s="5">
        <f>INT(TB[[#This Row],[时间戳]])</f>
        <v>45967</v>
      </c>
      <c r="J1974" s="2">
        <f>HOUR(TB[[#This Row],[时间戳]])</f>
        <v>11</v>
      </c>
      <c r="K1974">
        <v>50</v>
      </c>
      <c r="L1974">
        <v>0</v>
      </c>
      <c r="M1974">
        <f>TB[[#This Row],[售价]]*TB[[#This Row],[销量]]</f>
        <v>0</v>
      </c>
      <c r="N1974" t="str">
        <f>IF(TB[[#This Row],[售价]]&lt;1000,"低价商品",IF(TB[[#This Row],[售价]]&lt;5000,"中价商品",IF(TB[[#This Row],[售价]]&lt;10000,"高价商品","超高价商品")))</f>
        <v>低价商品</v>
      </c>
    </row>
    <row r="1975" spans="1:14" x14ac:dyDescent="0.2">
      <c r="A1975">
        <v>622</v>
      </c>
      <c r="B1975">
        <v>52</v>
      </c>
      <c r="C1975" t="s">
        <v>44</v>
      </c>
      <c r="D1975" t="s">
        <v>184</v>
      </c>
      <c r="E1975" t="s">
        <v>12</v>
      </c>
      <c r="F1975">
        <v>2</v>
      </c>
      <c r="G1975" t="s">
        <v>13</v>
      </c>
      <c r="H1975" s="1">
        <v>45967.5</v>
      </c>
      <c r="I1975" s="5">
        <f>INT(TB[[#This Row],[时间戳]])</f>
        <v>45967</v>
      </c>
      <c r="J1975" s="2">
        <f>HOUR(TB[[#This Row],[时间戳]])</f>
        <v>12</v>
      </c>
      <c r="K1975">
        <v>7419</v>
      </c>
      <c r="L1975">
        <v>4</v>
      </c>
      <c r="M1975">
        <f>TB[[#This Row],[售价]]*TB[[#This Row],[销量]]</f>
        <v>29676</v>
      </c>
      <c r="N1975" t="str">
        <f>IF(TB[[#This Row],[售价]]&lt;1000,"低价商品",IF(TB[[#This Row],[售价]]&lt;5000,"中价商品",IF(TB[[#This Row],[售价]]&lt;10000,"高价商品","超高价商品")))</f>
        <v>高价商品</v>
      </c>
    </row>
    <row r="1976" spans="1:14" x14ac:dyDescent="0.2">
      <c r="A1976">
        <v>373</v>
      </c>
      <c r="B1976">
        <v>172</v>
      </c>
      <c r="C1976" t="s">
        <v>36</v>
      </c>
      <c r="D1976" t="s">
        <v>265</v>
      </c>
      <c r="E1976" t="s">
        <v>31</v>
      </c>
      <c r="F1976">
        <v>4</v>
      </c>
      <c r="G1976" t="s">
        <v>13</v>
      </c>
      <c r="H1976" s="1">
        <v>45967.506249999999</v>
      </c>
      <c r="I1976" s="5">
        <f>INT(TB[[#This Row],[时间戳]])</f>
        <v>45967</v>
      </c>
      <c r="J1976" s="2">
        <f>HOUR(TB[[#This Row],[时间戳]])</f>
        <v>12</v>
      </c>
      <c r="K1976">
        <v>826</v>
      </c>
      <c r="L1976">
        <v>5</v>
      </c>
      <c r="M1976">
        <f>TB[[#This Row],[售价]]*TB[[#This Row],[销量]]</f>
        <v>4130</v>
      </c>
      <c r="N1976" t="str">
        <f>IF(TB[[#This Row],[售价]]&lt;1000,"低价商品",IF(TB[[#This Row],[售价]]&lt;5000,"中价商品",IF(TB[[#This Row],[售价]]&lt;10000,"高价商品","超高价商品")))</f>
        <v>低价商品</v>
      </c>
    </row>
    <row r="1977" spans="1:14" x14ac:dyDescent="0.2">
      <c r="A1977">
        <v>14</v>
      </c>
      <c r="B1977">
        <v>283</v>
      </c>
      <c r="C1977" t="s">
        <v>14</v>
      </c>
      <c r="D1977" t="s">
        <v>223</v>
      </c>
      <c r="E1977" t="s">
        <v>22</v>
      </c>
      <c r="F1977">
        <v>1</v>
      </c>
      <c r="G1977" t="s">
        <v>13</v>
      </c>
      <c r="H1977" s="1">
        <v>45967.558333333334</v>
      </c>
      <c r="I1977" s="5">
        <f>INT(TB[[#This Row],[时间戳]])</f>
        <v>45967</v>
      </c>
      <c r="J1977" s="2">
        <f>HOUR(TB[[#This Row],[时间戳]])</f>
        <v>13</v>
      </c>
      <c r="K1977">
        <v>3350</v>
      </c>
      <c r="L1977">
        <v>4</v>
      </c>
      <c r="M1977">
        <f>TB[[#This Row],[售价]]*TB[[#This Row],[销量]]</f>
        <v>13400</v>
      </c>
      <c r="N1977" t="str">
        <f>IF(TB[[#This Row],[售价]]&lt;1000,"低价商品",IF(TB[[#This Row],[售价]]&lt;5000,"中价商品",IF(TB[[#This Row],[售价]]&lt;10000,"高价商品","超高价商品")))</f>
        <v>中价商品</v>
      </c>
    </row>
    <row r="1978" spans="1:14" x14ac:dyDescent="0.2">
      <c r="A1978">
        <v>761</v>
      </c>
      <c r="B1978">
        <v>271</v>
      </c>
      <c r="C1978" t="s">
        <v>34</v>
      </c>
      <c r="D1978" t="s">
        <v>291</v>
      </c>
      <c r="E1978" t="s">
        <v>31</v>
      </c>
      <c r="F1978">
        <v>4</v>
      </c>
      <c r="G1978" t="s">
        <v>13</v>
      </c>
      <c r="H1978" s="1">
        <v>45967.563888888886</v>
      </c>
      <c r="I1978" s="5">
        <f>INT(TB[[#This Row],[时间戳]])</f>
        <v>45967</v>
      </c>
      <c r="J1978" s="2">
        <f>HOUR(TB[[#This Row],[时间戳]])</f>
        <v>13</v>
      </c>
      <c r="K1978">
        <v>285</v>
      </c>
      <c r="L1978">
        <v>2</v>
      </c>
      <c r="M1978">
        <f>TB[[#This Row],[售价]]*TB[[#This Row],[销量]]</f>
        <v>570</v>
      </c>
      <c r="N1978" t="str">
        <f>IF(TB[[#This Row],[售价]]&lt;1000,"低价商品",IF(TB[[#This Row],[售价]]&lt;5000,"中价商品",IF(TB[[#This Row],[售价]]&lt;10000,"高价商品","超高价商品")))</f>
        <v>低价商品</v>
      </c>
    </row>
    <row r="1979" spans="1:14" x14ac:dyDescent="0.2">
      <c r="A1979">
        <v>283</v>
      </c>
      <c r="B1979">
        <v>108</v>
      </c>
      <c r="C1979" t="s">
        <v>32</v>
      </c>
      <c r="D1979" t="s">
        <v>368</v>
      </c>
      <c r="E1979" t="s">
        <v>16</v>
      </c>
      <c r="F1979">
        <v>6</v>
      </c>
      <c r="G1979" t="s">
        <v>42</v>
      </c>
      <c r="H1979" s="1">
        <v>45967.574305555558</v>
      </c>
      <c r="I1979" s="5">
        <f>INT(TB[[#This Row],[时间戳]])</f>
        <v>45967</v>
      </c>
      <c r="J1979" s="2">
        <f>HOUR(TB[[#This Row],[时间戳]])</f>
        <v>13</v>
      </c>
      <c r="K1979">
        <v>11897</v>
      </c>
      <c r="L1979">
        <v>0</v>
      </c>
      <c r="M1979">
        <f>TB[[#This Row],[售价]]*TB[[#This Row],[销量]]</f>
        <v>0</v>
      </c>
      <c r="N1979" t="str">
        <f>IF(TB[[#This Row],[售价]]&lt;1000,"低价商品",IF(TB[[#This Row],[售价]]&lt;5000,"中价商品",IF(TB[[#This Row],[售价]]&lt;10000,"高价商品","超高价商品")))</f>
        <v>超高价商品</v>
      </c>
    </row>
    <row r="1980" spans="1:14" x14ac:dyDescent="0.2">
      <c r="A1980">
        <v>134</v>
      </c>
      <c r="B1980">
        <v>62</v>
      </c>
      <c r="C1980" t="s">
        <v>14</v>
      </c>
      <c r="D1980" t="s">
        <v>343</v>
      </c>
      <c r="E1980" t="s">
        <v>39</v>
      </c>
      <c r="F1980">
        <v>5</v>
      </c>
      <c r="G1980" t="s">
        <v>13</v>
      </c>
      <c r="H1980" s="1">
        <v>45967.611805555556</v>
      </c>
      <c r="I1980" s="5">
        <f>INT(TB[[#This Row],[时间戳]])</f>
        <v>45967</v>
      </c>
      <c r="J1980" s="2">
        <f>HOUR(TB[[#This Row],[时间戳]])</f>
        <v>14</v>
      </c>
      <c r="K1980">
        <v>3189</v>
      </c>
      <c r="L1980">
        <v>2</v>
      </c>
      <c r="M1980">
        <f>TB[[#This Row],[售价]]*TB[[#This Row],[销量]]</f>
        <v>6378</v>
      </c>
      <c r="N1980" t="str">
        <f>IF(TB[[#This Row],[售价]]&lt;1000,"低价商品",IF(TB[[#This Row],[售价]]&lt;5000,"中价商品",IF(TB[[#This Row],[售价]]&lt;10000,"高价商品","超高价商品")))</f>
        <v>中价商品</v>
      </c>
    </row>
    <row r="1981" spans="1:14" x14ac:dyDescent="0.2">
      <c r="A1981">
        <v>722</v>
      </c>
      <c r="B1981">
        <v>229</v>
      </c>
      <c r="C1981" t="s">
        <v>32</v>
      </c>
      <c r="D1981" t="s">
        <v>208</v>
      </c>
      <c r="E1981" t="s">
        <v>12</v>
      </c>
      <c r="F1981">
        <v>2</v>
      </c>
      <c r="G1981" t="s">
        <v>13</v>
      </c>
      <c r="H1981" s="1">
        <v>45967.645833333336</v>
      </c>
      <c r="I1981" s="5">
        <f>INT(TB[[#This Row],[时间戳]])</f>
        <v>45967</v>
      </c>
      <c r="J1981" s="2">
        <f>HOUR(TB[[#This Row],[时间戳]])</f>
        <v>15</v>
      </c>
      <c r="K1981">
        <v>4772</v>
      </c>
      <c r="L1981">
        <v>5</v>
      </c>
      <c r="M1981">
        <f>TB[[#This Row],[售价]]*TB[[#This Row],[销量]]</f>
        <v>23860</v>
      </c>
      <c r="N1981" t="str">
        <f>IF(TB[[#This Row],[售价]]&lt;1000,"低价商品",IF(TB[[#This Row],[售价]]&lt;5000,"中价商品",IF(TB[[#This Row],[售价]]&lt;10000,"高价商品","超高价商品")))</f>
        <v>中价商品</v>
      </c>
    </row>
    <row r="1982" spans="1:14" x14ac:dyDescent="0.2">
      <c r="A1982">
        <v>352</v>
      </c>
      <c r="B1982">
        <v>155</v>
      </c>
      <c r="C1982" t="s">
        <v>20</v>
      </c>
      <c r="D1982" t="s">
        <v>412</v>
      </c>
      <c r="E1982" t="s">
        <v>12</v>
      </c>
      <c r="F1982">
        <v>2</v>
      </c>
      <c r="G1982" t="s">
        <v>13</v>
      </c>
      <c r="H1982" s="1">
        <v>45967.65</v>
      </c>
      <c r="I1982" s="5">
        <f>INT(TB[[#This Row],[时间戳]])</f>
        <v>45967</v>
      </c>
      <c r="J1982" s="2">
        <f>HOUR(TB[[#This Row],[时间戳]])</f>
        <v>15</v>
      </c>
      <c r="K1982">
        <v>5454</v>
      </c>
      <c r="L1982">
        <v>2</v>
      </c>
      <c r="M1982">
        <f>TB[[#This Row],[售价]]*TB[[#This Row],[销量]]</f>
        <v>10908</v>
      </c>
      <c r="N1982" t="str">
        <f>IF(TB[[#This Row],[售价]]&lt;1000,"低价商品",IF(TB[[#This Row],[售价]]&lt;5000,"中价商品",IF(TB[[#This Row],[售价]]&lt;10000,"高价商品","超高价商品")))</f>
        <v>高价商品</v>
      </c>
    </row>
    <row r="1983" spans="1:14" x14ac:dyDescent="0.2">
      <c r="A1983">
        <v>739</v>
      </c>
      <c r="B1983">
        <v>79</v>
      </c>
      <c r="C1983" t="s">
        <v>32</v>
      </c>
      <c r="D1983" t="s">
        <v>212</v>
      </c>
      <c r="E1983" t="s">
        <v>22</v>
      </c>
      <c r="F1983">
        <v>1</v>
      </c>
      <c r="G1983" t="s">
        <v>13</v>
      </c>
      <c r="H1983" s="1">
        <v>45967.679861111108</v>
      </c>
      <c r="I1983" s="5">
        <f>INT(TB[[#This Row],[时间戳]])</f>
        <v>45967</v>
      </c>
      <c r="J1983" s="2">
        <f>HOUR(TB[[#This Row],[时间戳]])</f>
        <v>16</v>
      </c>
      <c r="K1983">
        <v>6984</v>
      </c>
      <c r="L1983">
        <v>4</v>
      </c>
      <c r="M1983">
        <f>TB[[#This Row],[售价]]*TB[[#This Row],[销量]]</f>
        <v>27936</v>
      </c>
      <c r="N1983" t="str">
        <f>IF(TB[[#This Row],[售价]]&lt;1000,"低价商品",IF(TB[[#This Row],[售价]]&lt;5000,"中价商品",IF(TB[[#This Row],[售价]]&lt;10000,"高价商品","超高价商品")))</f>
        <v>高价商品</v>
      </c>
    </row>
    <row r="1984" spans="1:14" x14ac:dyDescent="0.2">
      <c r="A1984">
        <v>564</v>
      </c>
      <c r="B1984">
        <v>130</v>
      </c>
      <c r="C1984" t="s">
        <v>32</v>
      </c>
      <c r="D1984" t="s">
        <v>79</v>
      </c>
      <c r="E1984" t="s">
        <v>31</v>
      </c>
      <c r="F1984">
        <v>4</v>
      </c>
      <c r="G1984" t="s">
        <v>13</v>
      </c>
      <c r="H1984" s="1">
        <v>45967.690972222219</v>
      </c>
      <c r="I1984" s="5">
        <f>INT(TB[[#This Row],[时间戳]])</f>
        <v>45967</v>
      </c>
      <c r="J1984" s="2">
        <f>HOUR(TB[[#This Row],[时间戳]])</f>
        <v>16</v>
      </c>
      <c r="K1984">
        <v>50</v>
      </c>
      <c r="L1984">
        <v>4</v>
      </c>
      <c r="M1984">
        <f>TB[[#This Row],[售价]]*TB[[#This Row],[销量]]</f>
        <v>200</v>
      </c>
      <c r="N1984" t="str">
        <f>IF(TB[[#This Row],[售价]]&lt;1000,"低价商品",IF(TB[[#This Row],[售价]]&lt;5000,"中价商品",IF(TB[[#This Row],[售价]]&lt;10000,"高价商品","超高价商品")))</f>
        <v>低价商品</v>
      </c>
    </row>
    <row r="1985" spans="1:14" x14ac:dyDescent="0.2">
      <c r="A1985">
        <v>645</v>
      </c>
      <c r="B1985">
        <v>61</v>
      </c>
      <c r="C1985" t="s">
        <v>34</v>
      </c>
      <c r="D1985" t="s">
        <v>57</v>
      </c>
      <c r="E1985" t="s">
        <v>12</v>
      </c>
      <c r="F1985">
        <v>2</v>
      </c>
      <c r="G1985" t="s">
        <v>13</v>
      </c>
      <c r="H1985" s="1">
        <v>45967.702777777777</v>
      </c>
      <c r="I1985" s="5">
        <f>INT(TB[[#This Row],[时间戳]])</f>
        <v>45967</v>
      </c>
      <c r="J1985" s="2">
        <f>HOUR(TB[[#This Row],[时间戳]])</f>
        <v>16</v>
      </c>
      <c r="K1985">
        <v>13157</v>
      </c>
      <c r="L1985">
        <v>4</v>
      </c>
      <c r="M1985">
        <f>TB[[#This Row],[售价]]*TB[[#This Row],[销量]]</f>
        <v>52628</v>
      </c>
      <c r="N1985" t="str">
        <f>IF(TB[[#This Row],[售价]]&lt;1000,"低价商品",IF(TB[[#This Row],[售价]]&lt;5000,"中价商品",IF(TB[[#This Row],[售价]]&lt;10000,"高价商品","超高价商品")))</f>
        <v>超高价商品</v>
      </c>
    </row>
    <row r="1986" spans="1:14" x14ac:dyDescent="0.2">
      <c r="A1986">
        <v>537</v>
      </c>
      <c r="B1986">
        <v>258</v>
      </c>
      <c r="C1986" t="s">
        <v>44</v>
      </c>
      <c r="D1986" t="s">
        <v>268</v>
      </c>
      <c r="E1986" t="s">
        <v>16</v>
      </c>
      <c r="F1986">
        <v>6</v>
      </c>
      <c r="G1986" t="s">
        <v>42</v>
      </c>
      <c r="H1986" s="1">
        <v>45967.705555555556</v>
      </c>
      <c r="I1986" s="5">
        <f>INT(TB[[#This Row],[时间戳]])</f>
        <v>45967</v>
      </c>
      <c r="J1986" s="2">
        <f>HOUR(TB[[#This Row],[时间戳]])</f>
        <v>16</v>
      </c>
      <c r="K1986">
        <v>8979</v>
      </c>
      <c r="L1986">
        <v>0</v>
      </c>
      <c r="M1986">
        <f>TB[[#This Row],[售价]]*TB[[#This Row],[销量]]</f>
        <v>0</v>
      </c>
      <c r="N1986" t="str">
        <f>IF(TB[[#This Row],[售价]]&lt;1000,"低价商品",IF(TB[[#This Row],[售价]]&lt;5000,"中价商品",IF(TB[[#This Row],[售价]]&lt;10000,"高价商品","超高价商品")))</f>
        <v>高价商品</v>
      </c>
    </row>
    <row r="1987" spans="1:14" x14ac:dyDescent="0.2">
      <c r="A1987">
        <v>714</v>
      </c>
      <c r="B1987">
        <v>67</v>
      </c>
      <c r="C1987" t="s">
        <v>46</v>
      </c>
      <c r="D1987" t="s">
        <v>111</v>
      </c>
      <c r="E1987" t="s">
        <v>16</v>
      </c>
      <c r="F1987">
        <v>6</v>
      </c>
      <c r="G1987" t="s">
        <v>13</v>
      </c>
      <c r="H1987" s="1">
        <v>45967.706944444442</v>
      </c>
      <c r="I1987" s="5">
        <f>INT(TB[[#This Row],[时间戳]])</f>
        <v>45967</v>
      </c>
      <c r="J1987" s="2">
        <f>HOUR(TB[[#This Row],[时间戳]])</f>
        <v>16</v>
      </c>
      <c r="K1987">
        <v>2243</v>
      </c>
      <c r="L1987">
        <v>2</v>
      </c>
      <c r="M1987">
        <f>TB[[#This Row],[售价]]*TB[[#This Row],[销量]]</f>
        <v>4486</v>
      </c>
      <c r="N1987" t="str">
        <f>IF(TB[[#This Row],[售价]]&lt;1000,"低价商品",IF(TB[[#This Row],[售价]]&lt;5000,"中价商品",IF(TB[[#This Row],[售价]]&lt;10000,"高价商品","超高价商品")))</f>
        <v>中价商品</v>
      </c>
    </row>
    <row r="1988" spans="1:14" x14ac:dyDescent="0.2">
      <c r="A1988">
        <v>711</v>
      </c>
      <c r="B1988">
        <v>98</v>
      </c>
      <c r="C1988" t="s">
        <v>46</v>
      </c>
      <c r="D1988" t="s">
        <v>315</v>
      </c>
      <c r="E1988" t="s">
        <v>12</v>
      </c>
      <c r="F1988">
        <v>2</v>
      </c>
      <c r="G1988" t="s">
        <v>13</v>
      </c>
      <c r="H1988" s="1">
        <v>45967.731249999997</v>
      </c>
      <c r="I1988" s="5">
        <f>INT(TB[[#This Row],[时间戳]])</f>
        <v>45967</v>
      </c>
      <c r="J1988" s="2">
        <f>HOUR(TB[[#This Row],[时间戳]])</f>
        <v>17</v>
      </c>
      <c r="K1988">
        <v>8568</v>
      </c>
      <c r="L1988">
        <v>5</v>
      </c>
      <c r="M1988">
        <f>TB[[#This Row],[售价]]*TB[[#This Row],[销量]]</f>
        <v>42840</v>
      </c>
      <c r="N1988" t="str">
        <f>IF(TB[[#This Row],[售价]]&lt;1000,"低价商品",IF(TB[[#This Row],[售价]]&lt;5000,"中价商品",IF(TB[[#This Row],[售价]]&lt;10000,"高价商品","超高价商品")))</f>
        <v>高价商品</v>
      </c>
    </row>
    <row r="1989" spans="1:14" x14ac:dyDescent="0.2">
      <c r="A1989">
        <v>546</v>
      </c>
      <c r="B1989">
        <v>263</v>
      </c>
      <c r="C1989" t="s">
        <v>44</v>
      </c>
      <c r="D1989" t="s">
        <v>372</v>
      </c>
      <c r="E1989" t="s">
        <v>22</v>
      </c>
      <c r="F1989">
        <v>1</v>
      </c>
      <c r="G1989" t="s">
        <v>13</v>
      </c>
      <c r="H1989" s="1">
        <v>45967.743750000001</v>
      </c>
      <c r="I1989" s="5">
        <f>INT(TB[[#This Row],[时间戳]])</f>
        <v>45967</v>
      </c>
      <c r="J1989" s="2">
        <f>HOUR(TB[[#This Row],[时间戳]])</f>
        <v>17</v>
      </c>
      <c r="K1989">
        <v>7070</v>
      </c>
      <c r="L1989">
        <v>5</v>
      </c>
      <c r="M1989">
        <f>TB[[#This Row],[售价]]*TB[[#This Row],[销量]]</f>
        <v>35350</v>
      </c>
      <c r="N1989" t="str">
        <f>IF(TB[[#This Row],[售价]]&lt;1000,"低价商品",IF(TB[[#This Row],[售价]]&lt;5000,"中价商品",IF(TB[[#This Row],[售价]]&lt;10000,"高价商品","超高价商品")))</f>
        <v>高价商品</v>
      </c>
    </row>
    <row r="1990" spans="1:14" x14ac:dyDescent="0.2">
      <c r="A1990">
        <v>394</v>
      </c>
      <c r="B1990">
        <v>288</v>
      </c>
      <c r="C1990" t="s">
        <v>44</v>
      </c>
      <c r="D1990" t="s">
        <v>60</v>
      </c>
      <c r="E1990" t="s">
        <v>12</v>
      </c>
      <c r="F1990">
        <v>2</v>
      </c>
      <c r="G1990" t="s">
        <v>13</v>
      </c>
      <c r="H1990" s="1">
        <v>45967.754166666666</v>
      </c>
      <c r="I1990" s="5">
        <f>INT(TB[[#This Row],[时间戳]])</f>
        <v>45967</v>
      </c>
      <c r="J1990" s="2">
        <f>HOUR(TB[[#This Row],[时间戳]])</f>
        <v>18</v>
      </c>
      <c r="K1990">
        <v>5112</v>
      </c>
      <c r="L1990">
        <v>5</v>
      </c>
      <c r="M1990">
        <f>TB[[#This Row],[售价]]*TB[[#This Row],[销量]]</f>
        <v>25560</v>
      </c>
      <c r="N1990" t="str">
        <f>IF(TB[[#This Row],[售价]]&lt;1000,"低价商品",IF(TB[[#This Row],[售价]]&lt;5000,"中价商品",IF(TB[[#This Row],[售价]]&lt;10000,"高价商品","超高价商品")))</f>
        <v>高价商品</v>
      </c>
    </row>
    <row r="1991" spans="1:14" x14ac:dyDescent="0.2">
      <c r="A1991">
        <v>279</v>
      </c>
      <c r="B1991">
        <v>106</v>
      </c>
      <c r="C1991" t="s">
        <v>17</v>
      </c>
      <c r="D1991" t="s">
        <v>191</v>
      </c>
      <c r="E1991" t="s">
        <v>39</v>
      </c>
      <c r="F1991">
        <v>5</v>
      </c>
      <c r="G1991" t="s">
        <v>13</v>
      </c>
      <c r="H1991" s="1">
        <v>45967.77847222222</v>
      </c>
      <c r="I1991" s="5">
        <f>INT(TB[[#This Row],[时间戳]])</f>
        <v>45967</v>
      </c>
      <c r="J1991" s="2">
        <f>HOUR(TB[[#This Row],[时间戳]])</f>
        <v>18</v>
      </c>
      <c r="K1991">
        <v>3991</v>
      </c>
      <c r="L1991">
        <v>2</v>
      </c>
      <c r="M1991">
        <f>TB[[#This Row],[售价]]*TB[[#This Row],[销量]]</f>
        <v>7982</v>
      </c>
      <c r="N1991" t="str">
        <f>IF(TB[[#This Row],[售价]]&lt;1000,"低价商品",IF(TB[[#This Row],[售价]]&lt;5000,"中价商品",IF(TB[[#This Row],[售价]]&lt;10000,"高价商品","超高价商品")))</f>
        <v>中价商品</v>
      </c>
    </row>
    <row r="1992" spans="1:14" x14ac:dyDescent="0.2">
      <c r="A1992">
        <v>224</v>
      </c>
      <c r="B1992">
        <v>5</v>
      </c>
      <c r="C1992" t="s">
        <v>26</v>
      </c>
      <c r="D1992" t="s">
        <v>56</v>
      </c>
      <c r="E1992" t="s">
        <v>22</v>
      </c>
      <c r="F1992">
        <v>1</v>
      </c>
      <c r="G1992" t="s">
        <v>13</v>
      </c>
      <c r="H1992" s="1">
        <v>45967.804861111108</v>
      </c>
      <c r="I1992" s="5">
        <f>INT(TB[[#This Row],[时间戳]])</f>
        <v>45967</v>
      </c>
      <c r="J1992" s="2">
        <f>HOUR(TB[[#This Row],[时间戳]])</f>
        <v>19</v>
      </c>
      <c r="K1992">
        <v>2308</v>
      </c>
      <c r="L1992">
        <v>4</v>
      </c>
      <c r="M1992">
        <f>TB[[#This Row],[售价]]*TB[[#This Row],[销量]]</f>
        <v>9232</v>
      </c>
      <c r="N1992" t="str">
        <f>IF(TB[[#This Row],[售价]]&lt;1000,"低价商品",IF(TB[[#This Row],[售价]]&lt;5000,"中价商品",IF(TB[[#This Row],[售价]]&lt;10000,"高价商品","超高价商品")))</f>
        <v>中价商品</v>
      </c>
    </row>
    <row r="1993" spans="1:14" x14ac:dyDescent="0.2">
      <c r="A1993">
        <v>266</v>
      </c>
      <c r="B1993">
        <v>156</v>
      </c>
      <c r="C1993" t="s">
        <v>20</v>
      </c>
      <c r="D1993" t="s">
        <v>355</v>
      </c>
      <c r="E1993" t="s">
        <v>39</v>
      </c>
      <c r="F1993">
        <v>5</v>
      </c>
      <c r="G1993" t="s">
        <v>13</v>
      </c>
      <c r="H1993" s="1">
        <v>45967.808333333334</v>
      </c>
      <c r="I1993" s="5">
        <f>INT(TB[[#This Row],[时间戳]])</f>
        <v>45967</v>
      </c>
      <c r="J1993" s="2">
        <f>HOUR(TB[[#This Row],[时间戳]])</f>
        <v>19</v>
      </c>
      <c r="K1993">
        <v>2933</v>
      </c>
      <c r="L1993">
        <v>5</v>
      </c>
      <c r="M1993">
        <f>TB[[#This Row],[售价]]*TB[[#This Row],[销量]]</f>
        <v>14665</v>
      </c>
      <c r="N1993" t="str">
        <f>IF(TB[[#This Row],[售价]]&lt;1000,"低价商品",IF(TB[[#This Row],[售价]]&lt;5000,"中价商品",IF(TB[[#This Row],[售价]]&lt;10000,"高价商品","超高价商品")))</f>
        <v>中价商品</v>
      </c>
    </row>
    <row r="1994" spans="1:14" x14ac:dyDescent="0.2">
      <c r="A1994">
        <v>122</v>
      </c>
      <c r="B1994">
        <v>88</v>
      </c>
      <c r="C1994" t="s">
        <v>36</v>
      </c>
      <c r="D1994" t="s">
        <v>123</v>
      </c>
      <c r="E1994" t="s">
        <v>31</v>
      </c>
      <c r="F1994">
        <v>4</v>
      </c>
      <c r="G1994" t="s">
        <v>13</v>
      </c>
      <c r="H1994" s="1">
        <v>45967.825694444444</v>
      </c>
      <c r="I1994" s="5">
        <f>INT(TB[[#This Row],[时间戳]])</f>
        <v>45967</v>
      </c>
      <c r="J1994" s="2">
        <f>HOUR(TB[[#This Row],[时间戳]])</f>
        <v>19</v>
      </c>
      <c r="K1994">
        <v>452</v>
      </c>
      <c r="L1994">
        <v>5</v>
      </c>
      <c r="M1994">
        <f>TB[[#This Row],[售价]]*TB[[#This Row],[销量]]</f>
        <v>2260</v>
      </c>
      <c r="N1994" t="str">
        <f>IF(TB[[#This Row],[售价]]&lt;1000,"低价商品",IF(TB[[#This Row],[售价]]&lt;5000,"中价商品",IF(TB[[#This Row],[售价]]&lt;10000,"高价商品","超高价商品")))</f>
        <v>低价商品</v>
      </c>
    </row>
    <row r="1995" spans="1:14" x14ac:dyDescent="0.2">
      <c r="A1995">
        <v>299</v>
      </c>
      <c r="B1995">
        <v>21</v>
      </c>
      <c r="C1995" t="s">
        <v>20</v>
      </c>
      <c r="D1995" t="s">
        <v>120</v>
      </c>
      <c r="E1995" t="s">
        <v>22</v>
      </c>
      <c r="F1995">
        <v>1</v>
      </c>
      <c r="G1995" t="s">
        <v>13</v>
      </c>
      <c r="H1995" s="1">
        <v>45967.828472222223</v>
      </c>
      <c r="I1995" s="5">
        <f>INT(TB[[#This Row],[时间戳]])</f>
        <v>45967</v>
      </c>
      <c r="J1995" s="2">
        <f>HOUR(TB[[#This Row],[时间戳]])</f>
        <v>19</v>
      </c>
      <c r="K1995">
        <v>2657</v>
      </c>
      <c r="L1995">
        <v>5</v>
      </c>
      <c r="M1995">
        <f>TB[[#This Row],[售价]]*TB[[#This Row],[销量]]</f>
        <v>13285</v>
      </c>
      <c r="N1995" t="str">
        <f>IF(TB[[#This Row],[售价]]&lt;1000,"低价商品",IF(TB[[#This Row],[售价]]&lt;5000,"中价商品",IF(TB[[#This Row],[售价]]&lt;10000,"高价商品","超高价商品")))</f>
        <v>中价商品</v>
      </c>
    </row>
    <row r="1996" spans="1:14" x14ac:dyDescent="0.2">
      <c r="A1996">
        <v>277</v>
      </c>
      <c r="B1996">
        <v>27</v>
      </c>
      <c r="C1996" t="s">
        <v>36</v>
      </c>
      <c r="D1996" t="s">
        <v>366</v>
      </c>
      <c r="E1996" t="s">
        <v>22</v>
      </c>
      <c r="F1996">
        <v>1</v>
      </c>
      <c r="G1996" t="s">
        <v>13</v>
      </c>
      <c r="H1996" s="1">
        <v>45967.854166666664</v>
      </c>
      <c r="I1996" s="5">
        <f>INT(TB[[#This Row],[时间戳]])</f>
        <v>45967</v>
      </c>
      <c r="J1996" s="2">
        <f>HOUR(TB[[#This Row],[时间戳]])</f>
        <v>20</v>
      </c>
      <c r="K1996">
        <v>6114</v>
      </c>
      <c r="L1996">
        <v>4</v>
      </c>
      <c r="M1996">
        <f>TB[[#This Row],[售价]]*TB[[#This Row],[销量]]</f>
        <v>24456</v>
      </c>
      <c r="N1996" t="str">
        <f>IF(TB[[#This Row],[售价]]&lt;1000,"低价商品",IF(TB[[#This Row],[售价]]&lt;5000,"中价商品",IF(TB[[#This Row],[售价]]&lt;10000,"高价商品","超高价商品")))</f>
        <v>高价商品</v>
      </c>
    </row>
    <row r="1997" spans="1:14" x14ac:dyDescent="0.2">
      <c r="A1997">
        <v>119</v>
      </c>
      <c r="B1997">
        <v>1</v>
      </c>
      <c r="C1997" t="s">
        <v>32</v>
      </c>
      <c r="D1997" t="s">
        <v>212</v>
      </c>
      <c r="E1997" t="s">
        <v>22</v>
      </c>
      <c r="F1997">
        <v>1</v>
      </c>
      <c r="G1997" t="s">
        <v>13</v>
      </c>
      <c r="H1997" s="1">
        <v>45967.873611111114</v>
      </c>
      <c r="I1997" s="5">
        <f>INT(TB[[#This Row],[时间戳]])</f>
        <v>45967</v>
      </c>
      <c r="J1997" s="2">
        <f>HOUR(TB[[#This Row],[时间戳]])</f>
        <v>20</v>
      </c>
      <c r="K1997">
        <v>6189</v>
      </c>
      <c r="L1997">
        <v>2</v>
      </c>
      <c r="M1997">
        <f>TB[[#This Row],[售价]]*TB[[#This Row],[销量]]</f>
        <v>12378</v>
      </c>
      <c r="N1997" t="str">
        <f>IF(TB[[#This Row],[售价]]&lt;1000,"低价商品",IF(TB[[#This Row],[售价]]&lt;5000,"中价商品",IF(TB[[#This Row],[售价]]&lt;10000,"高价商品","超高价商品")))</f>
        <v>高价商品</v>
      </c>
    </row>
    <row r="1998" spans="1:14" x14ac:dyDescent="0.2">
      <c r="A1998">
        <v>333</v>
      </c>
      <c r="B1998">
        <v>43</v>
      </c>
      <c r="C1998" t="s">
        <v>46</v>
      </c>
      <c r="D1998" t="s">
        <v>142</v>
      </c>
      <c r="E1998" t="s">
        <v>31</v>
      </c>
      <c r="F1998">
        <v>4</v>
      </c>
      <c r="G1998" t="s">
        <v>13</v>
      </c>
      <c r="H1998" s="1">
        <v>45967.931250000001</v>
      </c>
      <c r="I1998" s="5">
        <f>INT(TB[[#This Row],[时间戳]])</f>
        <v>45967</v>
      </c>
      <c r="J1998" s="2">
        <f>HOUR(TB[[#This Row],[时间戳]])</f>
        <v>22</v>
      </c>
      <c r="K1998">
        <v>1355</v>
      </c>
      <c r="L1998">
        <v>2</v>
      </c>
      <c r="M1998">
        <f>TB[[#This Row],[售价]]*TB[[#This Row],[销量]]</f>
        <v>2710</v>
      </c>
      <c r="N1998" t="str">
        <f>IF(TB[[#This Row],[售价]]&lt;1000,"低价商品",IF(TB[[#This Row],[售价]]&lt;5000,"中价商品",IF(TB[[#This Row],[售价]]&lt;10000,"高价商品","超高价商品")))</f>
        <v>中价商品</v>
      </c>
    </row>
    <row r="1999" spans="1:14" x14ac:dyDescent="0.2">
      <c r="A1999">
        <v>419</v>
      </c>
      <c r="B1999">
        <v>151</v>
      </c>
      <c r="C1999" t="s">
        <v>36</v>
      </c>
      <c r="D1999" t="s">
        <v>153</v>
      </c>
      <c r="E1999" t="s">
        <v>31</v>
      </c>
      <c r="F1999">
        <v>4</v>
      </c>
      <c r="G1999" t="s">
        <v>13</v>
      </c>
      <c r="H1999" s="1">
        <v>45967.932638888888</v>
      </c>
      <c r="I1999" s="5">
        <f>INT(TB[[#This Row],[时间戳]])</f>
        <v>45967</v>
      </c>
      <c r="J1999" s="2">
        <f>HOUR(TB[[#This Row],[时间戳]])</f>
        <v>22</v>
      </c>
      <c r="K1999">
        <v>1500</v>
      </c>
      <c r="L1999">
        <v>4</v>
      </c>
      <c r="M1999">
        <f>TB[[#This Row],[售价]]*TB[[#This Row],[销量]]</f>
        <v>6000</v>
      </c>
      <c r="N1999" t="str">
        <f>IF(TB[[#This Row],[售价]]&lt;1000,"低价商品",IF(TB[[#This Row],[售价]]&lt;5000,"中价商品",IF(TB[[#This Row],[售价]]&lt;10000,"高价商品","超高价商品")))</f>
        <v>中价商品</v>
      </c>
    </row>
    <row r="2000" spans="1:14" x14ac:dyDescent="0.2">
      <c r="A2000">
        <v>225</v>
      </c>
      <c r="B2000">
        <v>144</v>
      </c>
      <c r="C2000" t="s">
        <v>10</v>
      </c>
      <c r="D2000" t="s">
        <v>241</v>
      </c>
      <c r="E2000" t="s">
        <v>12</v>
      </c>
      <c r="F2000">
        <v>2</v>
      </c>
      <c r="G2000" t="s">
        <v>13</v>
      </c>
      <c r="H2000" s="1">
        <v>45967.934027777781</v>
      </c>
      <c r="I2000" s="5">
        <f>INT(TB[[#This Row],[时间戳]])</f>
        <v>45967</v>
      </c>
      <c r="J2000" s="2">
        <f>HOUR(TB[[#This Row],[时间戳]])</f>
        <v>22</v>
      </c>
      <c r="K2000">
        <v>9147</v>
      </c>
      <c r="L2000">
        <v>4</v>
      </c>
      <c r="M2000">
        <f>TB[[#This Row],[售价]]*TB[[#This Row],[销量]]</f>
        <v>36588</v>
      </c>
      <c r="N2000" t="str">
        <f>IF(TB[[#This Row],[售价]]&lt;1000,"低价商品",IF(TB[[#This Row],[售价]]&lt;5000,"中价商品",IF(TB[[#This Row],[售价]]&lt;10000,"高价商品","超高价商品")))</f>
        <v>高价商品</v>
      </c>
    </row>
    <row r="2001" spans="1:14" x14ac:dyDescent="0.2">
      <c r="A2001">
        <v>674</v>
      </c>
      <c r="B2001">
        <v>299</v>
      </c>
      <c r="C2001" t="s">
        <v>10</v>
      </c>
      <c r="D2001" t="s">
        <v>189</v>
      </c>
      <c r="E2001" t="s">
        <v>22</v>
      </c>
      <c r="F2001">
        <v>1</v>
      </c>
      <c r="G2001" t="s">
        <v>13</v>
      </c>
      <c r="H2001" s="1">
        <v>45967.939583333333</v>
      </c>
      <c r="I2001" s="5">
        <f>INT(TB[[#This Row],[时间戳]])</f>
        <v>45967</v>
      </c>
      <c r="J2001" s="2">
        <f>HOUR(TB[[#This Row],[时间戳]])</f>
        <v>22</v>
      </c>
      <c r="K2001">
        <v>2378</v>
      </c>
      <c r="L2001">
        <v>2</v>
      </c>
      <c r="M2001">
        <f>TB[[#This Row],[售价]]*TB[[#This Row],[销量]]</f>
        <v>4756</v>
      </c>
      <c r="N2001" t="str">
        <f>IF(TB[[#This Row],[售价]]&lt;1000,"低价商品",IF(TB[[#This Row],[售价]]&lt;5000,"中价商品",IF(TB[[#This Row],[售价]]&lt;10000,"高价商品","超高价商品")))</f>
        <v>中价商品</v>
      </c>
    </row>
    <row r="2002" spans="1:14" x14ac:dyDescent="0.2">
      <c r="A2002">
        <v>642</v>
      </c>
      <c r="B2002">
        <v>283</v>
      </c>
      <c r="C2002" t="s">
        <v>17</v>
      </c>
      <c r="D2002" t="s">
        <v>133</v>
      </c>
      <c r="E2002" t="s">
        <v>31</v>
      </c>
      <c r="F2002">
        <v>4</v>
      </c>
      <c r="G2002" t="s">
        <v>13</v>
      </c>
      <c r="H2002" s="1">
        <v>45967.945138888892</v>
      </c>
      <c r="I2002" s="5">
        <f>INT(TB[[#This Row],[时间戳]])</f>
        <v>45967</v>
      </c>
      <c r="J2002" s="2">
        <f>HOUR(TB[[#This Row],[时间戳]])</f>
        <v>22</v>
      </c>
      <c r="K2002">
        <v>436</v>
      </c>
      <c r="L2002">
        <v>4</v>
      </c>
      <c r="M2002">
        <f>TB[[#This Row],[售价]]*TB[[#This Row],[销量]]</f>
        <v>1744</v>
      </c>
      <c r="N2002" t="str">
        <f>IF(TB[[#This Row],[售价]]&lt;1000,"低价商品",IF(TB[[#This Row],[售价]]&lt;5000,"中价商品",IF(TB[[#This Row],[售价]]&lt;10000,"高价商品","超高价商品")))</f>
        <v>低价商品</v>
      </c>
    </row>
    <row r="2003" spans="1:14" x14ac:dyDescent="0.2">
      <c r="A2003">
        <v>276</v>
      </c>
      <c r="B2003">
        <v>105</v>
      </c>
      <c r="C2003" t="s">
        <v>32</v>
      </c>
      <c r="D2003" t="s">
        <v>218</v>
      </c>
      <c r="E2003" t="s">
        <v>12</v>
      </c>
      <c r="F2003">
        <v>2</v>
      </c>
      <c r="G2003" t="s">
        <v>13</v>
      </c>
      <c r="H2003" s="1">
        <v>45967.950694444444</v>
      </c>
      <c r="I2003" s="5">
        <f>INT(TB[[#This Row],[时间戳]])</f>
        <v>45967</v>
      </c>
      <c r="J2003" s="2">
        <f>HOUR(TB[[#This Row],[时间戳]])</f>
        <v>22</v>
      </c>
      <c r="K2003">
        <v>7403</v>
      </c>
      <c r="L2003">
        <v>4</v>
      </c>
      <c r="M2003">
        <f>TB[[#This Row],[售价]]*TB[[#This Row],[销量]]</f>
        <v>29612</v>
      </c>
      <c r="N2003" t="str">
        <f>IF(TB[[#This Row],[售价]]&lt;1000,"低价商品",IF(TB[[#This Row],[售价]]&lt;5000,"中价商品",IF(TB[[#This Row],[售价]]&lt;10000,"高价商品","超高价商品")))</f>
        <v>高价商品</v>
      </c>
    </row>
    <row r="2004" spans="1:14" x14ac:dyDescent="0.2">
      <c r="A2004">
        <v>457</v>
      </c>
      <c r="B2004">
        <v>119</v>
      </c>
      <c r="C2004" t="s">
        <v>17</v>
      </c>
      <c r="D2004" t="s">
        <v>390</v>
      </c>
      <c r="E2004" t="s">
        <v>39</v>
      </c>
      <c r="F2004">
        <v>5</v>
      </c>
      <c r="G2004" t="s">
        <v>13</v>
      </c>
      <c r="H2004" s="1">
        <v>45967.994444444441</v>
      </c>
      <c r="I2004" s="5">
        <f>INT(TB[[#This Row],[时间戳]])</f>
        <v>45967</v>
      </c>
      <c r="J2004" s="2">
        <f>HOUR(TB[[#This Row],[时间戳]])</f>
        <v>23</v>
      </c>
      <c r="K2004">
        <v>3304</v>
      </c>
      <c r="L2004">
        <v>4</v>
      </c>
      <c r="M2004">
        <f>TB[[#This Row],[售价]]*TB[[#This Row],[销量]]</f>
        <v>13216</v>
      </c>
      <c r="N2004" t="str">
        <f>IF(TB[[#This Row],[售价]]&lt;1000,"低价商品",IF(TB[[#This Row],[售价]]&lt;5000,"中价商品",IF(TB[[#This Row],[售价]]&lt;10000,"高价商品","超高价商品")))</f>
        <v>中价商品</v>
      </c>
    </row>
    <row r="2005" spans="1:14" x14ac:dyDescent="0.2">
      <c r="A2005">
        <v>96</v>
      </c>
      <c r="B2005">
        <v>254</v>
      </c>
      <c r="C2005" t="s">
        <v>26</v>
      </c>
      <c r="D2005" t="s">
        <v>122</v>
      </c>
      <c r="E2005" t="s">
        <v>31</v>
      </c>
      <c r="F2005">
        <v>4</v>
      </c>
      <c r="G2005" t="s">
        <v>42</v>
      </c>
      <c r="H2005" s="1">
        <v>45967.999305555553</v>
      </c>
      <c r="I2005" s="5">
        <f>INT(TB[[#This Row],[时间戳]])</f>
        <v>45967</v>
      </c>
      <c r="J2005" s="2">
        <f>HOUR(TB[[#This Row],[时间戳]])</f>
        <v>23</v>
      </c>
      <c r="K2005">
        <v>926</v>
      </c>
      <c r="L2005">
        <v>0</v>
      </c>
      <c r="M2005">
        <f>TB[[#This Row],[售价]]*TB[[#This Row],[销量]]</f>
        <v>0</v>
      </c>
      <c r="N2005" t="str">
        <f>IF(TB[[#This Row],[售价]]&lt;1000,"低价商品",IF(TB[[#This Row],[售价]]&lt;5000,"中价商品",IF(TB[[#This Row],[售价]]&lt;10000,"高价商品","超高价商品")))</f>
        <v>低价商品</v>
      </c>
    </row>
    <row r="2006" spans="1:14" x14ac:dyDescent="0.2">
      <c r="A2006">
        <v>194</v>
      </c>
      <c r="B2006">
        <v>292</v>
      </c>
      <c r="C2006" t="s">
        <v>26</v>
      </c>
      <c r="D2006" t="s">
        <v>182</v>
      </c>
      <c r="E2006" t="s">
        <v>31</v>
      </c>
      <c r="F2006">
        <v>4</v>
      </c>
      <c r="G2006" t="s">
        <v>13</v>
      </c>
      <c r="H2006" s="1">
        <v>45968.005555555559</v>
      </c>
      <c r="I2006" s="5">
        <f>INT(TB[[#This Row],[时间戳]])</f>
        <v>45968</v>
      </c>
      <c r="J2006" s="2">
        <f>HOUR(TB[[#This Row],[时间戳]])</f>
        <v>0</v>
      </c>
      <c r="K2006">
        <v>456</v>
      </c>
      <c r="L2006">
        <v>4</v>
      </c>
      <c r="M2006">
        <f>TB[[#This Row],[售价]]*TB[[#This Row],[销量]]</f>
        <v>1824</v>
      </c>
      <c r="N2006" t="str">
        <f>IF(TB[[#This Row],[售价]]&lt;1000,"低价商品",IF(TB[[#This Row],[售价]]&lt;5000,"中价商品",IF(TB[[#This Row],[售价]]&lt;10000,"高价商品","超高价商品")))</f>
        <v>低价商品</v>
      </c>
    </row>
    <row r="2007" spans="1:14" x14ac:dyDescent="0.2">
      <c r="A2007">
        <v>22</v>
      </c>
      <c r="B2007">
        <v>159</v>
      </c>
      <c r="C2007" t="s">
        <v>26</v>
      </c>
      <c r="D2007" t="s">
        <v>306</v>
      </c>
      <c r="E2007" t="s">
        <v>31</v>
      </c>
      <c r="F2007">
        <v>4</v>
      </c>
      <c r="G2007" t="s">
        <v>13</v>
      </c>
      <c r="H2007" s="1">
        <v>45968.03125</v>
      </c>
      <c r="I2007" s="5">
        <f>INT(TB[[#This Row],[时间戳]])</f>
        <v>45968</v>
      </c>
      <c r="J2007" s="2">
        <f>HOUR(TB[[#This Row],[时间戳]])</f>
        <v>0</v>
      </c>
      <c r="K2007">
        <v>1227</v>
      </c>
      <c r="L2007">
        <v>5</v>
      </c>
      <c r="M2007">
        <f>TB[[#This Row],[售价]]*TB[[#This Row],[销量]]</f>
        <v>6135</v>
      </c>
      <c r="N2007" t="str">
        <f>IF(TB[[#This Row],[售价]]&lt;1000,"低价商品",IF(TB[[#This Row],[售价]]&lt;5000,"中价商品",IF(TB[[#This Row],[售价]]&lt;10000,"高价商品","超高价商品")))</f>
        <v>中价商品</v>
      </c>
    </row>
    <row r="2008" spans="1:14" x14ac:dyDescent="0.2">
      <c r="A2008">
        <v>623</v>
      </c>
      <c r="B2008">
        <v>97</v>
      </c>
      <c r="C2008" t="s">
        <v>17</v>
      </c>
      <c r="D2008" t="s">
        <v>98</v>
      </c>
      <c r="E2008" t="s">
        <v>22</v>
      </c>
      <c r="F2008">
        <v>1</v>
      </c>
      <c r="G2008" t="s">
        <v>13</v>
      </c>
      <c r="H2008" s="1">
        <v>45968.042361111111</v>
      </c>
      <c r="I2008" s="5">
        <f>INT(TB[[#This Row],[时间戳]])</f>
        <v>45968</v>
      </c>
      <c r="J2008" s="2">
        <f>HOUR(TB[[#This Row],[时间戳]])</f>
        <v>1</v>
      </c>
      <c r="K2008">
        <v>2224</v>
      </c>
      <c r="L2008">
        <v>4</v>
      </c>
      <c r="M2008">
        <f>TB[[#This Row],[售价]]*TB[[#This Row],[销量]]</f>
        <v>8896</v>
      </c>
      <c r="N2008" t="str">
        <f>IF(TB[[#This Row],[售价]]&lt;1000,"低价商品",IF(TB[[#This Row],[售价]]&lt;5000,"中价商品",IF(TB[[#This Row],[售价]]&lt;10000,"高价商品","超高价商品")))</f>
        <v>中价商品</v>
      </c>
    </row>
    <row r="2009" spans="1:14" x14ac:dyDescent="0.2">
      <c r="A2009">
        <v>252</v>
      </c>
      <c r="B2009">
        <v>233</v>
      </c>
      <c r="C2009" t="s">
        <v>14</v>
      </c>
      <c r="D2009" t="s">
        <v>405</v>
      </c>
      <c r="E2009" t="s">
        <v>19</v>
      </c>
      <c r="F2009">
        <v>3</v>
      </c>
      <c r="G2009" t="s">
        <v>13</v>
      </c>
      <c r="H2009" s="1">
        <v>45968.070138888892</v>
      </c>
      <c r="I2009" s="5">
        <f>INT(TB[[#This Row],[时间戳]])</f>
        <v>45968</v>
      </c>
      <c r="J2009" s="2">
        <f>HOUR(TB[[#This Row],[时间戳]])</f>
        <v>1</v>
      </c>
      <c r="K2009">
        <v>1941</v>
      </c>
      <c r="L2009">
        <v>5</v>
      </c>
      <c r="M2009">
        <f>TB[[#This Row],[售价]]*TB[[#This Row],[销量]]</f>
        <v>9705</v>
      </c>
      <c r="N2009" t="str">
        <f>IF(TB[[#This Row],[售价]]&lt;1000,"低价商品",IF(TB[[#This Row],[售价]]&lt;5000,"中价商品",IF(TB[[#This Row],[售价]]&lt;10000,"高价商品","超高价商品")))</f>
        <v>中价商品</v>
      </c>
    </row>
    <row r="2010" spans="1:14" x14ac:dyDescent="0.2">
      <c r="A2010">
        <v>745</v>
      </c>
      <c r="B2010">
        <v>7</v>
      </c>
      <c r="C2010" t="s">
        <v>20</v>
      </c>
      <c r="D2010" t="s">
        <v>152</v>
      </c>
      <c r="E2010" t="s">
        <v>16</v>
      </c>
      <c r="F2010">
        <v>6</v>
      </c>
      <c r="G2010" t="s">
        <v>13</v>
      </c>
      <c r="H2010" s="1">
        <v>45968.071527777778</v>
      </c>
      <c r="I2010" s="5">
        <f>INT(TB[[#This Row],[时间戳]])</f>
        <v>45968</v>
      </c>
      <c r="J2010" s="2">
        <f>HOUR(TB[[#This Row],[时间戳]])</f>
        <v>1</v>
      </c>
      <c r="K2010">
        <v>8445</v>
      </c>
      <c r="L2010">
        <v>5</v>
      </c>
      <c r="M2010">
        <f>TB[[#This Row],[售价]]*TB[[#This Row],[销量]]</f>
        <v>42225</v>
      </c>
      <c r="N2010" t="str">
        <f>IF(TB[[#This Row],[售价]]&lt;1000,"低价商品",IF(TB[[#This Row],[售价]]&lt;5000,"中价商品",IF(TB[[#This Row],[售价]]&lt;10000,"高价商品","超高价商品")))</f>
        <v>高价商品</v>
      </c>
    </row>
    <row r="2011" spans="1:14" x14ac:dyDescent="0.2">
      <c r="A2011">
        <v>22</v>
      </c>
      <c r="B2011">
        <v>57</v>
      </c>
      <c r="C2011" t="s">
        <v>17</v>
      </c>
      <c r="D2011" t="s">
        <v>177</v>
      </c>
      <c r="E2011" t="s">
        <v>22</v>
      </c>
      <c r="F2011">
        <v>1</v>
      </c>
      <c r="G2011" t="s">
        <v>13</v>
      </c>
      <c r="H2011" s="1">
        <v>45968.083333333336</v>
      </c>
      <c r="I2011" s="5">
        <f>INT(TB[[#This Row],[时间戳]])</f>
        <v>45968</v>
      </c>
      <c r="J2011" s="2">
        <f>HOUR(TB[[#This Row],[时间戳]])</f>
        <v>2</v>
      </c>
      <c r="K2011">
        <v>5793</v>
      </c>
      <c r="L2011">
        <v>5</v>
      </c>
      <c r="M2011">
        <f>TB[[#This Row],[售价]]*TB[[#This Row],[销量]]</f>
        <v>28965</v>
      </c>
      <c r="N2011" t="str">
        <f>IF(TB[[#This Row],[售价]]&lt;1000,"低价商品",IF(TB[[#This Row],[售价]]&lt;5000,"中价商品",IF(TB[[#This Row],[售价]]&lt;10000,"高价商品","超高价商品")))</f>
        <v>高价商品</v>
      </c>
    </row>
    <row r="2012" spans="1:14" x14ac:dyDescent="0.2">
      <c r="A2012">
        <v>255</v>
      </c>
      <c r="B2012">
        <v>43</v>
      </c>
      <c r="C2012" t="s">
        <v>10</v>
      </c>
      <c r="D2012" t="s">
        <v>41</v>
      </c>
      <c r="E2012" t="s">
        <v>22</v>
      </c>
      <c r="F2012">
        <v>1</v>
      </c>
      <c r="G2012" t="s">
        <v>13</v>
      </c>
      <c r="H2012" s="1">
        <v>45968.084027777775</v>
      </c>
      <c r="I2012" s="5">
        <f>INT(TB[[#This Row],[时间戳]])</f>
        <v>45968</v>
      </c>
      <c r="J2012" s="2">
        <f>HOUR(TB[[#This Row],[时间戳]])</f>
        <v>2</v>
      </c>
      <c r="K2012">
        <v>7577</v>
      </c>
      <c r="L2012">
        <v>5</v>
      </c>
      <c r="M2012">
        <f>TB[[#This Row],[售价]]*TB[[#This Row],[销量]]</f>
        <v>37885</v>
      </c>
      <c r="N2012" t="str">
        <f>IF(TB[[#This Row],[售价]]&lt;1000,"低价商品",IF(TB[[#This Row],[售价]]&lt;5000,"中价商品",IF(TB[[#This Row],[售价]]&lt;10000,"高价商品","超高价商品")))</f>
        <v>高价商品</v>
      </c>
    </row>
    <row r="2013" spans="1:14" x14ac:dyDescent="0.2">
      <c r="A2013">
        <v>10</v>
      </c>
      <c r="B2013">
        <v>55</v>
      </c>
      <c r="C2013" t="s">
        <v>46</v>
      </c>
      <c r="D2013" t="s">
        <v>180</v>
      </c>
      <c r="E2013" t="s">
        <v>31</v>
      </c>
      <c r="F2013">
        <v>4</v>
      </c>
      <c r="G2013" t="s">
        <v>13</v>
      </c>
      <c r="H2013" s="1">
        <v>45968.085416666669</v>
      </c>
      <c r="I2013" s="5">
        <f>INT(TB[[#This Row],[时间戳]])</f>
        <v>45968</v>
      </c>
      <c r="J2013" s="2">
        <f>HOUR(TB[[#This Row],[时间戳]])</f>
        <v>2</v>
      </c>
      <c r="K2013">
        <v>471</v>
      </c>
      <c r="L2013">
        <v>5</v>
      </c>
      <c r="M2013">
        <f>TB[[#This Row],[售价]]*TB[[#This Row],[销量]]</f>
        <v>2355</v>
      </c>
      <c r="N2013" t="str">
        <f>IF(TB[[#This Row],[售价]]&lt;1000,"低价商品",IF(TB[[#This Row],[售价]]&lt;5000,"中价商品",IF(TB[[#This Row],[售价]]&lt;10000,"高价商品","超高价商品")))</f>
        <v>低价商品</v>
      </c>
    </row>
    <row r="2014" spans="1:14" x14ac:dyDescent="0.2">
      <c r="A2014">
        <v>88</v>
      </c>
      <c r="B2014">
        <v>104</v>
      </c>
      <c r="C2014" t="s">
        <v>34</v>
      </c>
      <c r="D2014" t="s">
        <v>105</v>
      </c>
      <c r="E2014" t="s">
        <v>12</v>
      </c>
      <c r="F2014">
        <v>2</v>
      </c>
      <c r="G2014" t="s">
        <v>13</v>
      </c>
      <c r="H2014" s="1">
        <v>45968.129166666666</v>
      </c>
      <c r="I2014" s="5">
        <f>INT(TB[[#This Row],[时间戳]])</f>
        <v>45968</v>
      </c>
      <c r="J2014" s="2">
        <f>HOUR(TB[[#This Row],[时间戳]])</f>
        <v>3</v>
      </c>
      <c r="K2014">
        <v>13062</v>
      </c>
      <c r="L2014">
        <v>4</v>
      </c>
      <c r="M2014">
        <f>TB[[#This Row],[售价]]*TB[[#This Row],[销量]]</f>
        <v>52248</v>
      </c>
      <c r="N2014" t="str">
        <f>IF(TB[[#This Row],[售价]]&lt;1000,"低价商品",IF(TB[[#This Row],[售价]]&lt;5000,"中价商品",IF(TB[[#This Row],[售价]]&lt;10000,"高价商品","超高价商品")))</f>
        <v>超高价商品</v>
      </c>
    </row>
    <row r="2015" spans="1:14" x14ac:dyDescent="0.2">
      <c r="A2015">
        <v>168</v>
      </c>
      <c r="B2015">
        <v>158</v>
      </c>
      <c r="C2015" t="s">
        <v>46</v>
      </c>
      <c r="D2015" t="s">
        <v>47</v>
      </c>
      <c r="E2015" t="s">
        <v>22</v>
      </c>
      <c r="F2015">
        <v>1</v>
      </c>
      <c r="G2015" t="s">
        <v>13</v>
      </c>
      <c r="H2015" s="1">
        <v>45968.131944444445</v>
      </c>
      <c r="I2015" s="5">
        <f>INT(TB[[#This Row],[时间戳]])</f>
        <v>45968</v>
      </c>
      <c r="J2015" s="2">
        <f>HOUR(TB[[#This Row],[时间戳]])</f>
        <v>3</v>
      </c>
      <c r="K2015">
        <v>2185</v>
      </c>
      <c r="L2015">
        <v>4</v>
      </c>
      <c r="M2015">
        <f>TB[[#This Row],[售价]]*TB[[#This Row],[销量]]</f>
        <v>8740</v>
      </c>
      <c r="N2015" t="str">
        <f>IF(TB[[#This Row],[售价]]&lt;1000,"低价商品",IF(TB[[#This Row],[售价]]&lt;5000,"中价商品",IF(TB[[#This Row],[售价]]&lt;10000,"高价商品","超高价商品")))</f>
        <v>中价商品</v>
      </c>
    </row>
    <row r="2016" spans="1:14" x14ac:dyDescent="0.2">
      <c r="A2016">
        <v>58</v>
      </c>
      <c r="B2016">
        <v>279</v>
      </c>
      <c r="C2016" t="s">
        <v>26</v>
      </c>
      <c r="D2016" t="s">
        <v>182</v>
      </c>
      <c r="E2016" t="s">
        <v>31</v>
      </c>
      <c r="F2016">
        <v>4</v>
      </c>
      <c r="G2016" t="s">
        <v>42</v>
      </c>
      <c r="H2016" s="1">
        <v>45968.145833333336</v>
      </c>
      <c r="I2016" s="5">
        <f>INT(TB[[#This Row],[时间戳]])</f>
        <v>45968</v>
      </c>
      <c r="J2016" s="2">
        <f>HOUR(TB[[#This Row],[时间戳]])</f>
        <v>3</v>
      </c>
      <c r="K2016">
        <v>774</v>
      </c>
      <c r="L2016">
        <v>0</v>
      </c>
      <c r="M2016">
        <f>TB[[#This Row],[售价]]*TB[[#This Row],[销量]]</f>
        <v>0</v>
      </c>
      <c r="N2016" t="str">
        <f>IF(TB[[#This Row],[售价]]&lt;1000,"低价商品",IF(TB[[#This Row],[售价]]&lt;5000,"中价商品",IF(TB[[#This Row],[售价]]&lt;10000,"高价商品","超高价商品")))</f>
        <v>低价商品</v>
      </c>
    </row>
    <row r="2017" spans="1:14" x14ac:dyDescent="0.2">
      <c r="A2017">
        <v>22</v>
      </c>
      <c r="B2017">
        <v>23</v>
      </c>
      <c r="C2017" t="s">
        <v>20</v>
      </c>
      <c r="D2017" t="s">
        <v>394</v>
      </c>
      <c r="E2017" t="s">
        <v>39</v>
      </c>
      <c r="F2017">
        <v>5</v>
      </c>
      <c r="G2017" t="s">
        <v>13</v>
      </c>
      <c r="H2017" s="1">
        <v>45968.155555555553</v>
      </c>
      <c r="I2017" s="5">
        <f>INT(TB[[#This Row],[时间戳]])</f>
        <v>45968</v>
      </c>
      <c r="J2017" s="2">
        <f>HOUR(TB[[#This Row],[时间戳]])</f>
        <v>3</v>
      </c>
      <c r="K2017">
        <v>3570</v>
      </c>
      <c r="L2017">
        <v>4</v>
      </c>
      <c r="M2017">
        <f>TB[[#This Row],[售价]]*TB[[#This Row],[销量]]</f>
        <v>14280</v>
      </c>
      <c r="N2017" t="str">
        <f>IF(TB[[#This Row],[售价]]&lt;1000,"低价商品",IF(TB[[#This Row],[售价]]&lt;5000,"中价商品",IF(TB[[#This Row],[售价]]&lt;10000,"高价商品","超高价商品")))</f>
        <v>中价商品</v>
      </c>
    </row>
    <row r="2018" spans="1:14" x14ac:dyDescent="0.2">
      <c r="A2018">
        <v>524</v>
      </c>
      <c r="B2018">
        <v>213</v>
      </c>
      <c r="C2018" t="s">
        <v>36</v>
      </c>
      <c r="D2018" t="s">
        <v>386</v>
      </c>
      <c r="E2018" t="s">
        <v>22</v>
      </c>
      <c r="F2018">
        <v>1</v>
      </c>
      <c r="G2018" t="s">
        <v>42</v>
      </c>
      <c r="H2018" s="1">
        <v>45968.163194444445</v>
      </c>
      <c r="I2018" s="5">
        <f>INT(TB[[#This Row],[时间戳]])</f>
        <v>45968</v>
      </c>
      <c r="J2018" s="2">
        <f>HOUR(TB[[#This Row],[时间戳]])</f>
        <v>3</v>
      </c>
      <c r="K2018">
        <v>1920</v>
      </c>
      <c r="L2018">
        <v>0</v>
      </c>
      <c r="M2018">
        <f>TB[[#This Row],[售价]]*TB[[#This Row],[销量]]</f>
        <v>0</v>
      </c>
      <c r="N2018" t="str">
        <f>IF(TB[[#This Row],[售价]]&lt;1000,"低价商品",IF(TB[[#This Row],[售价]]&lt;5000,"中价商品",IF(TB[[#This Row],[售价]]&lt;10000,"高价商品","超高价商品")))</f>
        <v>中价商品</v>
      </c>
    </row>
    <row r="2019" spans="1:14" x14ac:dyDescent="0.2">
      <c r="A2019">
        <v>233</v>
      </c>
      <c r="B2019">
        <v>219</v>
      </c>
      <c r="C2019" t="s">
        <v>32</v>
      </c>
      <c r="D2019" t="s">
        <v>286</v>
      </c>
      <c r="E2019" t="s">
        <v>22</v>
      </c>
      <c r="F2019">
        <v>1</v>
      </c>
      <c r="G2019" t="s">
        <v>13</v>
      </c>
      <c r="H2019" s="1">
        <v>45968.205555555556</v>
      </c>
      <c r="I2019" s="5">
        <f>INT(TB[[#This Row],[时间戳]])</f>
        <v>45968</v>
      </c>
      <c r="J2019" s="2">
        <f>HOUR(TB[[#This Row],[时间戳]])</f>
        <v>4</v>
      </c>
      <c r="K2019">
        <v>1961</v>
      </c>
      <c r="L2019">
        <v>4</v>
      </c>
      <c r="M2019">
        <f>TB[[#This Row],[售价]]*TB[[#This Row],[销量]]</f>
        <v>7844</v>
      </c>
      <c r="N2019" t="str">
        <f>IF(TB[[#This Row],[售价]]&lt;1000,"低价商品",IF(TB[[#This Row],[售价]]&lt;5000,"中价商品",IF(TB[[#This Row],[售价]]&lt;10000,"高价商品","超高价商品")))</f>
        <v>中价商品</v>
      </c>
    </row>
    <row r="2020" spans="1:14" x14ac:dyDescent="0.2">
      <c r="A2020">
        <v>294</v>
      </c>
      <c r="B2020">
        <v>116</v>
      </c>
      <c r="C2020" t="s">
        <v>34</v>
      </c>
      <c r="D2020" t="s">
        <v>105</v>
      </c>
      <c r="E2020" t="s">
        <v>12</v>
      </c>
      <c r="F2020">
        <v>2</v>
      </c>
      <c r="G2020" t="s">
        <v>13</v>
      </c>
      <c r="H2020" s="1">
        <v>45968.206250000003</v>
      </c>
      <c r="I2020" s="5">
        <f>INT(TB[[#This Row],[时间戳]])</f>
        <v>45968</v>
      </c>
      <c r="J2020" s="2">
        <f>HOUR(TB[[#This Row],[时间戳]])</f>
        <v>4</v>
      </c>
      <c r="K2020">
        <v>10189</v>
      </c>
      <c r="L2020">
        <v>2</v>
      </c>
      <c r="M2020">
        <f>TB[[#This Row],[售价]]*TB[[#This Row],[销量]]</f>
        <v>20378</v>
      </c>
      <c r="N2020" t="str">
        <f>IF(TB[[#This Row],[售价]]&lt;1000,"低价商品",IF(TB[[#This Row],[售价]]&lt;5000,"中价商品",IF(TB[[#This Row],[售价]]&lt;10000,"高价商品","超高价商品")))</f>
        <v>超高价商品</v>
      </c>
    </row>
    <row r="2021" spans="1:14" x14ac:dyDescent="0.2">
      <c r="A2021">
        <v>174</v>
      </c>
      <c r="B2021">
        <v>57</v>
      </c>
      <c r="C2021" t="s">
        <v>14</v>
      </c>
      <c r="D2021" t="s">
        <v>106</v>
      </c>
      <c r="E2021" t="s">
        <v>22</v>
      </c>
      <c r="F2021">
        <v>1</v>
      </c>
      <c r="G2021" t="s">
        <v>13</v>
      </c>
      <c r="H2021" s="1">
        <v>45968.226388888892</v>
      </c>
      <c r="I2021" s="5">
        <f>INT(TB[[#This Row],[时间戳]])</f>
        <v>45968</v>
      </c>
      <c r="J2021" s="2">
        <f>HOUR(TB[[#This Row],[时间戳]])</f>
        <v>5</v>
      </c>
      <c r="K2021">
        <v>6602</v>
      </c>
      <c r="L2021">
        <v>5</v>
      </c>
      <c r="M2021">
        <f>TB[[#This Row],[售价]]*TB[[#This Row],[销量]]</f>
        <v>33010</v>
      </c>
      <c r="N2021" t="str">
        <f>IF(TB[[#This Row],[售价]]&lt;1000,"低价商品",IF(TB[[#This Row],[售价]]&lt;5000,"中价商品",IF(TB[[#This Row],[售价]]&lt;10000,"高价商品","超高价商品")))</f>
        <v>高价商品</v>
      </c>
    </row>
    <row r="2022" spans="1:14" x14ac:dyDescent="0.2">
      <c r="A2022">
        <v>79</v>
      </c>
      <c r="B2022">
        <v>171</v>
      </c>
      <c r="C2022" t="s">
        <v>36</v>
      </c>
      <c r="D2022" t="s">
        <v>304</v>
      </c>
      <c r="E2022" t="s">
        <v>16</v>
      </c>
      <c r="F2022">
        <v>6</v>
      </c>
      <c r="G2022" t="s">
        <v>13</v>
      </c>
      <c r="H2022" s="1">
        <v>45968.286805555559</v>
      </c>
      <c r="I2022" s="5">
        <f>INT(TB[[#This Row],[时间戳]])</f>
        <v>45968</v>
      </c>
      <c r="J2022" s="2">
        <f>HOUR(TB[[#This Row],[时间戳]])</f>
        <v>6</v>
      </c>
      <c r="K2022">
        <v>5530</v>
      </c>
      <c r="L2022">
        <v>4</v>
      </c>
      <c r="M2022">
        <f>TB[[#This Row],[售价]]*TB[[#This Row],[销量]]</f>
        <v>22120</v>
      </c>
      <c r="N2022" t="str">
        <f>IF(TB[[#This Row],[售价]]&lt;1000,"低价商品",IF(TB[[#This Row],[售价]]&lt;5000,"中价商品",IF(TB[[#This Row],[售价]]&lt;10000,"高价商品","超高价商品")))</f>
        <v>高价商品</v>
      </c>
    </row>
    <row r="2023" spans="1:14" x14ac:dyDescent="0.2">
      <c r="A2023">
        <v>620</v>
      </c>
      <c r="B2023">
        <v>78</v>
      </c>
      <c r="C2023" t="s">
        <v>14</v>
      </c>
      <c r="D2023" t="s">
        <v>30</v>
      </c>
      <c r="E2023" t="s">
        <v>31</v>
      </c>
      <c r="F2023">
        <v>4</v>
      </c>
      <c r="G2023" t="s">
        <v>13</v>
      </c>
      <c r="H2023" s="1">
        <v>45968.302083333336</v>
      </c>
      <c r="I2023" s="5">
        <f>INT(TB[[#This Row],[时间戳]])</f>
        <v>45968</v>
      </c>
      <c r="J2023" s="2">
        <f>HOUR(TB[[#This Row],[时间戳]])</f>
        <v>7</v>
      </c>
      <c r="K2023">
        <v>276</v>
      </c>
      <c r="L2023">
        <v>5</v>
      </c>
      <c r="M2023">
        <f>TB[[#This Row],[售价]]*TB[[#This Row],[销量]]</f>
        <v>1380</v>
      </c>
      <c r="N2023" t="str">
        <f>IF(TB[[#This Row],[售价]]&lt;1000,"低价商品",IF(TB[[#This Row],[售价]]&lt;5000,"中价商品",IF(TB[[#This Row],[售价]]&lt;10000,"高价商品","超高价商品")))</f>
        <v>低价商品</v>
      </c>
    </row>
    <row r="2024" spans="1:14" x14ac:dyDescent="0.2">
      <c r="A2024">
        <v>615</v>
      </c>
      <c r="B2024">
        <v>93</v>
      </c>
      <c r="C2024" t="s">
        <v>20</v>
      </c>
      <c r="D2024" t="s">
        <v>85</v>
      </c>
      <c r="E2024" t="s">
        <v>31</v>
      </c>
      <c r="F2024">
        <v>4</v>
      </c>
      <c r="G2024" t="s">
        <v>42</v>
      </c>
      <c r="H2024" s="1">
        <v>45968.352777777778</v>
      </c>
      <c r="I2024" s="5">
        <f>INT(TB[[#This Row],[时间戳]])</f>
        <v>45968</v>
      </c>
      <c r="J2024" s="2">
        <f>HOUR(TB[[#This Row],[时间戳]])</f>
        <v>8</v>
      </c>
      <c r="K2024">
        <v>433</v>
      </c>
      <c r="L2024">
        <v>0</v>
      </c>
      <c r="M2024">
        <f>TB[[#This Row],[售价]]*TB[[#This Row],[销量]]</f>
        <v>0</v>
      </c>
      <c r="N2024" t="str">
        <f>IF(TB[[#This Row],[售价]]&lt;1000,"低价商品",IF(TB[[#This Row],[售价]]&lt;5000,"中价商品",IF(TB[[#This Row],[售价]]&lt;10000,"高价商品","超高价商品")))</f>
        <v>低价商品</v>
      </c>
    </row>
    <row r="2025" spans="1:14" x14ac:dyDescent="0.2">
      <c r="A2025">
        <v>294</v>
      </c>
      <c r="B2025">
        <v>179</v>
      </c>
      <c r="C2025" t="s">
        <v>36</v>
      </c>
      <c r="D2025" t="s">
        <v>54</v>
      </c>
      <c r="E2025" t="s">
        <v>12</v>
      </c>
      <c r="F2025">
        <v>2</v>
      </c>
      <c r="G2025" t="s">
        <v>13</v>
      </c>
      <c r="H2025" s="1">
        <v>45968.354166666664</v>
      </c>
      <c r="I2025" s="5">
        <f>INT(TB[[#This Row],[时间戳]])</f>
        <v>45968</v>
      </c>
      <c r="J2025" s="2">
        <f>HOUR(TB[[#This Row],[时间戳]])</f>
        <v>8</v>
      </c>
      <c r="K2025">
        <v>10843</v>
      </c>
      <c r="L2025">
        <v>5</v>
      </c>
      <c r="M2025">
        <f>TB[[#This Row],[售价]]*TB[[#This Row],[销量]]</f>
        <v>54215</v>
      </c>
      <c r="N2025" t="str">
        <f>IF(TB[[#This Row],[售价]]&lt;1000,"低价商品",IF(TB[[#This Row],[售价]]&lt;5000,"中价商品",IF(TB[[#This Row],[售价]]&lt;10000,"高价商品","超高价商品")))</f>
        <v>超高价商品</v>
      </c>
    </row>
    <row r="2026" spans="1:14" x14ac:dyDescent="0.2">
      <c r="A2026">
        <v>378</v>
      </c>
      <c r="B2026">
        <v>136</v>
      </c>
      <c r="C2026" t="s">
        <v>44</v>
      </c>
      <c r="D2026" t="s">
        <v>236</v>
      </c>
      <c r="E2026" t="s">
        <v>12</v>
      </c>
      <c r="F2026">
        <v>2</v>
      </c>
      <c r="G2026" t="s">
        <v>13</v>
      </c>
      <c r="H2026" s="1">
        <v>45968.363888888889</v>
      </c>
      <c r="I2026" s="5">
        <f>INT(TB[[#This Row],[时间戳]])</f>
        <v>45968</v>
      </c>
      <c r="J2026" s="2">
        <f>HOUR(TB[[#This Row],[时间戳]])</f>
        <v>8</v>
      </c>
      <c r="K2026">
        <v>5640</v>
      </c>
      <c r="L2026">
        <v>4</v>
      </c>
      <c r="M2026">
        <f>TB[[#This Row],[售价]]*TB[[#This Row],[销量]]</f>
        <v>22560</v>
      </c>
      <c r="N2026" t="str">
        <f>IF(TB[[#This Row],[售价]]&lt;1000,"低价商品",IF(TB[[#This Row],[售价]]&lt;5000,"中价商品",IF(TB[[#This Row],[售价]]&lt;10000,"高价商品","超高价商品")))</f>
        <v>高价商品</v>
      </c>
    </row>
    <row r="2027" spans="1:14" x14ac:dyDescent="0.2">
      <c r="A2027">
        <v>797</v>
      </c>
      <c r="B2027">
        <v>76</v>
      </c>
      <c r="C2027" t="s">
        <v>10</v>
      </c>
      <c r="D2027" t="s">
        <v>24</v>
      </c>
      <c r="E2027" t="s">
        <v>25</v>
      </c>
      <c r="F2027">
        <v>7</v>
      </c>
      <c r="G2027" t="s">
        <v>13</v>
      </c>
      <c r="H2027" s="1">
        <v>45968.369444444441</v>
      </c>
      <c r="I2027" s="5">
        <f>INT(TB[[#This Row],[时间戳]])</f>
        <v>45968</v>
      </c>
      <c r="J2027" s="2">
        <f>HOUR(TB[[#This Row],[时间戳]])</f>
        <v>8</v>
      </c>
      <c r="K2027">
        <v>7166</v>
      </c>
      <c r="L2027">
        <v>5</v>
      </c>
      <c r="M2027">
        <f>TB[[#This Row],[售价]]*TB[[#This Row],[销量]]</f>
        <v>35830</v>
      </c>
      <c r="N2027" t="str">
        <f>IF(TB[[#This Row],[售价]]&lt;1000,"低价商品",IF(TB[[#This Row],[售价]]&lt;5000,"中价商品",IF(TB[[#This Row],[售价]]&lt;10000,"高价商品","超高价商品")))</f>
        <v>高价商品</v>
      </c>
    </row>
    <row r="2028" spans="1:14" x14ac:dyDescent="0.2">
      <c r="A2028">
        <v>739</v>
      </c>
      <c r="B2028">
        <v>245</v>
      </c>
      <c r="C2028" t="s">
        <v>17</v>
      </c>
      <c r="D2028" t="s">
        <v>177</v>
      </c>
      <c r="E2028" t="s">
        <v>22</v>
      </c>
      <c r="F2028">
        <v>1</v>
      </c>
      <c r="G2028" t="s">
        <v>13</v>
      </c>
      <c r="H2028" s="1">
        <v>45968.393750000003</v>
      </c>
      <c r="I2028" s="5">
        <f>INT(TB[[#This Row],[时间戳]])</f>
        <v>45968</v>
      </c>
      <c r="J2028" s="2">
        <f>HOUR(TB[[#This Row],[时间戳]])</f>
        <v>9</v>
      </c>
      <c r="K2028">
        <v>3498</v>
      </c>
      <c r="L2028">
        <v>5</v>
      </c>
      <c r="M2028">
        <f>TB[[#This Row],[售价]]*TB[[#This Row],[销量]]</f>
        <v>17490</v>
      </c>
      <c r="N2028" t="str">
        <f>IF(TB[[#This Row],[售价]]&lt;1000,"低价商品",IF(TB[[#This Row],[售价]]&lt;5000,"中价商品",IF(TB[[#This Row],[售价]]&lt;10000,"高价商品","超高价商品")))</f>
        <v>中价商品</v>
      </c>
    </row>
    <row r="2029" spans="1:14" x14ac:dyDescent="0.2">
      <c r="A2029">
        <v>745</v>
      </c>
      <c r="B2029">
        <v>143</v>
      </c>
      <c r="C2029" t="s">
        <v>46</v>
      </c>
      <c r="D2029" t="s">
        <v>316</v>
      </c>
      <c r="E2029" t="s">
        <v>25</v>
      </c>
      <c r="F2029">
        <v>7</v>
      </c>
      <c r="G2029" t="s">
        <v>13</v>
      </c>
      <c r="H2029" s="1">
        <v>45968.466666666667</v>
      </c>
      <c r="I2029" s="5">
        <f>INT(TB[[#This Row],[时间戳]])</f>
        <v>45968</v>
      </c>
      <c r="J2029" s="2">
        <f>HOUR(TB[[#This Row],[时间戳]])</f>
        <v>11</v>
      </c>
      <c r="K2029">
        <v>1908</v>
      </c>
      <c r="L2029">
        <v>4</v>
      </c>
      <c r="M2029">
        <f>TB[[#This Row],[售价]]*TB[[#This Row],[销量]]</f>
        <v>7632</v>
      </c>
      <c r="N2029" t="str">
        <f>IF(TB[[#This Row],[售价]]&lt;1000,"低价商品",IF(TB[[#This Row],[售价]]&lt;5000,"中价商品",IF(TB[[#This Row],[售价]]&lt;10000,"高价商品","超高价商品")))</f>
        <v>中价商品</v>
      </c>
    </row>
    <row r="2030" spans="1:14" x14ac:dyDescent="0.2">
      <c r="A2030">
        <v>187</v>
      </c>
      <c r="B2030">
        <v>198</v>
      </c>
      <c r="C2030" t="s">
        <v>34</v>
      </c>
      <c r="D2030" t="s">
        <v>175</v>
      </c>
      <c r="E2030" t="s">
        <v>22</v>
      </c>
      <c r="F2030">
        <v>1</v>
      </c>
      <c r="G2030" t="s">
        <v>13</v>
      </c>
      <c r="H2030" s="1">
        <v>45968.472222222219</v>
      </c>
      <c r="I2030" s="5">
        <f>INT(TB[[#This Row],[时间戳]])</f>
        <v>45968</v>
      </c>
      <c r="J2030" s="2">
        <f>HOUR(TB[[#This Row],[时间戳]])</f>
        <v>11</v>
      </c>
      <c r="K2030">
        <v>2031</v>
      </c>
      <c r="L2030">
        <v>5</v>
      </c>
      <c r="M2030">
        <f>TB[[#This Row],[售价]]*TB[[#This Row],[销量]]</f>
        <v>10155</v>
      </c>
      <c r="N2030" t="str">
        <f>IF(TB[[#This Row],[售价]]&lt;1000,"低价商品",IF(TB[[#This Row],[售价]]&lt;5000,"中价商品",IF(TB[[#This Row],[售价]]&lt;10000,"高价商品","超高价商品")))</f>
        <v>中价商品</v>
      </c>
    </row>
    <row r="2031" spans="1:14" x14ac:dyDescent="0.2">
      <c r="A2031">
        <v>493</v>
      </c>
      <c r="B2031">
        <v>212</v>
      </c>
      <c r="C2031" t="s">
        <v>44</v>
      </c>
      <c r="D2031" t="s">
        <v>169</v>
      </c>
      <c r="E2031" t="s">
        <v>31</v>
      </c>
      <c r="F2031">
        <v>4</v>
      </c>
      <c r="G2031" t="s">
        <v>13</v>
      </c>
      <c r="H2031" s="1">
        <v>45968.491666666669</v>
      </c>
      <c r="I2031" s="5">
        <f>INT(TB[[#This Row],[时间戳]])</f>
        <v>45968</v>
      </c>
      <c r="J2031" s="2">
        <f>HOUR(TB[[#This Row],[时间戳]])</f>
        <v>11</v>
      </c>
      <c r="K2031">
        <v>735</v>
      </c>
      <c r="L2031">
        <v>4</v>
      </c>
      <c r="M2031">
        <f>TB[[#This Row],[售价]]*TB[[#This Row],[销量]]</f>
        <v>2940</v>
      </c>
      <c r="N2031" t="str">
        <f>IF(TB[[#This Row],[售价]]&lt;1000,"低价商品",IF(TB[[#This Row],[售价]]&lt;5000,"中价商品",IF(TB[[#This Row],[售价]]&lt;10000,"高价商品","超高价商品")))</f>
        <v>低价商品</v>
      </c>
    </row>
    <row r="2032" spans="1:14" x14ac:dyDescent="0.2">
      <c r="A2032">
        <v>670</v>
      </c>
      <c r="B2032">
        <v>126</v>
      </c>
      <c r="C2032" t="s">
        <v>34</v>
      </c>
      <c r="D2032" t="s">
        <v>82</v>
      </c>
      <c r="E2032" t="s">
        <v>31</v>
      </c>
      <c r="F2032">
        <v>4</v>
      </c>
      <c r="G2032" t="s">
        <v>13</v>
      </c>
      <c r="H2032" s="1">
        <v>45968.495833333334</v>
      </c>
      <c r="I2032" s="5">
        <f>INT(TB[[#This Row],[时间戳]])</f>
        <v>45968</v>
      </c>
      <c r="J2032" s="2">
        <f>HOUR(TB[[#This Row],[时间戳]])</f>
        <v>11</v>
      </c>
      <c r="K2032">
        <v>1407</v>
      </c>
      <c r="L2032">
        <v>5</v>
      </c>
      <c r="M2032">
        <f>TB[[#This Row],[售价]]*TB[[#This Row],[销量]]</f>
        <v>7035</v>
      </c>
      <c r="N2032" t="str">
        <f>IF(TB[[#This Row],[售价]]&lt;1000,"低价商品",IF(TB[[#This Row],[售价]]&lt;5000,"中价商品",IF(TB[[#This Row],[售价]]&lt;10000,"高价商品","超高价商品")))</f>
        <v>中价商品</v>
      </c>
    </row>
    <row r="2033" spans="1:14" x14ac:dyDescent="0.2">
      <c r="A2033">
        <v>552</v>
      </c>
      <c r="B2033">
        <v>274</v>
      </c>
      <c r="C2033" t="s">
        <v>20</v>
      </c>
      <c r="D2033" t="s">
        <v>23</v>
      </c>
      <c r="E2033" t="s">
        <v>12</v>
      </c>
      <c r="F2033">
        <v>2</v>
      </c>
      <c r="G2033" t="s">
        <v>13</v>
      </c>
      <c r="H2033" s="1">
        <v>45968.511111111111</v>
      </c>
      <c r="I2033" s="5">
        <f>INT(TB[[#This Row],[时间戳]])</f>
        <v>45968</v>
      </c>
      <c r="J2033" s="2">
        <f>HOUR(TB[[#This Row],[时间戳]])</f>
        <v>12</v>
      </c>
      <c r="K2033">
        <v>10292</v>
      </c>
      <c r="L2033">
        <v>4</v>
      </c>
      <c r="M2033">
        <f>TB[[#This Row],[售价]]*TB[[#This Row],[销量]]</f>
        <v>41168</v>
      </c>
      <c r="N2033" t="str">
        <f>IF(TB[[#This Row],[售价]]&lt;1000,"低价商品",IF(TB[[#This Row],[售价]]&lt;5000,"中价商品",IF(TB[[#This Row],[售价]]&lt;10000,"高价商品","超高价商品")))</f>
        <v>超高价商品</v>
      </c>
    </row>
    <row r="2034" spans="1:14" x14ac:dyDescent="0.2">
      <c r="A2034">
        <v>394</v>
      </c>
      <c r="B2034">
        <v>43</v>
      </c>
      <c r="C2034" t="s">
        <v>20</v>
      </c>
      <c r="D2034" t="s">
        <v>64</v>
      </c>
      <c r="E2034" t="s">
        <v>31</v>
      </c>
      <c r="F2034">
        <v>4</v>
      </c>
      <c r="G2034" t="s">
        <v>13</v>
      </c>
      <c r="H2034" s="1">
        <v>45968.522916666669</v>
      </c>
      <c r="I2034" s="5">
        <f>INT(TB[[#This Row],[时间戳]])</f>
        <v>45968</v>
      </c>
      <c r="J2034" s="2">
        <f>HOUR(TB[[#This Row],[时间戳]])</f>
        <v>12</v>
      </c>
      <c r="K2034">
        <v>1130</v>
      </c>
      <c r="L2034">
        <v>2</v>
      </c>
      <c r="M2034">
        <f>TB[[#This Row],[售价]]*TB[[#This Row],[销量]]</f>
        <v>2260</v>
      </c>
      <c r="N2034" t="str">
        <f>IF(TB[[#This Row],[售价]]&lt;1000,"低价商品",IF(TB[[#This Row],[售价]]&lt;5000,"中价商品",IF(TB[[#This Row],[售价]]&lt;10000,"高价商品","超高价商品")))</f>
        <v>中价商品</v>
      </c>
    </row>
    <row r="2035" spans="1:14" x14ac:dyDescent="0.2">
      <c r="A2035">
        <v>592</v>
      </c>
      <c r="B2035">
        <v>113</v>
      </c>
      <c r="C2035" t="s">
        <v>17</v>
      </c>
      <c r="D2035" t="s">
        <v>50</v>
      </c>
      <c r="E2035" t="s">
        <v>22</v>
      </c>
      <c r="F2035">
        <v>1</v>
      </c>
      <c r="G2035" t="s">
        <v>13</v>
      </c>
      <c r="H2035" s="1">
        <v>45968.588194444441</v>
      </c>
      <c r="I2035" s="5">
        <f>INT(TB[[#This Row],[时间戳]])</f>
        <v>45968</v>
      </c>
      <c r="J2035" s="2">
        <f>HOUR(TB[[#This Row],[时间戳]])</f>
        <v>14</v>
      </c>
      <c r="K2035">
        <v>5925</v>
      </c>
      <c r="L2035">
        <v>5</v>
      </c>
      <c r="M2035">
        <f>TB[[#This Row],[售价]]*TB[[#This Row],[销量]]</f>
        <v>29625</v>
      </c>
      <c r="N2035" t="str">
        <f>IF(TB[[#This Row],[售价]]&lt;1000,"低价商品",IF(TB[[#This Row],[售价]]&lt;5000,"中价商品",IF(TB[[#This Row],[售价]]&lt;10000,"高价商品","超高价商品")))</f>
        <v>高价商品</v>
      </c>
    </row>
    <row r="2036" spans="1:14" x14ac:dyDescent="0.2">
      <c r="A2036">
        <v>3</v>
      </c>
      <c r="B2036">
        <v>105</v>
      </c>
      <c r="C2036" t="s">
        <v>32</v>
      </c>
      <c r="D2036" t="s">
        <v>288</v>
      </c>
      <c r="E2036" t="s">
        <v>22</v>
      </c>
      <c r="F2036">
        <v>1</v>
      </c>
      <c r="G2036" t="s">
        <v>13</v>
      </c>
      <c r="H2036" s="1">
        <v>45968.605555555558</v>
      </c>
      <c r="I2036" s="5">
        <f>INT(TB[[#This Row],[时间戳]])</f>
        <v>45968</v>
      </c>
      <c r="J2036" s="2">
        <f>HOUR(TB[[#This Row],[时间戳]])</f>
        <v>14</v>
      </c>
      <c r="K2036">
        <v>6603</v>
      </c>
      <c r="L2036">
        <v>2</v>
      </c>
      <c r="M2036">
        <f>TB[[#This Row],[售价]]*TB[[#This Row],[销量]]</f>
        <v>13206</v>
      </c>
      <c r="N2036" t="str">
        <f>IF(TB[[#This Row],[售价]]&lt;1000,"低价商品",IF(TB[[#This Row],[售价]]&lt;5000,"中价商品",IF(TB[[#This Row],[售价]]&lt;10000,"高价商品","超高价商品")))</f>
        <v>高价商品</v>
      </c>
    </row>
    <row r="2037" spans="1:14" x14ac:dyDescent="0.2">
      <c r="A2037">
        <v>137</v>
      </c>
      <c r="B2037">
        <v>57</v>
      </c>
      <c r="C2037" t="s">
        <v>20</v>
      </c>
      <c r="D2037" t="s">
        <v>113</v>
      </c>
      <c r="E2037" t="s">
        <v>31</v>
      </c>
      <c r="F2037">
        <v>4</v>
      </c>
      <c r="G2037" t="s">
        <v>42</v>
      </c>
      <c r="H2037" s="1">
        <v>45968.613888888889</v>
      </c>
      <c r="I2037" s="5">
        <f>INT(TB[[#This Row],[时间戳]])</f>
        <v>45968</v>
      </c>
      <c r="J2037" s="2">
        <f>HOUR(TB[[#This Row],[时间戳]])</f>
        <v>14</v>
      </c>
      <c r="K2037">
        <v>70</v>
      </c>
      <c r="L2037">
        <v>0</v>
      </c>
      <c r="M2037">
        <f>TB[[#This Row],[售价]]*TB[[#This Row],[销量]]</f>
        <v>0</v>
      </c>
      <c r="N2037" t="str">
        <f>IF(TB[[#This Row],[售价]]&lt;1000,"低价商品",IF(TB[[#This Row],[售价]]&lt;5000,"中价商品",IF(TB[[#This Row],[售价]]&lt;10000,"高价商品","超高价商品")))</f>
        <v>低价商品</v>
      </c>
    </row>
    <row r="2038" spans="1:14" x14ac:dyDescent="0.2">
      <c r="A2038">
        <v>302</v>
      </c>
      <c r="B2038">
        <v>236</v>
      </c>
      <c r="C2038" t="s">
        <v>34</v>
      </c>
      <c r="D2038" t="s">
        <v>175</v>
      </c>
      <c r="E2038" t="s">
        <v>22</v>
      </c>
      <c r="F2038">
        <v>1</v>
      </c>
      <c r="G2038" t="s">
        <v>13</v>
      </c>
      <c r="H2038" s="1">
        <v>45968.615972222222</v>
      </c>
      <c r="I2038" s="5">
        <f>INT(TB[[#This Row],[时间戳]])</f>
        <v>45968</v>
      </c>
      <c r="J2038" s="2">
        <f>HOUR(TB[[#This Row],[时间戳]])</f>
        <v>14</v>
      </c>
      <c r="K2038">
        <v>1466</v>
      </c>
      <c r="L2038">
        <v>2</v>
      </c>
      <c r="M2038">
        <f>TB[[#This Row],[售价]]*TB[[#This Row],[销量]]</f>
        <v>2932</v>
      </c>
      <c r="N2038" t="str">
        <f>IF(TB[[#This Row],[售价]]&lt;1000,"低价商品",IF(TB[[#This Row],[售价]]&lt;5000,"中价商品",IF(TB[[#This Row],[售价]]&lt;10000,"高价商品","超高价商品")))</f>
        <v>中价商品</v>
      </c>
    </row>
    <row r="2039" spans="1:14" x14ac:dyDescent="0.2">
      <c r="A2039">
        <v>216</v>
      </c>
      <c r="B2039">
        <v>115</v>
      </c>
      <c r="C2039" t="s">
        <v>17</v>
      </c>
      <c r="D2039" t="s">
        <v>119</v>
      </c>
      <c r="E2039" t="s">
        <v>12</v>
      </c>
      <c r="F2039">
        <v>2</v>
      </c>
      <c r="G2039" t="s">
        <v>13</v>
      </c>
      <c r="H2039" s="1">
        <v>45968.618750000001</v>
      </c>
      <c r="I2039" s="5">
        <f>INT(TB[[#This Row],[时间戳]])</f>
        <v>45968</v>
      </c>
      <c r="J2039" s="2">
        <f>HOUR(TB[[#This Row],[时间戳]])</f>
        <v>14</v>
      </c>
      <c r="K2039">
        <v>6443</v>
      </c>
      <c r="L2039">
        <v>4</v>
      </c>
      <c r="M2039">
        <f>TB[[#This Row],[售价]]*TB[[#This Row],[销量]]</f>
        <v>25772</v>
      </c>
      <c r="N2039" t="str">
        <f>IF(TB[[#This Row],[售价]]&lt;1000,"低价商品",IF(TB[[#This Row],[售价]]&lt;5000,"中价商品",IF(TB[[#This Row],[售价]]&lt;10000,"高价商品","超高价商品")))</f>
        <v>高价商品</v>
      </c>
    </row>
    <row r="2040" spans="1:14" x14ac:dyDescent="0.2">
      <c r="A2040">
        <v>713</v>
      </c>
      <c r="B2040">
        <v>74</v>
      </c>
      <c r="C2040" t="s">
        <v>26</v>
      </c>
      <c r="D2040" t="s">
        <v>155</v>
      </c>
      <c r="E2040" t="s">
        <v>12</v>
      </c>
      <c r="F2040">
        <v>2</v>
      </c>
      <c r="G2040" t="s">
        <v>13</v>
      </c>
      <c r="H2040" s="1">
        <v>45968.623611111114</v>
      </c>
      <c r="I2040" s="5">
        <f>INT(TB[[#This Row],[时间戳]])</f>
        <v>45968</v>
      </c>
      <c r="J2040" s="2">
        <f>HOUR(TB[[#This Row],[时间戳]])</f>
        <v>14</v>
      </c>
      <c r="K2040">
        <v>5097</v>
      </c>
      <c r="L2040">
        <v>2</v>
      </c>
      <c r="M2040">
        <f>TB[[#This Row],[售价]]*TB[[#This Row],[销量]]</f>
        <v>10194</v>
      </c>
      <c r="N2040" t="str">
        <f>IF(TB[[#This Row],[售价]]&lt;1000,"低价商品",IF(TB[[#This Row],[售价]]&lt;5000,"中价商品",IF(TB[[#This Row],[售价]]&lt;10000,"高价商品","超高价商品")))</f>
        <v>高价商品</v>
      </c>
    </row>
    <row r="2041" spans="1:14" x14ac:dyDescent="0.2">
      <c r="A2041">
        <v>381</v>
      </c>
      <c r="B2041">
        <v>28</v>
      </c>
      <c r="C2041" t="s">
        <v>10</v>
      </c>
      <c r="D2041" t="s">
        <v>351</v>
      </c>
      <c r="E2041" t="s">
        <v>31</v>
      </c>
      <c r="F2041">
        <v>4</v>
      </c>
      <c r="G2041" t="s">
        <v>42</v>
      </c>
      <c r="H2041" s="1">
        <v>45968.629166666666</v>
      </c>
      <c r="I2041" s="5">
        <f>INT(TB[[#This Row],[时间戳]])</f>
        <v>45968</v>
      </c>
      <c r="J2041" s="2">
        <f>HOUR(TB[[#This Row],[时间戳]])</f>
        <v>15</v>
      </c>
      <c r="K2041">
        <v>998</v>
      </c>
      <c r="L2041">
        <v>0</v>
      </c>
      <c r="M2041">
        <f>TB[[#This Row],[售价]]*TB[[#This Row],[销量]]</f>
        <v>0</v>
      </c>
      <c r="N2041" t="str">
        <f>IF(TB[[#This Row],[售价]]&lt;1000,"低价商品",IF(TB[[#This Row],[售价]]&lt;5000,"中价商品",IF(TB[[#This Row],[售价]]&lt;10000,"高价商品","超高价商品")))</f>
        <v>低价商品</v>
      </c>
    </row>
    <row r="2042" spans="1:14" x14ac:dyDescent="0.2">
      <c r="A2042">
        <v>489</v>
      </c>
      <c r="B2042">
        <v>81</v>
      </c>
      <c r="C2042" t="s">
        <v>46</v>
      </c>
      <c r="D2042" t="s">
        <v>332</v>
      </c>
      <c r="E2042" t="s">
        <v>19</v>
      </c>
      <c r="F2042">
        <v>3</v>
      </c>
      <c r="G2042" t="s">
        <v>13</v>
      </c>
      <c r="H2042" s="1">
        <v>45968.663888888892</v>
      </c>
      <c r="I2042" s="5">
        <f>INT(TB[[#This Row],[时间戳]])</f>
        <v>45968</v>
      </c>
      <c r="J2042" s="2">
        <f>HOUR(TB[[#This Row],[时间戳]])</f>
        <v>15</v>
      </c>
      <c r="K2042">
        <v>2507</v>
      </c>
      <c r="L2042">
        <v>2</v>
      </c>
      <c r="M2042">
        <f>TB[[#This Row],[售价]]*TB[[#This Row],[销量]]</f>
        <v>5014</v>
      </c>
      <c r="N2042" t="str">
        <f>IF(TB[[#This Row],[售价]]&lt;1000,"低价商品",IF(TB[[#This Row],[售价]]&lt;5000,"中价商品",IF(TB[[#This Row],[售价]]&lt;10000,"高价商品","超高价商品")))</f>
        <v>中价商品</v>
      </c>
    </row>
    <row r="2043" spans="1:14" x14ac:dyDescent="0.2">
      <c r="A2043">
        <v>81</v>
      </c>
      <c r="B2043">
        <v>126</v>
      </c>
      <c r="C2043" t="s">
        <v>34</v>
      </c>
      <c r="D2043" t="s">
        <v>413</v>
      </c>
      <c r="E2043" t="s">
        <v>16</v>
      </c>
      <c r="F2043">
        <v>6</v>
      </c>
      <c r="G2043" t="s">
        <v>13</v>
      </c>
      <c r="H2043" s="1">
        <v>45968.679166666669</v>
      </c>
      <c r="I2043" s="5">
        <f>INT(TB[[#This Row],[时间戳]])</f>
        <v>45968</v>
      </c>
      <c r="J2043" s="2">
        <f>HOUR(TB[[#This Row],[时间戳]])</f>
        <v>16</v>
      </c>
      <c r="K2043">
        <v>2369</v>
      </c>
      <c r="L2043">
        <v>4</v>
      </c>
      <c r="M2043">
        <f>TB[[#This Row],[售价]]*TB[[#This Row],[销量]]</f>
        <v>9476</v>
      </c>
      <c r="N2043" t="str">
        <f>IF(TB[[#This Row],[售价]]&lt;1000,"低价商品",IF(TB[[#This Row],[售价]]&lt;5000,"中价商品",IF(TB[[#This Row],[售价]]&lt;10000,"高价商品","超高价商品")))</f>
        <v>中价商品</v>
      </c>
    </row>
    <row r="2044" spans="1:14" x14ac:dyDescent="0.2">
      <c r="A2044">
        <v>154</v>
      </c>
      <c r="B2044">
        <v>94</v>
      </c>
      <c r="C2044" t="s">
        <v>46</v>
      </c>
      <c r="D2044" t="s">
        <v>217</v>
      </c>
      <c r="E2044" t="s">
        <v>19</v>
      </c>
      <c r="F2044">
        <v>3</v>
      </c>
      <c r="G2044" t="s">
        <v>13</v>
      </c>
      <c r="H2044" s="1">
        <v>45968.693055555559</v>
      </c>
      <c r="I2044" s="5">
        <f>INT(TB[[#This Row],[时间戳]])</f>
        <v>45968</v>
      </c>
      <c r="J2044" s="2">
        <f>HOUR(TB[[#This Row],[时间戳]])</f>
        <v>16</v>
      </c>
      <c r="K2044">
        <v>1937</v>
      </c>
      <c r="L2044">
        <v>5</v>
      </c>
      <c r="M2044">
        <f>TB[[#This Row],[售价]]*TB[[#This Row],[销量]]</f>
        <v>9685</v>
      </c>
      <c r="N2044" t="str">
        <f>IF(TB[[#This Row],[售价]]&lt;1000,"低价商品",IF(TB[[#This Row],[售价]]&lt;5000,"中价商品",IF(TB[[#This Row],[售价]]&lt;10000,"高价商品","超高价商品")))</f>
        <v>中价商品</v>
      </c>
    </row>
    <row r="2045" spans="1:14" x14ac:dyDescent="0.2">
      <c r="A2045">
        <v>716</v>
      </c>
      <c r="B2045">
        <v>154</v>
      </c>
      <c r="C2045" t="s">
        <v>26</v>
      </c>
      <c r="D2045" t="s">
        <v>48</v>
      </c>
      <c r="E2045" t="s">
        <v>31</v>
      </c>
      <c r="F2045">
        <v>4</v>
      </c>
      <c r="G2045" t="s">
        <v>13</v>
      </c>
      <c r="H2045" s="1">
        <v>45968.695138888892</v>
      </c>
      <c r="I2045" s="5">
        <f>INT(TB[[#This Row],[时间戳]])</f>
        <v>45968</v>
      </c>
      <c r="J2045" s="2">
        <f>HOUR(TB[[#This Row],[时间戳]])</f>
        <v>16</v>
      </c>
      <c r="K2045">
        <v>1192</v>
      </c>
      <c r="L2045">
        <v>5</v>
      </c>
      <c r="M2045">
        <f>TB[[#This Row],[售价]]*TB[[#This Row],[销量]]</f>
        <v>5960</v>
      </c>
      <c r="N2045" t="str">
        <f>IF(TB[[#This Row],[售价]]&lt;1000,"低价商品",IF(TB[[#This Row],[售价]]&lt;5000,"中价商品",IF(TB[[#This Row],[售价]]&lt;10000,"高价商品","超高价商品")))</f>
        <v>中价商品</v>
      </c>
    </row>
    <row r="2046" spans="1:14" x14ac:dyDescent="0.2">
      <c r="A2046">
        <v>661</v>
      </c>
      <c r="B2046">
        <v>7</v>
      </c>
      <c r="C2046" t="s">
        <v>34</v>
      </c>
      <c r="D2046" t="s">
        <v>57</v>
      </c>
      <c r="E2046" t="s">
        <v>12</v>
      </c>
      <c r="F2046">
        <v>2</v>
      </c>
      <c r="G2046" t="s">
        <v>13</v>
      </c>
      <c r="H2046" s="1">
        <v>45968.731249999997</v>
      </c>
      <c r="I2046" s="5">
        <f>INT(TB[[#This Row],[时间戳]])</f>
        <v>45968</v>
      </c>
      <c r="J2046" s="2">
        <f>HOUR(TB[[#This Row],[时间戳]])</f>
        <v>17</v>
      </c>
      <c r="K2046">
        <v>11713</v>
      </c>
      <c r="L2046">
        <v>5</v>
      </c>
      <c r="M2046">
        <f>TB[[#This Row],[售价]]*TB[[#This Row],[销量]]</f>
        <v>58565</v>
      </c>
      <c r="N2046" t="str">
        <f>IF(TB[[#This Row],[售价]]&lt;1000,"低价商品",IF(TB[[#This Row],[售价]]&lt;5000,"中价商品",IF(TB[[#This Row],[售价]]&lt;10000,"高价商品","超高价商品")))</f>
        <v>超高价商品</v>
      </c>
    </row>
    <row r="2047" spans="1:14" x14ac:dyDescent="0.2">
      <c r="A2047">
        <v>658</v>
      </c>
      <c r="B2047">
        <v>17</v>
      </c>
      <c r="C2047" t="s">
        <v>26</v>
      </c>
      <c r="D2047" t="s">
        <v>131</v>
      </c>
      <c r="E2047" t="s">
        <v>22</v>
      </c>
      <c r="F2047">
        <v>1</v>
      </c>
      <c r="G2047" t="s">
        <v>13</v>
      </c>
      <c r="H2047" s="1">
        <v>45968.754861111112</v>
      </c>
      <c r="I2047" s="5">
        <f>INT(TB[[#This Row],[时间戳]])</f>
        <v>45968</v>
      </c>
      <c r="J2047" s="2">
        <f>HOUR(TB[[#This Row],[时间戳]])</f>
        <v>18</v>
      </c>
      <c r="K2047">
        <v>3205</v>
      </c>
      <c r="L2047">
        <v>5</v>
      </c>
      <c r="M2047">
        <f>TB[[#This Row],[售价]]*TB[[#This Row],[销量]]</f>
        <v>16025</v>
      </c>
      <c r="N2047" t="str">
        <f>IF(TB[[#This Row],[售价]]&lt;1000,"低价商品",IF(TB[[#This Row],[售价]]&lt;5000,"中价商品",IF(TB[[#This Row],[售价]]&lt;10000,"高价商品","超高价商品")))</f>
        <v>中价商品</v>
      </c>
    </row>
    <row r="2048" spans="1:14" x14ac:dyDescent="0.2">
      <c r="A2048">
        <v>165</v>
      </c>
      <c r="B2048">
        <v>6</v>
      </c>
      <c r="C2048" t="s">
        <v>26</v>
      </c>
      <c r="D2048" t="s">
        <v>48</v>
      </c>
      <c r="E2048" t="s">
        <v>31</v>
      </c>
      <c r="F2048">
        <v>4</v>
      </c>
      <c r="G2048" t="s">
        <v>13</v>
      </c>
      <c r="H2048" s="1">
        <v>45968.756249999999</v>
      </c>
      <c r="I2048" s="5">
        <f>INT(TB[[#This Row],[时间戳]])</f>
        <v>45968</v>
      </c>
      <c r="J2048" s="2">
        <f>HOUR(TB[[#This Row],[时间戳]])</f>
        <v>18</v>
      </c>
      <c r="K2048">
        <v>1471</v>
      </c>
      <c r="L2048">
        <v>4</v>
      </c>
      <c r="M2048">
        <f>TB[[#This Row],[售价]]*TB[[#This Row],[销量]]</f>
        <v>5884</v>
      </c>
      <c r="N2048" t="str">
        <f>IF(TB[[#This Row],[售价]]&lt;1000,"低价商品",IF(TB[[#This Row],[售价]]&lt;5000,"中价商品",IF(TB[[#This Row],[售价]]&lt;10000,"高价商品","超高价商品")))</f>
        <v>中价商品</v>
      </c>
    </row>
    <row r="2049" spans="1:14" x14ac:dyDescent="0.2">
      <c r="A2049">
        <v>729</v>
      </c>
      <c r="B2049">
        <v>133</v>
      </c>
      <c r="C2049" t="s">
        <v>44</v>
      </c>
      <c r="D2049" t="s">
        <v>161</v>
      </c>
      <c r="E2049" t="s">
        <v>31</v>
      </c>
      <c r="F2049">
        <v>4</v>
      </c>
      <c r="G2049" t="s">
        <v>13</v>
      </c>
      <c r="H2049" s="1">
        <v>45968.77847222222</v>
      </c>
      <c r="I2049" s="5">
        <f>INT(TB[[#This Row],[时间戳]])</f>
        <v>45968</v>
      </c>
      <c r="J2049" s="2">
        <f>HOUR(TB[[#This Row],[时间戳]])</f>
        <v>18</v>
      </c>
      <c r="K2049">
        <v>877</v>
      </c>
      <c r="L2049">
        <v>5</v>
      </c>
      <c r="M2049">
        <f>TB[[#This Row],[售价]]*TB[[#This Row],[销量]]</f>
        <v>4385</v>
      </c>
      <c r="N2049" t="str">
        <f>IF(TB[[#This Row],[售价]]&lt;1000,"低价商品",IF(TB[[#This Row],[售价]]&lt;5000,"中价商品",IF(TB[[#This Row],[售价]]&lt;10000,"高价商品","超高价商品")))</f>
        <v>低价商品</v>
      </c>
    </row>
    <row r="2050" spans="1:14" x14ac:dyDescent="0.2">
      <c r="A2050">
        <v>233</v>
      </c>
      <c r="B2050">
        <v>217</v>
      </c>
      <c r="C2050" t="s">
        <v>36</v>
      </c>
      <c r="D2050" t="s">
        <v>146</v>
      </c>
      <c r="E2050" t="s">
        <v>22</v>
      </c>
      <c r="F2050">
        <v>1</v>
      </c>
      <c r="G2050" t="s">
        <v>42</v>
      </c>
      <c r="H2050" s="1">
        <v>45968.793055555558</v>
      </c>
      <c r="I2050" s="5">
        <f>INT(TB[[#This Row],[时间戳]])</f>
        <v>45968</v>
      </c>
      <c r="J2050" s="2">
        <f>HOUR(TB[[#This Row],[时间戳]])</f>
        <v>19</v>
      </c>
      <c r="K2050">
        <v>5742</v>
      </c>
      <c r="L2050">
        <v>0</v>
      </c>
      <c r="M2050">
        <f>TB[[#This Row],[售价]]*TB[[#This Row],[销量]]</f>
        <v>0</v>
      </c>
      <c r="N2050" t="str">
        <f>IF(TB[[#This Row],[售价]]&lt;1000,"低价商品",IF(TB[[#This Row],[售价]]&lt;5000,"中价商品",IF(TB[[#This Row],[售价]]&lt;10000,"高价商品","超高价商品")))</f>
        <v>高价商品</v>
      </c>
    </row>
    <row r="2051" spans="1:14" x14ac:dyDescent="0.2">
      <c r="A2051">
        <v>387</v>
      </c>
      <c r="B2051">
        <v>65</v>
      </c>
      <c r="C2051" t="s">
        <v>14</v>
      </c>
      <c r="D2051" t="s">
        <v>388</v>
      </c>
      <c r="E2051" t="s">
        <v>19</v>
      </c>
      <c r="F2051">
        <v>3</v>
      </c>
      <c r="G2051" t="s">
        <v>13</v>
      </c>
      <c r="H2051" s="1">
        <v>45968.794444444444</v>
      </c>
      <c r="I2051" s="5">
        <f>INT(TB[[#This Row],[时间戳]])</f>
        <v>45968</v>
      </c>
      <c r="J2051" s="2">
        <f>HOUR(TB[[#This Row],[时间戳]])</f>
        <v>19</v>
      </c>
      <c r="K2051">
        <v>2723</v>
      </c>
      <c r="L2051">
        <v>5</v>
      </c>
      <c r="M2051">
        <f>TB[[#This Row],[售价]]*TB[[#This Row],[销量]]</f>
        <v>13615</v>
      </c>
      <c r="N2051" t="str">
        <f>IF(TB[[#This Row],[售价]]&lt;1000,"低价商品",IF(TB[[#This Row],[售价]]&lt;5000,"中价商品",IF(TB[[#This Row],[售价]]&lt;10000,"高价商品","超高价商品")))</f>
        <v>中价商品</v>
      </c>
    </row>
    <row r="2052" spans="1:14" x14ac:dyDescent="0.2">
      <c r="A2052">
        <v>58</v>
      </c>
      <c r="B2052">
        <v>113</v>
      </c>
      <c r="C2052" t="s">
        <v>17</v>
      </c>
      <c r="D2052" t="s">
        <v>191</v>
      </c>
      <c r="E2052" t="s">
        <v>39</v>
      </c>
      <c r="F2052">
        <v>5</v>
      </c>
      <c r="G2052" t="s">
        <v>13</v>
      </c>
      <c r="H2052" s="1">
        <v>45968.806250000001</v>
      </c>
      <c r="I2052" s="5">
        <f>INT(TB[[#This Row],[时间戳]])</f>
        <v>45968</v>
      </c>
      <c r="J2052" s="2">
        <f>HOUR(TB[[#This Row],[时间戳]])</f>
        <v>19</v>
      </c>
      <c r="K2052">
        <v>3751</v>
      </c>
      <c r="L2052">
        <v>4</v>
      </c>
      <c r="M2052">
        <f>TB[[#This Row],[售价]]*TB[[#This Row],[销量]]</f>
        <v>15004</v>
      </c>
      <c r="N2052" t="str">
        <f>IF(TB[[#This Row],[售价]]&lt;1000,"低价商品",IF(TB[[#This Row],[售价]]&lt;5000,"中价商品",IF(TB[[#This Row],[售价]]&lt;10000,"高价商品","超高价商品")))</f>
        <v>中价商品</v>
      </c>
    </row>
    <row r="2053" spans="1:14" x14ac:dyDescent="0.2">
      <c r="A2053">
        <v>80</v>
      </c>
      <c r="B2053">
        <v>240</v>
      </c>
      <c r="C2053" t="s">
        <v>20</v>
      </c>
      <c r="D2053" t="s">
        <v>21</v>
      </c>
      <c r="E2053" t="s">
        <v>22</v>
      </c>
      <c r="F2053">
        <v>1</v>
      </c>
      <c r="G2053" t="s">
        <v>13</v>
      </c>
      <c r="H2053" s="1">
        <v>45968.818055555559</v>
      </c>
      <c r="I2053" s="5">
        <f>INT(TB[[#This Row],[时间戳]])</f>
        <v>45968</v>
      </c>
      <c r="J2053" s="2">
        <f>HOUR(TB[[#This Row],[时间戳]])</f>
        <v>19</v>
      </c>
      <c r="K2053">
        <v>4107</v>
      </c>
      <c r="L2053">
        <v>4</v>
      </c>
      <c r="M2053">
        <f>TB[[#This Row],[售价]]*TB[[#This Row],[销量]]</f>
        <v>16428</v>
      </c>
      <c r="N2053" t="str">
        <f>IF(TB[[#This Row],[售价]]&lt;1000,"低价商品",IF(TB[[#This Row],[售价]]&lt;5000,"中价商品",IF(TB[[#This Row],[售价]]&lt;10000,"高价商品","超高价商品")))</f>
        <v>中价商品</v>
      </c>
    </row>
    <row r="2054" spans="1:14" x14ac:dyDescent="0.2">
      <c r="A2054">
        <v>169</v>
      </c>
      <c r="B2054">
        <v>28</v>
      </c>
      <c r="C2054" t="s">
        <v>17</v>
      </c>
      <c r="D2054" t="s">
        <v>391</v>
      </c>
      <c r="E2054" t="s">
        <v>25</v>
      </c>
      <c r="F2054">
        <v>7</v>
      </c>
      <c r="G2054" t="s">
        <v>13</v>
      </c>
      <c r="H2054" s="1">
        <v>45968.821527777778</v>
      </c>
      <c r="I2054" s="5">
        <f>INT(TB[[#This Row],[时间戳]])</f>
        <v>45968</v>
      </c>
      <c r="J2054" s="2">
        <f>HOUR(TB[[#This Row],[时间戳]])</f>
        <v>19</v>
      </c>
      <c r="K2054">
        <v>5370</v>
      </c>
      <c r="L2054">
        <v>5</v>
      </c>
      <c r="M2054">
        <f>TB[[#This Row],[售价]]*TB[[#This Row],[销量]]</f>
        <v>26850</v>
      </c>
      <c r="N2054" t="str">
        <f>IF(TB[[#This Row],[售价]]&lt;1000,"低价商品",IF(TB[[#This Row],[售价]]&lt;5000,"中价商品",IF(TB[[#This Row],[售价]]&lt;10000,"高价商品","超高价商品")))</f>
        <v>高价商品</v>
      </c>
    </row>
    <row r="2055" spans="1:14" x14ac:dyDescent="0.2">
      <c r="A2055">
        <v>277</v>
      </c>
      <c r="B2055">
        <v>56</v>
      </c>
      <c r="C2055" t="s">
        <v>17</v>
      </c>
      <c r="D2055" t="s">
        <v>285</v>
      </c>
      <c r="E2055" t="s">
        <v>25</v>
      </c>
      <c r="F2055">
        <v>7</v>
      </c>
      <c r="G2055" t="s">
        <v>13</v>
      </c>
      <c r="H2055" s="1">
        <v>45968.875</v>
      </c>
      <c r="I2055" s="5">
        <f>INT(TB[[#This Row],[时间戳]])</f>
        <v>45968</v>
      </c>
      <c r="J2055" s="2">
        <f>HOUR(TB[[#This Row],[时间戳]])</f>
        <v>21</v>
      </c>
      <c r="K2055">
        <v>4674</v>
      </c>
      <c r="L2055">
        <v>2</v>
      </c>
      <c r="M2055">
        <f>TB[[#This Row],[售价]]*TB[[#This Row],[销量]]</f>
        <v>9348</v>
      </c>
      <c r="N2055" t="str">
        <f>IF(TB[[#This Row],[售价]]&lt;1000,"低价商品",IF(TB[[#This Row],[售价]]&lt;5000,"中价商品",IF(TB[[#This Row],[售价]]&lt;10000,"高价商品","超高价商品")))</f>
        <v>中价商品</v>
      </c>
    </row>
    <row r="2056" spans="1:14" x14ac:dyDescent="0.2">
      <c r="A2056">
        <v>798</v>
      </c>
      <c r="B2056">
        <v>172</v>
      </c>
      <c r="C2056" t="s">
        <v>34</v>
      </c>
      <c r="D2056" t="s">
        <v>168</v>
      </c>
      <c r="E2056" t="s">
        <v>19</v>
      </c>
      <c r="F2056">
        <v>3</v>
      </c>
      <c r="G2056" t="s">
        <v>42</v>
      </c>
      <c r="H2056" s="1">
        <v>45968.909722222219</v>
      </c>
      <c r="I2056" s="5">
        <f>INT(TB[[#This Row],[时间戳]])</f>
        <v>45968</v>
      </c>
      <c r="J2056" s="2">
        <f>HOUR(TB[[#This Row],[时间戳]])</f>
        <v>21</v>
      </c>
      <c r="K2056">
        <v>2194</v>
      </c>
      <c r="L2056">
        <v>0</v>
      </c>
      <c r="M2056">
        <f>TB[[#This Row],[售价]]*TB[[#This Row],[销量]]</f>
        <v>0</v>
      </c>
      <c r="N2056" t="str">
        <f>IF(TB[[#This Row],[售价]]&lt;1000,"低价商品",IF(TB[[#This Row],[售价]]&lt;5000,"中价商品",IF(TB[[#This Row],[售价]]&lt;10000,"高价商品","超高价商品")))</f>
        <v>中价商品</v>
      </c>
    </row>
    <row r="2057" spans="1:14" x14ac:dyDescent="0.2">
      <c r="A2057">
        <v>555</v>
      </c>
      <c r="B2057">
        <v>55</v>
      </c>
      <c r="C2057" t="s">
        <v>36</v>
      </c>
      <c r="D2057" t="s">
        <v>318</v>
      </c>
      <c r="E2057" t="s">
        <v>16</v>
      </c>
      <c r="F2057">
        <v>6</v>
      </c>
      <c r="G2057" t="s">
        <v>13</v>
      </c>
      <c r="H2057" s="1">
        <v>45968.930555555555</v>
      </c>
      <c r="I2057" s="5">
        <f>INT(TB[[#This Row],[时间戳]])</f>
        <v>45968</v>
      </c>
      <c r="J2057" s="2">
        <f>HOUR(TB[[#This Row],[时间戳]])</f>
        <v>22</v>
      </c>
      <c r="K2057">
        <v>2381</v>
      </c>
      <c r="L2057">
        <v>4</v>
      </c>
      <c r="M2057">
        <f>TB[[#This Row],[售价]]*TB[[#This Row],[销量]]</f>
        <v>9524</v>
      </c>
      <c r="N2057" t="str">
        <f>IF(TB[[#This Row],[售价]]&lt;1000,"低价商品",IF(TB[[#This Row],[售价]]&lt;5000,"中价商品",IF(TB[[#This Row],[售价]]&lt;10000,"高价商品","超高价商品")))</f>
        <v>中价商品</v>
      </c>
    </row>
    <row r="2058" spans="1:14" x14ac:dyDescent="0.2">
      <c r="A2058">
        <v>775</v>
      </c>
      <c r="B2058">
        <v>159</v>
      </c>
      <c r="C2058" t="s">
        <v>46</v>
      </c>
      <c r="D2058" t="s">
        <v>80</v>
      </c>
      <c r="E2058" t="s">
        <v>22</v>
      </c>
      <c r="F2058">
        <v>1</v>
      </c>
      <c r="G2058" t="s">
        <v>13</v>
      </c>
      <c r="H2058" s="1">
        <v>45968.941666666666</v>
      </c>
      <c r="I2058" s="5">
        <f>INT(TB[[#This Row],[时间戳]])</f>
        <v>45968</v>
      </c>
      <c r="J2058" s="2">
        <f>HOUR(TB[[#This Row],[时间戳]])</f>
        <v>22</v>
      </c>
      <c r="K2058">
        <v>1443</v>
      </c>
      <c r="L2058">
        <v>5</v>
      </c>
      <c r="M2058">
        <f>TB[[#This Row],[售价]]*TB[[#This Row],[销量]]</f>
        <v>7215</v>
      </c>
      <c r="N2058" t="str">
        <f>IF(TB[[#This Row],[售价]]&lt;1000,"低价商品",IF(TB[[#This Row],[售价]]&lt;5000,"中价商品",IF(TB[[#This Row],[售价]]&lt;10000,"高价商品","超高价商品")))</f>
        <v>中价商品</v>
      </c>
    </row>
    <row r="2059" spans="1:14" x14ac:dyDescent="0.2">
      <c r="A2059">
        <v>34</v>
      </c>
      <c r="B2059">
        <v>124</v>
      </c>
      <c r="C2059" t="s">
        <v>32</v>
      </c>
      <c r="D2059" t="s">
        <v>368</v>
      </c>
      <c r="E2059" t="s">
        <v>16</v>
      </c>
      <c r="F2059">
        <v>6</v>
      </c>
      <c r="G2059" t="s">
        <v>13</v>
      </c>
      <c r="H2059" s="1">
        <v>45968.951388888891</v>
      </c>
      <c r="I2059" s="5">
        <f>INT(TB[[#This Row],[时间戳]])</f>
        <v>45968</v>
      </c>
      <c r="J2059" s="2">
        <f>HOUR(TB[[#This Row],[时间戳]])</f>
        <v>22</v>
      </c>
      <c r="K2059">
        <v>5157</v>
      </c>
      <c r="L2059">
        <v>5</v>
      </c>
      <c r="M2059">
        <f>TB[[#This Row],[售价]]*TB[[#This Row],[销量]]</f>
        <v>25785</v>
      </c>
      <c r="N2059" t="str">
        <f>IF(TB[[#This Row],[售价]]&lt;1000,"低价商品",IF(TB[[#This Row],[售价]]&lt;5000,"中价商品",IF(TB[[#This Row],[售价]]&lt;10000,"高价商品","超高价商品")))</f>
        <v>高价商品</v>
      </c>
    </row>
    <row r="2060" spans="1:14" x14ac:dyDescent="0.2">
      <c r="A2060">
        <v>46</v>
      </c>
      <c r="B2060">
        <v>289</v>
      </c>
      <c r="C2060" t="s">
        <v>46</v>
      </c>
      <c r="D2060" t="s">
        <v>380</v>
      </c>
      <c r="E2060" t="s">
        <v>16</v>
      </c>
      <c r="F2060">
        <v>6</v>
      </c>
      <c r="G2060" t="s">
        <v>13</v>
      </c>
      <c r="H2060" s="1">
        <v>45968.970833333333</v>
      </c>
      <c r="I2060" s="5">
        <f>INT(TB[[#This Row],[时间戳]])</f>
        <v>45968</v>
      </c>
      <c r="J2060" s="2">
        <f>HOUR(TB[[#This Row],[时间戳]])</f>
        <v>23</v>
      </c>
      <c r="K2060">
        <v>6253</v>
      </c>
      <c r="L2060">
        <v>4</v>
      </c>
      <c r="M2060">
        <f>TB[[#This Row],[售价]]*TB[[#This Row],[销量]]</f>
        <v>25012</v>
      </c>
      <c r="N2060" t="str">
        <f>IF(TB[[#This Row],[售价]]&lt;1000,"低价商品",IF(TB[[#This Row],[售价]]&lt;5000,"中价商品",IF(TB[[#This Row],[售价]]&lt;10000,"高价商品","超高价商品")))</f>
        <v>高价商品</v>
      </c>
    </row>
    <row r="2061" spans="1:14" x14ac:dyDescent="0.2">
      <c r="A2061">
        <v>323</v>
      </c>
      <c r="B2061">
        <v>48</v>
      </c>
      <c r="C2061" t="s">
        <v>10</v>
      </c>
      <c r="D2061" t="s">
        <v>134</v>
      </c>
      <c r="E2061" t="s">
        <v>22</v>
      </c>
      <c r="F2061">
        <v>1</v>
      </c>
      <c r="G2061" t="s">
        <v>13</v>
      </c>
      <c r="H2061" s="1">
        <v>45968.98541666667</v>
      </c>
      <c r="I2061" s="5">
        <f>INT(TB[[#This Row],[时间戳]])</f>
        <v>45968</v>
      </c>
      <c r="J2061" s="2">
        <f>HOUR(TB[[#This Row],[时间戳]])</f>
        <v>23</v>
      </c>
      <c r="K2061">
        <v>7520</v>
      </c>
      <c r="L2061">
        <v>4</v>
      </c>
      <c r="M2061">
        <f>TB[[#This Row],[售价]]*TB[[#This Row],[销量]]</f>
        <v>30080</v>
      </c>
      <c r="N2061" t="str">
        <f>IF(TB[[#This Row],[售价]]&lt;1000,"低价商品",IF(TB[[#This Row],[售价]]&lt;5000,"中价商品",IF(TB[[#This Row],[售价]]&lt;10000,"高价商品","超高价商品")))</f>
        <v>高价商品</v>
      </c>
    </row>
    <row r="2062" spans="1:14" x14ac:dyDescent="0.2">
      <c r="A2062">
        <v>408</v>
      </c>
      <c r="B2062">
        <v>257</v>
      </c>
      <c r="C2062" t="s">
        <v>34</v>
      </c>
      <c r="D2062" t="s">
        <v>400</v>
      </c>
      <c r="E2062" t="s">
        <v>19</v>
      </c>
      <c r="F2062">
        <v>3</v>
      </c>
      <c r="G2062" t="s">
        <v>42</v>
      </c>
      <c r="H2062" s="1">
        <v>45968.986805555556</v>
      </c>
      <c r="I2062" s="5">
        <f>INT(TB[[#This Row],[时间戳]])</f>
        <v>45968</v>
      </c>
      <c r="J2062" s="2">
        <f>HOUR(TB[[#This Row],[时间戳]])</f>
        <v>23</v>
      </c>
      <c r="K2062">
        <v>3832</v>
      </c>
      <c r="L2062">
        <v>0</v>
      </c>
      <c r="M2062">
        <f>TB[[#This Row],[售价]]*TB[[#This Row],[销量]]</f>
        <v>0</v>
      </c>
      <c r="N2062" t="str">
        <f>IF(TB[[#This Row],[售价]]&lt;1000,"低价商品",IF(TB[[#This Row],[售价]]&lt;5000,"中价商品",IF(TB[[#This Row],[售价]]&lt;10000,"高价商品","超高价商品")))</f>
        <v>中价商品</v>
      </c>
    </row>
    <row r="2063" spans="1:14" x14ac:dyDescent="0.2">
      <c r="A2063">
        <v>133</v>
      </c>
      <c r="B2063">
        <v>50</v>
      </c>
      <c r="C2063" t="s">
        <v>17</v>
      </c>
      <c r="D2063" t="s">
        <v>257</v>
      </c>
      <c r="E2063" t="s">
        <v>19</v>
      </c>
      <c r="F2063">
        <v>3</v>
      </c>
      <c r="G2063" t="s">
        <v>13</v>
      </c>
      <c r="H2063" s="1">
        <v>45969</v>
      </c>
      <c r="I2063" s="5">
        <f>INT(TB[[#This Row],[时间戳]])</f>
        <v>45969</v>
      </c>
      <c r="J2063" s="2">
        <f>HOUR(TB[[#This Row],[时间戳]])</f>
        <v>0</v>
      </c>
      <c r="K2063">
        <v>3057</v>
      </c>
      <c r="L2063">
        <v>5</v>
      </c>
      <c r="M2063">
        <f>TB[[#This Row],[售价]]*TB[[#This Row],[销量]]</f>
        <v>15285</v>
      </c>
      <c r="N2063" t="str">
        <f>IF(TB[[#This Row],[售价]]&lt;1000,"低价商品",IF(TB[[#This Row],[售价]]&lt;5000,"中价商品",IF(TB[[#This Row],[售价]]&lt;10000,"高价商品","超高价商品")))</f>
        <v>中价商品</v>
      </c>
    </row>
    <row r="2064" spans="1:14" x14ac:dyDescent="0.2">
      <c r="A2064">
        <v>515</v>
      </c>
      <c r="B2064">
        <v>77</v>
      </c>
      <c r="C2064" t="s">
        <v>20</v>
      </c>
      <c r="D2064" t="s">
        <v>319</v>
      </c>
      <c r="E2064" t="s">
        <v>31</v>
      </c>
      <c r="F2064">
        <v>4</v>
      </c>
      <c r="G2064" t="s">
        <v>13</v>
      </c>
      <c r="H2064" s="1">
        <v>45969.029861111114</v>
      </c>
      <c r="I2064" s="5">
        <f>INT(TB[[#This Row],[时间戳]])</f>
        <v>45969</v>
      </c>
      <c r="J2064" s="2">
        <f>HOUR(TB[[#This Row],[时间戳]])</f>
        <v>0</v>
      </c>
      <c r="K2064">
        <v>736</v>
      </c>
      <c r="L2064">
        <v>5</v>
      </c>
      <c r="M2064">
        <f>TB[[#This Row],[售价]]*TB[[#This Row],[销量]]</f>
        <v>3680</v>
      </c>
      <c r="N2064" t="str">
        <f>IF(TB[[#This Row],[售价]]&lt;1000,"低价商品",IF(TB[[#This Row],[售价]]&lt;5000,"中价商品",IF(TB[[#This Row],[售价]]&lt;10000,"高价商品","超高价商品")))</f>
        <v>低价商品</v>
      </c>
    </row>
    <row r="2065" spans="1:14" x14ac:dyDescent="0.2">
      <c r="A2065">
        <v>601</v>
      </c>
      <c r="B2065">
        <v>20</v>
      </c>
      <c r="C2065" t="s">
        <v>17</v>
      </c>
      <c r="D2065" t="s">
        <v>128</v>
      </c>
      <c r="E2065" t="s">
        <v>12</v>
      </c>
      <c r="F2065">
        <v>2</v>
      </c>
      <c r="G2065" t="s">
        <v>13</v>
      </c>
      <c r="H2065" s="1">
        <v>45969.041666666664</v>
      </c>
      <c r="I2065" s="5">
        <f>INT(TB[[#This Row],[时间戳]])</f>
        <v>45969</v>
      </c>
      <c r="J2065" s="2">
        <f>HOUR(TB[[#This Row],[时间戳]])</f>
        <v>1</v>
      </c>
      <c r="K2065">
        <v>4488</v>
      </c>
      <c r="L2065">
        <v>5</v>
      </c>
      <c r="M2065">
        <f>TB[[#This Row],[售价]]*TB[[#This Row],[销量]]</f>
        <v>22440</v>
      </c>
      <c r="N2065" t="str">
        <f>IF(TB[[#This Row],[售价]]&lt;1000,"低价商品",IF(TB[[#This Row],[售价]]&lt;5000,"中价商品",IF(TB[[#This Row],[售价]]&lt;10000,"高价商品","超高价商品")))</f>
        <v>中价商品</v>
      </c>
    </row>
    <row r="2066" spans="1:14" x14ac:dyDescent="0.2">
      <c r="A2066">
        <v>475</v>
      </c>
      <c r="B2066">
        <v>41</v>
      </c>
      <c r="C2066" t="s">
        <v>26</v>
      </c>
      <c r="D2066" t="s">
        <v>65</v>
      </c>
      <c r="E2066" t="s">
        <v>22</v>
      </c>
      <c r="F2066">
        <v>1</v>
      </c>
      <c r="G2066" t="s">
        <v>13</v>
      </c>
      <c r="H2066" s="1">
        <v>45969.042361111111</v>
      </c>
      <c r="I2066" s="5">
        <f>INT(TB[[#This Row],[时间戳]])</f>
        <v>45969</v>
      </c>
      <c r="J2066" s="2">
        <f>HOUR(TB[[#This Row],[时间戳]])</f>
        <v>1</v>
      </c>
      <c r="K2066">
        <v>3258</v>
      </c>
      <c r="L2066">
        <v>2</v>
      </c>
      <c r="M2066">
        <f>TB[[#This Row],[售价]]*TB[[#This Row],[销量]]</f>
        <v>6516</v>
      </c>
      <c r="N2066" t="str">
        <f>IF(TB[[#This Row],[售价]]&lt;1000,"低价商品",IF(TB[[#This Row],[售价]]&lt;5000,"中价商品",IF(TB[[#This Row],[售价]]&lt;10000,"高价商品","超高价商品")))</f>
        <v>中价商品</v>
      </c>
    </row>
    <row r="2067" spans="1:14" x14ac:dyDescent="0.2">
      <c r="A2067">
        <v>698</v>
      </c>
      <c r="B2067">
        <v>73</v>
      </c>
      <c r="C2067" t="s">
        <v>32</v>
      </c>
      <c r="D2067" t="s">
        <v>170</v>
      </c>
      <c r="E2067" t="s">
        <v>31</v>
      </c>
      <c r="F2067">
        <v>4</v>
      </c>
      <c r="G2067" t="s">
        <v>13</v>
      </c>
      <c r="H2067" s="1">
        <v>45969.070833333331</v>
      </c>
      <c r="I2067" s="5">
        <f>INT(TB[[#This Row],[时间戳]])</f>
        <v>45969</v>
      </c>
      <c r="J2067" s="2">
        <f>HOUR(TB[[#This Row],[时间戳]])</f>
        <v>1</v>
      </c>
      <c r="K2067">
        <v>1178</v>
      </c>
      <c r="L2067">
        <v>5</v>
      </c>
      <c r="M2067">
        <f>TB[[#This Row],[售价]]*TB[[#This Row],[销量]]</f>
        <v>5890</v>
      </c>
      <c r="N2067" t="str">
        <f>IF(TB[[#This Row],[售价]]&lt;1000,"低价商品",IF(TB[[#This Row],[售价]]&lt;5000,"中价商品",IF(TB[[#This Row],[售价]]&lt;10000,"高价商品","超高价商品")))</f>
        <v>中价商品</v>
      </c>
    </row>
    <row r="2068" spans="1:14" x14ac:dyDescent="0.2">
      <c r="A2068">
        <v>624</v>
      </c>
      <c r="B2068">
        <v>268</v>
      </c>
      <c r="C2068" t="s">
        <v>20</v>
      </c>
      <c r="D2068" t="s">
        <v>324</v>
      </c>
      <c r="E2068" t="s">
        <v>12</v>
      </c>
      <c r="F2068">
        <v>2</v>
      </c>
      <c r="G2068" t="s">
        <v>13</v>
      </c>
      <c r="H2068" s="1">
        <v>45969.074999999997</v>
      </c>
      <c r="I2068" s="5">
        <f>INT(TB[[#This Row],[时间戳]])</f>
        <v>45969</v>
      </c>
      <c r="J2068" s="2">
        <f>HOUR(TB[[#This Row],[时间戳]])</f>
        <v>1</v>
      </c>
      <c r="K2068">
        <v>6694</v>
      </c>
      <c r="L2068">
        <v>2</v>
      </c>
      <c r="M2068">
        <f>TB[[#This Row],[售价]]*TB[[#This Row],[销量]]</f>
        <v>13388</v>
      </c>
      <c r="N2068" t="str">
        <f>IF(TB[[#This Row],[售价]]&lt;1000,"低价商品",IF(TB[[#This Row],[售价]]&lt;5000,"中价商品",IF(TB[[#This Row],[售价]]&lt;10000,"高价商品","超高价商品")))</f>
        <v>高价商品</v>
      </c>
    </row>
    <row r="2069" spans="1:14" x14ac:dyDescent="0.2">
      <c r="A2069">
        <v>298</v>
      </c>
      <c r="B2069">
        <v>185</v>
      </c>
      <c r="C2069" t="s">
        <v>26</v>
      </c>
      <c r="D2069" t="s">
        <v>392</v>
      </c>
      <c r="E2069" t="s">
        <v>16</v>
      </c>
      <c r="F2069">
        <v>6</v>
      </c>
      <c r="G2069" t="s">
        <v>13</v>
      </c>
      <c r="H2069" s="1">
        <v>45969.080555555556</v>
      </c>
      <c r="I2069" s="5">
        <f>INT(TB[[#This Row],[时间戳]])</f>
        <v>45969</v>
      </c>
      <c r="J2069" s="2">
        <f>HOUR(TB[[#This Row],[时间戳]])</f>
        <v>1</v>
      </c>
      <c r="K2069">
        <v>7622</v>
      </c>
      <c r="L2069">
        <v>5</v>
      </c>
      <c r="M2069">
        <f>TB[[#This Row],[售价]]*TB[[#This Row],[销量]]</f>
        <v>38110</v>
      </c>
      <c r="N2069" t="str">
        <f>IF(TB[[#This Row],[售价]]&lt;1000,"低价商品",IF(TB[[#This Row],[售价]]&lt;5000,"中价商品",IF(TB[[#This Row],[售价]]&lt;10000,"高价商品","超高价商品")))</f>
        <v>高价商品</v>
      </c>
    </row>
    <row r="2070" spans="1:14" x14ac:dyDescent="0.2">
      <c r="A2070">
        <v>793</v>
      </c>
      <c r="B2070">
        <v>199</v>
      </c>
      <c r="C2070" t="s">
        <v>10</v>
      </c>
      <c r="D2070" t="s">
        <v>11</v>
      </c>
      <c r="E2070" t="s">
        <v>12</v>
      </c>
      <c r="F2070">
        <v>2</v>
      </c>
      <c r="G2070" t="s">
        <v>13</v>
      </c>
      <c r="H2070" s="1">
        <v>45969.084027777775</v>
      </c>
      <c r="I2070" s="5">
        <f>INT(TB[[#This Row],[时间戳]])</f>
        <v>45969</v>
      </c>
      <c r="J2070" s="2">
        <f>HOUR(TB[[#This Row],[时间戳]])</f>
        <v>2</v>
      </c>
      <c r="K2070">
        <v>14234</v>
      </c>
      <c r="L2070">
        <v>5</v>
      </c>
      <c r="M2070">
        <f>TB[[#This Row],[售价]]*TB[[#This Row],[销量]]</f>
        <v>71170</v>
      </c>
      <c r="N2070" t="str">
        <f>IF(TB[[#This Row],[售价]]&lt;1000,"低价商品",IF(TB[[#This Row],[售价]]&lt;5000,"中价商品",IF(TB[[#This Row],[售价]]&lt;10000,"高价商品","超高价商品")))</f>
        <v>超高价商品</v>
      </c>
    </row>
    <row r="2071" spans="1:14" x14ac:dyDescent="0.2">
      <c r="A2071">
        <v>77</v>
      </c>
      <c r="B2071">
        <v>79</v>
      </c>
      <c r="C2071" t="s">
        <v>46</v>
      </c>
      <c r="D2071" t="s">
        <v>150</v>
      </c>
      <c r="E2071" t="s">
        <v>25</v>
      </c>
      <c r="F2071">
        <v>7</v>
      </c>
      <c r="G2071" t="s">
        <v>13</v>
      </c>
      <c r="H2071" s="1">
        <v>45969.09097222222</v>
      </c>
      <c r="I2071" s="5">
        <f>INT(TB[[#This Row],[时间戳]])</f>
        <v>45969</v>
      </c>
      <c r="J2071" s="2">
        <f>HOUR(TB[[#This Row],[时间戳]])</f>
        <v>2</v>
      </c>
      <c r="K2071">
        <v>3364</v>
      </c>
      <c r="L2071">
        <v>2</v>
      </c>
      <c r="M2071">
        <f>TB[[#This Row],[售价]]*TB[[#This Row],[销量]]</f>
        <v>6728</v>
      </c>
      <c r="N2071" t="str">
        <f>IF(TB[[#This Row],[售价]]&lt;1000,"低价商品",IF(TB[[#This Row],[售价]]&lt;5000,"中价商品",IF(TB[[#This Row],[售价]]&lt;10000,"高价商品","超高价商品")))</f>
        <v>中价商品</v>
      </c>
    </row>
    <row r="2072" spans="1:14" x14ac:dyDescent="0.2">
      <c r="A2072">
        <v>16</v>
      </c>
      <c r="B2072">
        <v>74</v>
      </c>
      <c r="C2072" t="s">
        <v>44</v>
      </c>
      <c r="D2072" t="s">
        <v>322</v>
      </c>
      <c r="E2072" t="s">
        <v>16</v>
      </c>
      <c r="F2072">
        <v>6</v>
      </c>
      <c r="G2072" t="s">
        <v>13</v>
      </c>
      <c r="H2072" s="1">
        <v>45969.117361111108</v>
      </c>
      <c r="I2072" s="5">
        <f>INT(TB[[#This Row],[时间戳]])</f>
        <v>45969</v>
      </c>
      <c r="J2072" s="2">
        <f>HOUR(TB[[#This Row],[时间戳]])</f>
        <v>2</v>
      </c>
      <c r="K2072">
        <v>11409</v>
      </c>
      <c r="L2072">
        <v>2</v>
      </c>
      <c r="M2072">
        <f>TB[[#This Row],[售价]]*TB[[#This Row],[销量]]</f>
        <v>22818</v>
      </c>
      <c r="N2072" t="str">
        <f>IF(TB[[#This Row],[售价]]&lt;1000,"低价商品",IF(TB[[#This Row],[售价]]&lt;5000,"中价商品",IF(TB[[#This Row],[售价]]&lt;10000,"高价商品","超高价商品")))</f>
        <v>超高价商品</v>
      </c>
    </row>
    <row r="2073" spans="1:14" x14ac:dyDescent="0.2">
      <c r="A2073">
        <v>511</v>
      </c>
      <c r="B2073">
        <v>49</v>
      </c>
      <c r="C2073" t="s">
        <v>20</v>
      </c>
      <c r="D2073" t="s">
        <v>78</v>
      </c>
      <c r="E2073" t="s">
        <v>22</v>
      </c>
      <c r="F2073">
        <v>1</v>
      </c>
      <c r="G2073" t="s">
        <v>13</v>
      </c>
      <c r="H2073" s="1">
        <v>45969.130555555559</v>
      </c>
      <c r="I2073" s="5">
        <f>INT(TB[[#This Row],[时间戳]])</f>
        <v>45969</v>
      </c>
      <c r="J2073" s="2">
        <f>HOUR(TB[[#This Row],[时间戳]])</f>
        <v>3</v>
      </c>
      <c r="K2073">
        <v>7235</v>
      </c>
      <c r="L2073">
        <v>5</v>
      </c>
      <c r="M2073">
        <f>TB[[#This Row],[售价]]*TB[[#This Row],[销量]]</f>
        <v>36175</v>
      </c>
      <c r="N2073" t="str">
        <f>IF(TB[[#This Row],[售价]]&lt;1000,"低价商品",IF(TB[[#This Row],[售价]]&lt;5000,"中价商品",IF(TB[[#This Row],[售价]]&lt;10000,"高价商品","超高价商品")))</f>
        <v>高价商品</v>
      </c>
    </row>
    <row r="2074" spans="1:14" x14ac:dyDescent="0.2">
      <c r="A2074">
        <v>166</v>
      </c>
      <c r="B2074">
        <v>35</v>
      </c>
      <c r="C2074" t="s">
        <v>26</v>
      </c>
      <c r="D2074" t="s">
        <v>306</v>
      </c>
      <c r="E2074" t="s">
        <v>31</v>
      </c>
      <c r="F2074">
        <v>4</v>
      </c>
      <c r="G2074" t="s">
        <v>42</v>
      </c>
      <c r="H2074" s="1">
        <v>45969.134722222225</v>
      </c>
      <c r="I2074" s="5">
        <f>INT(TB[[#This Row],[时间戳]])</f>
        <v>45969</v>
      </c>
      <c r="J2074" s="2">
        <f>HOUR(TB[[#This Row],[时间戳]])</f>
        <v>3</v>
      </c>
      <c r="K2074">
        <v>941</v>
      </c>
      <c r="L2074">
        <v>0</v>
      </c>
      <c r="M2074">
        <f>TB[[#This Row],[售价]]*TB[[#This Row],[销量]]</f>
        <v>0</v>
      </c>
      <c r="N2074" t="str">
        <f>IF(TB[[#This Row],[售价]]&lt;1000,"低价商品",IF(TB[[#This Row],[售价]]&lt;5000,"中价商品",IF(TB[[#This Row],[售价]]&lt;10000,"高价商品","超高价商品")))</f>
        <v>低价商品</v>
      </c>
    </row>
    <row r="2075" spans="1:14" x14ac:dyDescent="0.2">
      <c r="A2075">
        <v>92</v>
      </c>
      <c r="B2075">
        <v>37</v>
      </c>
      <c r="C2075" t="s">
        <v>34</v>
      </c>
      <c r="D2075" t="s">
        <v>365</v>
      </c>
      <c r="E2075" t="s">
        <v>16</v>
      </c>
      <c r="F2075">
        <v>6</v>
      </c>
      <c r="G2075" t="s">
        <v>13</v>
      </c>
      <c r="H2075" s="1">
        <v>45969.173611111109</v>
      </c>
      <c r="I2075" s="5">
        <f>INT(TB[[#This Row],[时间戳]])</f>
        <v>45969</v>
      </c>
      <c r="J2075" s="2">
        <f>HOUR(TB[[#This Row],[时间戳]])</f>
        <v>4</v>
      </c>
      <c r="K2075">
        <v>6684</v>
      </c>
      <c r="L2075">
        <v>5</v>
      </c>
      <c r="M2075">
        <f>TB[[#This Row],[售价]]*TB[[#This Row],[销量]]</f>
        <v>33420</v>
      </c>
      <c r="N2075" t="str">
        <f>IF(TB[[#This Row],[售价]]&lt;1000,"低价商品",IF(TB[[#This Row],[售价]]&lt;5000,"中价商品",IF(TB[[#This Row],[售价]]&lt;10000,"高价商品","超高价商品")))</f>
        <v>高价商品</v>
      </c>
    </row>
    <row r="2076" spans="1:14" x14ac:dyDescent="0.2">
      <c r="A2076">
        <v>485</v>
      </c>
      <c r="B2076">
        <v>132</v>
      </c>
      <c r="C2076" t="s">
        <v>44</v>
      </c>
      <c r="D2076" t="s">
        <v>132</v>
      </c>
      <c r="E2076" t="s">
        <v>22</v>
      </c>
      <c r="F2076">
        <v>1</v>
      </c>
      <c r="G2076" t="s">
        <v>13</v>
      </c>
      <c r="H2076" s="1">
        <v>45969.212500000001</v>
      </c>
      <c r="I2076" s="5">
        <f>INT(TB[[#This Row],[时间戳]])</f>
        <v>45969</v>
      </c>
      <c r="J2076" s="2">
        <f>HOUR(TB[[#This Row],[时间戳]])</f>
        <v>5</v>
      </c>
      <c r="K2076">
        <v>2630</v>
      </c>
      <c r="L2076">
        <v>5</v>
      </c>
      <c r="M2076">
        <f>TB[[#This Row],[售价]]*TB[[#This Row],[销量]]</f>
        <v>13150</v>
      </c>
      <c r="N2076" t="str">
        <f>IF(TB[[#This Row],[售价]]&lt;1000,"低价商品",IF(TB[[#This Row],[售价]]&lt;5000,"中价商品",IF(TB[[#This Row],[售价]]&lt;10000,"高价商品","超高价商品")))</f>
        <v>中价商品</v>
      </c>
    </row>
    <row r="2077" spans="1:14" x14ac:dyDescent="0.2">
      <c r="A2077">
        <v>583</v>
      </c>
      <c r="B2077">
        <v>250</v>
      </c>
      <c r="C2077" t="s">
        <v>26</v>
      </c>
      <c r="D2077" t="s">
        <v>225</v>
      </c>
      <c r="E2077" t="s">
        <v>31</v>
      </c>
      <c r="F2077">
        <v>4</v>
      </c>
      <c r="G2077" t="s">
        <v>13</v>
      </c>
      <c r="H2077" s="1">
        <v>45969.25</v>
      </c>
      <c r="I2077" s="5">
        <f>INT(TB[[#This Row],[时间戳]])</f>
        <v>45969</v>
      </c>
      <c r="J2077" s="2">
        <f>HOUR(TB[[#This Row],[时间戳]])</f>
        <v>6</v>
      </c>
      <c r="K2077">
        <v>1087</v>
      </c>
      <c r="L2077">
        <v>5</v>
      </c>
      <c r="M2077">
        <f>TB[[#This Row],[售价]]*TB[[#This Row],[销量]]</f>
        <v>5435</v>
      </c>
      <c r="N2077" t="str">
        <f>IF(TB[[#This Row],[售价]]&lt;1000,"低价商品",IF(TB[[#This Row],[售价]]&lt;5000,"中价商品",IF(TB[[#This Row],[售价]]&lt;10000,"高价商品","超高价商品")))</f>
        <v>中价商品</v>
      </c>
    </row>
    <row r="2078" spans="1:14" x14ac:dyDescent="0.2">
      <c r="A2078">
        <v>419</v>
      </c>
      <c r="B2078">
        <v>67</v>
      </c>
      <c r="C2078" t="s">
        <v>36</v>
      </c>
      <c r="D2078" t="s">
        <v>172</v>
      </c>
      <c r="E2078" t="s">
        <v>25</v>
      </c>
      <c r="F2078">
        <v>7</v>
      </c>
      <c r="G2078" t="s">
        <v>13</v>
      </c>
      <c r="H2078" s="1">
        <v>45969.254861111112</v>
      </c>
      <c r="I2078" s="5">
        <f>INT(TB[[#This Row],[时间戳]])</f>
        <v>45969</v>
      </c>
      <c r="J2078" s="2">
        <f>HOUR(TB[[#This Row],[时间戳]])</f>
        <v>6</v>
      </c>
      <c r="K2078">
        <v>1810</v>
      </c>
      <c r="L2078">
        <v>5</v>
      </c>
      <c r="M2078">
        <f>TB[[#This Row],[售价]]*TB[[#This Row],[销量]]</f>
        <v>9050</v>
      </c>
      <c r="N2078" t="str">
        <f>IF(TB[[#This Row],[售价]]&lt;1000,"低价商品",IF(TB[[#This Row],[售价]]&lt;5000,"中价商品",IF(TB[[#This Row],[售价]]&lt;10000,"高价商品","超高价商品")))</f>
        <v>中价商品</v>
      </c>
    </row>
    <row r="2079" spans="1:14" x14ac:dyDescent="0.2">
      <c r="A2079">
        <v>322</v>
      </c>
      <c r="B2079">
        <v>192</v>
      </c>
      <c r="C2079" t="s">
        <v>20</v>
      </c>
      <c r="D2079" t="s">
        <v>367</v>
      </c>
      <c r="E2079" t="s">
        <v>25</v>
      </c>
      <c r="F2079">
        <v>7</v>
      </c>
      <c r="G2079" t="s">
        <v>13</v>
      </c>
      <c r="H2079" s="1">
        <v>45969.265972222223</v>
      </c>
      <c r="I2079" s="5">
        <f>INT(TB[[#This Row],[时间戳]])</f>
        <v>45969</v>
      </c>
      <c r="J2079" s="2">
        <f>HOUR(TB[[#This Row],[时间戳]])</f>
        <v>6</v>
      </c>
      <c r="K2079">
        <v>5098</v>
      </c>
      <c r="L2079">
        <v>2</v>
      </c>
      <c r="M2079">
        <f>TB[[#This Row],[售价]]*TB[[#This Row],[销量]]</f>
        <v>10196</v>
      </c>
      <c r="N2079" t="str">
        <f>IF(TB[[#This Row],[售价]]&lt;1000,"低价商品",IF(TB[[#This Row],[售价]]&lt;5000,"中价商品",IF(TB[[#This Row],[售价]]&lt;10000,"高价商品","超高价商品")))</f>
        <v>高价商品</v>
      </c>
    </row>
    <row r="2080" spans="1:14" x14ac:dyDescent="0.2">
      <c r="A2080">
        <v>461</v>
      </c>
      <c r="B2080">
        <v>135</v>
      </c>
      <c r="C2080" t="s">
        <v>17</v>
      </c>
      <c r="D2080" t="s">
        <v>50</v>
      </c>
      <c r="E2080" t="s">
        <v>22</v>
      </c>
      <c r="F2080">
        <v>1</v>
      </c>
      <c r="G2080" t="s">
        <v>13</v>
      </c>
      <c r="H2080" s="1">
        <v>45969.343055555553</v>
      </c>
      <c r="I2080" s="5">
        <f>INT(TB[[#This Row],[时间戳]])</f>
        <v>45969</v>
      </c>
      <c r="J2080" s="2">
        <f>HOUR(TB[[#This Row],[时间戳]])</f>
        <v>8</v>
      </c>
      <c r="K2080">
        <v>1832</v>
      </c>
      <c r="L2080">
        <v>5</v>
      </c>
      <c r="M2080">
        <f>TB[[#This Row],[售价]]*TB[[#This Row],[销量]]</f>
        <v>9160</v>
      </c>
      <c r="N2080" t="str">
        <f>IF(TB[[#This Row],[售价]]&lt;1000,"低价商品",IF(TB[[#This Row],[售价]]&lt;5000,"中价商品",IF(TB[[#This Row],[售价]]&lt;10000,"高价商品","超高价商品")))</f>
        <v>中价商品</v>
      </c>
    </row>
    <row r="2081" spans="1:14" x14ac:dyDescent="0.2">
      <c r="A2081">
        <v>59</v>
      </c>
      <c r="B2081">
        <v>126</v>
      </c>
      <c r="C2081" t="s">
        <v>46</v>
      </c>
      <c r="D2081" t="s">
        <v>209</v>
      </c>
      <c r="E2081" t="s">
        <v>22</v>
      </c>
      <c r="F2081">
        <v>1</v>
      </c>
      <c r="G2081" t="s">
        <v>42</v>
      </c>
      <c r="H2081" s="1">
        <v>45969.370833333334</v>
      </c>
      <c r="I2081" s="5">
        <f>INT(TB[[#This Row],[时间戳]])</f>
        <v>45969</v>
      </c>
      <c r="J2081" s="2">
        <f>HOUR(TB[[#This Row],[时间戳]])</f>
        <v>8</v>
      </c>
      <c r="K2081">
        <v>6412</v>
      </c>
      <c r="L2081">
        <v>0</v>
      </c>
      <c r="M2081">
        <f>TB[[#This Row],[售价]]*TB[[#This Row],[销量]]</f>
        <v>0</v>
      </c>
      <c r="N2081" t="str">
        <f>IF(TB[[#This Row],[售价]]&lt;1000,"低价商品",IF(TB[[#This Row],[售价]]&lt;5000,"中价商品",IF(TB[[#This Row],[售价]]&lt;10000,"高价商品","超高价商品")))</f>
        <v>高价商品</v>
      </c>
    </row>
    <row r="2082" spans="1:14" x14ac:dyDescent="0.2">
      <c r="A2082">
        <v>108</v>
      </c>
      <c r="B2082">
        <v>149</v>
      </c>
      <c r="C2082" t="s">
        <v>10</v>
      </c>
      <c r="D2082" t="s">
        <v>41</v>
      </c>
      <c r="E2082" t="s">
        <v>22</v>
      </c>
      <c r="F2082">
        <v>1</v>
      </c>
      <c r="G2082" t="s">
        <v>42</v>
      </c>
      <c r="H2082" s="1">
        <v>45969.370833333334</v>
      </c>
      <c r="I2082" s="5">
        <f>INT(TB[[#This Row],[时间戳]])</f>
        <v>45969</v>
      </c>
      <c r="J2082" s="2">
        <f>HOUR(TB[[#This Row],[时间戳]])</f>
        <v>8</v>
      </c>
      <c r="K2082">
        <v>6819</v>
      </c>
      <c r="L2082">
        <v>0</v>
      </c>
      <c r="M2082">
        <f>TB[[#This Row],[售价]]*TB[[#This Row],[销量]]</f>
        <v>0</v>
      </c>
      <c r="N2082" t="str">
        <f>IF(TB[[#This Row],[售价]]&lt;1000,"低价商品",IF(TB[[#This Row],[售价]]&lt;5000,"中价商品",IF(TB[[#This Row],[售价]]&lt;10000,"高价商品","超高价商品")))</f>
        <v>高价商品</v>
      </c>
    </row>
    <row r="2083" spans="1:14" x14ac:dyDescent="0.2">
      <c r="A2083">
        <v>75</v>
      </c>
      <c r="B2083">
        <v>115</v>
      </c>
      <c r="C2083" t="s">
        <v>46</v>
      </c>
      <c r="D2083" t="s">
        <v>127</v>
      </c>
      <c r="E2083" t="s">
        <v>12</v>
      </c>
      <c r="F2083">
        <v>2</v>
      </c>
      <c r="G2083" t="s">
        <v>13</v>
      </c>
      <c r="H2083" s="1">
        <v>45969.37222222222</v>
      </c>
      <c r="I2083" s="5">
        <f>INT(TB[[#This Row],[时间戳]])</f>
        <v>45969</v>
      </c>
      <c r="J2083" s="2">
        <f>HOUR(TB[[#This Row],[时间戳]])</f>
        <v>8</v>
      </c>
      <c r="K2083">
        <v>10038</v>
      </c>
      <c r="L2083">
        <v>5</v>
      </c>
      <c r="M2083">
        <f>TB[[#This Row],[售价]]*TB[[#This Row],[销量]]</f>
        <v>50190</v>
      </c>
      <c r="N2083" t="str">
        <f>IF(TB[[#This Row],[售价]]&lt;1000,"低价商品",IF(TB[[#This Row],[售价]]&lt;5000,"中价商品",IF(TB[[#This Row],[售价]]&lt;10000,"高价商品","超高价商品")))</f>
        <v>超高价商品</v>
      </c>
    </row>
    <row r="2084" spans="1:14" x14ac:dyDescent="0.2">
      <c r="A2084">
        <v>478</v>
      </c>
      <c r="B2084">
        <v>240</v>
      </c>
      <c r="C2084" t="s">
        <v>14</v>
      </c>
      <c r="D2084" t="s">
        <v>145</v>
      </c>
      <c r="E2084" t="s">
        <v>22</v>
      </c>
      <c r="F2084">
        <v>1</v>
      </c>
      <c r="G2084" t="s">
        <v>13</v>
      </c>
      <c r="H2084" s="1">
        <v>45969.384027777778</v>
      </c>
      <c r="I2084" s="5">
        <f>INT(TB[[#This Row],[时间戳]])</f>
        <v>45969</v>
      </c>
      <c r="J2084" s="2">
        <f>HOUR(TB[[#This Row],[时间戳]])</f>
        <v>9</v>
      </c>
      <c r="K2084">
        <v>4216</v>
      </c>
      <c r="L2084">
        <v>5</v>
      </c>
      <c r="M2084">
        <f>TB[[#This Row],[售价]]*TB[[#This Row],[销量]]</f>
        <v>21080</v>
      </c>
      <c r="N2084" t="str">
        <f>IF(TB[[#This Row],[售价]]&lt;1000,"低价商品",IF(TB[[#This Row],[售价]]&lt;5000,"中价商品",IF(TB[[#This Row],[售价]]&lt;10000,"高价商品","超高价商品")))</f>
        <v>中价商品</v>
      </c>
    </row>
    <row r="2085" spans="1:14" x14ac:dyDescent="0.2">
      <c r="A2085">
        <v>88</v>
      </c>
      <c r="B2085">
        <v>93</v>
      </c>
      <c r="C2085" t="s">
        <v>44</v>
      </c>
      <c r="D2085" t="s">
        <v>397</v>
      </c>
      <c r="E2085" t="s">
        <v>25</v>
      </c>
      <c r="F2085">
        <v>7</v>
      </c>
      <c r="G2085" t="s">
        <v>13</v>
      </c>
      <c r="H2085" s="1">
        <v>45969.427777777775</v>
      </c>
      <c r="I2085" s="5">
        <f>INT(TB[[#This Row],[时间戳]])</f>
        <v>45969</v>
      </c>
      <c r="J2085" s="2">
        <f>HOUR(TB[[#This Row],[时间戳]])</f>
        <v>10</v>
      </c>
      <c r="K2085">
        <v>6836</v>
      </c>
      <c r="L2085">
        <v>5</v>
      </c>
      <c r="M2085">
        <f>TB[[#This Row],[售价]]*TB[[#This Row],[销量]]</f>
        <v>34180</v>
      </c>
      <c r="N2085" t="str">
        <f>IF(TB[[#This Row],[售价]]&lt;1000,"低价商品",IF(TB[[#This Row],[售价]]&lt;5000,"中价商品",IF(TB[[#This Row],[售价]]&lt;10000,"高价商品","超高价商品")))</f>
        <v>高价商品</v>
      </c>
    </row>
    <row r="2086" spans="1:14" x14ac:dyDescent="0.2">
      <c r="A2086">
        <v>205</v>
      </c>
      <c r="B2086">
        <v>206</v>
      </c>
      <c r="C2086" t="s">
        <v>17</v>
      </c>
      <c r="D2086" t="s">
        <v>391</v>
      </c>
      <c r="E2086" t="s">
        <v>25</v>
      </c>
      <c r="F2086">
        <v>7</v>
      </c>
      <c r="G2086" t="s">
        <v>13</v>
      </c>
      <c r="H2086" s="1">
        <v>45969.442361111112</v>
      </c>
      <c r="I2086" s="5">
        <f>INT(TB[[#This Row],[时间戳]])</f>
        <v>45969</v>
      </c>
      <c r="J2086" s="2">
        <f>HOUR(TB[[#This Row],[时间戳]])</f>
        <v>10</v>
      </c>
      <c r="K2086">
        <v>7349</v>
      </c>
      <c r="L2086">
        <v>5</v>
      </c>
      <c r="M2086">
        <f>TB[[#This Row],[售价]]*TB[[#This Row],[销量]]</f>
        <v>36745</v>
      </c>
      <c r="N2086" t="str">
        <f>IF(TB[[#This Row],[售价]]&lt;1000,"低价商品",IF(TB[[#This Row],[售价]]&lt;5000,"中价商品",IF(TB[[#This Row],[售价]]&lt;10000,"高价商品","超高价商品")))</f>
        <v>高价商品</v>
      </c>
    </row>
    <row r="2087" spans="1:14" x14ac:dyDescent="0.2">
      <c r="A2087">
        <v>619</v>
      </c>
      <c r="B2087">
        <v>249</v>
      </c>
      <c r="C2087" t="s">
        <v>34</v>
      </c>
      <c r="D2087" t="s">
        <v>248</v>
      </c>
      <c r="E2087" t="s">
        <v>22</v>
      </c>
      <c r="F2087">
        <v>1</v>
      </c>
      <c r="G2087" t="s">
        <v>13</v>
      </c>
      <c r="H2087" s="1">
        <v>45969.454861111109</v>
      </c>
      <c r="I2087" s="5">
        <f>INT(TB[[#This Row],[时间戳]])</f>
        <v>45969</v>
      </c>
      <c r="J2087" s="2">
        <f>HOUR(TB[[#This Row],[时间戳]])</f>
        <v>10</v>
      </c>
      <c r="K2087">
        <v>3525</v>
      </c>
      <c r="L2087">
        <v>2</v>
      </c>
      <c r="M2087">
        <f>TB[[#This Row],[售价]]*TB[[#This Row],[销量]]</f>
        <v>7050</v>
      </c>
      <c r="N2087" t="str">
        <f>IF(TB[[#This Row],[售价]]&lt;1000,"低价商品",IF(TB[[#This Row],[售价]]&lt;5000,"中价商品",IF(TB[[#This Row],[售价]]&lt;10000,"高价商品","超高价商品")))</f>
        <v>中价商品</v>
      </c>
    </row>
    <row r="2088" spans="1:14" x14ac:dyDescent="0.2">
      <c r="A2088">
        <v>286</v>
      </c>
      <c r="B2088">
        <v>233</v>
      </c>
      <c r="C2088" t="s">
        <v>44</v>
      </c>
      <c r="D2088" t="s">
        <v>222</v>
      </c>
      <c r="E2088" t="s">
        <v>12</v>
      </c>
      <c r="F2088">
        <v>2</v>
      </c>
      <c r="G2088" t="s">
        <v>13</v>
      </c>
      <c r="H2088" s="1">
        <v>45969.456944444442</v>
      </c>
      <c r="I2088" s="5">
        <f>INT(TB[[#This Row],[时间戳]])</f>
        <v>45969</v>
      </c>
      <c r="J2088" s="2">
        <f>HOUR(TB[[#This Row],[时间戳]])</f>
        <v>10</v>
      </c>
      <c r="K2088">
        <v>7642</v>
      </c>
      <c r="L2088">
        <v>5</v>
      </c>
      <c r="M2088">
        <f>TB[[#This Row],[售价]]*TB[[#This Row],[销量]]</f>
        <v>38210</v>
      </c>
      <c r="N2088" t="str">
        <f>IF(TB[[#This Row],[售价]]&lt;1000,"低价商品",IF(TB[[#This Row],[售价]]&lt;5000,"中价商品",IF(TB[[#This Row],[售价]]&lt;10000,"高价商品","超高价商品")))</f>
        <v>高价商品</v>
      </c>
    </row>
    <row r="2089" spans="1:14" x14ac:dyDescent="0.2">
      <c r="A2089">
        <v>150</v>
      </c>
      <c r="B2089">
        <v>110</v>
      </c>
      <c r="C2089" t="s">
        <v>26</v>
      </c>
      <c r="D2089" t="s">
        <v>95</v>
      </c>
      <c r="E2089" t="s">
        <v>22</v>
      </c>
      <c r="F2089">
        <v>1</v>
      </c>
      <c r="G2089" t="s">
        <v>13</v>
      </c>
      <c r="H2089" s="1">
        <v>45969.476388888892</v>
      </c>
      <c r="I2089" s="5">
        <f>INT(TB[[#This Row],[时间戳]])</f>
        <v>45969</v>
      </c>
      <c r="J2089" s="2">
        <f>HOUR(TB[[#This Row],[时间戳]])</f>
        <v>11</v>
      </c>
      <c r="K2089">
        <v>1392</v>
      </c>
      <c r="L2089">
        <v>5</v>
      </c>
      <c r="M2089">
        <f>TB[[#This Row],[售价]]*TB[[#This Row],[销量]]</f>
        <v>6960</v>
      </c>
      <c r="N2089" t="str">
        <f>IF(TB[[#This Row],[售价]]&lt;1000,"低价商品",IF(TB[[#This Row],[售价]]&lt;5000,"中价商品",IF(TB[[#This Row],[售价]]&lt;10000,"高价商品","超高价商品")))</f>
        <v>中价商品</v>
      </c>
    </row>
    <row r="2090" spans="1:14" x14ac:dyDescent="0.2">
      <c r="A2090">
        <v>793</v>
      </c>
      <c r="B2090">
        <v>195</v>
      </c>
      <c r="C2090" t="s">
        <v>10</v>
      </c>
      <c r="D2090" t="s">
        <v>294</v>
      </c>
      <c r="E2090" t="s">
        <v>31</v>
      </c>
      <c r="F2090">
        <v>4</v>
      </c>
      <c r="G2090" t="s">
        <v>13</v>
      </c>
      <c r="H2090" s="1">
        <v>45969.508333333331</v>
      </c>
      <c r="I2090" s="5">
        <f>INT(TB[[#This Row],[时间戳]])</f>
        <v>45969</v>
      </c>
      <c r="J2090" s="2">
        <f>HOUR(TB[[#This Row],[时间戳]])</f>
        <v>12</v>
      </c>
      <c r="K2090">
        <v>795</v>
      </c>
      <c r="L2090">
        <v>5</v>
      </c>
      <c r="M2090">
        <f>TB[[#This Row],[售价]]*TB[[#This Row],[销量]]</f>
        <v>3975</v>
      </c>
      <c r="N2090" t="str">
        <f>IF(TB[[#This Row],[售价]]&lt;1000,"低价商品",IF(TB[[#This Row],[售价]]&lt;5000,"中价商品",IF(TB[[#This Row],[售价]]&lt;10000,"高价商品","超高价商品")))</f>
        <v>低价商品</v>
      </c>
    </row>
    <row r="2091" spans="1:14" x14ac:dyDescent="0.2">
      <c r="A2091">
        <v>219</v>
      </c>
      <c r="B2091">
        <v>28</v>
      </c>
      <c r="C2091" t="s">
        <v>17</v>
      </c>
      <c r="D2091" t="s">
        <v>391</v>
      </c>
      <c r="E2091" t="s">
        <v>25</v>
      </c>
      <c r="F2091">
        <v>7</v>
      </c>
      <c r="G2091" t="s">
        <v>13</v>
      </c>
      <c r="H2091" s="1">
        <v>45969.517361111109</v>
      </c>
      <c r="I2091" s="5">
        <f>INT(TB[[#This Row],[时间戳]])</f>
        <v>45969</v>
      </c>
      <c r="J2091" s="2">
        <f>HOUR(TB[[#This Row],[时间戳]])</f>
        <v>12</v>
      </c>
      <c r="K2091">
        <v>1996</v>
      </c>
      <c r="L2091">
        <v>5</v>
      </c>
      <c r="M2091">
        <f>TB[[#This Row],[售价]]*TB[[#This Row],[销量]]</f>
        <v>9980</v>
      </c>
      <c r="N2091" t="str">
        <f>IF(TB[[#This Row],[售价]]&lt;1000,"低价商品",IF(TB[[#This Row],[售价]]&lt;5000,"中价商品",IF(TB[[#This Row],[售价]]&lt;10000,"高价商品","超高价商品")))</f>
        <v>中价商品</v>
      </c>
    </row>
    <row r="2092" spans="1:14" x14ac:dyDescent="0.2">
      <c r="A2092">
        <v>259</v>
      </c>
      <c r="B2092">
        <v>91</v>
      </c>
      <c r="C2092" t="s">
        <v>17</v>
      </c>
      <c r="D2092" t="s">
        <v>279</v>
      </c>
      <c r="E2092" t="s">
        <v>22</v>
      </c>
      <c r="F2092">
        <v>1</v>
      </c>
      <c r="G2092" t="s">
        <v>13</v>
      </c>
      <c r="H2092" s="1">
        <v>45969.544444444444</v>
      </c>
      <c r="I2092" s="5">
        <f>INT(TB[[#This Row],[时间戳]])</f>
        <v>45969</v>
      </c>
      <c r="J2092" s="2">
        <f>HOUR(TB[[#This Row],[时间戳]])</f>
        <v>13</v>
      </c>
      <c r="K2092">
        <v>2543</v>
      </c>
      <c r="L2092">
        <v>5</v>
      </c>
      <c r="M2092">
        <f>TB[[#This Row],[售价]]*TB[[#This Row],[销量]]</f>
        <v>12715</v>
      </c>
      <c r="N2092" t="str">
        <f>IF(TB[[#This Row],[售价]]&lt;1000,"低价商品",IF(TB[[#This Row],[售价]]&lt;5000,"中价商品",IF(TB[[#This Row],[售价]]&lt;10000,"高价商品","超高价商品")))</f>
        <v>中价商品</v>
      </c>
    </row>
    <row r="2093" spans="1:14" x14ac:dyDescent="0.2">
      <c r="A2093">
        <v>415</v>
      </c>
      <c r="B2093">
        <v>42</v>
      </c>
      <c r="C2093" t="s">
        <v>14</v>
      </c>
      <c r="D2093" t="s">
        <v>305</v>
      </c>
      <c r="E2093" t="s">
        <v>25</v>
      </c>
      <c r="F2093">
        <v>7</v>
      </c>
      <c r="G2093" t="s">
        <v>13</v>
      </c>
      <c r="H2093" s="1">
        <v>45969.606249999997</v>
      </c>
      <c r="I2093" s="5">
        <f>INT(TB[[#This Row],[时间戳]])</f>
        <v>45969</v>
      </c>
      <c r="J2093" s="2">
        <f>HOUR(TB[[#This Row],[时间戳]])</f>
        <v>14</v>
      </c>
      <c r="K2093">
        <v>2056</v>
      </c>
      <c r="L2093">
        <v>2</v>
      </c>
      <c r="M2093">
        <f>TB[[#This Row],[售价]]*TB[[#This Row],[销量]]</f>
        <v>4112</v>
      </c>
      <c r="N2093" t="str">
        <f>IF(TB[[#This Row],[售价]]&lt;1000,"低价商品",IF(TB[[#This Row],[售价]]&lt;5000,"中价商品",IF(TB[[#This Row],[售价]]&lt;10000,"高价商品","超高价商品")))</f>
        <v>中价商品</v>
      </c>
    </row>
    <row r="2094" spans="1:14" x14ac:dyDescent="0.2">
      <c r="A2094">
        <v>538</v>
      </c>
      <c r="B2094">
        <v>110</v>
      </c>
      <c r="C2094" t="s">
        <v>44</v>
      </c>
      <c r="D2094" t="s">
        <v>169</v>
      </c>
      <c r="E2094" t="s">
        <v>31</v>
      </c>
      <c r="F2094">
        <v>4</v>
      </c>
      <c r="G2094" t="s">
        <v>13</v>
      </c>
      <c r="H2094" s="1">
        <v>45969.61041666667</v>
      </c>
      <c r="I2094" s="5">
        <f>INT(TB[[#This Row],[时间戳]])</f>
        <v>45969</v>
      </c>
      <c r="J2094" s="2">
        <f>HOUR(TB[[#This Row],[时间戳]])</f>
        <v>14</v>
      </c>
      <c r="K2094">
        <v>824</v>
      </c>
      <c r="L2094">
        <v>2</v>
      </c>
      <c r="M2094">
        <f>TB[[#This Row],[售价]]*TB[[#This Row],[销量]]</f>
        <v>1648</v>
      </c>
      <c r="N2094" t="str">
        <f>IF(TB[[#This Row],[售价]]&lt;1000,"低价商品",IF(TB[[#This Row],[售价]]&lt;5000,"中价商品",IF(TB[[#This Row],[售价]]&lt;10000,"高价商品","超高价商品")))</f>
        <v>低价商品</v>
      </c>
    </row>
    <row r="2095" spans="1:14" x14ac:dyDescent="0.2">
      <c r="A2095">
        <v>439</v>
      </c>
      <c r="B2095">
        <v>176</v>
      </c>
      <c r="C2095" t="s">
        <v>10</v>
      </c>
      <c r="D2095" t="s">
        <v>130</v>
      </c>
      <c r="E2095" t="s">
        <v>16</v>
      </c>
      <c r="F2095">
        <v>6</v>
      </c>
      <c r="G2095" t="s">
        <v>13</v>
      </c>
      <c r="H2095" s="1">
        <v>45969.623611111114</v>
      </c>
      <c r="I2095" s="5">
        <f>INT(TB[[#This Row],[时间戳]])</f>
        <v>45969</v>
      </c>
      <c r="J2095" s="2">
        <f>HOUR(TB[[#This Row],[时间戳]])</f>
        <v>14</v>
      </c>
      <c r="K2095">
        <v>6144</v>
      </c>
      <c r="L2095">
        <v>5</v>
      </c>
      <c r="M2095">
        <f>TB[[#This Row],[售价]]*TB[[#This Row],[销量]]</f>
        <v>30720</v>
      </c>
      <c r="N2095" t="str">
        <f>IF(TB[[#This Row],[售价]]&lt;1000,"低价商品",IF(TB[[#This Row],[售价]]&lt;5000,"中价商品",IF(TB[[#This Row],[售价]]&lt;10000,"高价商品","超高价商品")))</f>
        <v>高价商品</v>
      </c>
    </row>
    <row r="2096" spans="1:14" x14ac:dyDescent="0.2">
      <c r="A2096">
        <v>358</v>
      </c>
      <c r="B2096">
        <v>215</v>
      </c>
      <c r="C2096" t="s">
        <v>26</v>
      </c>
      <c r="D2096" t="s">
        <v>27</v>
      </c>
      <c r="E2096" t="s">
        <v>22</v>
      </c>
      <c r="F2096">
        <v>1</v>
      </c>
      <c r="G2096" t="s">
        <v>42</v>
      </c>
      <c r="H2096" s="1">
        <v>45969.629861111112</v>
      </c>
      <c r="I2096" s="5">
        <f>INT(TB[[#This Row],[时间戳]])</f>
        <v>45969</v>
      </c>
      <c r="J2096" s="2">
        <f>HOUR(TB[[#This Row],[时间戳]])</f>
        <v>15</v>
      </c>
      <c r="K2096">
        <v>7122</v>
      </c>
      <c r="L2096">
        <v>0</v>
      </c>
      <c r="M2096">
        <f>TB[[#This Row],[售价]]*TB[[#This Row],[销量]]</f>
        <v>0</v>
      </c>
      <c r="N2096" t="str">
        <f>IF(TB[[#This Row],[售价]]&lt;1000,"低价商品",IF(TB[[#This Row],[售价]]&lt;5000,"中价商品",IF(TB[[#This Row],[售价]]&lt;10000,"高价商品","超高价商品")))</f>
        <v>高价商品</v>
      </c>
    </row>
    <row r="2097" spans="1:14" x14ac:dyDescent="0.2">
      <c r="A2097">
        <v>165</v>
      </c>
      <c r="B2097">
        <v>224</v>
      </c>
      <c r="C2097" t="s">
        <v>20</v>
      </c>
      <c r="D2097" t="s">
        <v>324</v>
      </c>
      <c r="E2097" t="s">
        <v>12</v>
      </c>
      <c r="F2097">
        <v>2</v>
      </c>
      <c r="G2097" t="s">
        <v>13</v>
      </c>
      <c r="H2097" s="1">
        <v>45969.65902777778</v>
      </c>
      <c r="I2097" s="5">
        <f>INT(TB[[#This Row],[时间戳]])</f>
        <v>45969</v>
      </c>
      <c r="J2097" s="2">
        <f>HOUR(TB[[#This Row],[时间戳]])</f>
        <v>15</v>
      </c>
      <c r="K2097">
        <v>11933</v>
      </c>
      <c r="L2097">
        <v>5</v>
      </c>
      <c r="M2097">
        <f>TB[[#This Row],[售价]]*TB[[#This Row],[销量]]</f>
        <v>59665</v>
      </c>
      <c r="N2097" t="str">
        <f>IF(TB[[#This Row],[售价]]&lt;1000,"低价商品",IF(TB[[#This Row],[售价]]&lt;5000,"中价商品",IF(TB[[#This Row],[售价]]&lt;10000,"高价商品","超高价商品")))</f>
        <v>超高价商品</v>
      </c>
    </row>
    <row r="2098" spans="1:14" x14ac:dyDescent="0.2">
      <c r="A2098">
        <v>11</v>
      </c>
      <c r="B2098">
        <v>288</v>
      </c>
      <c r="C2098" t="s">
        <v>46</v>
      </c>
      <c r="D2098" t="s">
        <v>217</v>
      </c>
      <c r="E2098" t="s">
        <v>19</v>
      </c>
      <c r="F2098">
        <v>3</v>
      </c>
      <c r="G2098" t="s">
        <v>42</v>
      </c>
      <c r="H2098" s="1">
        <v>45969.675000000003</v>
      </c>
      <c r="I2098" s="5">
        <f>INT(TB[[#This Row],[时间戳]])</f>
        <v>45969</v>
      </c>
      <c r="J2098" s="2">
        <f>HOUR(TB[[#This Row],[时间戳]])</f>
        <v>16</v>
      </c>
      <c r="K2098">
        <v>4559</v>
      </c>
      <c r="L2098">
        <v>0</v>
      </c>
      <c r="M2098">
        <f>TB[[#This Row],[售价]]*TB[[#This Row],[销量]]</f>
        <v>0</v>
      </c>
      <c r="N2098" t="str">
        <f>IF(TB[[#This Row],[售价]]&lt;1000,"低价商品",IF(TB[[#This Row],[售价]]&lt;5000,"中价商品",IF(TB[[#This Row],[售价]]&lt;10000,"高价商品","超高价商品")))</f>
        <v>中价商品</v>
      </c>
    </row>
    <row r="2099" spans="1:14" x14ac:dyDescent="0.2">
      <c r="A2099">
        <v>741</v>
      </c>
      <c r="B2099">
        <v>297</v>
      </c>
      <c r="C2099" t="s">
        <v>32</v>
      </c>
      <c r="D2099" t="s">
        <v>286</v>
      </c>
      <c r="E2099" t="s">
        <v>22</v>
      </c>
      <c r="F2099">
        <v>1</v>
      </c>
      <c r="G2099" t="s">
        <v>13</v>
      </c>
      <c r="H2099" s="1">
        <v>45969.693749999999</v>
      </c>
      <c r="I2099" s="5">
        <f>INT(TB[[#This Row],[时间戳]])</f>
        <v>45969</v>
      </c>
      <c r="J2099" s="2">
        <f>HOUR(TB[[#This Row],[时间戳]])</f>
        <v>16</v>
      </c>
      <c r="K2099">
        <v>7519</v>
      </c>
      <c r="L2099">
        <v>5</v>
      </c>
      <c r="M2099">
        <f>TB[[#This Row],[售价]]*TB[[#This Row],[销量]]</f>
        <v>37595</v>
      </c>
      <c r="N2099" t="str">
        <f>IF(TB[[#This Row],[售价]]&lt;1000,"低价商品",IF(TB[[#This Row],[售价]]&lt;5000,"中价商品",IF(TB[[#This Row],[售价]]&lt;10000,"高价商品","超高价商品")))</f>
        <v>高价商品</v>
      </c>
    </row>
    <row r="2100" spans="1:14" x14ac:dyDescent="0.2">
      <c r="A2100">
        <v>752</v>
      </c>
      <c r="B2100">
        <v>163</v>
      </c>
      <c r="C2100" t="s">
        <v>34</v>
      </c>
      <c r="D2100" t="s">
        <v>374</v>
      </c>
      <c r="E2100" t="s">
        <v>25</v>
      </c>
      <c r="F2100">
        <v>7</v>
      </c>
      <c r="G2100" t="s">
        <v>13</v>
      </c>
      <c r="H2100" s="1">
        <v>45969.722916666666</v>
      </c>
      <c r="I2100" s="5">
        <f>INT(TB[[#This Row],[时间戳]])</f>
        <v>45969</v>
      </c>
      <c r="J2100" s="2">
        <f>HOUR(TB[[#This Row],[时间戳]])</f>
        <v>17</v>
      </c>
      <c r="K2100">
        <v>6424</v>
      </c>
      <c r="L2100">
        <v>2</v>
      </c>
      <c r="M2100">
        <f>TB[[#This Row],[售价]]*TB[[#This Row],[销量]]</f>
        <v>12848</v>
      </c>
      <c r="N2100" t="str">
        <f>IF(TB[[#This Row],[售价]]&lt;1000,"低价商品",IF(TB[[#This Row],[售价]]&lt;5000,"中价商品",IF(TB[[#This Row],[售价]]&lt;10000,"高价商品","超高价商品")))</f>
        <v>高价商品</v>
      </c>
    </row>
    <row r="2101" spans="1:14" x14ac:dyDescent="0.2">
      <c r="A2101">
        <v>512</v>
      </c>
      <c r="B2101">
        <v>163</v>
      </c>
      <c r="C2101" t="s">
        <v>44</v>
      </c>
      <c r="D2101" t="s">
        <v>143</v>
      </c>
      <c r="E2101" t="s">
        <v>19</v>
      </c>
      <c r="F2101">
        <v>3</v>
      </c>
      <c r="G2101" t="s">
        <v>13</v>
      </c>
      <c r="H2101" s="1">
        <v>45969.731944444444</v>
      </c>
      <c r="I2101" s="5">
        <f>INT(TB[[#This Row],[时间戳]])</f>
        <v>45969</v>
      </c>
      <c r="J2101" s="2">
        <f>HOUR(TB[[#This Row],[时间戳]])</f>
        <v>17</v>
      </c>
      <c r="K2101">
        <v>1500</v>
      </c>
      <c r="L2101">
        <v>2</v>
      </c>
      <c r="M2101">
        <f>TB[[#This Row],[售价]]*TB[[#This Row],[销量]]</f>
        <v>3000</v>
      </c>
      <c r="N2101" t="str">
        <f>IF(TB[[#This Row],[售价]]&lt;1000,"低价商品",IF(TB[[#This Row],[售价]]&lt;5000,"中价商品",IF(TB[[#This Row],[售价]]&lt;10000,"高价商品","超高价商品")))</f>
        <v>中价商品</v>
      </c>
    </row>
    <row r="2102" spans="1:14" x14ac:dyDescent="0.2">
      <c r="A2102">
        <v>534</v>
      </c>
      <c r="B2102">
        <v>2</v>
      </c>
      <c r="C2102" t="s">
        <v>17</v>
      </c>
      <c r="D2102" t="s">
        <v>279</v>
      </c>
      <c r="E2102" t="s">
        <v>22</v>
      </c>
      <c r="F2102">
        <v>1</v>
      </c>
      <c r="G2102" t="s">
        <v>13</v>
      </c>
      <c r="H2102" s="1">
        <v>45969.777777777781</v>
      </c>
      <c r="I2102" s="5">
        <f>INT(TB[[#This Row],[时间戳]])</f>
        <v>45969</v>
      </c>
      <c r="J2102" s="2">
        <f>HOUR(TB[[#This Row],[时间戳]])</f>
        <v>18</v>
      </c>
      <c r="K2102">
        <v>2075</v>
      </c>
      <c r="L2102">
        <v>5</v>
      </c>
      <c r="M2102">
        <f>TB[[#This Row],[售价]]*TB[[#This Row],[销量]]</f>
        <v>10375</v>
      </c>
      <c r="N2102" t="str">
        <f>IF(TB[[#This Row],[售价]]&lt;1000,"低价商品",IF(TB[[#This Row],[售价]]&lt;5000,"中价商品",IF(TB[[#This Row],[售价]]&lt;10000,"高价商品","超高价商品")))</f>
        <v>中价商品</v>
      </c>
    </row>
    <row r="2103" spans="1:14" x14ac:dyDescent="0.2">
      <c r="A2103">
        <v>593</v>
      </c>
      <c r="B2103">
        <v>50</v>
      </c>
      <c r="C2103" t="s">
        <v>44</v>
      </c>
      <c r="D2103" t="s">
        <v>372</v>
      </c>
      <c r="E2103" t="s">
        <v>22</v>
      </c>
      <c r="F2103">
        <v>1</v>
      </c>
      <c r="G2103" t="s">
        <v>13</v>
      </c>
      <c r="H2103" s="1">
        <v>45969.791666666664</v>
      </c>
      <c r="I2103" s="5">
        <f>INT(TB[[#This Row],[时间戳]])</f>
        <v>45969</v>
      </c>
      <c r="J2103" s="2">
        <f>HOUR(TB[[#This Row],[时间戳]])</f>
        <v>19</v>
      </c>
      <c r="K2103">
        <v>4554</v>
      </c>
      <c r="L2103">
        <v>2</v>
      </c>
      <c r="M2103">
        <f>TB[[#This Row],[售价]]*TB[[#This Row],[销量]]</f>
        <v>9108</v>
      </c>
      <c r="N2103" t="str">
        <f>IF(TB[[#This Row],[售价]]&lt;1000,"低价商品",IF(TB[[#This Row],[售价]]&lt;5000,"中价商品",IF(TB[[#This Row],[售价]]&lt;10000,"高价商品","超高价商品")))</f>
        <v>中价商品</v>
      </c>
    </row>
    <row r="2104" spans="1:14" x14ac:dyDescent="0.2">
      <c r="A2104">
        <v>714</v>
      </c>
      <c r="B2104">
        <v>280</v>
      </c>
      <c r="C2104" t="s">
        <v>32</v>
      </c>
      <c r="D2104" t="s">
        <v>176</v>
      </c>
      <c r="E2104" t="s">
        <v>22</v>
      </c>
      <c r="F2104">
        <v>1</v>
      </c>
      <c r="G2104" t="s">
        <v>42</v>
      </c>
      <c r="H2104" s="1">
        <v>45969.794444444444</v>
      </c>
      <c r="I2104" s="5">
        <f>INT(TB[[#This Row],[时间戳]])</f>
        <v>45969</v>
      </c>
      <c r="J2104" s="2">
        <f>HOUR(TB[[#This Row],[时间戳]])</f>
        <v>19</v>
      </c>
      <c r="K2104">
        <v>1209</v>
      </c>
      <c r="L2104">
        <v>0</v>
      </c>
      <c r="M2104">
        <f>TB[[#This Row],[售价]]*TB[[#This Row],[销量]]</f>
        <v>0</v>
      </c>
      <c r="N2104" t="str">
        <f>IF(TB[[#This Row],[售价]]&lt;1000,"低价商品",IF(TB[[#This Row],[售价]]&lt;5000,"中价商品",IF(TB[[#This Row],[售价]]&lt;10000,"高价商品","超高价商品")))</f>
        <v>中价商品</v>
      </c>
    </row>
    <row r="2105" spans="1:14" x14ac:dyDescent="0.2">
      <c r="A2105">
        <v>222</v>
      </c>
      <c r="B2105">
        <v>179</v>
      </c>
      <c r="C2105" t="s">
        <v>46</v>
      </c>
      <c r="D2105" t="s">
        <v>316</v>
      </c>
      <c r="E2105" t="s">
        <v>25</v>
      </c>
      <c r="F2105">
        <v>7</v>
      </c>
      <c r="G2105" t="s">
        <v>13</v>
      </c>
      <c r="H2105" s="1">
        <v>45969.816666666666</v>
      </c>
      <c r="I2105" s="5">
        <f>INT(TB[[#This Row],[时间戳]])</f>
        <v>45969</v>
      </c>
      <c r="J2105" s="2">
        <f>HOUR(TB[[#This Row],[时间戳]])</f>
        <v>19</v>
      </c>
      <c r="K2105">
        <v>7728</v>
      </c>
      <c r="L2105">
        <v>2</v>
      </c>
      <c r="M2105">
        <f>TB[[#This Row],[售价]]*TB[[#This Row],[销量]]</f>
        <v>15456</v>
      </c>
      <c r="N2105" t="str">
        <f>IF(TB[[#This Row],[售价]]&lt;1000,"低价商品",IF(TB[[#This Row],[售价]]&lt;5000,"中价商品",IF(TB[[#This Row],[售价]]&lt;10000,"高价商品","超高价商品")))</f>
        <v>高价商品</v>
      </c>
    </row>
    <row r="2106" spans="1:14" x14ac:dyDescent="0.2">
      <c r="A2106">
        <v>380</v>
      </c>
      <c r="B2106">
        <v>187</v>
      </c>
      <c r="C2106" t="s">
        <v>46</v>
      </c>
      <c r="D2106" t="s">
        <v>315</v>
      </c>
      <c r="E2106" t="s">
        <v>12</v>
      </c>
      <c r="F2106">
        <v>2</v>
      </c>
      <c r="G2106" t="s">
        <v>13</v>
      </c>
      <c r="H2106" s="1">
        <v>45969.845833333333</v>
      </c>
      <c r="I2106" s="5">
        <f>INT(TB[[#This Row],[时间戳]])</f>
        <v>45969</v>
      </c>
      <c r="J2106" s="2">
        <f>HOUR(TB[[#This Row],[时间戳]])</f>
        <v>20</v>
      </c>
      <c r="K2106">
        <v>7333</v>
      </c>
      <c r="L2106">
        <v>2</v>
      </c>
      <c r="M2106">
        <f>TB[[#This Row],[售价]]*TB[[#This Row],[销量]]</f>
        <v>14666</v>
      </c>
      <c r="N2106" t="str">
        <f>IF(TB[[#This Row],[售价]]&lt;1000,"低价商品",IF(TB[[#This Row],[售价]]&lt;5000,"中价商品",IF(TB[[#This Row],[售价]]&lt;10000,"高价商品","超高价商品")))</f>
        <v>高价商品</v>
      </c>
    </row>
    <row r="2107" spans="1:14" x14ac:dyDescent="0.2">
      <c r="A2107">
        <v>128</v>
      </c>
      <c r="B2107">
        <v>256</v>
      </c>
      <c r="C2107" t="s">
        <v>36</v>
      </c>
      <c r="D2107" t="s">
        <v>54</v>
      </c>
      <c r="E2107" t="s">
        <v>12</v>
      </c>
      <c r="F2107">
        <v>2</v>
      </c>
      <c r="G2107" t="s">
        <v>13</v>
      </c>
      <c r="H2107" s="1">
        <v>45969.852777777778</v>
      </c>
      <c r="I2107" s="5">
        <f>INT(TB[[#This Row],[时间戳]])</f>
        <v>45969</v>
      </c>
      <c r="J2107" s="2">
        <f>HOUR(TB[[#This Row],[时间戳]])</f>
        <v>20</v>
      </c>
      <c r="K2107">
        <v>4219</v>
      </c>
      <c r="L2107">
        <v>5</v>
      </c>
      <c r="M2107">
        <f>TB[[#This Row],[售价]]*TB[[#This Row],[销量]]</f>
        <v>21095</v>
      </c>
      <c r="N2107" t="str">
        <f>IF(TB[[#This Row],[售价]]&lt;1000,"低价商品",IF(TB[[#This Row],[售价]]&lt;5000,"中价商品",IF(TB[[#This Row],[售价]]&lt;10000,"高价商品","超高价商品")))</f>
        <v>中价商品</v>
      </c>
    </row>
    <row r="2108" spans="1:14" x14ac:dyDescent="0.2">
      <c r="A2108">
        <v>361</v>
      </c>
      <c r="B2108">
        <v>181</v>
      </c>
      <c r="C2108" t="s">
        <v>17</v>
      </c>
      <c r="D2108" t="s">
        <v>391</v>
      </c>
      <c r="E2108" t="s">
        <v>25</v>
      </c>
      <c r="F2108">
        <v>7</v>
      </c>
      <c r="G2108" t="s">
        <v>42</v>
      </c>
      <c r="H2108" s="1">
        <v>45969.888194444444</v>
      </c>
      <c r="I2108" s="5">
        <f>INT(TB[[#This Row],[时间戳]])</f>
        <v>45969</v>
      </c>
      <c r="J2108" s="2">
        <f>HOUR(TB[[#This Row],[时间戳]])</f>
        <v>21</v>
      </c>
      <c r="K2108">
        <v>6848</v>
      </c>
      <c r="L2108">
        <v>0</v>
      </c>
      <c r="M2108">
        <f>TB[[#This Row],[售价]]*TB[[#This Row],[销量]]</f>
        <v>0</v>
      </c>
      <c r="N2108" t="str">
        <f>IF(TB[[#This Row],[售价]]&lt;1000,"低价商品",IF(TB[[#This Row],[售价]]&lt;5000,"中价商品",IF(TB[[#This Row],[售价]]&lt;10000,"高价商品","超高价商品")))</f>
        <v>高价商品</v>
      </c>
    </row>
    <row r="2109" spans="1:14" x14ac:dyDescent="0.2">
      <c r="A2109">
        <v>784</v>
      </c>
      <c r="B2109">
        <v>172</v>
      </c>
      <c r="C2109" t="s">
        <v>17</v>
      </c>
      <c r="D2109" t="s">
        <v>50</v>
      </c>
      <c r="E2109" t="s">
        <v>22</v>
      </c>
      <c r="F2109">
        <v>1</v>
      </c>
      <c r="G2109" t="s">
        <v>13</v>
      </c>
      <c r="H2109" s="1">
        <v>45969.931944444441</v>
      </c>
      <c r="I2109" s="5">
        <f>INT(TB[[#This Row],[时间戳]])</f>
        <v>45969</v>
      </c>
      <c r="J2109" s="2">
        <f>HOUR(TB[[#This Row],[时间戳]])</f>
        <v>22</v>
      </c>
      <c r="K2109">
        <v>7861</v>
      </c>
      <c r="L2109">
        <v>5</v>
      </c>
      <c r="M2109">
        <f>TB[[#This Row],[售价]]*TB[[#This Row],[销量]]</f>
        <v>39305</v>
      </c>
      <c r="N2109" t="str">
        <f>IF(TB[[#This Row],[售价]]&lt;1000,"低价商品",IF(TB[[#This Row],[售价]]&lt;5000,"中价商品",IF(TB[[#This Row],[售价]]&lt;10000,"高价商品","超高价商品")))</f>
        <v>高价商品</v>
      </c>
    </row>
    <row r="2110" spans="1:14" x14ac:dyDescent="0.2">
      <c r="A2110">
        <v>383</v>
      </c>
      <c r="B2110">
        <v>91</v>
      </c>
      <c r="C2110" t="s">
        <v>44</v>
      </c>
      <c r="D2110" t="s">
        <v>45</v>
      </c>
      <c r="E2110" t="s">
        <v>19</v>
      </c>
      <c r="F2110">
        <v>3</v>
      </c>
      <c r="G2110" t="s">
        <v>13</v>
      </c>
      <c r="H2110" s="1">
        <v>45969.938194444447</v>
      </c>
      <c r="I2110" s="5">
        <f>INT(TB[[#This Row],[时间戳]])</f>
        <v>45969</v>
      </c>
      <c r="J2110" s="2">
        <f>HOUR(TB[[#This Row],[时间戳]])</f>
        <v>22</v>
      </c>
      <c r="K2110">
        <v>2318</v>
      </c>
      <c r="L2110">
        <v>5</v>
      </c>
      <c r="M2110">
        <f>TB[[#This Row],[售价]]*TB[[#This Row],[销量]]</f>
        <v>11590</v>
      </c>
      <c r="N2110" t="str">
        <f>IF(TB[[#This Row],[售价]]&lt;1000,"低价商品",IF(TB[[#This Row],[售价]]&lt;5000,"中价商品",IF(TB[[#This Row],[售价]]&lt;10000,"高价商品","超高价商品")))</f>
        <v>中价商品</v>
      </c>
    </row>
    <row r="2111" spans="1:14" x14ac:dyDescent="0.2">
      <c r="A2111">
        <v>447</v>
      </c>
      <c r="B2111">
        <v>196</v>
      </c>
      <c r="C2111" t="s">
        <v>26</v>
      </c>
      <c r="D2111" t="s">
        <v>48</v>
      </c>
      <c r="E2111" t="s">
        <v>31</v>
      </c>
      <c r="F2111">
        <v>4</v>
      </c>
      <c r="G2111" t="s">
        <v>42</v>
      </c>
      <c r="H2111" s="1">
        <v>45970.013194444444</v>
      </c>
      <c r="I2111" s="5">
        <f>INT(TB[[#This Row],[时间戳]])</f>
        <v>45970</v>
      </c>
      <c r="J2111" s="2">
        <f>HOUR(TB[[#This Row],[时间戳]])</f>
        <v>0</v>
      </c>
      <c r="K2111">
        <v>1286</v>
      </c>
      <c r="L2111">
        <v>0</v>
      </c>
      <c r="M2111">
        <f>TB[[#This Row],[售价]]*TB[[#This Row],[销量]]</f>
        <v>0</v>
      </c>
      <c r="N2111" t="str">
        <f>IF(TB[[#This Row],[售价]]&lt;1000,"低价商品",IF(TB[[#This Row],[售价]]&lt;5000,"中价商品",IF(TB[[#This Row],[售价]]&lt;10000,"高价商品","超高价商品")))</f>
        <v>中价商品</v>
      </c>
    </row>
    <row r="2112" spans="1:14" x14ac:dyDescent="0.2">
      <c r="A2112">
        <v>291</v>
      </c>
      <c r="B2112">
        <v>51</v>
      </c>
      <c r="C2112" t="s">
        <v>17</v>
      </c>
      <c r="D2112" t="s">
        <v>98</v>
      </c>
      <c r="E2112" t="s">
        <v>22</v>
      </c>
      <c r="F2112">
        <v>1</v>
      </c>
      <c r="G2112" t="s">
        <v>13</v>
      </c>
      <c r="H2112" s="1">
        <v>45970.015972222223</v>
      </c>
      <c r="I2112" s="5">
        <f>INT(TB[[#This Row],[时间戳]])</f>
        <v>45970</v>
      </c>
      <c r="J2112" s="2">
        <f>HOUR(TB[[#This Row],[时间戳]])</f>
        <v>0</v>
      </c>
      <c r="K2112">
        <v>3471</v>
      </c>
      <c r="L2112">
        <v>3</v>
      </c>
      <c r="M2112">
        <f>TB[[#This Row],[售价]]*TB[[#This Row],[销量]]</f>
        <v>10413</v>
      </c>
      <c r="N2112" t="str">
        <f>IF(TB[[#This Row],[售价]]&lt;1000,"低价商品",IF(TB[[#This Row],[售价]]&lt;5000,"中价商品",IF(TB[[#This Row],[售价]]&lt;10000,"高价商品","超高价商品")))</f>
        <v>中价商品</v>
      </c>
    </row>
    <row r="2113" spans="1:14" x14ac:dyDescent="0.2">
      <c r="A2113">
        <v>17</v>
      </c>
      <c r="B2113">
        <v>211</v>
      </c>
      <c r="C2113" t="s">
        <v>14</v>
      </c>
      <c r="D2113" t="s">
        <v>223</v>
      </c>
      <c r="E2113" t="s">
        <v>22</v>
      </c>
      <c r="F2113">
        <v>1</v>
      </c>
      <c r="G2113" t="s">
        <v>13</v>
      </c>
      <c r="H2113" s="1">
        <v>45970.020138888889</v>
      </c>
      <c r="I2113" s="5">
        <f>INT(TB[[#This Row],[时间戳]])</f>
        <v>45970</v>
      </c>
      <c r="J2113" s="2">
        <f>HOUR(TB[[#This Row],[时间戳]])</f>
        <v>0</v>
      </c>
      <c r="K2113">
        <v>1570</v>
      </c>
      <c r="L2113">
        <v>3</v>
      </c>
      <c r="M2113">
        <f>TB[[#This Row],[售价]]*TB[[#This Row],[销量]]</f>
        <v>4710</v>
      </c>
      <c r="N2113" t="str">
        <f>IF(TB[[#This Row],[售价]]&lt;1000,"低价商品",IF(TB[[#This Row],[售价]]&lt;5000,"中价商品",IF(TB[[#This Row],[售价]]&lt;10000,"高价商品","超高价商品")))</f>
        <v>中价商品</v>
      </c>
    </row>
    <row r="2114" spans="1:14" x14ac:dyDescent="0.2">
      <c r="A2114">
        <v>103</v>
      </c>
      <c r="B2114">
        <v>228</v>
      </c>
      <c r="C2114" t="s">
        <v>46</v>
      </c>
      <c r="D2114" t="s">
        <v>141</v>
      </c>
      <c r="E2114" t="s">
        <v>22</v>
      </c>
      <c r="F2114">
        <v>1</v>
      </c>
      <c r="G2114" t="s">
        <v>13</v>
      </c>
      <c r="H2114" s="1">
        <v>45970.024305555555</v>
      </c>
      <c r="I2114" s="5">
        <f>INT(TB[[#This Row],[时间戳]])</f>
        <v>45970</v>
      </c>
      <c r="J2114" s="2">
        <f>HOUR(TB[[#This Row],[时间戳]])</f>
        <v>0</v>
      </c>
      <c r="K2114">
        <v>1903</v>
      </c>
      <c r="L2114">
        <v>5</v>
      </c>
      <c r="M2114">
        <f>TB[[#This Row],[售价]]*TB[[#This Row],[销量]]</f>
        <v>9515</v>
      </c>
      <c r="N2114" t="str">
        <f>IF(TB[[#This Row],[售价]]&lt;1000,"低价商品",IF(TB[[#This Row],[售价]]&lt;5000,"中价商品",IF(TB[[#This Row],[售价]]&lt;10000,"高价商品","超高价商品")))</f>
        <v>中价商品</v>
      </c>
    </row>
    <row r="2115" spans="1:14" x14ac:dyDescent="0.2">
      <c r="A2115">
        <v>431</v>
      </c>
      <c r="B2115">
        <v>109</v>
      </c>
      <c r="C2115" t="s">
        <v>10</v>
      </c>
      <c r="D2115" t="s">
        <v>247</v>
      </c>
      <c r="E2115" t="s">
        <v>31</v>
      </c>
      <c r="F2115">
        <v>4</v>
      </c>
      <c r="G2115" t="s">
        <v>13</v>
      </c>
      <c r="H2115" s="1">
        <v>45970.06527777778</v>
      </c>
      <c r="I2115" s="5">
        <f>INT(TB[[#This Row],[时间戳]])</f>
        <v>45970</v>
      </c>
      <c r="J2115" s="2">
        <f>HOUR(TB[[#This Row],[时间戳]])</f>
        <v>1</v>
      </c>
      <c r="K2115">
        <v>1177</v>
      </c>
      <c r="L2115">
        <v>5</v>
      </c>
      <c r="M2115">
        <f>TB[[#This Row],[售价]]*TB[[#This Row],[销量]]</f>
        <v>5885</v>
      </c>
      <c r="N2115" t="str">
        <f>IF(TB[[#This Row],[售价]]&lt;1000,"低价商品",IF(TB[[#This Row],[售价]]&lt;5000,"中价商品",IF(TB[[#This Row],[售价]]&lt;10000,"高价商品","超高价商品")))</f>
        <v>中价商品</v>
      </c>
    </row>
    <row r="2116" spans="1:14" x14ac:dyDescent="0.2">
      <c r="A2116">
        <v>391</v>
      </c>
      <c r="B2116">
        <v>59</v>
      </c>
      <c r="C2116" t="s">
        <v>44</v>
      </c>
      <c r="D2116" t="s">
        <v>161</v>
      </c>
      <c r="E2116" t="s">
        <v>31</v>
      </c>
      <c r="F2116">
        <v>4</v>
      </c>
      <c r="G2116" t="s">
        <v>42</v>
      </c>
      <c r="H2116" s="1">
        <v>45970.084722222222</v>
      </c>
      <c r="I2116" s="5">
        <f>INT(TB[[#This Row],[时间戳]])</f>
        <v>45970</v>
      </c>
      <c r="J2116" s="2">
        <f>HOUR(TB[[#This Row],[时间戳]])</f>
        <v>2</v>
      </c>
      <c r="K2116">
        <v>703</v>
      </c>
      <c r="L2116">
        <v>0</v>
      </c>
      <c r="M2116">
        <f>TB[[#This Row],[售价]]*TB[[#This Row],[销量]]</f>
        <v>0</v>
      </c>
      <c r="N2116" t="str">
        <f>IF(TB[[#This Row],[售价]]&lt;1000,"低价商品",IF(TB[[#This Row],[售价]]&lt;5000,"中价商品",IF(TB[[#This Row],[售价]]&lt;10000,"高价商品","超高价商品")))</f>
        <v>低价商品</v>
      </c>
    </row>
    <row r="2117" spans="1:14" x14ac:dyDescent="0.2">
      <c r="A2117">
        <v>476</v>
      </c>
      <c r="B2117">
        <v>212</v>
      </c>
      <c r="C2117" t="s">
        <v>14</v>
      </c>
      <c r="D2117" t="s">
        <v>305</v>
      </c>
      <c r="E2117" t="s">
        <v>25</v>
      </c>
      <c r="F2117">
        <v>7</v>
      </c>
      <c r="G2117" t="s">
        <v>13</v>
      </c>
      <c r="H2117" s="1">
        <v>45970.088194444441</v>
      </c>
      <c r="I2117" s="5">
        <f>INT(TB[[#This Row],[时间戳]])</f>
        <v>45970</v>
      </c>
      <c r="J2117" s="2">
        <f>HOUR(TB[[#This Row],[时间戳]])</f>
        <v>2</v>
      </c>
      <c r="K2117">
        <v>3142</v>
      </c>
      <c r="L2117">
        <v>5</v>
      </c>
      <c r="M2117">
        <f>TB[[#This Row],[售价]]*TB[[#This Row],[销量]]</f>
        <v>15710</v>
      </c>
      <c r="N2117" t="str">
        <f>IF(TB[[#This Row],[售价]]&lt;1000,"低价商品",IF(TB[[#This Row],[售价]]&lt;5000,"中价商品",IF(TB[[#This Row],[售价]]&lt;10000,"高价商品","超高价商品")))</f>
        <v>中价商品</v>
      </c>
    </row>
    <row r="2118" spans="1:14" x14ac:dyDescent="0.2">
      <c r="A2118">
        <v>384</v>
      </c>
      <c r="B2118">
        <v>115</v>
      </c>
      <c r="C2118" t="s">
        <v>17</v>
      </c>
      <c r="D2118" t="s">
        <v>362</v>
      </c>
      <c r="E2118" t="s">
        <v>25</v>
      </c>
      <c r="F2118">
        <v>7</v>
      </c>
      <c r="G2118" t="s">
        <v>13</v>
      </c>
      <c r="H2118" s="1">
        <v>45970.098611111112</v>
      </c>
      <c r="I2118" s="5">
        <f>INT(TB[[#This Row],[时间戳]])</f>
        <v>45970</v>
      </c>
      <c r="J2118" s="2">
        <f>HOUR(TB[[#This Row],[时间戳]])</f>
        <v>2</v>
      </c>
      <c r="K2118">
        <v>6942</v>
      </c>
      <c r="L2118">
        <v>5</v>
      </c>
      <c r="M2118">
        <f>TB[[#This Row],[售价]]*TB[[#This Row],[销量]]</f>
        <v>34710</v>
      </c>
      <c r="N2118" t="str">
        <f>IF(TB[[#This Row],[售价]]&lt;1000,"低价商品",IF(TB[[#This Row],[售价]]&lt;5000,"中价商品",IF(TB[[#This Row],[售价]]&lt;10000,"高价商品","超高价商品")))</f>
        <v>高价商品</v>
      </c>
    </row>
    <row r="2119" spans="1:14" x14ac:dyDescent="0.2">
      <c r="A2119">
        <v>271</v>
      </c>
      <c r="B2119">
        <v>158</v>
      </c>
      <c r="C2119" t="s">
        <v>36</v>
      </c>
      <c r="D2119" t="s">
        <v>146</v>
      </c>
      <c r="E2119" t="s">
        <v>22</v>
      </c>
      <c r="F2119">
        <v>1</v>
      </c>
      <c r="G2119" t="s">
        <v>13</v>
      </c>
      <c r="H2119" s="1">
        <v>45970.115972222222</v>
      </c>
      <c r="I2119" s="5">
        <f>INT(TB[[#This Row],[时间戳]])</f>
        <v>45970</v>
      </c>
      <c r="J2119" s="2">
        <f>HOUR(TB[[#This Row],[时间戳]])</f>
        <v>2</v>
      </c>
      <c r="K2119">
        <v>5102</v>
      </c>
      <c r="L2119">
        <v>5</v>
      </c>
      <c r="M2119">
        <f>TB[[#This Row],[售价]]*TB[[#This Row],[销量]]</f>
        <v>25510</v>
      </c>
      <c r="N2119" t="str">
        <f>IF(TB[[#This Row],[售价]]&lt;1000,"低价商品",IF(TB[[#This Row],[售价]]&lt;5000,"中价商品",IF(TB[[#This Row],[售价]]&lt;10000,"高价商品","超高价商品")))</f>
        <v>高价商品</v>
      </c>
    </row>
    <row r="2120" spans="1:14" x14ac:dyDescent="0.2">
      <c r="A2120">
        <v>425</v>
      </c>
      <c r="B2120">
        <v>17</v>
      </c>
      <c r="C2120" t="s">
        <v>32</v>
      </c>
      <c r="D2120" t="s">
        <v>286</v>
      </c>
      <c r="E2120" t="s">
        <v>22</v>
      </c>
      <c r="F2120">
        <v>1</v>
      </c>
      <c r="G2120" t="s">
        <v>13</v>
      </c>
      <c r="H2120" s="1">
        <v>45970.118055555555</v>
      </c>
      <c r="I2120" s="5">
        <f>INT(TB[[#This Row],[时间戳]])</f>
        <v>45970</v>
      </c>
      <c r="J2120" s="2">
        <f>HOUR(TB[[#This Row],[时间戳]])</f>
        <v>2</v>
      </c>
      <c r="K2120">
        <v>7880</v>
      </c>
      <c r="L2120">
        <v>5</v>
      </c>
      <c r="M2120">
        <f>TB[[#This Row],[售价]]*TB[[#This Row],[销量]]</f>
        <v>39400</v>
      </c>
      <c r="N2120" t="str">
        <f>IF(TB[[#This Row],[售价]]&lt;1000,"低价商品",IF(TB[[#This Row],[售价]]&lt;5000,"中价商品",IF(TB[[#This Row],[售价]]&lt;10000,"高价商品","超高价商品")))</f>
        <v>高价商品</v>
      </c>
    </row>
    <row r="2121" spans="1:14" x14ac:dyDescent="0.2">
      <c r="A2121">
        <v>532</v>
      </c>
      <c r="B2121">
        <v>163</v>
      </c>
      <c r="C2121" t="s">
        <v>26</v>
      </c>
      <c r="D2121" t="s">
        <v>219</v>
      </c>
      <c r="E2121" t="s">
        <v>22</v>
      </c>
      <c r="F2121">
        <v>1</v>
      </c>
      <c r="G2121" t="s">
        <v>13</v>
      </c>
      <c r="H2121" s="1">
        <v>45970.156944444447</v>
      </c>
      <c r="I2121" s="5">
        <f>INT(TB[[#This Row],[时间戳]])</f>
        <v>45970</v>
      </c>
      <c r="J2121" s="2">
        <f>HOUR(TB[[#This Row],[时间戳]])</f>
        <v>3</v>
      </c>
      <c r="K2121">
        <v>1000</v>
      </c>
      <c r="L2121">
        <v>3</v>
      </c>
      <c r="M2121">
        <f>TB[[#This Row],[售价]]*TB[[#This Row],[销量]]</f>
        <v>3000</v>
      </c>
      <c r="N2121" t="str">
        <f>IF(TB[[#This Row],[售价]]&lt;1000,"低价商品",IF(TB[[#This Row],[售价]]&lt;5000,"中价商品",IF(TB[[#This Row],[售价]]&lt;10000,"高价商品","超高价商品")))</f>
        <v>中价商品</v>
      </c>
    </row>
    <row r="2122" spans="1:14" x14ac:dyDescent="0.2">
      <c r="A2122">
        <v>248</v>
      </c>
      <c r="B2122">
        <v>285</v>
      </c>
      <c r="C2122" t="s">
        <v>46</v>
      </c>
      <c r="D2122" t="s">
        <v>316</v>
      </c>
      <c r="E2122" t="s">
        <v>25</v>
      </c>
      <c r="F2122">
        <v>7</v>
      </c>
      <c r="G2122" t="s">
        <v>13</v>
      </c>
      <c r="H2122" s="1">
        <v>45970.1875</v>
      </c>
      <c r="I2122" s="5">
        <f>INT(TB[[#This Row],[时间戳]])</f>
        <v>45970</v>
      </c>
      <c r="J2122" s="2">
        <f>HOUR(TB[[#This Row],[时间戳]])</f>
        <v>4</v>
      </c>
      <c r="K2122">
        <v>4132</v>
      </c>
      <c r="L2122">
        <v>5</v>
      </c>
      <c r="M2122">
        <f>TB[[#This Row],[售价]]*TB[[#This Row],[销量]]</f>
        <v>20660</v>
      </c>
      <c r="N2122" t="str">
        <f>IF(TB[[#This Row],[售价]]&lt;1000,"低价商品",IF(TB[[#This Row],[售价]]&lt;5000,"中价商品",IF(TB[[#This Row],[售价]]&lt;10000,"高价商品","超高价商品")))</f>
        <v>中价商品</v>
      </c>
    </row>
    <row r="2123" spans="1:14" x14ac:dyDescent="0.2">
      <c r="A2123">
        <v>403</v>
      </c>
      <c r="B2123">
        <v>27</v>
      </c>
      <c r="C2123" t="s">
        <v>46</v>
      </c>
      <c r="D2123" t="s">
        <v>209</v>
      </c>
      <c r="E2123" t="s">
        <v>22</v>
      </c>
      <c r="F2123">
        <v>1</v>
      </c>
      <c r="G2123" t="s">
        <v>13</v>
      </c>
      <c r="H2123" s="1">
        <v>45970.2</v>
      </c>
      <c r="I2123" s="5">
        <f>INT(TB[[#This Row],[时间戳]])</f>
        <v>45970</v>
      </c>
      <c r="J2123" s="2">
        <f>HOUR(TB[[#This Row],[时间戳]])</f>
        <v>4</v>
      </c>
      <c r="K2123">
        <v>4104</v>
      </c>
      <c r="L2123">
        <v>3</v>
      </c>
      <c r="M2123">
        <f>TB[[#This Row],[售价]]*TB[[#This Row],[销量]]</f>
        <v>12312</v>
      </c>
      <c r="N2123" t="str">
        <f>IF(TB[[#This Row],[售价]]&lt;1000,"低价商品",IF(TB[[#This Row],[售价]]&lt;5000,"中价商品",IF(TB[[#This Row],[售价]]&lt;10000,"高价商品","超高价商品")))</f>
        <v>中价商品</v>
      </c>
    </row>
    <row r="2124" spans="1:14" x14ac:dyDescent="0.2">
      <c r="A2124">
        <v>400</v>
      </c>
      <c r="B2124">
        <v>89</v>
      </c>
      <c r="C2124" t="s">
        <v>26</v>
      </c>
      <c r="D2124" t="s">
        <v>409</v>
      </c>
      <c r="E2124" t="s">
        <v>12</v>
      </c>
      <c r="F2124">
        <v>2</v>
      </c>
      <c r="G2124" t="s">
        <v>13</v>
      </c>
      <c r="H2124" s="1">
        <v>45970.263194444444</v>
      </c>
      <c r="I2124" s="5">
        <f>INT(TB[[#This Row],[时间戳]])</f>
        <v>45970</v>
      </c>
      <c r="J2124" s="2">
        <f>HOUR(TB[[#This Row],[时间戳]])</f>
        <v>6</v>
      </c>
      <c r="K2124">
        <v>13486</v>
      </c>
      <c r="L2124">
        <v>5</v>
      </c>
      <c r="M2124">
        <f>TB[[#This Row],[售价]]*TB[[#This Row],[销量]]</f>
        <v>67430</v>
      </c>
      <c r="N2124" t="str">
        <f>IF(TB[[#This Row],[售价]]&lt;1000,"低价商品",IF(TB[[#This Row],[售价]]&lt;5000,"中价商品",IF(TB[[#This Row],[售价]]&lt;10000,"高价商品","超高价商品")))</f>
        <v>超高价商品</v>
      </c>
    </row>
    <row r="2125" spans="1:14" x14ac:dyDescent="0.2">
      <c r="A2125">
        <v>448</v>
      </c>
      <c r="B2125">
        <v>119</v>
      </c>
      <c r="C2125" t="s">
        <v>20</v>
      </c>
      <c r="D2125" t="s">
        <v>340</v>
      </c>
      <c r="E2125" t="s">
        <v>19</v>
      </c>
      <c r="F2125">
        <v>3</v>
      </c>
      <c r="G2125" t="s">
        <v>13</v>
      </c>
      <c r="H2125" s="1">
        <v>45970.272916666669</v>
      </c>
      <c r="I2125" s="5">
        <f>INT(TB[[#This Row],[时间戳]])</f>
        <v>45970</v>
      </c>
      <c r="J2125" s="2">
        <f>HOUR(TB[[#This Row],[时间戳]])</f>
        <v>6</v>
      </c>
      <c r="K2125">
        <v>4764</v>
      </c>
      <c r="L2125">
        <v>5</v>
      </c>
      <c r="M2125">
        <f>TB[[#This Row],[售价]]*TB[[#This Row],[销量]]</f>
        <v>23820</v>
      </c>
      <c r="N2125" t="str">
        <f>IF(TB[[#This Row],[售价]]&lt;1000,"低价商品",IF(TB[[#This Row],[售价]]&lt;5000,"中价商品",IF(TB[[#This Row],[售价]]&lt;10000,"高价商品","超高价商品")))</f>
        <v>中价商品</v>
      </c>
    </row>
    <row r="2126" spans="1:14" x14ac:dyDescent="0.2">
      <c r="A2126">
        <v>122</v>
      </c>
      <c r="B2126">
        <v>296</v>
      </c>
      <c r="C2126" t="s">
        <v>26</v>
      </c>
      <c r="D2126" t="s">
        <v>364</v>
      </c>
      <c r="E2126" t="s">
        <v>39</v>
      </c>
      <c r="F2126">
        <v>5</v>
      </c>
      <c r="G2126" t="s">
        <v>13</v>
      </c>
      <c r="H2126" s="1">
        <v>45970.349305555559</v>
      </c>
      <c r="I2126" s="5">
        <f>INT(TB[[#This Row],[时间戳]])</f>
        <v>45970</v>
      </c>
      <c r="J2126" s="2">
        <f>HOUR(TB[[#This Row],[时间戳]])</f>
        <v>8</v>
      </c>
      <c r="K2126">
        <v>1370</v>
      </c>
      <c r="L2126">
        <v>5</v>
      </c>
      <c r="M2126">
        <f>TB[[#This Row],[售价]]*TB[[#This Row],[销量]]</f>
        <v>6850</v>
      </c>
      <c r="N2126" t="str">
        <f>IF(TB[[#This Row],[售价]]&lt;1000,"低价商品",IF(TB[[#This Row],[售价]]&lt;5000,"中价商品",IF(TB[[#This Row],[售价]]&lt;10000,"高价商品","超高价商品")))</f>
        <v>中价商品</v>
      </c>
    </row>
    <row r="2127" spans="1:14" x14ac:dyDescent="0.2">
      <c r="A2127">
        <v>163</v>
      </c>
      <c r="B2127">
        <v>166</v>
      </c>
      <c r="C2127" t="s">
        <v>36</v>
      </c>
      <c r="D2127" t="s">
        <v>87</v>
      </c>
      <c r="E2127" t="s">
        <v>19</v>
      </c>
      <c r="F2127">
        <v>3</v>
      </c>
      <c r="G2127" t="s">
        <v>13</v>
      </c>
      <c r="H2127" s="1">
        <v>45970.369444444441</v>
      </c>
      <c r="I2127" s="5">
        <f>INT(TB[[#This Row],[时间戳]])</f>
        <v>45970</v>
      </c>
      <c r="J2127" s="2">
        <f>HOUR(TB[[#This Row],[时间戳]])</f>
        <v>8</v>
      </c>
      <c r="K2127">
        <v>4901</v>
      </c>
      <c r="L2127">
        <v>3</v>
      </c>
      <c r="M2127">
        <f>TB[[#This Row],[售价]]*TB[[#This Row],[销量]]</f>
        <v>14703</v>
      </c>
      <c r="N2127" t="str">
        <f>IF(TB[[#This Row],[售价]]&lt;1000,"低价商品",IF(TB[[#This Row],[售价]]&lt;5000,"中价商品",IF(TB[[#This Row],[售价]]&lt;10000,"高价商品","超高价商品")))</f>
        <v>中价商品</v>
      </c>
    </row>
    <row r="2128" spans="1:14" x14ac:dyDescent="0.2">
      <c r="A2128">
        <v>448</v>
      </c>
      <c r="B2128">
        <v>6</v>
      </c>
      <c r="C2128" t="s">
        <v>14</v>
      </c>
      <c r="D2128" t="s">
        <v>89</v>
      </c>
      <c r="E2128" t="s">
        <v>22</v>
      </c>
      <c r="F2128">
        <v>1</v>
      </c>
      <c r="G2128" t="s">
        <v>13</v>
      </c>
      <c r="H2128" s="1">
        <v>45970.388194444444</v>
      </c>
      <c r="I2128" s="5">
        <f>INT(TB[[#This Row],[时间戳]])</f>
        <v>45970</v>
      </c>
      <c r="J2128" s="2">
        <f>HOUR(TB[[#This Row],[时间戳]])</f>
        <v>9</v>
      </c>
      <c r="K2128">
        <v>2516</v>
      </c>
      <c r="L2128">
        <v>5</v>
      </c>
      <c r="M2128">
        <f>TB[[#This Row],[售价]]*TB[[#This Row],[销量]]</f>
        <v>12580</v>
      </c>
      <c r="N2128" t="str">
        <f>IF(TB[[#This Row],[售价]]&lt;1000,"低价商品",IF(TB[[#This Row],[售价]]&lt;5000,"中价商品",IF(TB[[#This Row],[售价]]&lt;10000,"高价商品","超高价商品")))</f>
        <v>中价商品</v>
      </c>
    </row>
    <row r="2129" spans="1:14" x14ac:dyDescent="0.2">
      <c r="A2129">
        <v>29</v>
      </c>
      <c r="B2129">
        <v>279</v>
      </c>
      <c r="C2129" t="s">
        <v>46</v>
      </c>
      <c r="D2129" t="s">
        <v>350</v>
      </c>
      <c r="E2129" t="s">
        <v>25</v>
      </c>
      <c r="F2129">
        <v>7</v>
      </c>
      <c r="G2129" t="s">
        <v>42</v>
      </c>
      <c r="H2129" s="1">
        <v>45970.39166666667</v>
      </c>
      <c r="I2129" s="5">
        <f>INT(TB[[#This Row],[时间戳]])</f>
        <v>45970</v>
      </c>
      <c r="J2129" s="2">
        <f>HOUR(TB[[#This Row],[时间戳]])</f>
        <v>9</v>
      </c>
      <c r="K2129">
        <v>6845</v>
      </c>
      <c r="L2129">
        <v>0</v>
      </c>
      <c r="M2129">
        <f>TB[[#This Row],[售价]]*TB[[#This Row],[销量]]</f>
        <v>0</v>
      </c>
      <c r="N2129" t="str">
        <f>IF(TB[[#This Row],[售价]]&lt;1000,"低价商品",IF(TB[[#This Row],[售价]]&lt;5000,"中价商品",IF(TB[[#This Row],[售价]]&lt;10000,"高价商品","超高价商品")))</f>
        <v>高价商品</v>
      </c>
    </row>
    <row r="2130" spans="1:14" x14ac:dyDescent="0.2">
      <c r="A2130">
        <v>761</v>
      </c>
      <c r="B2130">
        <v>67</v>
      </c>
      <c r="C2130" t="s">
        <v>17</v>
      </c>
      <c r="D2130" t="s">
        <v>362</v>
      </c>
      <c r="E2130" t="s">
        <v>25</v>
      </c>
      <c r="F2130">
        <v>7</v>
      </c>
      <c r="G2130" t="s">
        <v>13</v>
      </c>
      <c r="H2130" s="1">
        <v>45970.430555555555</v>
      </c>
      <c r="I2130" s="5">
        <f>INT(TB[[#This Row],[时间戳]])</f>
        <v>45970</v>
      </c>
      <c r="J2130" s="2">
        <f>HOUR(TB[[#This Row],[时间戳]])</f>
        <v>10</v>
      </c>
      <c r="K2130">
        <v>2237</v>
      </c>
      <c r="L2130">
        <v>5</v>
      </c>
      <c r="M2130">
        <f>TB[[#This Row],[售价]]*TB[[#This Row],[销量]]</f>
        <v>11185</v>
      </c>
      <c r="N2130" t="str">
        <f>IF(TB[[#This Row],[售价]]&lt;1000,"低价商品",IF(TB[[#This Row],[售价]]&lt;5000,"中价商品",IF(TB[[#This Row],[售价]]&lt;10000,"高价商品","超高价商品")))</f>
        <v>中价商品</v>
      </c>
    </row>
    <row r="2131" spans="1:14" x14ac:dyDescent="0.2">
      <c r="A2131">
        <v>246</v>
      </c>
      <c r="B2131">
        <v>114</v>
      </c>
      <c r="C2131" t="s">
        <v>34</v>
      </c>
      <c r="D2131" t="s">
        <v>82</v>
      </c>
      <c r="E2131" t="s">
        <v>31</v>
      </c>
      <c r="F2131">
        <v>4</v>
      </c>
      <c r="G2131" t="s">
        <v>13</v>
      </c>
      <c r="H2131" s="1">
        <v>45970.440972222219</v>
      </c>
      <c r="I2131" s="5">
        <f>INT(TB[[#This Row],[时间戳]])</f>
        <v>45970</v>
      </c>
      <c r="J2131" s="2">
        <f>HOUR(TB[[#This Row],[时间戳]])</f>
        <v>10</v>
      </c>
      <c r="K2131">
        <v>1103</v>
      </c>
      <c r="L2131">
        <v>5</v>
      </c>
      <c r="M2131">
        <f>TB[[#This Row],[售价]]*TB[[#This Row],[销量]]</f>
        <v>5515</v>
      </c>
      <c r="N2131" t="str">
        <f>IF(TB[[#This Row],[售价]]&lt;1000,"低价商品",IF(TB[[#This Row],[售价]]&lt;5000,"中价商品",IF(TB[[#This Row],[售价]]&lt;10000,"高价商品","超高价商品")))</f>
        <v>中价商品</v>
      </c>
    </row>
    <row r="2132" spans="1:14" x14ac:dyDescent="0.2">
      <c r="A2132">
        <v>744</v>
      </c>
      <c r="B2132">
        <v>194</v>
      </c>
      <c r="C2132" t="s">
        <v>20</v>
      </c>
      <c r="D2132" t="s">
        <v>120</v>
      </c>
      <c r="E2132" t="s">
        <v>22</v>
      </c>
      <c r="F2132">
        <v>1</v>
      </c>
      <c r="G2132" t="s">
        <v>13</v>
      </c>
      <c r="H2132" s="1">
        <v>45970.444444444445</v>
      </c>
      <c r="I2132" s="5">
        <f>INT(TB[[#This Row],[时间戳]])</f>
        <v>45970</v>
      </c>
      <c r="J2132" s="2">
        <f>HOUR(TB[[#This Row],[时间戳]])</f>
        <v>10</v>
      </c>
      <c r="K2132">
        <v>3331</v>
      </c>
      <c r="L2132">
        <v>5</v>
      </c>
      <c r="M2132">
        <f>TB[[#This Row],[售价]]*TB[[#This Row],[销量]]</f>
        <v>16655</v>
      </c>
      <c r="N2132" t="str">
        <f>IF(TB[[#This Row],[售价]]&lt;1000,"低价商品",IF(TB[[#This Row],[售价]]&lt;5000,"中价商品",IF(TB[[#This Row],[售价]]&lt;10000,"高价商品","超高价商品")))</f>
        <v>中价商品</v>
      </c>
    </row>
    <row r="2133" spans="1:14" x14ac:dyDescent="0.2">
      <c r="A2133">
        <v>85</v>
      </c>
      <c r="B2133">
        <v>74</v>
      </c>
      <c r="C2133" t="s">
        <v>10</v>
      </c>
      <c r="D2133" t="s">
        <v>221</v>
      </c>
      <c r="E2133" t="s">
        <v>16</v>
      </c>
      <c r="F2133">
        <v>6</v>
      </c>
      <c r="G2133" t="s">
        <v>13</v>
      </c>
      <c r="H2133" s="1">
        <v>45970.444444444445</v>
      </c>
      <c r="I2133" s="5">
        <f>INT(TB[[#This Row],[时间戳]])</f>
        <v>45970</v>
      </c>
      <c r="J2133" s="2">
        <f>HOUR(TB[[#This Row],[时间戳]])</f>
        <v>10</v>
      </c>
      <c r="K2133">
        <v>6404</v>
      </c>
      <c r="L2133">
        <v>5</v>
      </c>
      <c r="M2133">
        <f>TB[[#This Row],[售价]]*TB[[#This Row],[销量]]</f>
        <v>32020</v>
      </c>
      <c r="N2133" t="str">
        <f>IF(TB[[#This Row],[售价]]&lt;1000,"低价商品",IF(TB[[#This Row],[售价]]&lt;5000,"中价商品",IF(TB[[#This Row],[售价]]&lt;10000,"高价商品","超高价商品")))</f>
        <v>高价商品</v>
      </c>
    </row>
    <row r="2134" spans="1:14" x14ac:dyDescent="0.2">
      <c r="A2134">
        <v>114</v>
      </c>
      <c r="B2134">
        <v>236</v>
      </c>
      <c r="C2134" t="s">
        <v>46</v>
      </c>
      <c r="D2134" t="s">
        <v>159</v>
      </c>
      <c r="E2134" t="s">
        <v>16</v>
      </c>
      <c r="F2134">
        <v>6</v>
      </c>
      <c r="G2134" t="s">
        <v>13</v>
      </c>
      <c r="H2134" s="1">
        <v>45970.459722222222</v>
      </c>
      <c r="I2134" s="5">
        <f>INT(TB[[#This Row],[时间戳]])</f>
        <v>45970</v>
      </c>
      <c r="J2134" s="2">
        <f>HOUR(TB[[#This Row],[时间戳]])</f>
        <v>11</v>
      </c>
      <c r="K2134">
        <v>2505</v>
      </c>
      <c r="L2134">
        <v>3</v>
      </c>
      <c r="M2134">
        <f>TB[[#This Row],[售价]]*TB[[#This Row],[销量]]</f>
        <v>7515</v>
      </c>
      <c r="N2134" t="str">
        <f>IF(TB[[#This Row],[售价]]&lt;1000,"低价商品",IF(TB[[#This Row],[售价]]&lt;5000,"中价商品",IF(TB[[#This Row],[售价]]&lt;10000,"高价商品","超高价商品")))</f>
        <v>中价商品</v>
      </c>
    </row>
    <row r="2135" spans="1:14" x14ac:dyDescent="0.2">
      <c r="A2135">
        <v>290</v>
      </c>
      <c r="B2135">
        <v>135</v>
      </c>
      <c r="C2135" t="s">
        <v>14</v>
      </c>
      <c r="D2135" t="s">
        <v>49</v>
      </c>
      <c r="E2135" t="s">
        <v>22</v>
      </c>
      <c r="F2135">
        <v>1</v>
      </c>
      <c r="G2135" t="s">
        <v>42</v>
      </c>
      <c r="H2135" s="1">
        <v>45970.473611111112</v>
      </c>
      <c r="I2135" s="5">
        <f>INT(TB[[#This Row],[时间戳]])</f>
        <v>45970</v>
      </c>
      <c r="J2135" s="2">
        <f>HOUR(TB[[#This Row],[时间戳]])</f>
        <v>11</v>
      </c>
      <c r="K2135">
        <v>5743</v>
      </c>
      <c r="L2135">
        <v>0</v>
      </c>
      <c r="M2135">
        <f>TB[[#This Row],[售价]]*TB[[#This Row],[销量]]</f>
        <v>0</v>
      </c>
      <c r="N2135" t="str">
        <f>IF(TB[[#This Row],[售价]]&lt;1000,"低价商品",IF(TB[[#This Row],[售价]]&lt;5000,"中价商品",IF(TB[[#This Row],[售价]]&lt;10000,"高价商品","超高价商品")))</f>
        <v>高价商品</v>
      </c>
    </row>
    <row r="2136" spans="1:14" x14ac:dyDescent="0.2">
      <c r="A2136">
        <v>371</v>
      </c>
      <c r="B2136">
        <v>107</v>
      </c>
      <c r="C2136" t="s">
        <v>14</v>
      </c>
      <c r="D2136" t="s">
        <v>106</v>
      </c>
      <c r="E2136" t="s">
        <v>22</v>
      </c>
      <c r="F2136">
        <v>1</v>
      </c>
      <c r="G2136" t="s">
        <v>13</v>
      </c>
      <c r="H2136" s="1">
        <v>45970.496527777781</v>
      </c>
      <c r="I2136" s="5">
        <f>INT(TB[[#This Row],[时间戳]])</f>
        <v>45970</v>
      </c>
      <c r="J2136" s="2">
        <f>HOUR(TB[[#This Row],[时间戳]])</f>
        <v>11</v>
      </c>
      <c r="K2136">
        <v>2326</v>
      </c>
      <c r="L2136">
        <v>5</v>
      </c>
      <c r="M2136">
        <f>TB[[#This Row],[售价]]*TB[[#This Row],[销量]]</f>
        <v>11630</v>
      </c>
      <c r="N2136" t="str">
        <f>IF(TB[[#This Row],[售价]]&lt;1000,"低价商品",IF(TB[[#This Row],[售价]]&lt;5000,"中价商品",IF(TB[[#This Row],[售价]]&lt;10000,"高价商品","超高价商品")))</f>
        <v>中价商品</v>
      </c>
    </row>
    <row r="2137" spans="1:14" x14ac:dyDescent="0.2">
      <c r="A2137">
        <v>424</v>
      </c>
      <c r="B2137">
        <v>38</v>
      </c>
      <c r="C2137" t="s">
        <v>44</v>
      </c>
      <c r="D2137" t="s">
        <v>322</v>
      </c>
      <c r="E2137" t="s">
        <v>16</v>
      </c>
      <c r="F2137">
        <v>6</v>
      </c>
      <c r="G2137" t="s">
        <v>13</v>
      </c>
      <c r="H2137" s="1">
        <v>45970.537499999999</v>
      </c>
      <c r="I2137" s="5">
        <f>INT(TB[[#This Row],[时间戳]])</f>
        <v>45970</v>
      </c>
      <c r="J2137" s="2">
        <f>HOUR(TB[[#This Row],[时间戳]])</f>
        <v>12</v>
      </c>
      <c r="K2137">
        <v>8253</v>
      </c>
      <c r="L2137">
        <v>5</v>
      </c>
      <c r="M2137">
        <f>TB[[#This Row],[售价]]*TB[[#This Row],[销量]]</f>
        <v>41265</v>
      </c>
      <c r="N2137" t="str">
        <f>IF(TB[[#This Row],[售价]]&lt;1000,"低价商品",IF(TB[[#This Row],[售价]]&lt;5000,"中价商品",IF(TB[[#This Row],[售价]]&lt;10000,"高价商品","超高价商品")))</f>
        <v>高价商品</v>
      </c>
    </row>
    <row r="2138" spans="1:14" x14ac:dyDescent="0.2">
      <c r="A2138">
        <v>704</v>
      </c>
      <c r="B2138">
        <v>215</v>
      </c>
      <c r="C2138" t="s">
        <v>14</v>
      </c>
      <c r="D2138" t="s">
        <v>144</v>
      </c>
      <c r="E2138" t="s">
        <v>19</v>
      </c>
      <c r="F2138">
        <v>3</v>
      </c>
      <c r="G2138" t="s">
        <v>13</v>
      </c>
      <c r="H2138" s="1">
        <v>45970.538888888892</v>
      </c>
      <c r="I2138" s="5">
        <f>INT(TB[[#This Row],[时间戳]])</f>
        <v>45970</v>
      </c>
      <c r="J2138" s="2">
        <f>HOUR(TB[[#This Row],[时间戳]])</f>
        <v>12</v>
      </c>
      <c r="K2138">
        <v>5605</v>
      </c>
      <c r="L2138">
        <v>5</v>
      </c>
      <c r="M2138">
        <f>TB[[#This Row],[售价]]*TB[[#This Row],[销量]]</f>
        <v>28025</v>
      </c>
      <c r="N2138" t="str">
        <f>IF(TB[[#This Row],[售价]]&lt;1000,"低价商品",IF(TB[[#This Row],[售价]]&lt;5000,"中价商品",IF(TB[[#This Row],[售价]]&lt;10000,"高价商品","超高价商品")))</f>
        <v>高价商品</v>
      </c>
    </row>
    <row r="2139" spans="1:14" x14ac:dyDescent="0.2">
      <c r="A2139">
        <v>185</v>
      </c>
      <c r="B2139">
        <v>153</v>
      </c>
      <c r="C2139" t="s">
        <v>44</v>
      </c>
      <c r="D2139" t="s">
        <v>195</v>
      </c>
      <c r="E2139" t="s">
        <v>22</v>
      </c>
      <c r="F2139">
        <v>1</v>
      </c>
      <c r="G2139" t="s">
        <v>13</v>
      </c>
      <c r="H2139" s="1">
        <v>45970.563194444447</v>
      </c>
      <c r="I2139" s="5">
        <f>INT(TB[[#This Row],[时间戳]])</f>
        <v>45970</v>
      </c>
      <c r="J2139" s="2">
        <f>HOUR(TB[[#This Row],[时间戳]])</f>
        <v>13</v>
      </c>
      <c r="K2139">
        <v>4034</v>
      </c>
      <c r="L2139">
        <v>3</v>
      </c>
      <c r="M2139">
        <f>TB[[#This Row],[售价]]*TB[[#This Row],[销量]]</f>
        <v>12102</v>
      </c>
      <c r="N2139" t="str">
        <f>IF(TB[[#This Row],[售价]]&lt;1000,"低价商品",IF(TB[[#This Row],[售价]]&lt;5000,"中价商品",IF(TB[[#This Row],[售价]]&lt;10000,"高价商品","超高价商品")))</f>
        <v>中价商品</v>
      </c>
    </row>
    <row r="2140" spans="1:14" x14ac:dyDescent="0.2">
      <c r="A2140">
        <v>33</v>
      </c>
      <c r="B2140">
        <v>61</v>
      </c>
      <c r="C2140" t="s">
        <v>46</v>
      </c>
      <c r="D2140" t="s">
        <v>77</v>
      </c>
      <c r="E2140" t="s">
        <v>19</v>
      </c>
      <c r="F2140">
        <v>3</v>
      </c>
      <c r="G2140" t="s">
        <v>13</v>
      </c>
      <c r="H2140" s="1">
        <v>45970.566666666666</v>
      </c>
      <c r="I2140" s="5">
        <f>INT(TB[[#This Row],[时间戳]])</f>
        <v>45970</v>
      </c>
      <c r="J2140" s="2">
        <f>HOUR(TB[[#This Row],[时间戳]])</f>
        <v>13</v>
      </c>
      <c r="K2140">
        <v>1500</v>
      </c>
      <c r="L2140">
        <v>3</v>
      </c>
      <c r="M2140">
        <f>TB[[#This Row],[售价]]*TB[[#This Row],[销量]]</f>
        <v>4500</v>
      </c>
      <c r="N2140" t="str">
        <f>IF(TB[[#This Row],[售价]]&lt;1000,"低价商品",IF(TB[[#This Row],[售价]]&lt;5000,"中价商品",IF(TB[[#This Row],[售价]]&lt;10000,"高价商品","超高价商品")))</f>
        <v>中价商品</v>
      </c>
    </row>
    <row r="2141" spans="1:14" x14ac:dyDescent="0.2">
      <c r="A2141">
        <v>615</v>
      </c>
      <c r="B2141">
        <v>280</v>
      </c>
      <c r="C2141" t="s">
        <v>44</v>
      </c>
      <c r="D2141" t="s">
        <v>161</v>
      </c>
      <c r="E2141" t="s">
        <v>31</v>
      </c>
      <c r="F2141">
        <v>4</v>
      </c>
      <c r="G2141" t="s">
        <v>42</v>
      </c>
      <c r="H2141" s="1">
        <v>45970.602777777778</v>
      </c>
      <c r="I2141" s="5">
        <f>INT(TB[[#This Row],[时间戳]])</f>
        <v>45970</v>
      </c>
      <c r="J2141" s="2">
        <f>HOUR(TB[[#This Row],[时间戳]])</f>
        <v>14</v>
      </c>
      <c r="K2141">
        <v>729</v>
      </c>
      <c r="L2141">
        <v>0</v>
      </c>
      <c r="M2141">
        <f>TB[[#This Row],[售价]]*TB[[#This Row],[销量]]</f>
        <v>0</v>
      </c>
      <c r="N2141" t="str">
        <f>IF(TB[[#This Row],[售价]]&lt;1000,"低价商品",IF(TB[[#This Row],[售价]]&lt;5000,"中价商品",IF(TB[[#This Row],[售价]]&lt;10000,"高价商品","超高价商品")))</f>
        <v>低价商品</v>
      </c>
    </row>
    <row r="2142" spans="1:14" x14ac:dyDescent="0.2">
      <c r="A2142">
        <v>261</v>
      </c>
      <c r="B2142">
        <v>63</v>
      </c>
      <c r="C2142" t="s">
        <v>20</v>
      </c>
      <c r="D2142" t="s">
        <v>334</v>
      </c>
      <c r="E2142" t="s">
        <v>22</v>
      </c>
      <c r="F2142">
        <v>1</v>
      </c>
      <c r="G2142" t="s">
        <v>13</v>
      </c>
      <c r="H2142" s="1">
        <v>45970.634027777778</v>
      </c>
      <c r="I2142" s="5">
        <f>INT(TB[[#This Row],[时间戳]])</f>
        <v>45970</v>
      </c>
      <c r="J2142" s="2">
        <f>HOUR(TB[[#This Row],[时间戳]])</f>
        <v>15</v>
      </c>
      <c r="K2142">
        <v>1000</v>
      </c>
      <c r="L2142">
        <v>5</v>
      </c>
      <c r="M2142">
        <f>TB[[#This Row],[售价]]*TB[[#This Row],[销量]]</f>
        <v>5000</v>
      </c>
      <c r="N2142" t="str">
        <f>IF(TB[[#This Row],[售价]]&lt;1000,"低价商品",IF(TB[[#This Row],[售价]]&lt;5000,"中价商品",IF(TB[[#This Row],[售价]]&lt;10000,"高价商品","超高价商品")))</f>
        <v>中价商品</v>
      </c>
    </row>
    <row r="2143" spans="1:14" x14ac:dyDescent="0.2">
      <c r="A2143">
        <v>24</v>
      </c>
      <c r="B2143">
        <v>266</v>
      </c>
      <c r="C2143" t="s">
        <v>10</v>
      </c>
      <c r="D2143" t="s">
        <v>189</v>
      </c>
      <c r="E2143" t="s">
        <v>22</v>
      </c>
      <c r="F2143">
        <v>1</v>
      </c>
      <c r="G2143" t="s">
        <v>13</v>
      </c>
      <c r="H2143" s="1">
        <v>45970.648611111108</v>
      </c>
      <c r="I2143" s="5">
        <f>INT(TB[[#This Row],[时间戳]])</f>
        <v>45970</v>
      </c>
      <c r="J2143" s="2">
        <f>HOUR(TB[[#This Row],[时间戳]])</f>
        <v>15</v>
      </c>
      <c r="K2143">
        <v>2689</v>
      </c>
      <c r="L2143">
        <v>5</v>
      </c>
      <c r="M2143">
        <f>TB[[#This Row],[售价]]*TB[[#This Row],[销量]]</f>
        <v>13445</v>
      </c>
      <c r="N2143" t="str">
        <f>IF(TB[[#This Row],[售价]]&lt;1000,"低价商品",IF(TB[[#This Row],[售价]]&lt;5000,"中价商品",IF(TB[[#This Row],[售价]]&lt;10000,"高价商品","超高价商品")))</f>
        <v>中价商品</v>
      </c>
    </row>
    <row r="2144" spans="1:14" x14ac:dyDescent="0.2">
      <c r="A2144">
        <v>374</v>
      </c>
      <c r="B2144">
        <v>59</v>
      </c>
      <c r="C2144" t="s">
        <v>26</v>
      </c>
      <c r="D2144" t="s">
        <v>27</v>
      </c>
      <c r="E2144" t="s">
        <v>22</v>
      </c>
      <c r="F2144">
        <v>1</v>
      </c>
      <c r="G2144" t="s">
        <v>13</v>
      </c>
      <c r="H2144" s="1">
        <v>45970.671527777777</v>
      </c>
      <c r="I2144" s="5">
        <f>INT(TB[[#This Row],[时间戳]])</f>
        <v>45970</v>
      </c>
      <c r="J2144" s="2">
        <f>HOUR(TB[[#This Row],[时间戳]])</f>
        <v>16</v>
      </c>
      <c r="K2144">
        <v>5381</v>
      </c>
      <c r="L2144">
        <v>5</v>
      </c>
      <c r="M2144">
        <f>TB[[#This Row],[售价]]*TB[[#This Row],[销量]]</f>
        <v>26905</v>
      </c>
      <c r="N2144" t="str">
        <f>IF(TB[[#This Row],[售价]]&lt;1000,"低价商品",IF(TB[[#This Row],[售价]]&lt;5000,"中价商品",IF(TB[[#This Row],[售价]]&lt;10000,"高价商品","超高价商品")))</f>
        <v>高价商品</v>
      </c>
    </row>
    <row r="2145" spans="1:14" x14ac:dyDescent="0.2">
      <c r="A2145">
        <v>226</v>
      </c>
      <c r="B2145">
        <v>43</v>
      </c>
      <c r="C2145" t="s">
        <v>34</v>
      </c>
      <c r="D2145" t="s">
        <v>339</v>
      </c>
      <c r="E2145" t="s">
        <v>12</v>
      </c>
      <c r="F2145">
        <v>2</v>
      </c>
      <c r="G2145" t="s">
        <v>13</v>
      </c>
      <c r="H2145" s="1">
        <v>45970.678472222222</v>
      </c>
      <c r="I2145" s="5">
        <f>INT(TB[[#This Row],[时间戳]])</f>
        <v>45970</v>
      </c>
      <c r="J2145" s="2">
        <f>HOUR(TB[[#This Row],[时间戳]])</f>
        <v>16</v>
      </c>
      <c r="K2145">
        <v>7369</v>
      </c>
      <c r="L2145">
        <v>3</v>
      </c>
      <c r="M2145">
        <f>TB[[#This Row],[售价]]*TB[[#This Row],[销量]]</f>
        <v>22107</v>
      </c>
      <c r="N2145" t="str">
        <f>IF(TB[[#This Row],[售价]]&lt;1000,"低价商品",IF(TB[[#This Row],[售价]]&lt;5000,"中价商品",IF(TB[[#This Row],[售价]]&lt;10000,"高价商品","超高价商品")))</f>
        <v>高价商品</v>
      </c>
    </row>
    <row r="2146" spans="1:14" x14ac:dyDescent="0.2">
      <c r="A2146">
        <v>205</v>
      </c>
      <c r="B2146">
        <v>48</v>
      </c>
      <c r="C2146" t="s">
        <v>36</v>
      </c>
      <c r="D2146" t="s">
        <v>185</v>
      </c>
      <c r="E2146" t="s">
        <v>12</v>
      </c>
      <c r="F2146">
        <v>2</v>
      </c>
      <c r="G2146" t="s">
        <v>13</v>
      </c>
      <c r="H2146" s="1">
        <v>45970.69027777778</v>
      </c>
      <c r="I2146" s="5">
        <f>INT(TB[[#This Row],[时间戳]])</f>
        <v>45970</v>
      </c>
      <c r="J2146" s="2">
        <f>HOUR(TB[[#This Row],[时间戳]])</f>
        <v>16</v>
      </c>
      <c r="K2146">
        <v>6010</v>
      </c>
      <c r="L2146">
        <v>5</v>
      </c>
      <c r="M2146">
        <f>TB[[#This Row],[售价]]*TB[[#This Row],[销量]]</f>
        <v>30050</v>
      </c>
      <c r="N2146" t="str">
        <f>IF(TB[[#This Row],[售价]]&lt;1000,"低价商品",IF(TB[[#This Row],[售价]]&lt;5000,"中价商品",IF(TB[[#This Row],[售价]]&lt;10000,"高价商品","超高价商品")))</f>
        <v>高价商品</v>
      </c>
    </row>
    <row r="2147" spans="1:14" x14ac:dyDescent="0.2">
      <c r="A2147">
        <v>302</v>
      </c>
      <c r="B2147">
        <v>240</v>
      </c>
      <c r="C2147" t="s">
        <v>20</v>
      </c>
      <c r="D2147" t="s">
        <v>334</v>
      </c>
      <c r="E2147" t="s">
        <v>22</v>
      </c>
      <c r="F2147">
        <v>1</v>
      </c>
      <c r="G2147" t="s">
        <v>13</v>
      </c>
      <c r="H2147" s="1">
        <v>45970.72152777778</v>
      </c>
      <c r="I2147" s="5">
        <f>INT(TB[[#This Row],[时间戳]])</f>
        <v>45970</v>
      </c>
      <c r="J2147" s="2">
        <f>HOUR(TB[[#This Row],[时间戳]])</f>
        <v>17</v>
      </c>
      <c r="K2147">
        <v>4017</v>
      </c>
      <c r="L2147">
        <v>5</v>
      </c>
      <c r="M2147">
        <f>TB[[#This Row],[售价]]*TB[[#This Row],[销量]]</f>
        <v>20085</v>
      </c>
      <c r="N2147" t="str">
        <f>IF(TB[[#This Row],[售价]]&lt;1000,"低价商品",IF(TB[[#This Row],[售价]]&lt;5000,"中价商品",IF(TB[[#This Row],[售价]]&lt;10000,"高价商品","超高价商品")))</f>
        <v>中价商品</v>
      </c>
    </row>
    <row r="2148" spans="1:14" x14ac:dyDescent="0.2">
      <c r="A2148">
        <v>410</v>
      </c>
      <c r="B2148">
        <v>99</v>
      </c>
      <c r="C2148" t="s">
        <v>17</v>
      </c>
      <c r="D2148" t="s">
        <v>191</v>
      </c>
      <c r="E2148" t="s">
        <v>39</v>
      </c>
      <c r="F2148">
        <v>5</v>
      </c>
      <c r="G2148" t="s">
        <v>13</v>
      </c>
      <c r="H2148" s="1">
        <v>45970.73333333333</v>
      </c>
      <c r="I2148" s="5">
        <f>INT(TB[[#This Row],[时间戳]])</f>
        <v>45970</v>
      </c>
      <c r="J2148" s="2">
        <f>HOUR(TB[[#This Row],[时间戳]])</f>
        <v>17</v>
      </c>
      <c r="K2148">
        <v>3905</v>
      </c>
      <c r="L2148">
        <v>5</v>
      </c>
      <c r="M2148">
        <f>TB[[#This Row],[售价]]*TB[[#This Row],[销量]]</f>
        <v>19525</v>
      </c>
      <c r="N2148" t="str">
        <f>IF(TB[[#This Row],[售价]]&lt;1000,"低价商品",IF(TB[[#This Row],[售价]]&lt;5000,"中价商品",IF(TB[[#This Row],[售价]]&lt;10000,"高价商品","超高价商品")))</f>
        <v>中价商品</v>
      </c>
    </row>
    <row r="2149" spans="1:14" x14ac:dyDescent="0.2">
      <c r="A2149">
        <v>403</v>
      </c>
      <c r="B2149">
        <v>53</v>
      </c>
      <c r="C2149" t="s">
        <v>32</v>
      </c>
      <c r="D2149" t="s">
        <v>342</v>
      </c>
      <c r="E2149" t="s">
        <v>39</v>
      </c>
      <c r="F2149">
        <v>5</v>
      </c>
      <c r="G2149" t="s">
        <v>42</v>
      </c>
      <c r="H2149" s="1">
        <v>45970.740972222222</v>
      </c>
      <c r="I2149" s="5">
        <f>INT(TB[[#This Row],[时间戳]])</f>
        <v>45970</v>
      </c>
      <c r="J2149" s="2">
        <f>HOUR(TB[[#This Row],[时间戳]])</f>
        <v>17</v>
      </c>
      <c r="K2149">
        <v>1712</v>
      </c>
      <c r="L2149">
        <v>0</v>
      </c>
      <c r="M2149">
        <f>TB[[#This Row],[售价]]*TB[[#This Row],[销量]]</f>
        <v>0</v>
      </c>
      <c r="N2149" t="str">
        <f>IF(TB[[#This Row],[售价]]&lt;1000,"低价商品",IF(TB[[#This Row],[售价]]&lt;5000,"中价商品",IF(TB[[#This Row],[售价]]&lt;10000,"高价商品","超高价商品")))</f>
        <v>中价商品</v>
      </c>
    </row>
    <row r="2150" spans="1:14" x14ac:dyDescent="0.2">
      <c r="A2150">
        <v>170</v>
      </c>
      <c r="B2150">
        <v>106</v>
      </c>
      <c r="C2150" t="s">
        <v>46</v>
      </c>
      <c r="D2150" t="s">
        <v>111</v>
      </c>
      <c r="E2150" t="s">
        <v>16</v>
      </c>
      <c r="F2150">
        <v>6</v>
      </c>
      <c r="G2150" t="s">
        <v>13</v>
      </c>
      <c r="H2150" s="1">
        <v>45970.753472222219</v>
      </c>
      <c r="I2150" s="5">
        <f>INT(TB[[#This Row],[时间戳]])</f>
        <v>45970</v>
      </c>
      <c r="J2150" s="2">
        <f>HOUR(TB[[#This Row],[时间戳]])</f>
        <v>18</v>
      </c>
      <c r="K2150">
        <v>11754</v>
      </c>
      <c r="L2150">
        <v>5</v>
      </c>
      <c r="M2150">
        <f>TB[[#This Row],[售价]]*TB[[#This Row],[销量]]</f>
        <v>58770</v>
      </c>
      <c r="N2150" t="str">
        <f>IF(TB[[#This Row],[售价]]&lt;1000,"低价商品",IF(TB[[#This Row],[售价]]&lt;5000,"中价商品",IF(TB[[#This Row],[售价]]&lt;10000,"高价商品","超高价商品")))</f>
        <v>超高价商品</v>
      </c>
    </row>
    <row r="2151" spans="1:14" x14ac:dyDescent="0.2">
      <c r="A2151">
        <v>611</v>
      </c>
      <c r="B2151">
        <v>140</v>
      </c>
      <c r="C2151" t="s">
        <v>44</v>
      </c>
      <c r="D2151" t="s">
        <v>169</v>
      </c>
      <c r="E2151" t="s">
        <v>31</v>
      </c>
      <c r="F2151">
        <v>4</v>
      </c>
      <c r="G2151" t="s">
        <v>13</v>
      </c>
      <c r="H2151" s="1">
        <v>45970.786111111112</v>
      </c>
      <c r="I2151" s="5">
        <f>INT(TB[[#This Row],[时间戳]])</f>
        <v>45970</v>
      </c>
      <c r="J2151" s="2">
        <f>HOUR(TB[[#This Row],[时间戳]])</f>
        <v>18</v>
      </c>
      <c r="K2151">
        <v>1070</v>
      </c>
      <c r="L2151">
        <v>5</v>
      </c>
      <c r="M2151">
        <f>TB[[#This Row],[售价]]*TB[[#This Row],[销量]]</f>
        <v>5350</v>
      </c>
      <c r="N2151" t="str">
        <f>IF(TB[[#This Row],[售价]]&lt;1000,"低价商品",IF(TB[[#This Row],[售价]]&lt;5000,"中价商品",IF(TB[[#This Row],[售价]]&lt;10000,"高价商品","超高价商品")))</f>
        <v>中价商品</v>
      </c>
    </row>
    <row r="2152" spans="1:14" x14ac:dyDescent="0.2">
      <c r="A2152">
        <v>393</v>
      </c>
      <c r="B2152">
        <v>220</v>
      </c>
      <c r="C2152" t="s">
        <v>14</v>
      </c>
      <c r="D2152" t="s">
        <v>52</v>
      </c>
      <c r="E2152" t="s">
        <v>31</v>
      </c>
      <c r="F2152">
        <v>4</v>
      </c>
      <c r="G2152" t="s">
        <v>13</v>
      </c>
      <c r="H2152" s="1">
        <v>45970.793749999997</v>
      </c>
      <c r="I2152" s="5">
        <f>INT(TB[[#This Row],[时间戳]])</f>
        <v>45970</v>
      </c>
      <c r="J2152" s="2">
        <f>HOUR(TB[[#This Row],[时间戳]])</f>
        <v>19</v>
      </c>
      <c r="K2152">
        <v>820</v>
      </c>
      <c r="L2152">
        <v>5</v>
      </c>
      <c r="M2152">
        <f>TB[[#This Row],[售价]]*TB[[#This Row],[销量]]</f>
        <v>4100</v>
      </c>
      <c r="N2152" t="str">
        <f>IF(TB[[#This Row],[售价]]&lt;1000,"低价商品",IF(TB[[#This Row],[售价]]&lt;5000,"中价商品",IF(TB[[#This Row],[售价]]&lt;10000,"高价商品","超高价商品")))</f>
        <v>低价商品</v>
      </c>
    </row>
    <row r="2153" spans="1:14" x14ac:dyDescent="0.2">
      <c r="A2153">
        <v>648</v>
      </c>
      <c r="B2153">
        <v>33</v>
      </c>
      <c r="C2153" t="s">
        <v>34</v>
      </c>
      <c r="D2153" t="s">
        <v>291</v>
      </c>
      <c r="E2153" t="s">
        <v>31</v>
      </c>
      <c r="F2153">
        <v>4</v>
      </c>
      <c r="G2153" t="s">
        <v>13</v>
      </c>
      <c r="H2153" s="1">
        <v>45970.797222222223</v>
      </c>
      <c r="I2153" s="5">
        <f>INT(TB[[#This Row],[时间戳]])</f>
        <v>45970</v>
      </c>
      <c r="J2153" s="2">
        <f>HOUR(TB[[#This Row],[时间戳]])</f>
        <v>19</v>
      </c>
      <c r="K2153">
        <v>549</v>
      </c>
      <c r="L2153">
        <v>5</v>
      </c>
      <c r="M2153">
        <f>TB[[#This Row],[售价]]*TB[[#This Row],[销量]]</f>
        <v>2745</v>
      </c>
      <c r="N2153" t="str">
        <f>IF(TB[[#This Row],[售价]]&lt;1000,"低价商品",IF(TB[[#This Row],[售价]]&lt;5000,"中价商品",IF(TB[[#This Row],[售价]]&lt;10000,"高价商品","超高价商品")))</f>
        <v>低价商品</v>
      </c>
    </row>
    <row r="2154" spans="1:14" x14ac:dyDescent="0.2">
      <c r="A2154">
        <v>260</v>
      </c>
      <c r="B2154">
        <v>210</v>
      </c>
      <c r="C2154" t="s">
        <v>10</v>
      </c>
      <c r="D2154" t="s">
        <v>352</v>
      </c>
      <c r="E2154" t="s">
        <v>12</v>
      </c>
      <c r="F2154">
        <v>2</v>
      </c>
      <c r="G2154" t="s">
        <v>13</v>
      </c>
      <c r="H2154" s="1">
        <v>45970.820138888892</v>
      </c>
      <c r="I2154" s="5">
        <f>INT(TB[[#This Row],[时间戳]])</f>
        <v>45970</v>
      </c>
      <c r="J2154" s="2">
        <f>HOUR(TB[[#This Row],[时间戳]])</f>
        <v>19</v>
      </c>
      <c r="K2154">
        <v>11248</v>
      </c>
      <c r="L2154">
        <v>5</v>
      </c>
      <c r="M2154">
        <f>TB[[#This Row],[售价]]*TB[[#This Row],[销量]]</f>
        <v>56240</v>
      </c>
      <c r="N2154" t="str">
        <f>IF(TB[[#This Row],[售价]]&lt;1000,"低价商品",IF(TB[[#This Row],[售价]]&lt;5000,"中价商品",IF(TB[[#This Row],[售价]]&lt;10000,"高价商品","超高价商品")))</f>
        <v>超高价商品</v>
      </c>
    </row>
    <row r="2155" spans="1:14" x14ac:dyDescent="0.2">
      <c r="A2155">
        <v>408</v>
      </c>
      <c r="B2155">
        <v>16</v>
      </c>
      <c r="C2155" t="s">
        <v>20</v>
      </c>
      <c r="D2155" t="s">
        <v>85</v>
      </c>
      <c r="E2155" t="s">
        <v>31</v>
      </c>
      <c r="F2155">
        <v>4</v>
      </c>
      <c r="G2155" t="s">
        <v>13</v>
      </c>
      <c r="H2155" s="1">
        <v>45970.852083333331</v>
      </c>
      <c r="I2155" s="5">
        <f>INT(TB[[#This Row],[时间戳]])</f>
        <v>45970</v>
      </c>
      <c r="J2155" s="2">
        <f>HOUR(TB[[#This Row],[时间戳]])</f>
        <v>20</v>
      </c>
      <c r="K2155">
        <v>760</v>
      </c>
      <c r="L2155">
        <v>5</v>
      </c>
      <c r="M2155">
        <f>TB[[#This Row],[售价]]*TB[[#This Row],[销量]]</f>
        <v>3800</v>
      </c>
      <c r="N2155" t="str">
        <f>IF(TB[[#This Row],[售价]]&lt;1000,"低价商品",IF(TB[[#This Row],[售价]]&lt;5000,"中价商品",IF(TB[[#This Row],[售价]]&lt;10000,"高价商品","超高价商品")))</f>
        <v>低价商品</v>
      </c>
    </row>
    <row r="2156" spans="1:14" x14ac:dyDescent="0.2">
      <c r="A2156">
        <v>191</v>
      </c>
      <c r="B2156">
        <v>184</v>
      </c>
      <c r="C2156" t="s">
        <v>34</v>
      </c>
      <c r="D2156" t="s">
        <v>253</v>
      </c>
      <c r="E2156" t="s">
        <v>25</v>
      </c>
      <c r="F2156">
        <v>7</v>
      </c>
      <c r="G2156" t="s">
        <v>13</v>
      </c>
      <c r="H2156" s="1">
        <v>45970.854166666664</v>
      </c>
      <c r="I2156" s="5">
        <f>INT(TB[[#This Row],[时间戳]])</f>
        <v>45970</v>
      </c>
      <c r="J2156" s="2">
        <f>HOUR(TB[[#This Row],[时间戳]])</f>
        <v>20</v>
      </c>
      <c r="K2156">
        <v>2331</v>
      </c>
      <c r="L2156">
        <v>5</v>
      </c>
      <c r="M2156">
        <f>TB[[#This Row],[售价]]*TB[[#This Row],[销量]]</f>
        <v>11655</v>
      </c>
      <c r="N2156" t="str">
        <f>IF(TB[[#This Row],[售价]]&lt;1000,"低价商品",IF(TB[[#This Row],[售价]]&lt;5000,"中价商品",IF(TB[[#This Row],[售价]]&lt;10000,"高价商品","超高价商品")))</f>
        <v>中价商品</v>
      </c>
    </row>
    <row r="2157" spans="1:14" x14ac:dyDescent="0.2">
      <c r="A2157">
        <v>381</v>
      </c>
      <c r="B2157">
        <v>75</v>
      </c>
      <c r="C2157" t="s">
        <v>32</v>
      </c>
      <c r="D2157" t="s">
        <v>107</v>
      </c>
      <c r="E2157" t="s">
        <v>31</v>
      </c>
      <c r="F2157">
        <v>4</v>
      </c>
      <c r="G2157" t="s">
        <v>13</v>
      </c>
      <c r="H2157" s="1">
        <v>45970.859027777777</v>
      </c>
      <c r="I2157" s="5">
        <f>INT(TB[[#This Row],[时间戳]])</f>
        <v>45970</v>
      </c>
      <c r="J2157" s="2">
        <f>HOUR(TB[[#This Row],[时间戳]])</f>
        <v>20</v>
      </c>
      <c r="K2157">
        <v>389</v>
      </c>
      <c r="L2157">
        <v>5</v>
      </c>
      <c r="M2157">
        <f>TB[[#This Row],[售价]]*TB[[#This Row],[销量]]</f>
        <v>1945</v>
      </c>
      <c r="N2157" t="str">
        <f>IF(TB[[#This Row],[售价]]&lt;1000,"低价商品",IF(TB[[#This Row],[售价]]&lt;5000,"中价商品",IF(TB[[#This Row],[售价]]&lt;10000,"高价商品","超高价商品")))</f>
        <v>低价商品</v>
      </c>
    </row>
    <row r="2158" spans="1:14" x14ac:dyDescent="0.2">
      <c r="A2158">
        <v>705</v>
      </c>
      <c r="B2158">
        <v>6</v>
      </c>
      <c r="C2158" t="s">
        <v>10</v>
      </c>
      <c r="D2158" t="s">
        <v>247</v>
      </c>
      <c r="E2158" t="s">
        <v>31</v>
      </c>
      <c r="F2158">
        <v>4</v>
      </c>
      <c r="G2158" t="s">
        <v>13</v>
      </c>
      <c r="H2158" s="1">
        <v>45970.861805555556</v>
      </c>
      <c r="I2158" s="5">
        <f>INT(TB[[#This Row],[时间戳]])</f>
        <v>45970</v>
      </c>
      <c r="J2158" s="2">
        <f>HOUR(TB[[#This Row],[时间戳]])</f>
        <v>20</v>
      </c>
      <c r="K2158">
        <v>555</v>
      </c>
      <c r="L2158">
        <v>5</v>
      </c>
      <c r="M2158">
        <f>TB[[#This Row],[售价]]*TB[[#This Row],[销量]]</f>
        <v>2775</v>
      </c>
      <c r="N2158" t="str">
        <f>IF(TB[[#This Row],[售价]]&lt;1000,"低价商品",IF(TB[[#This Row],[售价]]&lt;5000,"中价商品",IF(TB[[#This Row],[售价]]&lt;10000,"高价商品","超高价商品")))</f>
        <v>低价商品</v>
      </c>
    </row>
    <row r="2159" spans="1:14" x14ac:dyDescent="0.2">
      <c r="A2159">
        <v>330</v>
      </c>
      <c r="B2159">
        <v>120</v>
      </c>
      <c r="C2159" t="s">
        <v>44</v>
      </c>
      <c r="D2159" t="s">
        <v>51</v>
      </c>
      <c r="E2159" t="s">
        <v>19</v>
      </c>
      <c r="F2159">
        <v>3</v>
      </c>
      <c r="G2159" t="s">
        <v>13</v>
      </c>
      <c r="H2159" s="1">
        <v>45970.870138888888</v>
      </c>
      <c r="I2159" s="5">
        <f>INT(TB[[#This Row],[时间戳]])</f>
        <v>45970</v>
      </c>
      <c r="J2159" s="2">
        <f>HOUR(TB[[#This Row],[时间戳]])</f>
        <v>20</v>
      </c>
      <c r="K2159">
        <v>4103</v>
      </c>
      <c r="L2159">
        <v>5</v>
      </c>
      <c r="M2159">
        <f>TB[[#This Row],[售价]]*TB[[#This Row],[销量]]</f>
        <v>20515</v>
      </c>
      <c r="N2159" t="str">
        <f>IF(TB[[#This Row],[售价]]&lt;1000,"低价商品",IF(TB[[#This Row],[售价]]&lt;5000,"中价商品",IF(TB[[#This Row],[售价]]&lt;10000,"高价商品","超高价商品")))</f>
        <v>中价商品</v>
      </c>
    </row>
    <row r="2160" spans="1:14" x14ac:dyDescent="0.2">
      <c r="A2160">
        <v>617</v>
      </c>
      <c r="B2160">
        <v>109</v>
      </c>
      <c r="C2160" t="s">
        <v>17</v>
      </c>
      <c r="D2160" t="s">
        <v>279</v>
      </c>
      <c r="E2160" t="s">
        <v>22</v>
      </c>
      <c r="F2160">
        <v>1</v>
      </c>
      <c r="G2160" t="s">
        <v>13</v>
      </c>
      <c r="H2160" s="1">
        <v>45970.881249999999</v>
      </c>
      <c r="I2160" s="5">
        <f>INT(TB[[#This Row],[时间戳]])</f>
        <v>45970</v>
      </c>
      <c r="J2160" s="2">
        <f>HOUR(TB[[#This Row],[时间戳]])</f>
        <v>21</v>
      </c>
      <c r="K2160">
        <v>5433</v>
      </c>
      <c r="L2160">
        <v>5</v>
      </c>
      <c r="M2160">
        <f>TB[[#This Row],[售价]]*TB[[#This Row],[销量]]</f>
        <v>27165</v>
      </c>
      <c r="N2160" t="str">
        <f>IF(TB[[#This Row],[售价]]&lt;1000,"低价商品",IF(TB[[#This Row],[售价]]&lt;5000,"中价商品",IF(TB[[#This Row],[售价]]&lt;10000,"高价商品","超高价商品")))</f>
        <v>高价商品</v>
      </c>
    </row>
    <row r="2161" spans="1:14" x14ac:dyDescent="0.2">
      <c r="A2161">
        <v>285</v>
      </c>
      <c r="B2161">
        <v>39</v>
      </c>
      <c r="C2161" t="s">
        <v>14</v>
      </c>
      <c r="D2161" t="s">
        <v>52</v>
      </c>
      <c r="E2161" t="s">
        <v>31</v>
      </c>
      <c r="F2161">
        <v>4</v>
      </c>
      <c r="G2161" t="s">
        <v>13</v>
      </c>
      <c r="H2161" s="1">
        <v>45970.90625</v>
      </c>
      <c r="I2161" s="5">
        <f>INT(TB[[#This Row],[时间戳]])</f>
        <v>45970</v>
      </c>
      <c r="J2161" s="2">
        <f>HOUR(TB[[#This Row],[时间戳]])</f>
        <v>21</v>
      </c>
      <c r="K2161">
        <v>1040</v>
      </c>
      <c r="L2161">
        <v>5</v>
      </c>
      <c r="M2161">
        <f>TB[[#This Row],[售价]]*TB[[#This Row],[销量]]</f>
        <v>5200</v>
      </c>
      <c r="N2161" t="str">
        <f>IF(TB[[#This Row],[售价]]&lt;1000,"低价商品",IF(TB[[#This Row],[售价]]&lt;5000,"中价商品",IF(TB[[#This Row],[售价]]&lt;10000,"高价商品","超高价商品")))</f>
        <v>中价商品</v>
      </c>
    </row>
    <row r="2162" spans="1:14" x14ac:dyDescent="0.2">
      <c r="A2162">
        <v>328</v>
      </c>
      <c r="B2162">
        <v>102</v>
      </c>
      <c r="C2162" t="s">
        <v>17</v>
      </c>
      <c r="D2162" t="s">
        <v>257</v>
      </c>
      <c r="E2162" t="s">
        <v>19</v>
      </c>
      <c r="F2162">
        <v>3</v>
      </c>
      <c r="G2162" t="s">
        <v>13</v>
      </c>
      <c r="H2162" s="1">
        <v>45970.925694444442</v>
      </c>
      <c r="I2162" s="5">
        <f>INT(TB[[#This Row],[时间戳]])</f>
        <v>45970</v>
      </c>
      <c r="J2162" s="2">
        <f>HOUR(TB[[#This Row],[时间戳]])</f>
        <v>22</v>
      </c>
      <c r="K2162">
        <v>5103</v>
      </c>
      <c r="L2162">
        <v>5</v>
      </c>
      <c r="M2162">
        <f>TB[[#This Row],[售价]]*TB[[#This Row],[销量]]</f>
        <v>25515</v>
      </c>
      <c r="N2162" t="str">
        <f>IF(TB[[#This Row],[售价]]&lt;1000,"低价商品",IF(TB[[#This Row],[售价]]&lt;5000,"中价商品",IF(TB[[#This Row],[售价]]&lt;10000,"高价商品","超高价商品")))</f>
        <v>高价商品</v>
      </c>
    </row>
    <row r="2163" spans="1:14" x14ac:dyDescent="0.2">
      <c r="A2163">
        <v>48</v>
      </c>
      <c r="B2163">
        <v>141</v>
      </c>
      <c r="C2163" t="s">
        <v>44</v>
      </c>
      <c r="D2163" t="s">
        <v>163</v>
      </c>
      <c r="E2163" t="s">
        <v>12</v>
      </c>
      <c r="F2163">
        <v>2</v>
      </c>
      <c r="G2163" t="s">
        <v>13</v>
      </c>
      <c r="H2163" s="1">
        <v>45970.943749999999</v>
      </c>
      <c r="I2163" s="5">
        <f>INT(TB[[#This Row],[时间戳]])</f>
        <v>45970</v>
      </c>
      <c r="J2163" s="2">
        <f>HOUR(TB[[#This Row],[时间戳]])</f>
        <v>22</v>
      </c>
      <c r="K2163">
        <v>7054</v>
      </c>
      <c r="L2163">
        <v>5</v>
      </c>
      <c r="M2163">
        <f>TB[[#This Row],[售价]]*TB[[#This Row],[销量]]</f>
        <v>35270</v>
      </c>
      <c r="N2163" t="str">
        <f>IF(TB[[#This Row],[售价]]&lt;1000,"低价商品",IF(TB[[#This Row],[售价]]&lt;5000,"中价商品",IF(TB[[#This Row],[售价]]&lt;10000,"高价商品","超高价商品")))</f>
        <v>高价商品</v>
      </c>
    </row>
    <row r="2164" spans="1:14" x14ac:dyDescent="0.2">
      <c r="A2164">
        <v>176</v>
      </c>
      <c r="B2164">
        <v>168</v>
      </c>
      <c r="C2164" t="s">
        <v>14</v>
      </c>
      <c r="D2164" t="s">
        <v>357</v>
      </c>
      <c r="E2164" t="s">
        <v>16</v>
      </c>
      <c r="F2164">
        <v>6</v>
      </c>
      <c r="G2164" t="s">
        <v>13</v>
      </c>
      <c r="H2164" s="1">
        <v>45970.951388888891</v>
      </c>
      <c r="I2164" s="5">
        <f>INT(TB[[#This Row],[时间戳]])</f>
        <v>45970</v>
      </c>
      <c r="J2164" s="2">
        <f>HOUR(TB[[#This Row],[时间戳]])</f>
        <v>22</v>
      </c>
      <c r="K2164">
        <v>8762</v>
      </c>
      <c r="L2164">
        <v>5</v>
      </c>
      <c r="M2164">
        <f>TB[[#This Row],[售价]]*TB[[#This Row],[销量]]</f>
        <v>43810</v>
      </c>
      <c r="N2164" t="str">
        <f>IF(TB[[#This Row],[售价]]&lt;1000,"低价商品",IF(TB[[#This Row],[售价]]&lt;5000,"中价商品",IF(TB[[#This Row],[售价]]&lt;10000,"高价商品","超高价商品")))</f>
        <v>高价商品</v>
      </c>
    </row>
    <row r="2165" spans="1:14" x14ac:dyDescent="0.2">
      <c r="A2165">
        <v>22</v>
      </c>
      <c r="B2165">
        <v>146</v>
      </c>
      <c r="C2165" t="s">
        <v>32</v>
      </c>
      <c r="D2165" t="s">
        <v>336</v>
      </c>
      <c r="E2165" t="s">
        <v>16</v>
      </c>
      <c r="F2165">
        <v>6</v>
      </c>
      <c r="G2165" t="s">
        <v>13</v>
      </c>
      <c r="H2165" s="1">
        <v>45970.98541666667</v>
      </c>
      <c r="I2165" s="5">
        <f>INT(TB[[#This Row],[时间戳]])</f>
        <v>45970</v>
      </c>
      <c r="J2165" s="2">
        <f>HOUR(TB[[#This Row],[时间戳]])</f>
        <v>23</v>
      </c>
      <c r="K2165">
        <v>11681</v>
      </c>
      <c r="L2165">
        <v>5</v>
      </c>
      <c r="M2165">
        <f>TB[[#This Row],[售价]]*TB[[#This Row],[销量]]</f>
        <v>58405</v>
      </c>
      <c r="N2165" t="str">
        <f>IF(TB[[#This Row],[售价]]&lt;1000,"低价商品",IF(TB[[#This Row],[售价]]&lt;5000,"中价商品",IF(TB[[#This Row],[售价]]&lt;10000,"高价商品","超高价商品")))</f>
        <v>超高价商品</v>
      </c>
    </row>
    <row r="2166" spans="1:14" x14ac:dyDescent="0.2">
      <c r="A2166">
        <v>473</v>
      </c>
      <c r="B2166">
        <v>146</v>
      </c>
      <c r="C2166" t="s">
        <v>46</v>
      </c>
      <c r="D2166" t="s">
        <v>180</v>
      </c>
      <c r="E2166" t="s">
        <v>31</v>
      </c>
      <c r="F2166">
        <v>4</v>
      </c>
      <c r="G2166" t="s">
        <v>13</v>
      </c>
      <c r="H2166" s="1">
        <v>45970.99722222222</v>
      </c>
      <c r="I2166" s="5">
        <f>INT(TB[[#This Row],[时间戳]])</f>
        <v>45970</v>
      </c>
      <c r="J2166" s="2">
        <f>HOUR(TB[[#This Row],[时间戳]])</f>
        <v>23</v>
      </c>
      <c r="K2166">
        <v>215</v>
      </c>
      <c r="L2166">
        <v>5</v>
      </c>
      <c r="M2166">
        <f>TB[[#This Row],[售价]]*TB[[#This Row],[销量]]</f>
        <v>1075</v>
      </c>
      <c r="N2166" t="str">
        <f>IF(TB[[#This Row],[售价]]&lt;1000,"低价商品",IF(TB[[#This Row],[售价]]&lt;5000,"中价商品",IF(TB[[#This Row],[售价]]&lt;10000,"高价商品","超高价商品")))</f>
        <v>低价商品</v>
      </c>
    </row>
    <row r="2167" spans="1:14" x14ac:dyDescent="0.2">
      <c r="A2167">
        <v>541</v>
      </c>
      <c r="B2167">
        <v>21</v>
      </c>
      <c r="C2167" t="s">
        <v>10</v>
      </c>
      <c r="D2167" t="s">
        <v>278</v>
      </c>
      <c r="E2167" t="s">
        <v>19</v>
      </c>
      <c r="F2167">
        <v>3</v>
      </c>
      <c r="G2167" t="s">
        <v>13</v>
      </c>
      <c r="H2167" s="1">
        <v>45971.068055555559</v>
      </c>
      <c r="I2167" s="5">
        <f>INT(TB[[#This Row],[时间戳]])</f>
        <v>45971</v>
      </c>
      <c r="J2167" s="2">
        <f>HOUR(TB[[#This Row],[时间戳]])</f>
        <v>1</v>
      </c>
      <c r="K2167">
        <v>2579</v>
      </c>
      <c r="L2167">
        <v>5</v>
      </c>
      <c r="M2167">
        <f>TB[[#This Row],[售价]]*TB[[#This Row],[销量]]</f>
        <v>12895</v>
      </c>
      <c r="N2167" t="str">
        <f>IF(TB[[#This Row],[售价]]&lt;1000,"低价商品",IF(TB[[#This Row],[售价]]&lt;5000,"中价商品",IF(TB[[#This Row],[售价]]&lt;10000,"高价商品","超高价商品")))</f>
        <v>中价商品</v>
      </c>
    </row>
    <row r="2168" spans="1:14" x14ac:dyDescent="0.2">
      <c r="A2168">
        <v>482</v>
      </c>
      <c r="B2168">
        <v>49</v>
      </c>
      <c r="C2168" t="s">
        <v>10</v>
      </c>
      <c r="D2168" t="s">
        <v>130</v>
      </c>
      <c r="E2168" t="s">
        <v>16</v>
      </c>
      <c r="F2168">
        <v>6</v>
      </c>
      <c r="G2168" t="s">
        <v>13</v>
      </c>
      <c r="H2168" s="1">
        <v>45971.086805555555</v>
      </c>
      <c r="I2168" s="5">
        <f>INT(TB[[#This Row],[时间戳]])</f>
        <v>45971</v>
      </c>
      <c r="J2168" s="2">
        <f>HOUR(TB[[#This Row],[时间戳]])</f>
        <v>2</v>
      </c>
      <c r="K2168">
        <v>7657</v>
      </c>
      <c r="L2168">
        <v>3</v>
      </c>
      <c r="M2168">
        <f>TB[[#This Row],[售价]]*TB[[#This Row],[销量]]</f>
        <v>22971</v>
      </c>
      <c r="N2168" t="str">
        <f>IF(TB[[#This Row],[售价]]&lt;1000,"低价商品",IF(TB[[#This Row],[售价]]&lt;5000,"中价商品",IF(TB[[#This Row],[售价]]&lt;10000,"高价商品","超高价商品")))</f>
        <v>高价商品</v>
      </c>
    </row>
    <row r="2169" spans="1:14" x14ac:dyDescent="0.2">
      <c r="A2169">
        <v>325</v>
      </c>
      <c r="B2169">
        <v>178</v>
      </c>
      <c r="C2169" t="s">
        <v>36</v>
      </c>
      <c r="D2169" t="s">
        <v>213</v>
      </c>
      <c r="E2169" t="s">
        <v>39</v>
      </c>
      <c r="F2169">
        <v>5</v>
      </c>
      <c r="G2169" t="s">
        <v>13</v>
      </c>
      <c r="H2169" s="1">
        <v>45971.089583333334</v>
      </c>
      <c r="I2169" s="5">
        <f>INT(TB[[#This Row],[时间戳]])</f>
        <v>45971</v>
      </c>
      <c r="J2169" s="2">
        <f>HOUR(TB[[#This Row],[时间戳]])</f>
        <v>2</v>
      </c>
      <c r="K2169">
        <v>2670</v>
      </c>
      <c r="L2169">
        <v>5</v>
      </c>
      <c r="M2169">
        <f>TB[[#This Row],[售价]]*TB[[#This Row],[销量]]</f>
        <v>13350</v>
      </c>
      <c r="N2169" t="str">
        <f>IF(TB[[#This Row],[售价]]&lt;1000,"低价商品",IF(TB[[#This Row],[售价]]&lt;5000,"中价商品",IF(TB[[#This Row],[售价]]&lt;10000,"高价商品","超高价商品")))</f>
        <v>中价商品</v>
      </c>
    </row>
    <row r="2170" spans="1:14" x14ac:dyDescent="0.2">
      <c r="A2170">
        <v>506</v>
      </c>
      <c r="B2170">
        <v>25</v>
      </c>
      <c r="C2170" t="s">
        <v>20</v>
      </c>
      <c r="D2170" t="s">
        <v>383</v>
      </c>
      <c r="E2170" t="s">
        <v>12</v>
      </c>
      <c r="F2170">
        <v>2</v>
      </c>
      <c r="G2170" t="s">
        <v>13</v>
      </c>
      <c r="H2170" s="1">
        <v>45971.11041666667</v>
      </c>
      <c r="I2170" s="5">
        <f>INT(TB[[#This Row],[时间戳]])</f>
        <v>45971</v>
      </c>
      <c r="J2170" s="2">
        <f>HOUR(TB[[#This Row],[时间戳]])</f>
        <v>2</v>
      </c>
      <c r="K2170">
        <v>10399</v>
      </c>
      <c r="L2170">
        <v>5</v>
      </c>
      <c r="M2170">
        <f>TB[[#This Row],[售价]]*TB[[#This Row],[销量]]</f>
        <v>51995</v>
      </c>
      <c r="N2170" t="str">
        <f>IF(TB[[#This Row],[售价]]&lt;1000,"低价商品",IF(TB[[#This Row],[售价]]&lt;5000,"中价商品",IF(TB[[#This Row],[售价]]&lt;10000,"高价商品","超高价商品")))</f>
        <v>超高价商品</v>
      </c>
    </row>
    <row r="2171" spans="1:14" x14ac:dyDescent="0.2">
      <c r="A2171">
        <v>657</v>
      </c>
      <c r="B2171">
        <v>63</v>
      </c>
      <c r="C2171" t="s">
        <v>44</v>
      </c>
      <c r="D2171" t="s">
        <v>163</v>
      </c>
      <c r="E2171" t="s">
        <v>12</v>
      </c>
      <c r="F2171">
        <v>2</v>
      </c>
      <c r="G2171" t="s">
        <v>13</v>
      </c>
      <c r="H2171" s="1">
        <v>45971.117361111108</v>
      </c>
      <c r="I2171" s="5">
        <f>INT(TB[[#This Row],[时间戳]])</f>
        <v>45971</v>
      </c>
      <c r="J2171" s="2">
        <f>HOUR(TB[[#This Row],[时间戳]])</f>
        <v>2</v>
      </c>
      <c r="K2171">
        <v>10396</v>
      </c>
      <c r="L2171">
        <v>3</v>
      </c>
      <c r="M2171">
        <f>TB[[#This Row],[售价]]*TB[[#This Row],[销量]]</f>
        <v>31188</v>
      </c>
      <c r="N2171" t="str">
        <f>IF(TB[[#This Row],[售价]]&lt;1000,"低价商品",IF(TB[[#This Row],[售价]]&lt;5000,"中价商品",IF(TB[[#This Row],[售价]]&lt;10000,"高价商品","超高价商品")))</f>
        <v>超高价商品</v>
      </c>
    </row>
    <row r="2172" spans="1:14" x14ac:dyDescent="0.2">
      <c r="A2172">
        <v>230</v>
      </c>
      <c r="B2172">
        <v>25</v>
      </c>
      <c r="C2172" t="s">
        <v>14</v>
      </c>
      <c r="D2172" t="s">
        <v>205</v>
      </c>
      <c r="E2172" t="s">
        <v>16</v>
      </c>
      <c r="F2172">
        <v>6</v>
      </c>
      <c r="G2172" t="s">
        <v>13</v>
      </c>
      <c r="H2172" s="1">
        <v>45971.138888888891</v>
      </c>
      <c r="I2172" s="5">
        <f>INT(TB[[#This Row],[时间戳]])</f>
        <v>45971</v>
      </c>
      <c r="J2172" s="2">
        <f>HOUR(TB[[#This Row],[时间戳]])</f>
        <v>3</v>
      </c>
      <c r="K2172">
        <v>8242</v>
      </c>
      <c r="L2172">
        <v>5</v>
      </c>
      <c r="M2172">
        <f>TB[[#This Row],[售价]]*TB[[#This Row],[销量]]</f>
        <v>41210</v>
      </c>
      <c r="N2172" t="str">
        <f>IF(TB[[#This Row],[售价]]&lt;1000,"低价商品",IF(TB[[#This Row],[售价]]&lt;5000,"中价商品",IF(TB[[#This Row],[售价]]&lt;10000,"高价商品","超高价商品")))</f>
        <v>高价商品</v>
      </c>
    </row>
    <row r="2173" spans="1:14" x14ac:dyDescent="0.2">
      <c r="A2173">
        <v>331</v>
      </c>
      <c r="B2173">
        <v>224</v>
      </c>
      <c r="C2173" t="s">
        <v>26</v>
      </c>
      <c r="D2173" t="s">
        <v>131</v>
      </c>
      <c r="E2173" t="s">
        <v>22</v>
      </c>
      <c r="F2173">
        <v>1</v>
      </c>
      <c r="G2173" t="s">
        <v>13</v>
      </c>
      <c r="H2173" s="1">
        <v>45971.140277777777</v>
      </c>
      <c r="I2173" s="5">
        <f>INT(TB[[#This Row],[时间戳]])</f>
        <v>45971</v>
      </c>
      <c r="J2173" s="2">
        <f>HOUR(TB[[#This Row],[时间戳]])</f>
        <v>3</v>
      </c>
      <c r="K2173">
        <v>7567</v>
      </c>
      <c r="L2173">
        <v>5</v>
      </c>
      <c r="M2173">
        <f>TB[[#This Row],[售价]]*TB[[#This Row],[销量]]</f>
        <v>37835</v>
      </c>
      <c r="N2173" t="str">
        <f>IF(TB[[#This Row],[售价]]&lt;1000,"低价商品",IF(TB[[#This Row],[售价]]&lt;5000,"中价商品",IF(TB[[#This Row],[售价]]&lt;10000,"高价商品","超高价商品")))</f>
        <v>高价商品</v>
      </c>
    </row>
    <row r="2174" spans="1:14" x14ac:dyDescent="0.2">
      <c r="A2174">
        <v>742</v>
      </c>
      <c r="B2174">
        <v>189</v>
      </c>
      <c r="C2174" t="s">
        <v>14</v>
      </c>
      <c r="D2174" t="s">
        <v>356</v>
      </c>
      <c r="E2174" t="s">
        <v>16</v>
      </c>
      <c r="F2174">
        <v>6</v>
      </c>
      <c r="G2174" t="s">
        <v>42</v>
      </c>
      <c r="H2174" s="1">
        <v>45971.143750000003</v>
      </c>
      <c r="I2174" s="5">
        <f>INT(TB[[#This Row],[时间戳]])</f>
        <v>45971</v>
      </c>
      <c r="J2174" s="2">
        <f>HOUR(TB[[#This Row],[时间戳]])</f>
        <v>3</v>
      </c>
      <c r="K2174">
        <v>5595</v>
      </c>
      <c r="L2174">
        <v>0</v>
      </c>
      <c r="M2174">
        <f>TB[[#This Row],[售价]]*TB[[#This Row],[销量]]</f>
        <v>0</v>
      </c>
      <c r="N2174" t="str">
        <f>IF(TB[[#This Row],[售价]]&lt;1000,"低价商品",IF(TB[[#This Row],[售价]]&lt;5000,"中价商品",IF(TB[[#This Row],[售价]]&lt;10000,"高价商品","超高价商品")))</f>
        <v>高价商品</v>
      </c>
    </row>
    <row r="2175" spans="1:14" x14ac:dyDescent="0.2">
      <c r="A2175">
        <v>45</v>
      </c>
      <c r="B2175">
        <v>57</v>
      </c>
      <c r="C2175" t="s">
        <v>10</v>
      </c>
      <c r="D2175" t="s">
        <v>247</v>
      </c>
      <c r="E2175" t="s">
        <v>31</v>
      </c>
      <c r="F2175">
        <v>4</v>
      </c>
      <c r="G2175" t="s">
        <v>13</v>
      </c>
      <c r="H2175" s="1">
        <v>45971.179166666669</v>
      </c>
      <c r="I2175" s="5">
        <f>INT(TB[[#This Row],[时间戳]])</f>
        <v>45971</v>
      </c>
      <c r="J2175" s="2">
        <f>HOUR(TB[[#This Row],[时间戳]])</f>
        <v>4</v>
      </c>
      <c r="K2175">
        <v>952</v>
      </c>
      <c r="L2175">
        <v>3</v>
      </c>
      <c r="M2175">
        <f>TB[[#This Row],[售价]]*TB[[#This Row],[销量]]</f>
        <v>2856</v>
      </c>
      <c r="N2175" t="str">
        <f>IF(TB[[#This Row],[售价]]&lt;1000,"低价商品",IF(TB[[#This Row],[售价]]&lt;5000,"中价商品",IF(TB[[#This Row],[售价]]&lt;10000,"高价商品","超高价商品")))</f>
        <v>低价商品</v>
      </c>
    </row>
    <row r="2176" spans="1:14" x14ac:dyDescent="0.2">
      <c r="A2176">
        <v>338</v>
      </c>
      <c r="B2176">
        <v>195</v>
      </c>
      <c r="C2176" t="s">
        <v>14</v>
      </c>
      <c r="D2176" t="s">
        <v>145</v>
      </c>
      <c r="E2176" t="s">
        <v>22</v>
      </c>
      <c r="F2176">
        <v>1</v>
      </c>
      <c r="G2176" t="s">
        <v>13</v>
      </c>
      <c r="H2176" s="1">
        <v>45971.184027777781</v>
      </c>
      <c r="I2176" s="5">
        <f>INT(TB[[#This Row],[时间戳]])</f>
        <v>45971</v>
      </c>
      <c r="J2176" s="2">
        <f>HOUR(TB[[#This Row],[时间戳]])</f>
        <v>4</v>
      </c>
      <c r="K2176">
        <v>1348</v>
      </c>
      <c r="L2176">
        <v>5</v>
      </c>
      <c r="M2176">
        <f>TB[[#This Row],[售价]]*TB[[#This Row],[销量]]</f>
        <v>6740</v>
      </c>
      <c r="N2176" t="str">
        <f>IF(TB[[#This Row],[售价]]&lt;1000,"低价商品",IF(TB[[#This Row],[售价]]&lt;5000,"中价商品",IF(TB[[#This Row],[售价]]&lt;10000,"高价商品","超高价商品")))</f>
        <v>中价商品</v>
      </c>
    </row>
    <row r="2177" spans="1:14" x14ac:dyDescent="0.2">
      <c r="A2177">
        <v>598</v>
      </c>
      <c r="B2177">
        <v>236</v>
      </c>
      <c r="C2177" t="s">
        <v>26</v>
      </c>
      <c r="D2177" t="s">
        <v>345</v>
      </c>
      <c r="E2177" t="s">
        <v>12</v>
      </c>
      <c r="F2177">
        <v>2</v>
      </c>
      <c r="G2177" t="s">
        <v>13</v>
      </c>
      <c r="H2177" s="1">
        <v>45971.217361111114</v>
      </c>
      <c r="I2177" s="5">
        <f>INT(TB[[#This Row],[时间戳]])</f>
        <v>45971</v>
      </c>
      <c r="J2177" s="2">
        <f>HOUR(TB[[#This Row],[时间戳]])</f>
        <v>5</v>
      </c>
      <c r="K2177">
        <v>8579</v>
      </c>
      <c r="L2177">
        <v>3</v>
      </c>
      <c r="M2177">
        <f>TB[[#This Row],[售价]]*TB[[#This Row],[销量]]</f>
        <v>25737</v>
      </c>
      <c r="N2177" t="str">
        <f>IF(TB[[#This Row],[售价]]&lt;1000,"低价商品",IF(TB[[#This Row],[售价]]&lt;5000,"中价商品",IF(TB[[#This Row],[售价]]&lt;10000,"高价商品","超高价商品")))</f>
        <v>高价商品</v>
      </c>
    </row>
    <row r="2178" spans="1:14" x14ac:dyDescent="0.2">
      <c r="A2178">
        <v>772</v>
      </c>
      <c r="B2178">
        <v>300</v>
      </c>
      <c r="C2178" t="s">
        <v>34</v>
      </c>
      <c r="D2178" t="s">
        <v>82</v>
      </c>
      <c r="E2178" t="s">
        <v>31</v>
      </c>
      <c r="F2178">
        <v>4</v>
      </c>
      <c r="G2178" t="s">
        <v>13</v>
      </c>
      <c r="H2178" s="1">
        <v>45971.223611111112</v>
      </c>
      <c r="I2178" s="5">
        <f>INT(TB[[#This Row],[时间戳]])</f>
        <v>45971</v>
      </c>
      <c r="J2178" s="2">
        <f>HOUR(TB[[#This Row],[时间戳]])</f>
        <v>5</v>
      </c>
      <c r="K2178">
        <v>159</v>
      </c>
      <c r="L2178">
        <v>3</v>
      </c>
      <c r="M2178">
        <f>TB[[#This Row],[售价]]*TB[[#This Row],[销量]]</f>
        <v>477</v>
      </c>
      <c r="N2178" t="str">
        <f>IF(TB[[#This Row],[售价]]&lt;1000,"低价商品",IF(TB[[#This Row],[售价]]&lt;5000,"中价商品",IF(TB[[#This Row],[售价]]&lt;10000,"高价商品","超高价商品")))</f>
        <v>低价商品</v>
      </c>
    </row>
    <row r="2179" spans="1:14" x14ac:dyDescent="0.2">
      <c r="A2179">
        <v>126</v>
      </c>
      <c r="B2179">
        <v>268</v>
      </c>
      <c r="C2179" t="s">
        <v>44</v>
      </c>
      <c r="D2179" t="s">
        <v>236</v>
      </c>
      <c r="E2179" t="s">
        <v>12</v>
      </c>
      <c r="F2179">
        <v>2</v>
      </c>
      <c r="G2179" t="s">
        <v>13</v>
      </c>
      <c r="H2179" s="1">
        <v>45971.242361111108</v>
      </c>
      <c r="I2179" s="5">
        <f>INT(TB[[#This Row],[时间戳]])</f>
        <v>45971</v>
      </c>
      <c r="J2179" s="2">
        <f>HOUR(TB[[#This Row],[时间戳]])</f>
        <v>5</v>
      </c>
      <c r="K2179">
        <v>10897</v>
      </c>
      <c r="L2179">
        <v>5</v>
      </c>
      <c r="M2179">
        <f>TB[[#This Row],[售价]]*TB[[#This Row],[销量]]</f>
        <v>54485</v>
      </c>
      <c r="N2179" t="str">
        <f>IF(TB[[#This Row],[售价]]&lt;1000,"低价商品",IF(TB[[#This Row],[售价]]&lt;5000,"中价商品",IF(TB[[#This Row],[售价]]&lt;10000,"高价商品","超高价商品")))</f>
        <v>超高价商品</v>
      </c>
    </row>
    <row r="2180" spans="1:14" x14ac:dyDescent="0.2">
      <c r="A2180">
        <v>678</v>
      </c>
      <c r="B2180">
        <v>251</v>
      </c>
      <c r="C2180" t="s">
        <v>46</v>
      </c>
      <c r="D2180" t="s">
        <v>47</v>
      </c>
      <c r="E2180" t="s">
        <v>22</v>
      </c>
      <c r="F2180">
        <v>1</v>
      </c>
      <c r="G2180" t="s">
        <v>13</v>
      </c>
      <c r="H2180" s="1">
        <v>45971.263888888891</v>
      </c>
      <c r="I2180" s="5">
        <f>INT(TB[[#This Row],[时间戳]])</f>
        <v>45971</v>
      </c>
      <c r="J2180" s="2">
        <f>HOUR(TB[[#This Row],[时间戳]])</f>
        <v>6</v>
      </c>
      <c r="K2180">
        <v>5245</v>
      </c>
      <c r="L2180">
        <v>5</v>
      </c>
      <c r="M2180">
        <f>TB[[#This Row],[售价]]*TB[[#This Row],[销量]]</f>
        <v>26225</v>
      </c>
      <c r="N2180" t="str">
        <f>IF(TB[[#This Row],[售价]]&lt;1000,"低价商品",IF(TB[[#This Row],[售价]]&lt;5000,"中价商品",IF(TB[[#This Row],[售价]]&lt;10000,"高价商品","超高价商品")))</f>
        <v>高价商品</v>
      </c>
    </row>
    <row r="2181" spans="1:14" x14ac:dyDescent="0.2">
      <c r="A2181">
        <v>95</v>
      </c>
      <c r="B2181">
        <v>136</v>
      </c>
      <c r="C2181" t="s">
        <v>44</v>
      </c>
      <c r="D2181" t="s">
        <v>195</v>
      </c>
      <c r="E2181" t="s">
        <v>22</v>
      </c>
      <c r="F2181">
        <v>1</v>
      </c>
      <c r="G2181" t="s">
        <v>42</v>
      </c>
      <c r="H2181" s="1">
        <v>45971.277083333334</v>
      </c>
      <c r="I2181" s="5">
        <f>INT(TB[[#This Row],[时间戳]])</f>
        <v>45971</v>
      </c>
      <c r="J2181" s="2">
        <f>HOUR(TB[[#This Row],[时间戳]])</f>
        <v>6</v>
      </c>
      <c r="K2181">
        <v>3262</v>
      </c>
      <c r="L2181">
        <v>0</v>
      </c>
      <c r="M2181">
        <f>TB[[#This Row],[售价]]*TB[[#This Row],[销量]]</f>
        <v>0</v>
      </c>
      <c r="N2181" t="str">
        <f>IF(TB[[#This Row],[售价]]&lt;1000,"低价商品",IF(TB[[#This Row],[售价]]&lt;5000,"中价商品",IF(TB[[#This Row],[售价]]&lt;10000,"高价商品","超高价商品")))</f>
        <v>中价商品</v>
      </c>
    </row>
    <row r="2182" spans="1:14" x14ac:dyDescent="0.2">
      <c r="A2182">
        <v>572</v>
      </c>
      <c r="B2182">
        <v>125</v>
      </c>
      <c r="C2182" t="s">
        <v>14</v>
      </c>
      <c r="D2182" t="s">
        <v>228</v>
      </c>
      <c r="E2182" t="s">
        <v>31</v>
      </c>
      <c r="F2182">
        <v>4</v>
      </c>
      <c r="G2182" t="s">
        <v>13</v>
      </c>
      <c r="H2182" s="1">
        <v>45971.28402777778</v>
      </c>
      <c r="I2182" s="5">
        <f>INT(TB[[#This Row],[时间戳]])</f>
        <v>45971</v>
      </c>
      <c r="J2182" s="2">
        <f>HOUR(TB[[#This Row],[时间戳]])</f>
        <v>6</v>
      </c>
      <c r="K2182">
        <v>820</v>
      </c>
      <c r="L2182">
        <v>5</v>
      </c>
      <c r="M2182">
        <f>TB[[#This Row],[售价]]*TB[[#This Row],[销量]]</f>
        <v>4100</v>
      </c>
      <c r="N2182" t="str">
        <f>IF(TB[[#This Row],[售价]]&lt;1000,"低价商品",IF(TB[[#This Row],[售价]]&lt;5000,"中价商品",IF(TB[[#This Row],[售价]]&lt;10000,"高价商品","超高价商品")))</f>
        <v>低价商品</v>
      </c>
    </row>
    <row r="2183" spans="1:14" x14ac:dyDescent="0.2">
      <c r="A2183">
        <v>80</v>
      </c>
      <c r="B2183">
        <v>39</v>
      </c>
      <c r="C2183" t="s">
        <v>32</v>
      </c>
      <c r="D2183" t="s">
        <v>251</v>
      </c>
      <c r="E2183" t="s">
        <v>12</v>
      </c>
      <c r="F2183">
        <v>2</v>
      </c>
      <c r="G2183" t="s">
        <v>13</v>
      </c>
      <c r="H2183" s="1">
        <v>45971.288194444445</v>
      </c>
      <c r="I2183" s="5">
        <f>INT(TB[[#This Row],[时间戳]])</f>
        <v>45971</v>
      </c>
      <c r="J2183" s="2">
        <f>HOUR(TB[[#This Row],[时间戳]])</f>
        <v>6</v>
      </c>
      <c r="K2183">
        <v>14935</v>
      </c>
      <c r="L2183">
        <v>5</v>
      </c>
      <c r="M2183">
        <f>TB[[#This Row],[售价]]*TB[[#This Row],[销量]]</f>
        <v>74675</v>
      </c>
      <c r="N2183" t="str">
        <f>IF(TB[[#This Row],[售价]]&lt;1000,"低价商品",IF(TB[[#This Row],[售价]]&lt;5000,"中价商品",IF(TB[[#This Row],[售价]]&lt;10000,"高价商品","超高价商品")))</f>
        <v>超高价商品</v>
      </c>
    </row>
    <row r="2184" spans="1:14" x14ac:dyDescent="0.2">
      <c r="A2184">
        <v>687</v>
      </c>
      <c r="B2184">
        <v>111</v>
      </c>
      <c r="C2184" t="s">
        <v>32</v>
      </c>
      <c r="D2184" t="s">
        <v>33</v>
      </c>
      <c r="E2184" t="s">
        <v>16</v>
      </c>
      <c r="F2184">
        <v>6</v>
      </c>
      <c r="G2184" t="s">
        <v>13</v>
      </c>
      <c r="H2184" s="1">
        <v>45971.288888888892</v>
      </c>
      <c r="I2184" s="5">
        <f>INT(TB[[#This Row],[时间戳]])</f>
        <v>45971</v>
      </c>
      <c r="J2184" s="2">
        <f>HOUR(TB[[#This Row],[时间戳]])</f>
        <v>6</v>
      </c>
      <c r="K2184">
        <v>9933</v>
      </c>
      <c r="L2184">
        <v>3</v>
      </c>
      <c r="M2184">
        <f>TB[[#This Row],[售价]]*TB[[#This Row],[销量]]</f>
        <v>29799</v>
      </c>
      <c r="N2184" t="str">
        <f>IF(TB[[#This Row],[售价]]&lt;1000,"低价商品",IF(TB[[#This Row],[售价]]&lt;5000,"中价商品",IF(TB[[#This Row],[售价]]&lt;10000,"高价商品","超高价商品")))</f>
        <v>高价商品</v>
      </c>
    </row>
    <row r="2185" spans="1:14" x14ac:dyDescent="0.2">
      <c r="A2185">
        <v>108</v>
      </c>
      <c r="B2185">
        <v>175</v>
      </c>
      <c r="C2185" t="s">
        <v>32</v>
      </c>
      <c r="D2185" t="s">
        <v>176</v>
      </c>
      <c r="E2185" t="s">
        <v>22</v>
      </c>
      <c r="F2185">
        <v>1</v>
      </c>
      <c r="G2185" t="s">
        <v>13</v>
      </c>
      <c r="H2185" s="1">
        <v>45971.29583333333</v>
      </c>
      <c r="I2185" s="5">
        <f>INT(TB[[#This Row],[时间戳]])</f>
        <v>45971</v>
      </c>
      <c r="J2185" s="2">
        <f>HOUR(TB[[#This Row],[时间戳]])</f>
        <v>7</v>
      </c>
      <c r="K2185">
        <v>4832</v>
      </c>
      <c r="L2185">
        <v>5</v>
      </c>
      <c r="M2185">
        <f>TB[[#This Row],[售价]]*TB[[#This Row],[销量]]</f>
        <v>24160</v>
      </c>
      <c r="N2185" t="str">
        <f>IF(TB[[#This Row],[售价]]&lt;1000,"低价商品",IF(TB[[#This Row],[售价]]&lt;5000,"中价商品",IF(TB[[#This Row],[售价]]&lt;10000,"高价商品","超高价商品")))</f>
        <v>中价商品</v>
      </c>
    </row>
    <row r="2186" spans="1:14" x14ac:dyDescent="0.2">
      <c r="A2186">
        <v>321</v>
      </c>
      <c r="B2186">
        <v>160</v>
      </c>
      <c r="C2186" t="s">
        <v>20</v>
      </c>
      <c r="D2186" t="s">
        <v>367</v>
      </c>
      <c r="E2186" t="s">
        <v>25</v>
      </c>
      <c r="F2186">
        <v>7</v>
      </c>
      <c r="G2186" t="s">
        <v>42</v>
      </c>
      <c r="H2186" s="1">
        <v>45971.31527777778</v>
      </c>
      <c r="I2186" s="5">
        <f>INT(TB[[#This Row],[时间戳]])</f>
        <v>45971</v>
      </c>
      <c r="J2186" s="2">
        <f>HOUR(TB[[#This Row],[时间戳]])</f>
        <v>7</v>
      </c>
      <c r="K2186">
        <v>3311</v>
      </c>
      <c r="L2186">
        <v>0</v>
      </c>
      <c r="M2186">
        <f>TB[[#This Row],[售价]]*TB[[#This Row],[销量]]</f>
        <v>0</v>
      </c>
      <c r="N2186" t="str">
        <f>IF(TB[[#This Row],[售价]]&lt;1000,"低价商品",IF(TB[[#This Row],[售价]]&lt;5000,"中价商品",IF(TB[[#This Row],[售价]]&lt;10000,"高价商品","超高价商品")))</f>
        <v>中价商品</v>
      </c>
    </row>
    <row r="2187" spans="1:14" x14ac:dyDescent="0.2">
      <c r="A2187">
        <v>109</v>
      </c>
      <c r="B2187">
        <v>67</v>
      </c>
      <c r="C2187" t="s">
        <v>26</v>
      </c>
      <c r="D2187" t="s">
        <v>364</v>
      </c>
      <c r="E2187" t="s">
        <v>39</v>
      </c>
      <c r="F2187">
        <v>5</v>
      </c>
      <c r="G2187" t="s">
        <v>42</v>
      </c>
      <c r="H2187" s="1">
        <v>45971.366666666669</v>
      </c>
      <c r="I2187" s="5">
        <f>INT(TB[[#This Row],[时间戳]])</f>
        <v>45971</v>
      </c>
      <c r="J2187" s="2">
        <f>HOUR(TB[[#This Row],[时间戳]])</f>
        <v>8</v>
      </c>
      <c r="K2187">
        <v>3734</v>
      </c>
      <c r="L2187">
        <v>0</v>
      </c>
      <c r="M2187">
        <f>TB[[#This Row],[售价]]*TB[[#This Row],[销量]]</f>
        <v>0</v>
      </c>
      <c r="N2187" t="str">
        <f>IF(TB[[#This Row],[售价]]&lt;1000,"低价商品",IF(TB[[#This Row],[售价]]&lt;5000,"中价商品",IF(TB[[#This Row],[售价]]&lt;10000,"高价商品","超高价商品")))</f>
        <v>中价商品</v>
      </c>
    </row>
    <row r="2188" spans="1:14" x14ac:dyDescent="0.2">
      <c r="A2188">
        <v>636</v>
      </c>
      <c r="B2188">
        <v>263</v>
      </c>
      <c r="C2188" t="s">
        <v>17</v>
      </c>
      <c r="D2188" t="s">
        <v>177</v>
      </c>
      <c r="E2188" t="s">
        <v>22</v>
      </c>
      <c r="F2188">
        <v>1</v>
      </c>
      <c r="G2188" t="s">
        <v>13</v>
      </c>
      <c r="H2188" s="1">
        <v>45971.404166666667</v>
      </c>
      <c r="I2188" s="5">
        <f>INT(TB[[#This Row],[时间戳]])</f>
        <v>45971</v>
      </c>
      <c r="J2188" s="2">
        <f>HOUR(TB[[#This Row],[时间戳]])</f>
        <v>9</v>
      </c>
      <c r="K2188">
        <v>2778</v>
      </c>
      <c r="L2188">
        <v>5</v>
      </c>
      <c r="M2188">
        <f>TB[[#This Row],[售价]]*TB[[#This Row],[销量]]</f>
        <v>13890</v>
      </c>
      <c r="N2188" t="str">
        <f>IF(TB[[#This Row],[售价]]&lt;1000,"低价商品",IF(TB[[#This Row],[售价]]&lt;5000,"中价商品",IF(TB[[#This Row],[售价]]&lt;10000,"高价商品","超高价商品")))</f>
        <v>中价商品</v>
      </c>
    </row>
    <row r="2189" spans="1:14" x14ac:dyDescent="0.2">
      <c r="A2189">
        <v>71</v>
      </c>
      <c r="B2189">
        <v>143</v>
      </c>
      <c r="C2189" t="s">
        <v>17</v>
      </c>
      <c r="D2189" t="s">
        <v>390</v>
      </c>
      <c r="E2189" t="s">
        <v>39</v>
      </c>
      <c r="F2189">
        <v>5</v>
      </c>
      <c r="G2189" t="s">
        <v>13</v>
      </c>
      <c r="H2189" s="1">
        <v>45971.430555555555</v>
      </c>
      <c r="I2189" s="5">
        <f>INT(TB[[#This Row],[时间戳]])</f>
        <v>45971</v>
      </c>
      <c r="J2189" s="2">
        <f>HOUR(TB[[#This Row],[时间戳]])</f>
        <v>10</v>
      </c>
      <c r="K2189">
        <v>1830</v>
      </c>
      <c r="L2189">
        <v>5</v>
      </c>
      <c r="M2189">
        <f>TB[[#This Row],[售价]]*TB[[#This Row],[销量]]</f>
        <v>9150</v>
      </c>
      <c r="N2189" t="str">
        <f>IF(TB[[#This Row],[售价]]&lt;1000,"低价商品",IF(TB[[#This Row],[售价]]&lt;5000,"中价商品",IF(TB[[#This Row],[售价]]&lt;10000,"高价商品","超高价商品")))</f>
        <v>中价商品</v>
      </c>
    </row>
    <row r="2190" spans="1:14" x14ac:dyDescent="0.2">
      <c r="A2190">
        <v>664</v>
      </c>
      <c r="B2190">
        <v>53</v>
      </c>
      <c r="C2190" t="s">
        <v>36</v>
      </c>
      <c r="D2190" t="s">
        <v>114</v>
      </c>
      <c r="E2190" t="s">
        <v>25</v>
      </c>
      <c r="F2190">
        <v>7</v>
      </c>
      <c r="G2190" t="s">
        <v>13</v>
      </c>
      <c r="H2190" s="1">
        <v>45971.459722222222</v>
      </c>
      <c r="I2190" s="5">
        <f>INT(TB[[#This Row],[时间戳]])</f>
        <v>45971</v>
      </c>
      <c r="J2190" s="2">
        <f>HOUR(TB[[#This Row],[时间戳]])</f>
        <v>11</v>
      </c>
      <c r="K2190">
        <v>4849</v>
      </c>
      <c r="L2190">
        <v>5</v>
      </c>
      <c r="M2190">
        <f>TB[[#This Row],[售价]]*TB[[#This Row],[销量]]</f>
        <v>24245</v>
      </c>
      <c r="N2190" t="str">
        <f>IF(TB[[#This Row],[售价]]&lt;1000,"低价商品",IF(TB[[#This Row],[售价]]&lt;5000,"中价商品",IF(TB[[#This Row],[售价]]&lt;10000,"高价商品","超高价商品")))</f>
        <v>中价商品</v>
      </c>
    </row>
    <row r="2191" spans="1:14" x14ac:dyDescent="0.2">
      <c r="A2191">
        <v>113</v>
      </c>
      <c r="B2191">
        <v>124</v>
      </c>
      <c r="C2191" t="s">
        <v>14</v>
      </c>
      <c r="D2191" t="s">
        <v>297</v>
      </c>
      <c r="E2191" t="s">
        <v>25</v>
      </c>
      <c r="F2191">
        <v>7</v>
      </c>
      <c r="G2191" t="s">
        <v>13</v>
      </c>
      <c r="H2191" s="1">
        <v>45971.479861111111</v>
      </c>
      <c r="I2191" s="5">
        <f>INT(TB[[#This Row],[时间戳]])</f>
        <v>45971</v>
      </c>
      <c r="J2191" s="2">
        <f>HOUR(TB[[#This Row],[时间戳]])</f>
        <v>11</v>
      </c>
      <c r="K2191">
        <v>2742</v>
      </c>
      <c r="L2191">
        <v>5</v>
      </c>
      <c r="M2191">
        <f>TB[[#This Row],[售价]]*TB[[#This Row],[销量]]</f>
        <v>13710</v>
      </c>
      <c r="N2191" t="str">
        <f>IF(TB[[#This Row],[售价]]&lt;1000,"低价商品",IF(TB[[#This Row],[售价]]&lt;5000,"中价商品",IF(TB[[#This Row],[售价]]&lt;10000,"高价商品","超高价商品")))</f>
        <v>中价商品</v>
      </c>
    </row>
    <row r="2192" spans="1:14" x14ac:dyDescent="0.2">
      <c r="A2192">
        <v>30</v>
      </c>
      <c r="B2192">
        <v>244</v>
      </c>
      <c r="C2192" t="s">
        <v>26</v>
      </c>
      <c r="D2192" t="s">
        <v>227</v>
      </c>
      <c r="E2192" t="s">
        <v>12</v>
      </c>
      <c r="F2192">
        <v>2</v>
      </c>
      <c r="G2192" t="s">
        <v>13</v>
      </c>
      <c r="H2192" s="1">
        <v>45971.48541666667</v>
      </c>
      <c r="I2192" s="5">
        <f>INT(TB[[#This Row],[时间戳]])</f>
        <v>45971</v>
      </c>
      <c r="J2192" s="2">
        <f>HOUR(TB[[#This Row],[时间戳]])</f>
        <v>11</v>
      </c>
      <c r="K2192">
        <v>4306</v>
      </c>
      <c r="L2192">
        <v>5</v>
      </c>
      <c r="M2192">
        <f>TB[[#This Row],[售价]]*TB[[#This Row],[销量]]</f>
        <v>21530</v>
      </c>
      <c r="N2192" t="str">
        <f>IF(TB[[#This Row],[售价]]&lt;1000,"低价商品",IF(TB[[#This Row],[售价]]&lt;5000,"中价商品",IF(TB[[#This Row],[售价]]&lt;10000,"高价商品","超高价商品")))</f>
        <v>中价商品</v>
      </c>
    </row>
    <row r="2193" spans="1:14" x14ac:dyDescent="0.2">
      <c r="A2193">
        <v>122</v>
      </c>
      <c r="B2193">
        <v>282</v>
      </c>
      <c r="C2193" t="s">
        <v>34</v>
      </c>
      <c r="D2193" t="s">
        <v>365</v>
      </c>
      <c r="E2193" t="s">
        <v>16</v>
      </c>
      <c r="F2193">
        <v>6</v>
      </c>
      <c r="G2193" t="s">
        <v>13</v>
      </c>
      <c r="H2193" s="1">
        <v>45971.529166666667</v>
      </c>
      <c r="I2193" s="5">
        <f>INT(TB[[#This Row],[时间戳]])</f>
        <v>45971</v>
      </c>
      <c r="J2193" s="2">
        <f>HOUR(TB[[#This Row],[时间戳]])</f>
        <v>12</v>
      </c>
      <c r="K2193">
        <v>10729</v>
      </c>
      <c r="L2193">
        <v>5</v>
      </c>
      <c r="M2193">
        <f>TB[[#This Row],[售价]]*TB[[#This Row],[销量]]</f>
        <v>53645</v>
      </c>
      <c r="N2193" t="str">
        <f>IF(TB[[#This Row],[售价]]&lt;1000,"低价商品",IF(TB[[#This Row],[售价]]&lt;5000,"中价商品",IF(TB[[#This Row],[售价]]&lt;10000,"高价商品","超高价商品")))</f>
        <v>超高价商品</v>
      </c>
    </row>
    <row r="2194" spans="1:14" x14ac:dyDescent="0.2">
      <c r="A2194">
        <v>155</v>
      </c>
      <c r="B2194">
        <v>204</v>
      </c>
      <c r="C2194" t="s">
        <v>17</v>
      </c>
      <c r="D2194" t="s">
        <v>390</v>
      </c>
      <c r="E2194" t="s">
        <v>39</v>
      </c>
      <c r="F2194">
        <v>5</v>
      </c>
      <c r="G2194" t="s">
        <v>13</v>
      </c>
      <c r="H2194" s="1">
        <v>45971.549305555556</v>
      </c>
      <c r="I2194" s="5">
        <f>INT(TB[[#This Row],[时间戳]])</f>
        <v>45971</v>
      </c>
      <c r="J2194" s="2">
        <f>HOUR(TB[[#This Row],[时间戳]])</f>
        <v>13</v>
      </c>
      <c r="K2194">
        <v>1125</v>
      </c>
      <c r="L2194">
        <v>5</v>
      </c>
      <c r="M2194">
        <f>TB[[#This Row],[售价]]*TB[[#This Row],[销量]]</f>
        <v>5625</v>
      </c>
      <c r="N2194" t="str">
        <f>IF(TB[[#This Row],[售价]]&lt;1000,"低价商品",IF(TB[[#This Row],[售价]]&lt;5000,"中价商品",IF(TB[[#This Row],[售价]]&lt;10000,"高价商品","超高价商品")))</f>
        <v>中价商品</v>
      </c>
    </row>
    <row r="2195" spans="1:14" x14ac:dyDescent="0.2">
      <c r="A2195">
        <v>55</v>
      </c>
      <c r="B2195">
        <v>226</v>
      </c>
      <c r="C2195" t="s">
        <v>20</v>
      </c>
      <c r="D2195" t="s">
        <v>88</v>
      </c>
      <c r="E2195" t="s">
        <v>19</v>
      </c>
      <c r="F2195">
        <v>3</v>
      </c>
      <c r="G2195" t="s">
        <v>13</v>
      </c>
      <c r="H2195" s="1">
        <v>45971.564583333333</v>
      </c>
      <c r="I2195" s="5">
        <f>INT(TB[[#This Row],[时间戳]])</f>
        <v>45971</v>
      </c>
      <c r="J2195" s="2">
        <f>HOUR(TB[[#This Row],[时间戳]])</f>
        <v>13</v>
      </c>
      <c r="K2195">
        <v>5633</v>
      </c>
      <c r="L2195">
        <v>3</v>
      </c>
      <c r="M2195">
        <f>TB[[#This Row],[售价]]*TB[[#This Row],[销量]]</f>
        <v>16899</v>
      </c>
      <c r="N2195" t="str">
        <f>IF(TB[[#This Row],[售价]]&lt;1000,"低价商品",IF(TB[[#This Row],[售价]]&lt;5000,"中价商品",IF(TB[[#This Row],[售价]]&lt;10000,"高价商品","超高价商品")))</f>
        <v>高价商品</v>
      </c>
    </row>
    <row r="2196" spans="1:14" x14ac:dyDescent="0.2">
      <c r="A2196">
        <v>665</v>
      </c>
      <c r="B2196">
        <v>196</v>
      </c>
      <c r="C2196" t="s">
        <v>14</v>
      </c>
      <c r="D2196" t="s">
        <v>89</v>
      </c>
      <c r="E2196" t="s">
        <v>22</v>
      </c>
      <c r="F2196">
        <v>1</v>
      </c>
      <c r="G2196" t="s">
        <v>42</v>
      </c>
      <c r="H2196" s="1">
        <v>45971.566666666666</v>
      </c>
      <c r="I2196" s="5">
        <f>INT(TB[[#This Row],[时间戳]])</f>
        <v>45971</v>
      </c>
      <c r="J2196" s="2">
        <f>HOUR(TB[[#This Row],[时间戳]])</f>
        <v>13</v>
      </c>
      <c r="K2196">
        <v>3222</v>
      </c>
      <c r="L2196">
        <v>0</v>
      </c>
      <c r="M2196">
        <f>TB[[#This Row],[售价]]*TB[[#This Row],[销量]]</f>
        <v>0</v>
      </c>
      <c r="N2196" t="str">
        <f>IF(TB[[#This Row],[售价]]&lt;1000,"低价商品",IF(TB[[#This Row],[售价]]&lt;5000,"中价商品",IF(TB[[#This Row],[售价]]&lt;10000,"高价商品","超高价商品")))</f>
        <v>中价商品</v>
      </c>
    </row>
    <row r="2197" spans="1:14" x14ac:dyDescent="0.2">
      <c r="A2197">
        <v>413</v>
      </c>
      <c r="B2197">
        <v>91</v>
      </c>
      <c r="C2197" t="s">
        <v>36</v>
      </c>
      <c r="D2197" t="s">
        <v>238</v>
      </c>
      <c r="E2197" t="s">
        <v>12</v>
      </c>
      <c r="F2197">
        <v>2</v>
      </c>
      <c r="G2197" t="s">
        <v>42</v>
      </c>
      <c r="H2197" s="1">
        <v>45971.577777777777</v>
      </c>
      <c r="I2197" s="5">
        <f>INT(TB[[#This Row],[时间戳]])</f>
        <v>45971</v>
      </c>
      <c r="J2197" s="2">
        <f>HOUR(TB[[#This Row],[时间戳]])</f>
        <v>13</v>
      </c>
      <c r="K2197">
        <v>10822</v>
      </c>
      <c r="L2197">
        <v>0</v>
      </c>
      <c r="M2197">
        <f>TB[[#This Row],[售价]]*TB[[#This Row],[销量]]</f>
        <v>0</v>
      </c>
      <c r="N2197" t="str">
        <f>IF(TB[[#This Row],[售价]]&lt;1000,"低价商品",IF(TB[[#This Row],[售价]]&lt;5000,"中价商品",IF(TB[[#This Row],[售价]]&lt;10000,"高价商品","超高价商品")))</f>
        <v>超高价商品</v>
      </c>
    </row>
    <row r="2198" spans="1:14" x14ac:dyDescent="0.2">
      <c r="A2198">
        <v>506</v>
      </c>
      <c r="B2198">
        <v>266</v>
      </c>
      <c r="C2198" t="s">
        <v>20</v>
      </c>
      <c r="D2198" t="s">
        <v>21</v>
      </c>
      <c r="E2198" t="s">
        <v>22</v>
      </c>
      <c r="F2198">
        <v>1</v>
      </c>
      <c r="G2198" t="s">
        <v>13</v>
      </c>
      <c r="H2198" s="1">
        <v>45971.588888888888</v>
      </c>
      <c r="I2198" s="5">
        <f>INT(TB[[#This Row],[时间戳]])</f>
        <v>45971</v>
      </c>
      <c r="J2198" s="2">
        <f>HOUR(TB[[#This Row],[时间戳]])</f>
        <v>14</v>
      </c>
      <c r="K2198">
        <v>5807</v>
      </c>
      <c r="L2198">
        <v>5</v>
      </c>
      <c r="M2198">
        <f>TB[[#This Row],[售价]]*TB[[#This Row],[销量]]</f>
        <v>29035</v>
      </c>
      <c r="N2198" t="str">
        <f>IF(TB[[#This Row],[售价]]&lt;1000,"低价商品",IF(TB[[#This Row],[售价]]&lt;5000,"中价商品",IF(TB[[#This Row],[售价]]&lt;10000,"高价商品","超高价商品")))</f>
        <v>高价商品</v>
      </c>
    </row>
    <row r="2199" spans="1:14" x14ac:dyDescent="0.2">
      <c r="A2199">
        <v>114</v>
      </c>
      <c r="B2199">
        <v>113</v>
      </c>
      <c r="C2199" t="s">
        <v>10</v>
      </c>
      <c r="D2199" t="s">
        <v>116</v>
      </c>
      <c r="E2199" t="s">
        <v>31</v>
      </c>
      <c r="F2199">
        <v>4</v>
      </c>
      <c r="G2199" t="s">
        <v>13</v>
      </c>
      <c r="H2199" s="1">
        <v>45971.625694444447</v>
      </c>
      <c r="I2199" s="5">
        <f>INT(TB[[#This Row],[时间戳]])</f>
        <v>45971</v>
      </c>
      <c r="J2199" s="2">
        <f>HOUR(TB[[#This Row],[时间戳]])</f>
        <v>15</v>
      </c>
      <c r="K2199">
        <v>792</v>
      </c>
      <c r="L2199">
        <v>3</v>
      </c>
      <c r="M2199">
        <f>TB[[#This Row],[售价]]*TB[[#This Row],[销量]]</f>
        <v>2376</v>
      </c>
      <c r="N2199" t="str">
        <f>IF(TB[[#This Row],[售价]]&lt;1000,"低价商品",IF(TB[[#This Row],[售价]]&lt;5000,"中价商品",IF(TB[[#This Row],[售价]]&lt;10000,"高价商品","超高价商品")))</f>
        <v>低价商品</v>
      </c>
    </row>
    <row r="2200" spans="1:14" x14ac:dyDescent="0.2">
      <c r="A2200">
        <v>273</v>
      </c>
      <c r="B2200">
        <v>123</v>
      </c>
      <c r="C2200" t="s">
        <v>10</v>
      </c>
      <c r="D2200" t="s">
        <v>278</v>
      </c>
      <c r="E2200" t="s">
        <v>19</v>
      </c>
      <c r="F2200">
        <v>3</v>
      </c>
      <c r="G2200" t="s">
        <v>13</v>
      </c>
      <c r="H2200" s="1">
        <v>45971.640277777777</v>
      </c>
      <c r="I2200" s="5">
        <f>INT(TB[[#This Row],[时间戳]])</f>
        <v>45971</v>
      </c>
      <c r="J2200" s="2">
        <f>HOUR(TB[[#This Row],[时间戳]])</f>
        <v>15</v>
      </c>
      <c r="K2200">
        <v>2270</v>
      </c>
      <c r="L2200">
        <v>5</v>
      </c>
      <c r="M2200">
        <f>TB[[#This Row],[售价]]*TB[[#This Row],[销量]]</f>
        <v>11350</v>
      </c>
      <c r="N2200" t="str">
        <f>IF(TB[[#This Row],[售价]]&lt;1000,"低价商品",IF(TB[[#This Row],[售价]]&lt;5000,"中价商品",IF(TB[[#This Row],[售价]]&lt;10000,"高价商品","超高价商品")))</f>
        <v>中价商品</v>
      </c>
    </row>
    <row r="2201" spans="1:14" x14ac:dyDescent="0.2">
      <c r="A2201">
        <v>232</v>
      </c>
      <c r="B2201">
        <v>208</v>
      </c>
      <c r="C2201" t="s">
        <v>14</v>
      </c>
      <c r="D2201" t="s">
        <v>53</v>
      </c>
      <c r="E2201" t="s">
        <v>12</v>
      </c>
      <c r="F2201">
        <v>2</v>
      </c>
      <c r="G2201" t="s">
        <v>13</v>
      </c>
      <c r="H2201" s="1">
        <v>45971.649305555555</v>
      </c>
      <c r="I2201" s="5">
        <f>INT(TB[[#This Row],[时间戳]])</f>
        <v>45971</v>
      </c>
      <c r="J2201" s="2">
        <f>HOUR(TB[[#This Row],[时间戳]])</f>
        <v>15</v>
      </c>
      <c r="K2201">
        <v>5150</v>
      </c>
      <c r="L2201">
        <v>3</v>
      </c>
      <c r="M2201">
        <f>TB[[#This Row],[售价]]*TB[[#This Row],[销量]]</f>
        <v>15450</v>
      </c>
      <c r="N2201" t="str">
        <f>IF(TB[[#This Row],[售价]]&lt;1000,"低价商品",IF(TB[[#This Row],[售价]]&lt;5000,"中价商品",IF(TB[[#This Row],[售价]]&lt;10000,"高价商品","超高价商品")))</f>
        <v>高价商品</v>
      </c>
    </row>
    <row r="2202" spans="1:14" x14ac:dyDescent="0.2">
      <c r="A2202">
        <v>752</v>
      </c>
      <c r="B2202">
        <v>138</v>
      </c>
      <c r="C2202" t="s">
        <v>14</v>
      </c>
      <c r="D2202" t="s">
        <v>49</v>
      </c>
      <c r="E2202" t="s">
        <v>22</v>
      </c>
      <c r="F2202">
        <v>1</v>
      </c>
      <c r="G2202" t="s">
        <v>13</v>
      </c>
      <c r="H2202" s="1">
        <v>45971.718055555553</v>
      </c>
      <c r="I2202" s="5">
        <f>INT(TB[[#This Row],[时间戳]])</f>
        <v>45971</v>
      </c>
      <c r="J2202" s="2">
        <f>HOUR(TB[[#This Row],[时间戳]])</f>
        <v>17</v>
      </c>
      <c r="K2202">
        <v>4211</v>
      </c>
      <c r="L2202">
        <v>5</v>
      </c>
      <c r="M2202">
        <f>TB[[#This Row],[售价]]*TB[[#This Row],[销量]]</f>
        <v>21055</v>
      </c>
      <c r="N2202" t="str">
        <f>IF(TB[[#This Row],[售价]]&lt;1000,"低价商品",IF(TB[[#This Row],[售价]]&lt;5000,"中价商品",IF(TB[[#This Row],[售价]]&lt;10000,"高价商品","超高价商品")))</f>
        <v>中价商品</v>
      </c>
    </row>
    <row r="2203" spans="1:14" x14ac:dyDescent="0.2">
      <c r="A2203">
        <v>356</v>
      </c>
      <c r="B2203">
        <v>148</v>
      </c>
      <c r="C2203" t="s">
        <v>26</v>
      </c>
      <c r="D2203" t="s">
        <v>27</v>
      </c>
      <c r="E2203" t="s">
        <v>22</v>
      </c>
      <c r="F2203">
        <v>1</v>
      </c>
      <c r="G2203" t="s">
        <v>13</v>
      </c>
      <c r="H2203" s="1">
        <v>45971.720138888886</v>
      </c>
      <c r="I2203" s="5">
        <f>INT(TB[[#This Row],[时间戳]])</f>
        <v>45971</v>
      </c>
      <c r="J2203" s="2">
        <f>HOUR(TB[[#This Row],[时间戳]])</f>
        <v>17</v>
      </c>
      <c r="K2203">
        <v>4961</v>
      </c>
      <c r="L2203">
        <v>3</v>
      </c>
      <c r="M2203">
        <f>TB[[#This Row],[售价]]*TB[[#This Row],[销量]]</f>
        <v>14883</v>
      </c>
      <c r="N2203" t="str">
        <f>IF(TB[[#This Row],[售价]]&lt;1000,"低价商品",IF(TB[[#This Row],[售价]]&lt;5000,"中价商品",IF(TB[[#This Row],[售价]]&lt;10000,"高价商品","超高价商品")))</f>
        <v>中价商品</v>
      </c>
    </row>
    <row r="2204" spans="1:14" x14ac:dyDescent="0.2">
      <c r="A2204">
        <v>97</v>
      </c>
      <c r="B2204">
        <v>95</v>
      </c>
      <c r="C2204" t="s">
        <v>36</v>
      </c>
      <c r="D2204" t="s">
        <v>136</v>
      </c>
      <c r="E2204" t="s">
        <v>39</v>
      </c>
      <c r="F2204">
        <v>5</v>
      </c>
      <c r="G2204" t="s">
        <v>42</v>
      </c>
      <c r="H2204" s="1">
        <v>45971.730555555558</v>
      </c>
      <c r="I2204" s="5">
        <f>INT(TB[[#This Row],[时间戳]])</f>
        <v>45971</v>
      </c>
      <c r="J2204" s="2">
        <f>HOUR(TB[[#This Row],[时间戳]])</f>
        <v>17</v>
      </c>
      <c r="K2204">
        <v>3796</v>
      </c>
      <c r="L2204">
        <v>0</v>
      </c>
      <c r="M2204">
        <f>TB[[#This Row],[售价]]*TB[[#This Row],[销量]]</f>
        <v>0</v>
      </c>
      <c r="N2204" t="str">
        <f>IF(TB[[#This Row],[售价]]&lt;1000,"低价商品",IF(TB[[#This Row],[售价]]&lt;5000,"中价商品",IF(TB[[#This Row],[售价]]&lt;10000,"高价商品","超高价商品")))</f>
        <v>中价商品</v>
      </c>
    </row>
    <row r="2205" spans="1:14" x14ac:dyDescent="0.2">
      <c r="A2205">
        <v>757</v>
      </c>
      <c r="B2205">
        <v>157</v>
      </c>
      <c r="C2205" t="s">
        <v>46</v>
      </c>
      <c r="D2205" t="s">
        <v>211</v>
      </c>
      <c r="E2205" t="s">
        <v>31</v>
      </c>
      <c r="F2205">
        <v>4</v>
      </c>
      <c r="G2205" t="s">
        <v>13</v>
      </c>
      <c r="H2205" s="1">
        <v>45971.731249999997</v>
      </c>
      <c r="I2205" s="5">
        <f>INT(TB[[#This Row],[时间戳]])</f>
        <v>45971</v>
      </c>
      <c r="J2205" s="2">
        <f>HOUR(TB[[#This Row],[时间戳]])</f>
        <v>17</v>
      </c>
      <c r="K2205">
        <v>1238</v>
      </c>
      <c r="L2205">
        <v>3</v>
      </c>
      <c r="M2205">
        <f>TB[[#This Row],[售价]]*TB[[#This Row],[销量]]</f>
        <v>3714</v>
      </c>
      <c r="N2205" t="str">
        <f>IF(TB[[#This Row],[售价]]&lt;1000,"低价商品",IF(TB[[#This Row],[售价]]&lt;5000,"中价商品",IF(TB[[#This Row],[售价]]&lt;10000,"高价商品","超高价商品")))</f>
        <v>中价商品</v>
      </c>
    </row>
    <row r="2206" spans="1:14" x14ac:dyDescent="0.2">
      <c r="A2206">
        <v>171</v>
      </c>
      <c r="B2206">
        <v>96</v>
      </c>
      <c r="C2206" t="s">
        <v>34</v>
      </c>
      <c r="D2206" t="s">
        <v>108</v>
      </c>
      <c r="E2206" t="s">
        <v>19</v>
      </c>
      <c r="F2206">
        <v>3</v>
      </c>
      <c r="G2206" t="s">
        <v>42</v>
      </c>
      <c r="H2206" s="1">
        <v>45971.756249999999</v>
      </c>
      <c r="I2206" s="5">
        <f>INT(TB[[#This Row],[时间戳]])</f>
        <v>45971</v>
      </c>
      <c r="J2206" s="2">
        <f>HOUR(TB[[#This Row],[时间戳]])</f>
        <v>18</v>
      </c>
      <c r="K2206">
        <v>3341</v>
      </c>
      <c r="L2206">
        <v>0</v>
      </c>
      <c r="M2206">
        <f>TB[[#This Row],[售价]]*TB[[#This Row],[销量]]</f>
        <v>0</v>
      </c>
      <c r="N2206" t="str">
        <f>IF(TB[[#This Row],[售价]]&lt;1000,"低价商品",IF(TB[[#This Row],[售价]]&lt;5000,"中价商品",IF(TB[[#This Row],[售价]]&lt;10000,"高价商品","超高价商品")))</f>
        <v>中价商品</v>
      </c>
    </row>
    <row r="2207" spans="1:14" x14ac:dyDescent="0.2">
      <c r="A2207">
        <v>683</v>
      </c>
      <c r="B2207">
        <v>243</v>
      </c>
      <c r="C2207" t="s">
        <v>26</v>
      </c>
      <c r="D2207" t="s">
        <v>131</v>
      </c>
      <c r="E2207" t="s">
        <v>22</v>
      </c>
      <c r="F2207">
        <v>1</v>
      </c>
      <c r="G2207" t="s">
        <v>13</v>
      </c>
      <c r="H2207" s="1">
        <v>45971.802083333336</v>
      </c>
      <c r="I2207" s="5">
        <f>INT(TB[[#This Row],[时间戳]])</f>
        <v>45971</v>
      </c>
      <c r="J2207" s="2">
        <f>HOUR(TB[[#This Row],[时间戳]])</f>
        <v>19</v>
      </c>
      <c r="K2207">
        <v>3754</v>
      </c>
      <c r="L2207">
        <v>5</v>
      </c>
      <c r="M2207">
        <f>TB[[#This Row],[售价]]*TB[[#This Row],[销量]]</f>
        <v>18770</v>
      </c>
      <c r="N2207" t="str">
        <f>IF(TB[[#This Row],[售价]]&lt;1000,"低价商品",IF(TB[[#This Row],[售价]]&lt;5000,"中价商品",IF(TB[[#This Row],[售价]]&lt;10000,"高价商品","超高价商品")))</f>
        <v>中价商品</v>
      </c>
    </row>
    <row r="2208" spans="1:14" x14ac:dyDescent="0.2">
      <c r="A2208">
        <v>271</v>
      </c>
      <c r="B2208">
        <v>40</v>
      </c>
      <c r="C2208" t="s">
        <v>10</v>
      </c>
      <c r="D2208" t="s">
        <v>24</v>
      </c>
      <c r="E2208" t="s">
        <v>25</v>
      </c>
      <c r="F2208">
        <v>7</v>
      </c>
      <c r="G2208" t="s">
        <v>13</v>
      </c>
      <c r="H2208" s="1">
        <v>45971.808333333334</v>
      </c>
      <c r="I2208" s="5">
        <f>INT(TB[[#This Row],[时间戳]])</f>
        <v>45971</v>
      </c>
      <c r="J2208" s="2">
        <f>HOUR(TB[[#This Row],[时间戳]])</f>
        <v>19</v>
      </c>
      <c r="K2208">
        <v>4976</v>
      </c>
      <c r="L2208">
        <v>5</v>
      </c>
      <c r="M2208">
        <f>TB[[#This Row],[售价]]*TB[[#This Row],[销量]]</f>
        <v>24880</v>
      </c>
      <c r="N2208" t="str">
        <f>IF(TB[[#This Row],[售价]]&lt;1000,"低价商品",IF(TB[[#This Row],[售价]]&lt;5000,"中价商品",IF(TB[[#This Row],[售价]]&lt;10000,"高价商品","超高价商品")))</f>
        <v>中价商品</v>
      </c>
    </row>
    <row r="2209" spans="1:14" x14ac:dyDescent="0.2">
      <c r="A2209">
        <v>361</v>
      </c>
      <c r="B2209">
        <v>243</v>
      </c>
      <c r="C2209" t="s">
        <v>10</v>
      </c>
      <c r="D2209" t="s">
        <v>189</v>
      </c>
      <c r="E2209" t="s">
        <v>22</v>
      </c>
      <c r="F2209">
        <v>1</v>
      </c>
      <c r="G2209" t="s">
        <v>13</v>
      </c>
      <c r="H2209" s="1">
        <v>45971.844444444447</v>
      </c>
      <c r="I2209" s="5">
        <f>INT(TB[[#This Row],[时间戳]])</f>
        <v>45971</v>
      </c>
      <c r="J2209" s="2">
        <f>HOUR(TB[[#This Row],[时间戳]])</f>
        <v>20</v>
      </c>
      <c r="K2209">
        <v>2545</v>
      </c>
      <c r="L2209">
        <v>3</v>
      </c>
      <c r="M2209">
        <f>TB[[#This Row],[售价]]*TB[[#This Row],[销量]]</f>
        <v>7635</v>
      </c>
      <c r="N2209" t="str">
        <f>IF(TB[[#This Row],[售价]]&lt;1000,"低价商品",IF(TB[[#This Row],[售价]]&lt;5000,"中价商品",IF(TB[[#This Row],[售价]]&lt;10000,"高价商品","超高价商品")))</f>
        <v>中价商品</v>
      </c>
    </row>
    <row r="2210" spans="1:14" x14ac:dyDescent="0.2">
      <c r="A2210">
        <v>484</v>
      </c>
      <c r="B2210">
        <v>57</v>
      </c>
      <c r="C2210" t="s">
        <v>44</v>
      </c>
      <c r="D2210" t="s">
        <v>195</v>
      </c>
      <c r="E2210" t="s">
        <v>22</v>
      </c>
      <c r="F2210">
        <v>1</v>
      </c>
      <c r="G2210" t="s">
        <v>13</v>
      </c>
      <c r="H2210" s="1">
        <v>45971.850694444445</v>
      </c>
      <c r="I2210" s="5">
        <f>INT(TB[[#This Row],[时间戳]])</f>
        <v>45971</v>
      </c>
      <c r="J2210" s="2">
        <f>HOUR(TB[[#This Row],[时间戳]])</f>
        <v>20</v>
      </c>
      <c r="K2210">
        <v>5577</v>
      </c>
      <c r="L2210">
        <v>5</v>
      </c>
      <c r="M2210">
        <f>TB[[#This Row],[售价]]*TB[[#This Row],[销量]]</f>
        <v>27885</v>
      </c>
      <c r="N2210" t="str">
        <f>IF(TB[[#This Row],[售价]]&lt;1000,"低价商品",IF(TB[[#This Row],[售价]]&lt;5000,"中价商品",IF(TB[[#This Row],[售价]]&lt;10000,"高价商品","超高价商品")))</f>
        <v>高价商品</v>
      </c>
    </row>
    <row r="2211" spans="1:14" x14ac:dyDescent="0.2">
      <c r="A2211">
        <v>234</v>
      </c>
      <c r="B2211">
        <v>269</v>
      </c>
      <c r="C2211" t="s">
        <v>46</v>
      </c>
      <c r="D2211" t="s">
        <v>142</v>
      </c>
      <c r="E2211" t="s">
        <v>31</v>
      </c>
      <c r="F2211">
        <v>4</v>
      </c>
      <c r="G2211" t="s">
        <v>13</v>
      </c>
      <c r="H2211" s="1">
        <v>45971.895138888889</v>
      </c>
      <c r="I2211" s="5">
        <f>INT(TB[[#This Row],[时间戳]])</f>
        <v>45971</v>
      </c>
      <c r="J2211" s="2">
        <f>HOUR(TB[[#This Row],[时间戳]])</f>
        <v>21</v>
      </c>
      <c r="K2211">
        <v>50</v>
      </c>
      <c r="L2211">
        <v>5</v>
      </c>
      <c r="M2211">
        <f>TB[[#This Row],[售价]]*TB[[#This Row],[销量]]</f>
        <v>250</v>
      </c>
      <c r="N2211" t="str">
        <f>IF(TB[[#This Row],[售价]]&lt;1000,"低价商品",IF(TB[[#This Row],[售价]]&lt;5000,"中价商品",IF(TB[[#This Row],[售价]]&lt;10000,"高价商品","超高价商品")))</f>
        <v>低价商品</v>
      </c>
    </row>
    <row r="2212" spans="1:14" x14ac:dyDescent="0.2">
      <c r="A2212">
        <v>103</v>
      </c>
      <c r="B2212">
        <v>156</v>
      </c>
      <c r="C2212" t="s">
        <v>26</v>
      </c>
      <c r="D2212" t="s">
        <v>225</v>
      </c>
      <c r="E2212" t="s">
        <v>31</v>
      </c>
      <c r="F2212">
        <v>4</v>
      </c>
      <c r="G2212" t="s">
        <v>13</v>
      </c>
      <c r="H2212" s="1">
        <v>45971.92083333333</v>
      </c>
      <c r="I2212" s="5">
        <f>INT(TB[[#This Row],[时间戳]])</f>
        <v>45971</v>
      </c>
      <c r="J2212" s="2">
        <f>HOUR(TB[[#This Row],[时间戳]])</f>
        <v>22</v>
      </c>
      <c r="K2212">
        <v>965</v>
      </c>
      <c r="L2212">
        <v>5</v>
      </c>
      <c r="M2212">
        <f>TB[[#This Row],[售价]]*TB[[#This Row],[销量]]</f>
        <v>4825</v>
      </c>
      <c r="N2212" t="str">
        <f>IF(TB[[#This Row],[售价]]&lt;1000,"低价商品",IF(TB[[#This Row],[售价]]&lt;5000,"中价商品",IF(TB[[#This Row],[售价]]&lt;10000,"高价商品","超高价商品")))</f>
        <v>低价商品</v>
      </c>
    </row>
    <row r="2213" spans="1:14" x14ac:dyDescent="0.2">
      <c r="A2213">
        <v>360</v>
      </c>
      <c r="B2213">
        <v>280</v>
      </c>
      <c r="C2213" t="s">
        <v>44</v>
      </c>
      <c r="D2213" t="s">
        <v>236</v>
      </c>
      <c r="E2213" t="s">
        <v>12</v>
      </c>
      <c r="F2213">
        <v>2</v>
      </c>
      <c r="G2213" t="s">
        <v>13</v>
      </c>
      <c r="H2213" s="1">
        <v>45971.950694444444</v>
      </c>
      <c r="I2213" s="5">
        <f>INT(TB[[#This Row],[时间戳]])</f>
        <v>45971</v>
      </c>
      <c r="J2213" s="2">
        <f>HOUR(TB[[#This Row],[时间戳]])</f>
        <v>22</v>
      </c>
      <c r="K2213">
        <v>9530</v>
      </c>
      <c r="L2213">
        <v>3</v>
      </c>
      <c r="M2213">
        <f>TB[[#This Row],[售价]]*TB[[#This Row],[销量]]</f>
        <v>28590</v>
      </c>
      <c r="N2213" t="str">
        <f>IF(TB[[#This Row],[售价]]&lt;1000,"低价商品",IF(TB[[#This Row],[售价]]&lt;5000,"中价商品",IF(TB[[#This Row],[售价]]&lt;10000,"高价商品","超高价商品")))</f>
        <v>高价商品</v>
      </c>
    </row>
    <row r="2214" spans="1:14" x14ac:dyDescent="0.2">
      <c r="A2214">
        <v>374</v>
      </c>
      <c r="B2214">
        <v>235</v>
      </c>
      <c r="C2214" t="s">
        <v>44</v>
      </c>
      <c r="D2214" t="s">
        <v>132</v>
      </c>
      <c r="E2214" t="s">
        <v>22</v>
      </c>
      <c r="F2214">
        <v>1</v>
      </c>
      <c r="G2214" t="s">
        <v>42</v>
      </c>
      <c r="H2214" s="1">
        <v>45971.951388888891</v>
      </c>
      <c r="I2214" s="5">
        <f>INT(TB[[#This Row],[时间戳]])</f>
        <v>45971</v>
      </c>
      <c r="J2214" s="2">
        <f>HOUR(TB[[#This Row],[时间戳]])</f>
        <v>22</v>
      </c>
      <c r="K2214">
        <v>3247</v>
      </c>
      <c r="L2214">
        <v>0</v>
      </c>
      <c r="M2214">
        <f>TB[[#This Row],[售价]]*TB[[#This Row],[销量]]</f>
        <v>0</v>
      </c>
      <c r="N2214" t="str">
        <f>IF(TB[[#This Row],[售价]]&lt;1000,"低价商品",IF(TB[[#This Row],[售价]]&lt;5000,"中价商品",IF(TB[[#This Row],[售价]]&lt;10000,"高价商品","超高价商品")))</f>
        <v>中价商品</v>
      </c>
    </row>
    <row r="2215" spans="1:14" x14ac:dyDescent="0.2">
      <c r="A2215">
        <v>531</v>
      </c>
      <c r="B2215">
        <v>248</v>
      </c>
      <c r="C2215" t="s">
        <v>36</v>
      </c>
      <c r="D2215" t="s">
        <v>210</v>
      </c>
      <c r="E2215" t="s">
        <v>31</v>
      </c>
      <c r="F2215">
        <v>4</v>
      </c>
      <c r="G2215" t="s">
        <v>42</v>
      </c>
      <c r="H2215" s="1">
        <v>45972.011805555558</v>
      </c>
      <c r="I2215" s="5">
        <f>INT(TB[[#This Row],[时间戳]])</f>
        <v>45972</v>
      </c>
      <c r="J2215" s="2">
        <f>HOUR(TB[[#This Row],[时间戳]])</f>
        <v>0</v>
      </c>
      <c r="K2215">
        <v>57</v>
      </c>
      <c r="L2215">
        <v>0</v>
      </c>
      <c r="M2215">
        <f>TB[[#This Row],[售价]]*TB[[#This Row],[销量]]</f>
        <v>0</v>
      </c>
      <c r="N2215" t="str">
        <f>IF(TB[[#This Row],[售价]]&lt;1000,"低价商品",IF(TB[[#This Row],[售价]]&lt;5000,"中价商品",IF(TB[[#This Row],[售价]]&lt;10000,"高价商品","超高价商品")))</f>
        <v>低价商品</v>
      </c>
    </row>
    <row r="2216" spans="1:14" x14ac:dyDescent="0.2">
      <c r="A2216">
        <v>656</v>
      </c>
      <c r="B2216">
        <v>11</v>
      </c>
      <c r="C2216" t="s">
        <v>20</v>
      </c>
      <c r="D2216" t="s">
        <v>276</v>
      </c>
      <c r="E2216" t="s">
        <v>16</v>
      </c>
      <c r="F2216">
        <v>6</v>
      </c>
      <c r="G2216" t="s">
        <v>13</v>
      </c>
      <c r="H2216" s="1">
        <v>45972.035416666666</v>
      </c>
      <c r="I2216" s="5">
        <f>INT(TB[[#This Row],[时间戳]])</f>
        <v>45972</v>
      </c>
      <c r="J2216" s="2">
        <f>HOUR(TB[[#This Row],[时间戳]])</f>
        <v>0</v>
      </c>
      <c r="K2216">
        <v>3785</v>
      </c>
      <c r="L2216">
        <v>5</v>
      </c>
      <c r="M2216">
        <f>TB[[#This Row],[售价]]*TB[[#This Row],[销量]]</f>
        <v>18925</v>
      </c>
      <c r="N2216" t="str">
        <f>IF(TB[[#This Row],[售价]]&lt;1000,"低价商品",IF(TB[[#This Row],[售价]]&lt;5000,"中价商品",IF(TB[[#This Row],[售价]]&lt;10000,"高价商品","超高价商品")))</f>
        <v>中价商品</v>
      </c>
    </row>
    <row r="2217" spans="1:14" x14ac:dyDescent="0.2">
      <c r="A2217">
        <v>146</v>
      </c>
      <c r="B2217">
        <v>183</v>
      </c>
      <c r="C2217" t="s">
        <v>32</v>
      </c>
      <c r="D2217" t="s">
        <v>327</v>
      </c>
      <c r="E2217" t="s">
        <v>25</v>
      </c>
      <c r="F2217">
        <v>7</v>
      </c>
      <c r="G2217" t="s">
        <v>13</v>
      </c>
      <c r="H2217" s="1">
        <v>45972.042361111111</v>
      </c>
      <c r="I2217" s="5">
        <f>INT(TB[[#This Row],[时间戳]])</f>
        <v>45972</v>
      </c>
      <c r="J2217" s="2">
        <f>HOUR(TB[[#This Row],[时间戳]])</f>
        <v>1</v>
      </c>
      <c r="K2217">
        <v>2721</v>
      </c>
      <c r="L2217">
        <v>5</v>
      </c>
      <c r="M2217">
        <f>TB[[#This Row],[售价]]*TB[[#This Row],[销量]]</f>
        <v>13605</v>
      </c>
      <c r="N2217" t="str">
        <f>IF(TB[[#This Row],[售价]]&lt;1000,"低价商品",IF(TB[[#This Row],[售价]]&lt;5000,"中价商品",IF(TB[[#This Row],[售价]]&lt;10000,"高价商品","超高价商品")))</f>
        <v>中价商品</v>
      </c>
    </row>
    <row r="2218" spans="1:14" x14ac:dyDescent="0.2">
      <c r="A2218">
        <v>759</v>
      </c>
      <c r="B2218">
        <v>221</v>
      </c>
      <c r="C2218" t="s">
        <v>32</v>
      </c>
      <c r="D2218" t="s">
        <v>287</v>
      </c>
      <c r="E2218" t="s">
        <v>19</v>
      </c>
      <c r="F2218">
        <v>3</v>
      </c>
      <c r="G2218" t="s">
        <v>13</v>
      </c>
      <c r="H2218" s="1">
        <v>45972.074999999997</v>
      </c>
      <c r="I2218" s="5">
        <f>INT(TB[[#This Row],[时间戳]])</f>
        <v>45972</v>
      </c>
      <c r="J2218" s="2">
        <f>HOUR(TB[[#This Row],[时间戳]])</f>
        <v>1</v>
      </c>
      <c r="K2218">
        <v>5393</v>
      </c>
      <c r="L2218">
        <v>5</v>
      </c>
      <c r="M2218">
        <f>TB[[#This Row],[售价]]*TB[[#This Row],[销量]]</f>
        <v>26965</v>
      </c>
      <c r="N2218" t="str">
        <f>IF(TB[[#This Row],[售价]]&lt;1000,"低价商品",IF(TB[[#This Row],[售价]]&lt;5000,"中价商品",IF(TB[[#This Row],[售价]]&lt;10000,"高价商品","超高价商品")))</f>
        <v>高价商品</v>
      </c>
    </row>
    <row r="2219" spans="1:14" x14ac:dyDescent="0.2">
      <c r="A2219">
        <v>387</v>
      </c>
      <c r="B2219">
        <v>56</v>
      </c>
      <c r="C2219" t="s">
        <v>14</v>
      </c>
      <c r="D2219" t="s">
        <v>356</v>
      </c>
      <c r="E2219" t="s">
        <v>16</v>
      </c>
      <c r="F2219">
        <v>6</v>
      </c>
      <c r="G2219" t="s">
        <v>13</v>
      </c>
      <c r="H2219" s="1">
        <v>45972.080555555556</v>
      </c>
      <c r="I2219" s="5">
        <f>INT(TB[[#This Row],[时间戳]])</f>
        <v>45972</v>
      </c>
      <c r="J2219" s="2">
        <f>HOUR(TB[[#This Row],[时间戳]])</f>
        <v>1</v>
      </c>
      <c r="K2219">
        <v>7793</v>
      </c>
      <c r="L2219">
        <v>5</v>
      </c>
      <c r="M2219">
        <f>TB[[#This Row],[售价]]*TB[[#This Row],[销量]]</f>
        <v>38965</v>
      </c>
      <c r="N2219" t="str">
        <f>IF(TB[[#This Row],[售价]]&lt;1000,"低价商品",IF(TB[[#This Row],[售价]]&lt;5000,"中价商品",IF(TB[[#This Row],[售价]]&lt;10000,"高价商品","超高价商品")))</f>
        <v>高价商品</v>
      </c>
    </row>
    <row r="2220" spans="1:14" x14ac:dyDescent="0.2">
      <c r="A2220">
        <v>540</v>
      </c>
      <c r="B2220">
        <v>90</v>
      </c>
      <c r="C2220" t="s">
        <v>20</v>
      </c>
      <c r="D2220" t="s">
        <v>259</v>
      </c>
      <c r="E2220" t="s">
        <v>16</v>
      </c>
      <c r="F2220">
        <v>6</v>
      </c>
      <c r="G2220" t="s">
        <v>13</v>
      </c>
      <c r="H2220" s="1">
        <v>45972.118750000001</v>
      </c>
      <c r="I2220" s="5">
        <f>INT(TB[[#This Row],[时间戳]])</f>
        <v>45972</v>
      </c>
      <c r="J2220" s="2">
        <f>HOUR(TB[[#This Row],[时间戳]])</f>
        <v>2</v>
      </c>
      <c r="K2220">
        <v>6607</v>
      </c>
      <c r="L2220">
        <v>5</v>
      </c>
      <c r="M2220">
        <f>TB[[#This Row],[售价]]*TB[[#This Row],[销量]]</f>
        <v>33035</v>
      </c>
      <c r="N2220" t="str">
        <f>IF(TB[[#This Row],[售价]]&lt;1000,"低价商品",IF(TB[[#This Row],[售价]]&lt;5000,"中价商品",IF(TB[[#This Row],[售价]]&lt;10000,"高价商品","超高价商品")))</f>
        <v>高价商品</v>
      </c>
    </row>
    <row r="2221" spans="1:14" x14ac:dyDescent="0.2">
      <c r="A2221">
        <v>401</v>
      </c>
      <c r="B2221">
        <v>214</v>
      </c>
      <c r="C2221" t="s">
        <v>34</v>
      </c>
      <c r="D2221" t="s">
        <v>365</v>
      </c>
      <c r="E2221" t="s">
        <v>16</v>
      </c>
      <c r="F2221">
        <v>6</v>
      </c>
      <c r="G2221" t="s">
        <v>13</v>
      </c>
      <c r="H2221" s="1">
        <v>45972.120833333334</v>
      </c>
      <c r="I2221" s="5">
        <f>INT(TB[[#This Row],[时间戳]])</f>
        <v>45972</v>
      </c>
      <c r="J2221" s="2">
        <f>HOUR(TB[[#This Row],[时间戳]])</f>
        <v>2</v>
      </c>
      <c r="K2221">
        <v>6493</v>
      </c>
      <c r="L2221">
        <v>5</v>
      </c>
      <c r="M2221">
        <f>TB[[#This Row],[售价]]*TB[[#This Row],[销量]]</f>
        <v>32465</v>
      </c>
      <c r="N2221" t="str">
        <f>IF(TB[[#This Row],[售价]]&lt;1000,"低价商品",IF(TB[[#This Row],[售价]]&lt;5000,"中价商品",IF(TB[[#This Row],[售价]]&lt;10000,"高价商品","超高价商品")))</f>
        <v>高价商品</v>
      </c>
    </row>
    <row r="2222" spans="1:14" x14ac:dyDescent="0.2">
      <c r="A2222">
        <v>594</v>
      </c>
      <c r="B2222">
        <v>267</v>
      </c>
      <c r="C2222" t="s">
        <v>32</v>
      </c>
      <c r="D2222" t="s">
        <v>33</v>
      </c>
      <c r="E2222" t="s">
        <v>16</v>
      </c>
      <c r="F2222">
        <v>6</v>
      </c>
      <c r="G2222" t="s">
        <v>13</v>
      </c>
      <c r="H2222" s="1">
        <v>45972.143750000003</v>
      </c>
      <c r="I2222" s="5">
        <f>INT(TB[[#This Row],[时间戳]])</f>
        <v>45972</v>
      </c>
      <c r="J2222" s="2">
        <f>HOUR(TB[[#This Row],[时间戳]])</f>
        <v>3</v>
      </c>
      <c r="K2222">
        <v>6484</v>
      </c>
      <c r="L2222">
        <v>5</v>
      </c>
      <c r="M2222">
        <f>TB[[#This Row],[售价]]*TB[[#This Row],[销量]]</f>
        <v>32420</v>
      </c>
      <c r="N2222" t="str">
        <f>IF(TB[[#This Row],[售价]]&lt;1000,"低价商品",IF(TB[[#This Row],[售价]]&lt;5000,"中价商品",IF(TB[[#This Row],[售价]]&lt;10000,"高价商品","超高价商品")))</f>
        <v>高价商品</v>
      </c>
    </row>
    <row r="2223" spans="1:14" x14ac:dyDescent="0.2">
      <c r="A2223">
        <v>444</v>
      </c>
      <c r="B2223">
        <v>233</v>
      </c>
      <c r="C2223" t="s">
        <v>46</v>
      </c>
      <c r="D2223" t="s">
        <v>401</v>
      </c>
      <c r="E2223" t="s">
        <v>39</v>
      </c>
      <c r="F2223">
        <v>5</v>
      </c>
      <c r="G2223" t="s">
        <v>13</v>
      </c>
      <c r="H2223" s="1">
        <v>45972.157638888886</v>
      </c>
      <c r="I2223" s="5">
        <f>INT(TB[[#This Row],[时间戳]])</f>
        <v>45972</v>
      </c>
      <c r="J2223" s="2">
        <f>HOUR(TB[[#This Row],[时间戳]])</f>
        <v>3</v>
      </c>
      <c r="K2223">
        <v>3649</v>
      </c>
      <c r="L2223">
        <v>5</v>
      </c>
      <c r="M2223">
        <f>TB[[#This Row],[售价]]*TB[[#This Row],[销量]]</f>
        <v>18245</v>
      </c>
      <c r="N2223" t="str">
        <f>IF(TB[[#This Row],[售价]]&lt;1000,"低价商品",IF(TB[[#This Row],[售价]]&lt;5000,"中价商品",IF(TB[[#This Row],[售价]]&lt;10000,"高价商品","超高价商品")))</f>
        <v>中价商品</v>
      </c>
    </row>
    <row r="2224" spans="1:14" x14ac:dyDescent="0.2">
      <c r="A2224">
        <v>9</v>
      </c>
      <c r="B2224">
        <v>256</v>
      </c>
      <c r="C2224" t="s">
        <v>36</v>
      </c>
      <c r="D2224" t="s">
        <v>187</v>
      </c>
      <c r="E2224" t="s">
        <v>12</v>
      </c>
      <c r="F2224">
        <v>2</v>
      </c>
      <c r="G2224" t="s">
        <v>13</v>
      </c>
      <c r="H2224" s="1">
        <v>45972.159722222219</v>
      </c>
      <c r="I2224" s="5">
        <f>INT(TB[[#This Row],[时间戳]])</f>
        <v>45972</v>
      </c>
      <c r="J2224" s="2">
        <f>HOUR(TB[[#This Row],[时间戳]])</f>
        <v>3</v>
      </c>
      <c r="K2224">
        <v>13261</v>
      </c>
      <c r="L2224">
        <v>5</v>
      </c>
      <c r="M2224">
        <f>TB[[#This Row],[售价]]*TB[[#This Row],[销量]]</f>
        <v>66305</v>
      </c>
      <c r="N2224" t="str">
        <f>IF(TB[[#This Row],[售价]]&lt;1000,"低价商品",IF(TB[[#This Row],[售价]]&lt;5000,"中价商品",IF(TB[[#This Row],[售价]]&lt;10000,"高价商品","超高价商品")))</f>
        <v>超高价商品</v>
      </c>
    </row>
    <row r="2225" spans="1:14" x14ac:dyDescent="0.2">
      <c r="A2225">
        <v>297</v>
      </c>
      <c r="B2225">
        <v>286</v>
      </c>
      <c r="C2225" t="s">
        <v>26</v>
      </c>
      <c r="D2225" t="s">
        <v>160</v>
      </c>
      <c r="E2225" t="s">
        <v>19</v>
      </c>
      <c r="F2225">
        <v>3</v>
      </c>
      <c r="G2225" t="s">
        <v>13</v>
      </c>
      <c r="H2225" s="1">
        <v>45972.164583333331</v>
      </c>
      <c r="I2225" s="5">
        <f>INT(TB[[#This Row],[时间戳]])</f>
        <v>45972</v>
      </c>
      <c r="J2225" s="2">
        <f>HOUR(TB[[#This Row],[时间戳]])</f>
        <v>3</v>
      </c>
      <c r="K2225">
        <v>2743</v>
      </c>
      <c r="L2225">
        <v>5</v>
      </c>
      <c r="M2225">
        <f>TB[[#This Row],[售价]]*TB[[#This Row],[销量]]</f>
        <v>13715</v>
      </c>
      <c r="N2225" t="str">
        <f>IF(TB[[#This Row],[售价]]&lt;1000,"低价商品",IF(TB[[#This Row],[售价]]&lt;5000,"中价商品",IF(TB[[#This Row],[售价]]&lt;10000,"高价商品","超高价商品")))</f>
        <v>中价商品</v>
      </c>
    </row>
    <row r="2226" spans="1:14" x14ac:dyDescent="0.2">
      <c r="A2226">
        <v>296</v>
      </c>
      <c r="B2226">
        <v>34</v>
      </c>
      <c r="C2226" t="s">
        <v>36</v>
      </c>
      <c r="D2226" t="s">
        <v>83</v>
      </c>
      <c r="E2226" t="s">
        <v>22</v>
      </c>
      <c r="F2226">
        <v>1</v>
      </c>
      <c r="G2226" t="s">
        <v>42</v>
      </c>
      <c r="H2226" s="1">
        <v>45972.164583333331</v>
      </c>
      <c r="I2226" s="5">
        <f>INT(TB[[#This Row],[时间戳]])</f>
        <v>45972</v>
      </c>
      <c r="J2226" s="2">
        <f>HOUR(TB[[#This Row],[时间戳]])</f>
        <v>3</v>
      </c>
      <c r="K2226">
        <v>6325</v>
      </c>
      <c r="L2226">
        <v>0</v>
      </c>
      <c r="M2226">
        <f>TB[[#This Row],[售价]]*TB[[#This Row],[销量]]</f>
        <v>0</v>
      </c>
      <c r="N2226" t="str">
        <f>IF(TB[[#This Row],[售价]]&lt;1000,"低价商品",IF(TB[[#This Row],[售价]]&lt;5000,"中价商品",IF(TB[[#This Row],[售价]]&lt;10000,"高价商品","超高价商品")))</f>
        <v>高价商品</v>
      </c>
    </row>
    <row r="2227" spans="1:14" x14ac:dyDescent="0.2">
      <c r="A2227">
        <v>223</v>
      </c>
      <c r="B2227">
        <v>145</v>
      </c>
      <c r="C2227" t="s">
        <v>44</v>
      </c>
      <c r="D2227" t="s">
        <v>243</v>
      </c>
      <c r="E2227" t="s">
        <v>31</v>
      </c>
      <c r="F2227">
        <v>4</v>
      </c>
      <c r="G2227" t="s">
        <v>13</v>
      </c>
      <c r="H2227" s="1">
        <v>45972.176388888889</v>
      </c>
      <c r="I2227" s="5">
        <f>INT(TB[[#This Row],[时间戳]])</f>
        <v>45972</v>
      </c>
      <c r="J2227" s="2">
        <f>HOUR(TB[[#This Row],[时间戳]])</f>
        <v>4</v>
      </c>
      <c r="K2227">
        <v>460</v>
      </c>
      <c r="L2227">
        <v>5</v>
      </c>
      <c r="M2227">
        <f>TB[[#This Row],[售价]]*TB[[#This Row],[销量]]</f>
        <v>2300</v>
      </c>
      <c r="N2227" t="str">
        <f>IF(TB[[#This Row],[售价]]&lt;1000,"低价商品",IF(TB[[#This Row],[售价]]&lt;5000,"中价商品",IF(TB[[#This Row],[售价]]&lt;10000,"高价商品","超高价商品")))</f>
        <v>低价商品</v>
      </c>
    </row>
    <row r="2228" spans="1:14" x14ac:dyDescent="0.2">
      <c r="A2228">
        <v>6</v>
      </c>
      <c r="B2228">
        <v>221</v>
      </c>
      <c r="C2228" t="s">
        <v>44</v>
      </c>
      <c r="D2228" t="s">
        <v>100</v>
      </c>
      <c r="E2228" t="s">
        <v>19</v>
      </c>
      <c r="F2228">
        <v>3</v>
      </c>
      <c r="G2228" t="s">
        <v>42</v>
      </c>
      <c r="H2228" s="1">
        <v>45972.183333333334</v>
      </c>
      <c r="I2228" s="5">
        <f>INT(TB[[#This Row],[时间戳]])</f>
        <v>45972</v>
      </c>
      <c r="J2228" s="2">
        <f>HOUR(TB[[#This Row],[时间戳]])</f>
        <v>4</v>
      </c>
      <c r="K2228">
        <v>2338</v>
      </c>
      <c r="L2228">
        <v>0</v>
      </c>
      <c r="M2228">
        <f>TB[[#This Row],[售价]]*TB[[#This Row],[销量]]</f>
        <v>0</v>
      </c>
      <c r="N2228" t="str">
        <f>IF(TB[[#This Row],[售价]]&lt;1000,"低价商品",IF(TB[[#This Row],[售价]]&lt;5000,"中价商品",IF(TB[[#This Row],[售价]]&lt;10000,"高价商品","超高价商品")))</f>
        <v>中价商品</v>
      </c>
    </row>
    <row r="2229" spans="1:14" x14ac:dyDescent="0.2">
      <c r="A2229">
        <v>258</v>
      </c>
      <c r="B2229">
        <v>71</v>
      </c>
      <c r="C2229" t="s">
        <v>10</v>
      </c>
      <c r="D2229" t="s">
        <v>201</v>
      </c>
      <c r="E2229" t="s">
        <v>31</v>
      </c>
      <c r="F2229">
        <v>4</v>
      </c>
      <c r="G2229" t="s">
        <v>13</v>
      </c>
      <c r="H2229" s="1">
        <v>45972.2</v>
      </c>
      <c r="I2229" s="5">
        <f>INT(TB[[#This Row],[时间戳]])</f>
        <v>45972</v>
      </c>
      <c r="J2229" s="2">
        <f>HOUR(TB[[#This Row],[时间戳]])</f>
        <v>4</v>
      </c>
      <c r="K2229">
        <v>909</v>
      </c>
      <c r="L2229">
        <v>4</v>
      </c>
      <c r="M2229">
        <f>TB[[#This Row],[售价]]*TB[[#This Row],[销量]]</f>
        <v>3636</v>
      </c>
      <c r="N2229" t="str">
        <f>IF(TB[[#This Row],[售价]]&lt;1000,"低价商品",IF(TB[[#This Row],[售价]]&lt;5000,"中价商品",IF(TB[[#This Row],[售价]]&lt;10000,"高价商品","超高价商品")))</f>
        <v>低价商品</v>
      </c>
    </row>
    <row r="2230" spans="1:14" x14ac:dyDescent="0.2">
      <c r="A2230">
        <v>788</v>
      </c>
      <c r="B2230">
        <v>288</v>
      </c>
      <c r="C2230" t="s">
        <v>20</v>
      </c>
      <c r="D2230" t="s">
        <v>334</v>
      </c>
      <c r="E2230" t="s">
        <v>22</v>
      </c>
      <c r="F2230">
        <v>1</v>
      </c>
      <c r="G2230" t="s">
        <v>13</v>
      </c>
      <c r="H2230" s="1">
        <v>45972.206250000003</v>
      </c>
      <c r="I2230" s="5">
        <f>INT(TB[[#This Row],[时间戳]])</f>
        <v>45972</v>
      </c>
      <c r="J2230" s="2">
        <f>HOUR(TB[[#This Row],[时间戳]])</f>
        <v>4</v>
      </c>
      <c r="K2230">
        <v>3813</v>
      </c>
      <c r="L2230">
        <v>4</v>
      </c>
      <c r="M2230">
        <f>TB[[#This Row],[售价]]*TB[[#This Row],[销量]]</f>
        <v>15252</v>
      </c>
      <c r="N2230" t="str">
        <f>IF(TB[[#This Row],[售价]]&lt;1000,"低价商品",IF(TB[[#This Row],[售价]]&lt;5000,"中价商品",IF(TB[[#This Row],[售价]]&lt;10000,"高价商品","超高价商品")))</f>
        <v>中价商品</v>
      </c>
    </row>
    <row r="2231" spans="1:14" x14ac:dyDescent="0.2">
      <c r="A2231">
        <v>751</v>
      </c>
      <c r="B2231">
        <v>101</v>
      </c>
      <c r="C2231" t="s">
        <v>36</v>
      </c>
      <c r="D2231" t="s">
        <v>366</v>
      </c>
      <c r="E2231" t="s">
        <v>22</v>
      </c>
      <c r="F2231">
        <v>1</v>
      </c>
      <c r="G2231" t="s">
        <v>42</v>
      </c>
      <c r="H2231" s="1">
        <v>45972.213194444441</v>
      </c>
      <c r="I2231" s="5">
        <f>INT(TB[[#This Row],[时间戳]])</f>
        <v>45972</v>
      </c>
      <c r="J2231" s="2">
        <f>HOUR(TB[[#This Row],[时间戳]])</f>
        <v>5</v>
      </c>
      <c r="K2231">
        <v>2114</v>
      </c>
      <c r="L2231">
        <v>0</v>
      </c>
      <c r="M2231">
        <f>TB[[#This Row],[售价]]*TB[[#This Row],[销量]]</f>
        <v>0</v>
      </c>
      <c r="N2231" t="str">
        <f>IF(TB[[#This Row],[售价]]&lt;1000,"低价商品",IF(TB[[#This Row],[售价]]&lt;5000,"中价商品",IF(TB[[#This Row],[售价]]&lt;10000,"高价商品","超高价商品")))</f>
        <v>中价商品</v>
      </c>
    </row>
    <row r="2232" spans="1:14" x14ac:dyDescent="0.2">
      <c r="A2232">
        <v>225</v>
      </c>
      <c r="B2232">
        <v>17</v>
      </c>
      <c r="C2232" t="s">
        <v>14</v>
      </c>
      <c r="D2232" t="s">
        <v>145</v>
      </c>
      <c r="E2232" t="s">
        <v>22</v>
      </c>
      <c r="F2232">
        <v>1</v>
      </c>
      <c r="G2232" t="s">
        <v>13</v>
      </c>
      <c r="H2232" s="1">
        <v>45972.238194444442</v>
      </c>
      <c r="I2232" s="5">
        <f>INT(TB[[#This Row],[时间戳]])</f>
        <v>45972</v>
      </c>
      <c r="J2232" s="2">
        <f>HOUR(TB[[#This Row],[时间戳]])</f>
        <v>5</v>
      </c>
      <c r="K2232">
        <v>4638</v>
      </c>
      <c r="L2232">
        <v>4</v>
      </c>
      <c r="M2232">
        <f>TB[[#This Row],[售价]]*TB[[#This Row],[销量]]</f>
        <v>18552</v>
      </c>
      <c r="N2232" t="str">
        <f>IF(TB[[#This Row],[售价]]&lt;1000,"低价商品",IF(TB[[#This Row],[售价]]&lt;5000,"中价商品",IF(TB[[#This Row],[售价]]&lt;10000,"高价商品","超高价商品")))</f>
        <v>中价商品</v>
      </c>
    </row>
    <row r="2233" spans="1:14" x14ac:dyDescent="0.2">
      <c r="A2233">
        <v>653</v>
      </c>
      <c r="B2233">
        <v>198</v>
      </c>
      <c r="C2233" t="s">
        <v>32</v>
      </c>
      <c r="D2233" t="s">
        <v>193</v>
      </c>
      <c r="E2233" t="s">
        <v>22</v>
      </c>
      <c r="F2233">
        <v>1</v>
      </c>
      <c r="G2233" t="s">
        <v>13</v>
      </c>
      <c r="H2233" s="1">
        <v>45972.238888888889</v>
      </c>
      <c r="I2233" s="5">
        <f>INT(TB[[#This Row],[时间戳]])</f>
        <v>45972</v>
      </c>
      <c r="J2233" s="2">
        <f>HOUR(TB[[#This Row],[时间戳]])</f>
        <v>5</v>
      </c>
      <c r="K2233">
        <v>4857</v>
      </c>
      <c r="L2233">
        <v>5</v>
      </c>
      <c r="M2233">
        <f>TB[[#This Row],[售价]]*TB[[#This Row],[销量]]</f>
        <v>24285</v>
      </c>
      <c r="N2233" t="str">
        <f>IF(TB[[#This Row],[售价]]&lt;1000,"低价商品",IF(TB[[#This Row],[售价]]&lt;5000,"中价商品",IF(TB[[#This Row],[售价]]&lt;10000,"高价商品","超高价商品")))</f>
        <v>中价商品</v>
      </c>
    </row>
    <row r="2234" spans="1:14" x14ac:dyDescent="0.2">
      <c r="A2234">
        <v>310</v>
      </c>
      <c r="B2234">
        <v>160</v>
      </c>
      <c r="C2234" t="s">
        <v>14</v>
      </c>
      <c r="D2234" t="s">
        <v>228</v>
      </c>
      <c r="E2234" t="s">
        <v>31</v>
      </c>
      <c r="F2234">
        <v>4</v>
      </c>
      <c r="G2234" t="s">
        <v>13</v>
      </c>
      <c r="H2234" s="1">
        <v>45972.281944444447</v>
      </c>
      <c r="I2234" s="5">
        <f>INT(TB[[#This Row],[时间戳]])</f>
        <v>45972</v>
      </c>
      <c r="J2234" s="2">
        <f>HOUR(TB[[#This Row],[时间戳]])</f>
        <v>6</v>
      </c>
      <c r="K2234">
        <v>919</v>
      </c>
      <c r="L2234">
        <v>4</v>
      </c>
      <c r="M2234">
        <f>TB[[#This Row],[售价]]*TB[[#This Row],[销量]]</f>
        <v>3676</v>
      </c>
      <c r="N2234" t="str">
        <f>IF(TB[[#This Row],[售价]]&lt;1000,"低价商品",IF(TB[[#This Row],[售价]]&lt;5000,"中价商品",IF(TB[[#This Row],[售价]]&lt;10000,"高价商品","超高价商品")))</f>
        <v>低价商品</v>
      </c>
    </row>
    <row r="2235" spans="1:14" x14ac:dyDescent="0.2">
      <c r="A2235">
        <v>331</v>
      </c>
      <c r="B2235">
        <v>297</v>
      </c>
      <c r="C2235" t="s">
        <v>17</v>
      </c>
      <c r="D2235" t="s">
        <v>361</v>
      </c>
      <c r="E2235" t="s">
        <v>25</v>
      </c>
      <c r="F2235">
        <v>7</v>
      </c>
      <c r="G2235" t="s">
        <v>13</v>
      </c>
      <c r="H2235" s="1">
        <v>45972.316666666666</v>
      </c>
      <c r="I2235" s="5">
        <f>INT(TB[[#This Row],[时间戳]])</f>
        <v>45972</v>
      </c>
      <c r="J2235" s="2">
        <f>HOUR(TB[[#This Row],[时间戳]])</f>
        <v>7</v>
      </c>
      <c r="K2235">
        <v>3007</v>
      </c>
      <c r="L2235">
        <v>4</v>
      </c>
      <c r="M2235">
        <f>TB[[#This Row],[售价]]*TB[[#This Row],[销量]]</f>
        <v>12028</v>
      </c>
      <c r="N2235" t="str">
        <f>IF(TB[[#This Row],[售价]]&lt;1000,"低价商品",IF(TB[[#This Row],[售价]]&lt;5000,"中价商品",IF(TB[[#This Row],[售价]]&lt;10000,"高价商品","超高价商品")))</f>
        <v>中价商品</v>
      </c>
    </row>
    <row r="2236" spans="1:14" x14ac:dyDescent="0.2">
      <c r="A2236">
        <v>139</v>
      </c>
      <c r="B2236">
        <v>214</v>
      </c>
      <c r="C2236" t="s">
        <v>32</v>
      </c>
      <c r="D2236" t="s">
        <v>115</v>
      </c>
      <c r="E2236" t="s">
        <v>19</v>
      </c>
      <c r="F2236">
        <v>3</v>
      </c>
      <c r="G2236" t="s">
        <v>13</v>
      </c>
      <c r="H2236" s="1">
        <v>45972.337500000001</v>
      </c>
      <c r="I2236" s="5">
        <f>INT(TB[[#This Row],[时间戳]])</f>
        <v>45972</v>
      </c>
      <c r="J2236" s="2">
        <f>HOUR(TB[[#This Row],[时间戳]])</f>
        <v>8</v>
      </c>
      <c r="K2236">
        <v>2789</v>
      </c>
      <c r="L2236">
        <v>4</v>
      </c>
      <c r="M2236">
        <f>TB[[#This Row],[售价]]*TB[[#This Row],[销量]]</f>
        <v>11156</v>
      </c>
      <c r="N2236" t="str">
        <f>IF(TB[[#This Row],[售价]]&lt;1000,"低价商品",IF(TB[[#This Row],[售价]]&lt;5000,"中价商品",IF(TB[[#This Row],[售价]]&lt;10000,"高价商品","超高价商品")))</f>
        <v>中价商品</v>
      </c>
    </row>
    <row r="2237" spans="1:14" x14ac:dyDescent="0.2">
      <c r="A2237">
        <v>88</v>
      </c>
      <c r="B2237">
        <v>153</v>
      </c>
      <c r="C2237" t="s">
        <v>36</v>
      </c>
      <c r="D2237" t="s">
        <v>112</v>
      </c>
      <c r="E2237" t="s">
        <v>22</v>
      </c>
      <c r="F2237">
        <v>1</v>
      </c>
      <c r="G2237" t="s">
        <v>13</v>
      </c>
      <c r="H2237" s="1">
        <v>45972.354166666664</v>
      </c>
      <c r="I2237" s="5">
        <f>INT(TB[[#This Row],[时间戳]])</f>
        <v>45972</v>
      </c>
      <c r="J2237" s="2">
        <f>HOUR(TB[[#This Row],[时间戳]])</f>
        <v>8</v>
      </c>
      <c r="K2237">
        <v>5442</v>
      </c>
      <c r="L2237">
        <v>5</v>
      </c>
      <c r="M2237">
        <f>TB[[#This Row],[售价]]*TB[[#This Row],[销量]]</f>
        <v>27210</v>
      </c>
      <c r="N2237" t="str">
        <f>IF(TB[[#This Row],[售价]]&lt;1000,"低价商品",IF(TB[[#This Row],[售价]]&lt;5000,"中价商品",IF(TB[[#This Row],[售价]]&lt;10000,"高价商品","超高价商品")))</f>
        <v>高价商品</v>
      </c>
    </row>
    <row r="2238" spans="1:14" x14ac:dyDescent="0.2">
      <c r="A2238">
        <v>448</v>
      </c>
      <c r="B2238">
        <v>50</v>
      </c>
      <c r="C2238" t="s">
        <v>26</v>
      </c>
      <c r="D2238" t="s">
        <v>299</v>
      </c>
      <c r="E2238" t="s">
        <v>19</v>
      </c>
      <c r="F2238">
        <v>3</v>
      </c>
      <c r="G2238" t="s">
        <v>13</v>
      </c>
      <c r="H2238" s="1">
        <v>45972.395138888889</v>
      </c>
      <c r="I2238" s="5">
        <f>INT(TB[[#This Row],[时间戳]])</f>
        <v>45972</v>
      </c>
      <c r="J2238" s="2">
        <f>HOUR(TB[[#This Row],[时间戳]])</f>
        <v>9</v>
      </c>
      <c r="K2238">
        <v>5356</v>
      </c>
      <c r="L2238">
        <v>5</v>
      </c>
      <c r="M2238">
        <f>TB[[#This Row],[售价]]*TB[[#This Row],[销量]]</f>
        <v>26780</v>
      </c>
      <c r="N2238" t="str">
        <f>IF(TB[[#This Row],[售价]]&lt;1000,"低价商品",IF(TB[[#This Row],[售价]]&lt;5000,"中价商品",IF(TB[[#This Row],[售价]]&lt;10000,"高价商品","超高价商品")))</f>
        <v>高价商品</v>
      </c>
    </row>
    <row r="2239" spans="1:14" x14ac:dyDescent="0.2">
      <c r="A2239">
        <v>321</v>
      </c>
      <c r="B2239">
        <v>258</v>
      </c>
      <c r="C2239" t="s">
        <v>44</v>
      </c>
      <c r="D2239" t="s">
        <v>372</v>
      </c>
      <c r="E2239" t="s">
        <v>22</v>
      </c>
      <c r="F2239">
        <v>1</v>
      </c>
      <c r="G2239" t="s">
        <v>13</v>
      </c>
      <c r="H2239" s="1">
        <v>45972.398611111108</v>
      </c>
      <c r="I2239" s="5">
        <f>INT(TB[[#This Row],[时间戳]])</f>
        <v>45972</v>
      </c>
      <c r="J2239" s="2">
        <f>HOUR(TB[[#This Row],[时间戳]])</f>
        <v>9</v>
      </c>
      <c r="K2239">
        <v>2204</v>
      </c>
      <c r="L2239">
        <v>5</v>
      </c>
      <c r="M2239">
        <f>TB[[#This Row],[售价]]*TB[[#This Row],[销量]]</f>
        <v>11020</v>
      </c>
      <c r="N2239" t="str">
        <f>IF(TB[[#This Row],[售价]]&lt;1000,"低价商品",IF(TB[[#This Row],[售价]]&lt;5000,"中价商品",IF(TB[[#This Row],[售价]]&lt;10000,"高价商品","超高价商品")))</f>
        <v>中价商品</v>
      </c>
    </row>
    <row r="2240" spans="1:14" x14ac:dyDescent="0.2">
      <c r="A2240">
        <v>478</v>
      </c>
      <c r="B2240">
        <v>216</v>
      </c>
      <c r="C2240" t="s">
        <v>34</v>
      </c>
      <c r="D2240" t="s">
        <v>311</v>
      </c>
      <c r="E2240" t="s">
        <v>19</v>
      </c>
      <c r="F2240">
        <v>3</v>
      </c>
      <c r="G2240" t="s">
        <v>13</v>
      </c>
      <c r="H2240" s="1">
        <v>45972.4</v>
      </c>
      <c r="I2240" s="5">
        <f>INT(TB[[#This Row],[时间戳]])</f>
        <v>45972</v>
      </c>
      <c r="J2240" s="2">
        <f>HOUR(TB[[#This Row],[时间戳]])</f>
        <v>9</v>
      </c>
      <c r="K2240">
        <v>4468</v>
      </c>
      <c r="L2240">
        <v>4</v>
      </c>
      <c r="M2240">
        <f>TB[[#This Row],[售价]]*TB[[#This Row],[销量]]</f>
        <v>17872</v>
      </c>
      <c r="N2240" t="str">
        <f>IF(TB[[#This Row],[售价]]&lt;1000,"低价商品",IF(TB[[#This Row],[售价]]&lt;5000,"中价商品",IF(TB[[#This Row],[售价]]&lt;10000,"高价商品","超高价商品")))</f>
        <v>中价商品</v>
      </c>
    </row>
    <row r="2241" spans="1:14" x14ac:dyDescent="0.2">
      <c r="A2241">
        <v>28</v>
      </c>
      <c r="B2241">
        <v>216</v>
      </c>
      <c r="C2241" t="s">
        <v>10</v>
      </c>
      <c r="D2241" t="s">
        <v>278</v>
      </c>
      <c r="E2241" t="s">
        <v>19</v>
      </c>
      <c r="F2241">
        <v>3</v>
      </c>
      <c r="G2241" t="s">
        <v>13</v>
      </c>
      <c r="H2241" s="1">
        <v>45972.404861111114</v>
      </c>
      <c r="I2241" s="5">
        <f>INT(TB[[#This Row],[时间戳]])</f>
        <v>45972</v>
      </c>
      <c r="J2241" s="2">
        <f>HOUR(TB[[#This Row],[时间戳]])</f>
        <v>9</v>
      </c>
      <c r="K2241">
        <v>4896</v>
      </c>
      <c r="L2241">
        <v>5</v>
      </c>
      <c r="M2241">
        <f>TB[[#This Row],[售价]]*TB[[#This Row],[销量]]</f>
        <v>24480</v>
      </c>
      <c r="N2241" t="str">
        <f>IF(TB[[#This Row],[售价]]&lt;1000,"低价商品",IF(TB[[#This Row],[售价]]&lt;5000,"中价商品",IF(TB[[#This Row],[售价]]&lt;10000,"高价商品","超高价商品")))</f>
        <v>中价商品</v>
      </c>
    </row>
    <row r="2242" spans="1:14" x14ac:dyDescent="0.2">
      <c r="A2242">
        <v>310</v>
      </c>
      <c r="B2242">
        <v>125</v>
      </c>
      <c r="C2242" t="s">
        <v>26</v>
      </c>
      <c r="D2242" t="s">
        <v>160</v>
      </c>
      <c r="E2242" t="s">
        <v>19</v>
      </c>
      <c r="F2242">
        <v>3</v>
      </c>
      <c r="G2242" t="s">
        <v>13</v>
      </c>
      <c r="H2242" s="1">
        <v>45972.434027777781</v>
      </c>
      <c r="I2242" s="5">
        <f>INT(TB[[#This Row],[时间戳]])</f>
        <v>45972</v>
      </c>
      <c r="J2242" s="2">
        <f>HOUR(TB[[#This Row],[时间戳]])</f>
        <v>10</v>
      </c>
      <c r="K2242">
        <v>2410</v>
      </c>
      <c r="L2242">
        <v>4</v>
      </c>
      <c r="M2242">
        <f>TB[[#This Row],[售价]]*TB[[#This Row],[销量]]</f>
        <v>9640</v>
      </c>
      <c r="N2242" t="str">
        <f>IF(TB[[#This Row],[售价]]&lt;1000,"低价商品",IF(TB[[#This Row],[售价]]&lt;5000,"中价商品",IF(TB[[#This Row],[售价]]&lt;10000,"高价商品","超高价商品")))</f>
        <v>中价商品</v>
      </c>
    </row>
    <row r="2243" spans="1:14" x14ac:dyDescent="0.2">
      <c r="A2243">
        <v>636</v>
      </c>
      <c r="B2243">
        <v>279</v>
      </c>
      <c r="C2243" t="s">
        <v>34</v>
      </c>
      <c r="D2243" t="s">
        <v>413</v>
      </c>
      <c r="E2243" t="s">
        <v>16</v>
      </c>
      <c r="F2243">
        <v>6</v>
      </c>
      <c r="G2243" t="s">
        <v>42</v>
      </c>
      <c r="H2243" s="1">
        <v>45972.43472222222</v>
      </c>
      <c r="I2243" s="5">
        <f>INT(TB[[#This Row],[时间戳]])</f>
        <v>45972</v>
      </c>
      <c r="J2243" s="2">
        <f>HOUR(TB[[#This Row],[时间戳]])</f>
        <v>10</v>
      </c>
      <c r="K2243">
        <v>11570</v>
      </c>
      <c r="L2243">
        <v>0</v>
      </c>
      <c r="M2243">
        <f>TB[[#This Row],[售价]]*TB[[#This Row],[销量]]</f>
        <v>0</v>
      </c>
      <c r="N2243" t="str">
        <f>IF(TB[[#This Row],[售价]]&lt;1000,"低价商品",IF(TB[[#This Row],[售价]]&lt;5000,"中价商品",IF(TB[[#This Row],[售价]]&lt;10000,"高价商品","超高价商品")))</f>
        <v>超高价商品</v>
      </c>
    </row>
    <row r="2244" spans="1:14" x14ac:dyDescent="0.2">
      <c r="A2244">
        <v>129</v>
      </c>
      <c r="B2244">
        <v>207</v>
      </c>
      <c r="C2244" t="s">
        <v>10</v>
      </c>
      <c r="D2244" t="s">
        <v>183</v>
      </c>
      <c r="E2244" t="s">
        <v>22</v>
      </c>
      <c r="F2244">
        <v>1</v>
      </c>
      <c r="G2244" t="s">
        <v>13</v>
      </c>
      <c r="H2244" s="1">
        <v>45972.450694444444</v>
      </c>
      <c r="I2244" s="5">
        <f>INT(TB[[#This Row],[时间戳]])</f>
        <v>45972</v>
      </c>
      <c r="J2244" s="2">
        <f>HOUR(TB[[#This Row],[时间戳]])</f>
        <v>10</v>
      </c>
      <c r="K2244">
        <v>5583</v>
      </c>
      <c r="L2244">
        <v>4</v>
      </c>
      <c r="M2244">
        <f>TB[[#This Row],[售价]]*TB[[#This Row],[销量]]</f>
        <v>22332</v>
      </c>
      <c r="N2244" t="str">
        <f>IF(TB[[#This Row],[售价]]&lt;1000,"低价商品",IF(TB[[#This Row],[售价]]&lt;5000,"中价商品",IF(TB[[#This Row],[售价]]&lt;10000,"高价商品","超高价商品")))</f>
        <v>高价商品</v>
      </c>
    </row>
    <row r="2245" spans="1:14" x14ac:dyDescent="0.2">
      <c r="A2245">
        <v>472</v>
      </c>
      <c r="B2245">
        <v>28</v>
      </c>
      <c r="C2245" t="s">
        <v>44</v>
      </c>
      <c r="D2245" t="s">
        <v>161</v>
      </c>
      <c r="E2245" t="s">
        <v>31</v>
      </c>
      <c r="F2245">
        <v>4</v>
      </c>
      <c r="G2245" t="s">
        <v>13</v>
      </c>
      <c r="H2245" s="1">
        <v>45972.55</v>
      </c>
      <c r="I2245" s="5">
        <f>INT(TB[[#This Row],[时间戳]])</f>
        <v>45972</v>
      </c>
      <c r="J2245" s="2">
        <f>HOUR(TB[[#This Row],[时间戳]])</f>
        <v>13</v>
      </c>
      <c r="K2245">
        <v>1225</v>
      </c>
      <c r="L2245">
        <v>5</v>
      </c>
      <c r="M2245">
        <f>TB[[#This Row],[售价]]*TB[[#This Row],[销量]]</f>
        <v>6125</v>
      </c>
      <c r="N2245" t="str">
        <f>IF(TB[[#This Row],[售价]]&lt;1000,"低价商品",IF(TB[[#This Row],[售价]]&lt;5000,"中价商品",IF(TB[[#This Row],[售价]]&lt;10000,"高价商品","超高价商品")))</f>
        <v>中价商品</v>
      </c>
    </row>
    <row r="2246" spans="1:14" x14ac:dyDescent="0.2">
      <c r="A2246">
        <v>342</v>
      </c>
      <c r="B2246">
        <v>50</v>
      </c>
      <c r="C2246" t="s">
        <v>36</v>
      </c>
      <c r="D2246" t="s">
        <v>37</v>
      </c>
      <c r="E2246" t="s">
        <v>31</v>
      </c>
      <c r="F2246">
        <v>4</v>
      </c>
      <c r="G2246" t="s">
        <v>13</v>
      </c>
      <c r="H2246" s="1">
        <v>45972.586111111108</v>
      </c>
      <c r="I2246" s="5">
        <f>INT(TB[[#This Row],[时间戳]])</f>
        <v>45972</v>
      </c>
      <c r="J2246" s="2">
        <f>HOUR(TB[[#This Row],[时间戳]])</f>
        <v>14</v>
      </c>
      <c r="K2246">
        <v>51</v>
      </c>
      <c r="L2246">
        <v>5</v>
      </c>
      <c r="M2246">
        <f>TB[[#This Row],[售价]]*TB[[#This Row],[销量]]</f>
        <v>255</v>
      </c>
      <c r="N2246" t="str">
        <f>IF(TB[[#This Row],[售价]]&lt;1000,"低价商品",IF(TB[[#This Row],[售价]]&lt;5000,"中价商品",IF(TB[[#This Row],[售价]]&lt;10000,"高价商品","超高价商品")))</f>
        <v>低价商品</v>
      </c>
    </row>
    <row r="2247" spans="1:14" x14ac:dyDescent="0.2">
      <c r="A2247">
        <v>63</v>
      </c>
      <c r="B2247">
        <v>63</v>
      </c>
      <c r="C2247" t="s">
        <v>44</v>
      </c>
      <c r="D2247" t="s">
        <v>158</v>
      </c>
      <c r="E2247" t="s">
        <v>31</v>
      </c>
      <c r="F2247">
        <v>4</v>
      </c>
      <c r="G2247" t="s">
        <v>13</v>
      </c>
      <c r="H2247" s="1">
        <v>45972.599305555559</v>
      </c>
      <c r="I2247" s="5">
        <f>INT(TB[[#This Row],[时间戳]])</f>
        <v>45972</v>
      </c>
      <c r="J2247" s="2">
        <f>HOUR(TB[[#This Row],[时间戳]])</f>
        <v>14</v>
      </c>
      <c r="K2247">
        <v>734</v>
      </c>
      <c r="L2247">
        <v>5</v>
      </c>
      <c r="M2247">
        <f>TB[[#This Row],[售价]]*TB[[#This Row],[销量]]</f>
        <v>3670</v>
      </c>
      <c r="N2247" t="str">
        <f>IF(TB[[#This Row],[售价]]&lt;1000,"低价商品",IF(TB[[#This Row],[售价]]&lt;5000,"中价商品",IF(TB[[#This Row],[售价]]&lt;10000,"高价商品","超高价商品")))</f>
        <v>低价商品</v>
      </c>
    </row>
    <row r="2248" spans="1:14" x14ac:dyDescent="0.2">
      <c r="A2248">
        <v>719</v>
      </c>
      <c r="B2248">
        <v>105</v>
      </c>
      <c r="C2248" t="s">
        <v>20</v>
      </c>
      <c r="D2248" t="s">
        <v>319</v>
      </c>
      <c r="E2248" t="s">
        <v>31</v>
      </c>
      <c r="F2248">
        <v>4</v>
      </c>
      <c r="G2248" t="s">
        <v>13</v>
      </c>
      <c r="H2248" s="1">
        <v>45972.600694444445</v>
      </c>
      <c r="I2248" s="5">
        <f>INT(TB[[#This Row],[时间戳]])</f>
        <v>45972</v>
      </c>
      <c r="J2248" s="2">
        <f>HOUR(TB[[#This Row],[时间戳]])</f>
        <v>14</v>
      </c>
      <c r="K2248">
        <v>1392</v>
      </c>
      <c r="L2248">
        <v>5</v>
      </c>
      <c r="M2248">
        <f>TB[[#This Row],[售价]]*TB[[#This Row],[销量]]</f>
        <v>6960</v>
      </c>
      <c r="N2248" t="str">
        <f>IF(TB[[#This Row],[售价]]&lt;1000,"低价商品",IF(TB[[#This Row],[售价]]&lt;5000,"中价商品",IF(TB[[#This Row],[售价]]&lt;10000,"高价商品","超高价商品")))</f>
        <v>中价商品</v>
      </c>
    </row>
    <row r="2249" spans="1:14" x14ac:dyDescent="0.2">
      <c r="A2249">
        <v>508</v>
      </c>
      <c r="B2249">
        <v>70</v>
      </c>
      <c r="C2249" t="s">
        <v>20</v>
      </c>
      <c r="D2249" t="s">
        <v>334</v>
      </c>
      <c r="E2249" t="s">
        <v>22</v>
      </c>
      <c r="F2249">
        <v>1</v>
      </c>
      <c r="G2249" t="s">
        <v>13</v>
      </c>
      <c r="H2249" s="1">
        <v>45972.633333333331</v>
      </c>
      <c r="I2249" s="5">
        <f>INT(TB[[#This Row],[时间戳]])</f>
        <v>45972</v>
      </c>
      <c r="J2249" s="2">
        <f>HOUR(TB[[#This Row],[时间戳]])</f>
        <v>15</v>
      </c>
      <c r="K2249">
        <v>5102</v>
      </c>
      <c r="L2249">
        <v>5</v>
      </c>
      <c r="M2249">
        <f>TB[[#This Row],[售价]]*TB[[#This Row],[销量]]</f>
        <v>25510</v>
      </c>
      <c r="N2249" t="str">
        <f>IF(TB[[#This Row],[售价]]&lt;1000,"低价商品",IF(TB[[#This Row],[售价]]&lt;5000,"中价商品",IF(TB[[#This Row],[售价]]&lt;10000,"高价商品","超高价商品")))</f>
        <v>高价商品</v>
      </c>
    </row>
    <row r="2250" spans="1:14" x14ac:dyDescent="0.2">
      <c r="A2250">
        <v>644</v>
      </c>
      <c r="B2250">
        <v>160</v>
      </c>
      <c r="C2250" t="s">
        <v>26</v>
      </c>
      <c r="D2250" t="s">
        <v>227</v>
      </c>
      <c r="E2250" t="s">
        <v>12</v>
      </c>
      <c r="F2250">
        <v>2</v>
      </c>
      <c r="G2250" t="s">
        <v>13</v>
      </c>
      <c r="H2250" s="1">
        <v>45972.65</v>
      </c>
      <c r="I2250" s="5">
        <f>INT(TB[[#This Row],[时间戳]])</f>
        <v>45972</v>
      </c>
      <c r="J2250" s="2">
        <f>HOUR(TB[[#This Row],[时间戳]])</f>
        <v>15</v>
      </c>
      <c r="K2250">
        <v>7807</v>
      </c>
      <c r="L2250">
        <v>4</v>
      </c>
      <c r="M2250">
        <f>TB[[#This Row],[售价]]*TB[[#This Row],[销量]]</f>
        <v>31228</v>
      </c>
      <c r="N2250" t="str">
        <f>IF(TB[[#This Row],[售价]]&lt;1000,"低价商品",IF(TB[[#This Row],[售价]]&lt;5000,"中价商品",IF(TB[[#This Row],[售价]]&lt;10000,"高价商品","超高价商品")))</f>
        <v>高价商品</v>
      </c>
    </row>
    <row r="2251" spans="1:14" x14ac:dyDescent="0.2">
      <c r="A2251">
        <v>705</v>
      </c>
      <c r="B2251">
        <v>103</v>
      </c>
      <c r="C2251" t="s">
        <v>44</v>
      </c>
      <c r="D2251" t="s">
        <v>239</v>
      </c>
      <c r="E2251" t="s">
        <v>39</v>
      </c>
      <c r="F2251">
        <v>5</v>
      </c>
      <c r="G2251" t="s">
        <v>13</v>
      </c>
      <c r="H2251" s="1">
        <v>45972.652083333334</v>
      </c>
      <c r="I2251" s="5">
        <f>INT(TB[[#This Row],[时间戳]])</f>
        <v>45972</v>
      </c>
      <c r="J2251" s="2">
        <f>HOUR(TB[[#This Row],[时间戳]])</f>
        <v>15</v>
      </c>
      <c r="K2251">
        <v>3548</v>
      </c>
      <c r="L2251">
        <v>5</v>
      </c>
      <c r="M2251">
        <f>TB[[#This Row],[售价]]*TB[[#This Row],[销量]]</f>
        <v>17740</v>
      </c>
      <c r="N2251" t="str">
        <f>IF(TB[[#This Row],[售价]]&lt;1000,"低价商品",IF(TB[[#This Row],[售价]]&lt;5000,"中价商品",IF(TB[[#This Row],[售价]]&lt;10000,"高价商品","超高价商品")))</f>
        <v>中价商品</v>
      </c>
    </row>
    <row r="2252" spans="1:14" x14ac:dyDescent="0.2">
      <c r="A2252">
        <v>619</v>
      </c>
      <c r="B2252">
        <v>62</v>
      </c>
      <c r="C2252" t="s">
        <v>10</v>
      </c>
      <c r="D2252" t="s">
        <v>382</v>
      </c>
      <c r="E2252" t="s">
        <v>16</v>
      </c>
      <c r="F2252">
        <v>6</v>
      </c>
      <c r="G2252" t="s">
        <v>13</v>
      </c>
      <c r="H2252" s="1">
        <v>45972.654166666667</v>
      </c>
      <c r="I2252" s="5">
        <f>INT(TB[[#This Row],[时间戳]])</f>
        <v>45972</v>
      </c>
      <c r="J2252" s="2">
        <f>HOUR(TB[[#This Row],[时间戳]])</f>
        <v>15</v>
      </c>
      <c r="K2252">
        <v>3713</v>
      </c>
      <c r="L2252">
        <v>4</v>
      </c>
      <c r="M2252">
        <f>TB[[#This Row],[售价]]*TB[[#This Row],[销量]]</f>
        <v>14852</v>
      </c>
      <c r="N2252" t="str">
        <f>IF(TB[[#This Row],[售价]]&lt;1000,"低价商品",IF(TB[[#This Row],[售价]]&lt;5000,"中价商品",IF(TB[[#This Row],[售价]]&lt;10000,"高价商品","超高价商品")))</f>
        <v>中价商品</v>
      </c>
    </row>
    <row r="2253" spans="1:14" x14ac:dyDescent="0.2">
      <c r="A2253">
        <v>107</v>
      </c>
      <c r="B2253">
        <v>243</v>
      </c>
      <c r="C2253" t="s">
        <v>32</v>
      </c>
      <c r="D2253" t="s">
        <v>314</v>
      </c>
      <c r="E2253" t="s">
        <v>16</v>
      </c>
      <c r="F2253">
        <v>6</v>
      </c>
      <c r="G2253" t="s">
        <v>42</v>
      </c>
      <c r="H2253" s="1">
        <v>45972.698611111111</v>
      </c>
      <c r="I2253" s="5">
        <f>INT(TB[[#This Row],[时间戳]])</f>
        <v>45972</v>
      </c>
      <c r="J2253" s="2">
        <f>HOUR(TB[[#This Row],[时间戳]])</f>
        <v>16</v>
      </c>
      <c r="K2253">
        <v>10365</v>
      </c>
      <c r="L2253">
        <v>0</v>
      </c>
      <c r="M2253">
        <f>TB[[#This Row],[售价]]*TB[[#This Row],[销量]]</f>
        <v>0</v>
      </c>
      <c r="N2253" t="str">
        <f>IF(TB[[#This Row],[售价]]&lt;1000,"低价商品",IF(TB[[#This Row],[售价]]&lt;5000,"中价商品",IF(TB[[#This Row],[售价]]&lt;10000,"高价商品","超高价商品")))</f>
        <v>超高价商品</v>
      </c>
    </row>
    <row r="2254" spans="1:14" x14ac:dyDescent="0.2">
      <c r="A2254">
        <v>57</v>
      </c>
      <c r="B2254">
        <v>63</v>
      </c>
      <c r="C2254" t="s">
        <v>44</v>
      </c>
      <c r="D2254" t="s">
        <v>66</v>
      </c>
      <c r="E2254" t="s">
        <v>22</v>
      </c>
      <c r="F2254">
        <v>1</v>
      </c>
      <c r="G2254" t="s">
        <v>13</v>
      </c>
      <c r="H2254" s="1">
        <v>45972.71875</v>
      </c>
      <c r="I2254" s="5">
        <f>INT(TB[[#This Row],[时间戳]])</f>
        <v>45972</v>
      </c>
      <c r="J2254" s="2">
        <f>HOUR(TB[[#This Row],[时间戳]])</f>
        <v>17</v>
      </c>
      <c r="K2254">
        <v>1259</v>
      </c>
      <c r="L2254">
        <v>4</v>
      </c>
      <c r="M2254">
        <f>TB[[#This Row],[售价]]*TB[[#This Row],[销量]]</f>
        <v>5036</v>
      </c>
      <c r="N2254" t="str">
        <f>IF(TB[[#This Row],[售价]]&lt;1000,"低价商品",IF(TB[[#This Row],[售价]]&lt;5000,"中价商品",IF(TB[[#This Row],[售价]]&lt;10000,"高价商品","超高价商品")))</f>
        <v>中价商品</v>
      </c>
    </row>
    <row r="2255" spans="1:14" x14ac:dyDescent="0.2">
      <c r="A2255">
        <v>241</v>
      </c>
      <c r="B2255">
        <v>280</v>
      </c>
      <c r="C2255" t="s">
        <v>44</v>
      </c>
      <c r="D2255" t="s">
        <v>70</v>
      </c>
      <c r="E2255" t="s">
        <v>12</v>
      </c>
      <c r="F2255">
        <v>2</v>
      </c>
      <c r="G2255" t="s">
        <v>42</v>
      </c>
      <c r="H2255" s="1">
        <v>45972.751388888886</v>
      </c>
      <c r="I2255" s="5">
        <f>INT(TB[[#This Row],[时间戳]])</f>
        <v>45972</v>
      </c>
      <c r="J2255" s="2">
        <f>HOUR(TB[[#This Row],[时间戳]])</f>
        <v>18</v>
      </c>
      <c r="K2255">
        <v>8920</v>
      </c>
      <c r="L2255">
        <v>0</v>
      </c>
      <c r="M2255">
        <f>TB[[#This Row],[售价]]*TB[[#This Row],[销量]]</f>
        <v>0</v>
      </c>
      <c r="N2255" t="str">
        <f>IF(TB[[#This Row],[售价]]&lt;1000,"低价商品",IF(TB[[#This Row],[售价]]&lt;5000,"中价商品",IF(TB[[#This Row],[售价]]&lt;10000,"高价商品","超高价商品")))</f>
        <v>高价商品</v>
      </c>
    </row>
    <row r="2256" spans="1:14" x14ac:dyDescent="0.2">
      <c r="A2256">
        <v>127</v>
      </c>
      <c r="B2256">
        <v>222</v>
      </c>
      <c r="C2256" t="s">
        <v>44</v>
      </c>
      <c r="D2256" t="s">
        <v>161</v>
      </c>
      <c r="E2256" t="s">
        <v>31</v>
      </c>
      <c r="F2256">
        <v>4</v>
      </c>
      <c r="G2256" t="s">
        <v>13</v>
      </c>
      <c r="H2256" s="1">
        <v>45972.790277777778</v>
      </c>
      <c r="I2256" s="5">
        <f>INT(TB[[#This Row],[时间戳]])</f>
        <v>45972</v>
      </c>
      <c r="J2256" s="2">
        <f>HOUR(TB[[#This Row],[时间戳]])</f>
        <v>18</v>
      </c>
      <c r="K2256">
        <v>696</v>
      </c>
      <c r="L2256">
        <v>5</v>
      </c>
      <c r="M2256">
        <f>TB[[#This Row],[售价]]*TB[[#This Row],[销量]]</f>
        <v>3480</v>
      </c>
      <c r="N2256" t="str">
        <f>IF(TB[[#This Row],[售价]]&lt;1000,"低价商品",IF(TB[[#This Row],[售价]]&lt;5000,"中价商品",IF(TB[[#This Row],[售价]]&lt;10000,"高价商品","超高价商品")))</f>
        <v>低价商品</v>
      </c>
    </row>
    <row r="2257" spans="1:14" x14ac:dyDescent="0.2">
      <c r="A2257">
        <v>146</v>
      </c>
      <c r="B2257">
        <v>124</v>
      </c>
      <c r="C2257" t="s">
        <v>10</v>
      </c>
      <c r="D2257" t="s">
        <v>24</v>
      </c>
      <c r="E2257" t="s">
        <v>25</v>
      </c>
      <c r="F2257">
        <v>7</v>
      </c>
      <c r="G2257" t="s">
        <v>13</v>
      </c>
      <c r="H2257" s="1">
        <v>45972.805555555555</v>
      </c>
      <c r="I2257" s="5">
        <f>INT(TB[[#This Row],[时间戳]])</f>
        <v>45972</v>
      </c>
      <c r="J2257" s="2">
        <f>HOUR(TB[[#This Row],[时间戳]])</f>
        <v>19</v>
      </c>
      <c r="K2257">
        <v>2823</v>
      </c>
      <c r="L2257">
        <v>5</v>
      </c>
      <c r="M2257">
        <f>TB[[#This Row],[售价]]*TB[[#This Row],[销量]]</f>
        <v>14115</v>
      </c>
      <c r="N2257" t="str">
        <f>IF(TB[[#This Row],[售价]]&lt;1000,"低价商品",IF(TB[[#This Row],[售价]]&lt;5000,"中价商品",IF(TB[[#This Row],[售价]]&lt;10000,"高价商品","超高价商品")))</f>
        <v>中价商品</v>
      </c>
    </row>
    <row r="2258" spans="1:14" x14ac:dyDescent="0.2">
      <c r="A2258">
        <v>488</v>
      </c>
      <c r="B2258">
        <v>246</v>
      </c>
      <c r="C2258" t="s">
        <v>20</v>
      </c>
      <c r="D2258" t="s">
        <v>64</v>
      </c>
      <c r="E2258" t="s">
        <v>31</v>
      </c>
      <c r="F2258">
        <v>4</v>
      </c>
      <c r="G2258" t="s">
        <v>42</v>
      </c>
      <c r="H2258" s="1">
        <v>45972.819444444445</v>
      </c>
      <c r="I2258" s="5">
        <f>INT(TB[[#This Row],[时间戳]])</f>
        <v>45972</v>
      </c>
      <c r="J2258" s="2">
        <f>HOUR(TB[[#This Row],[时间戳]])</f>
        <v>19</v>
      </c>
      <c r="K2258">
        <v>460</v>
      </c>
      <c r="L2258">
        <v>0</v>
      </c>
      <c r="M2258">
        <f>TB[[#This Row],[售价]]*TB[[#This Row],[销量]]</f>
        <v>0</v>
      </c>
      <c r="N2258" t="str">
        <f>IF(TB[[#This Row],[售价]]&lt;1000,"低价商品",IF(TB[[#This Row],[售价]]&lt;5000,"中价商品",IF(TB[[#This Row],[售价]]&lt;10000,"高价商品","超高价商品")))</f>
        <v>低价商品</v>
      </c>
    </row>
    <row r="2259" spans="1:14" x14ac:dyDescent="0.2">
      <c r="A2259">
        <v>505</v>
      </c>
      <c r="B2259">
        <v>189</v>
      </c>
      <c r="C2259" t="s">
        <v>14</v>
      </c>
      <c r="D2259" t="s">
        <v>178</v>
      </c>
      <c r="E2259" t="s">
        <v>12</v>
      </c>
      <c r="F2259">
        <v>2</v>
      </c>
      <c r="G2259" t="s">
        <v>13</v>
      </c>
      <c r="H2259" s="1">
        <v>45972.829861111109</v>
      </c>
      <c r="I2259" s="5">
        <f>INT(TB[[#This Row],[时间戳]])</f>
        <v>45972</v>
      </c>
      <c r="J2259" s="2">
        <f>HOUR(TB[[#This Row],[时间戳]])</f>
        <v>19</v>
      </c>
      <c r="K2259">
        <v>8699</v>
      </c>
      <c r="L2259">
        <v>5</v>
      </c>
      <c r="M2259">
        <f>TB[[#This Row],[售价]]*TB[[#This Row],[销量]]</f>
        <v>43495</v>
      </c>
      <c r="N2259" t="str">
        <f>IF(TB[[#This Row],[售价]]&lt;1000,"低价商品",IF(TB[[#This Row],[售价]]&lt;5000,"中价商品",IF(TB[[#This Row],[售价]]&lt;10000,"高价商品","超高价商品")))</f>
        <v>高价商品</v>
      </c>
    </row>
    <row r="2260" spans="1:14" x14ac:dyDescent="0.2">
      <c r="A2260">
        <v>715</v>
      </c>
      <c r="B2260">
        <v>55</v>
      </c>
      <c r="C2260" t="s">
        <v>17</v>
      </c>
      <c r="D2260" t="s">
        <v>126</v>
      </c>
      <c r="E2260" t="s">
        <v>39</v>
      </c>
      <c r="F2260">
        <v>5</v>
      </c>
      <c r="G2260" t="s">
        <v>13</v>
      </c>
      <c r="H2260" s="1">
        <v>45972.836805555555</v>
      </c>
      <c r="I2260" s="5">
        <f>INT(TB[[#This Row],[时间戳]])</f>
        <v>45972</v>
      </c>
      <c r="J2260" s="2">
        <f>HOUR(TB[[#This Row],[时间戳]])</f>
        <v>20</v>
      </c>
      <c r="K2260">
        <v>3474</v>
      </c>
      <c r="L2260">
        <v>5</v>
      </c>
      <c r="M2260">
        <f>TB[[#This Row],[售价]]*TB[[#This Row],[销量]]</f>
        <v>17370</v>
      </c>
      <c r="N2260" t="str">
        <f>IF(TB[[#This Row],[售价]]&lt;1000,"低价商品",IF(TB[[#This Row],[售价]]&lt;5000,"中价商品",IF(TB[[#This Row],[售价]]&lt;10000,"高价商品","超高价商品")))</f>
        <v>中价商品</v>
      </c>
    </row>
    <row r="2261" spans="1:14" x14ac:dyDescent="0.2">
      <c r="A2261">
        <v>29</v>
      </c>
      <c r="B2261">
        <v>146</v>
      </c>
      <c r="C2261" t="s">
        <v>17</v>
      </c>
      <c r="D2261" t="s">
        <v>285</v>
      </c>
      <c r="E2261" t="s">
        <v>25</v>
      </c>
      <c r="F2261">
        <v>7</v>
      </c>
      <c r="G2261" t="s">
        <v>13</v>
      </c>
      <c r="H2261" s="1">
        <v>45972.847222222219</v>
      </c>
      <c r="I2261" s="5">
        <f>INT(TB[[#This Row],[时间戳]])</f>
        <v>45972</v>
      </c>
      <c r="J2261" s="2">
        <f>HOUR(TB[[#This Row],[时间戳]])</f>
        <v>20</v>
      </c>
      <c r="K2261">
        <v>5313</v>
      </c>
      <c r="L2261">
        <v>4</v>
      </c>
      <c r="M2261">
        <f>TB[[#This Row],[售价]]*TB[[#This Row],[销量]]</f>
        <v>21252</v>
      </c>
      <c r="N2261" t="str">
        <f>IF(TB[[#This Row],[售价]]&lt;1000,"低价商品",IF(TB[[#This Row],[售价]]&lt;5000,"中价商品",IF(TB[[#This Row],[售价]]&lt;10000,"高价商品","超高价商品")))</f>
        <v>高价商品</v>
      </c>
    </row>
    <row r="2262" spans="1:14" x14ac:dyDescent="0.2">
      <c r="A2262">
        <v>12</v>
      </c>
      <c r="B2262">
        <v>298</v>
      </c>
      <c r="C2262" t="s">
        <v>46</v>
      </c>
      <c r="D2262" t="s">
        <v>47</v>
      </c>
      <c r="E2262" t="s">
        <v>22</v>
      </c>
      <c r="F2262">
        <v>1</v>
      </c>
      <c r="G2262" t="s">
        <v>42</v>
      </c>
      <c r="H2262" s="1">
        <v>45972.874305555553</v>
      </c>
      <c r="I2262" s="5">
        <f>INT(TB[[#This Row],[时间戳]])</f>
        <v>45972</v>
      </c>
      <c r="J2262" s="2">
        <f>HOUR(TB[[#This Row],[时间戳]])</f>
        <v>20</v>
      </c>
      <c r="K2262">
        <v>4605</v>
      </c>
      <c r="L2262">
        <v>0</v>
      </c>
      <c r="M2262">
        <f>TB[[#This Row],[售价]]*TB[[#This Row],[销量]]</f>
        <v>0</v>
      </c>
      <c r="N2262" t="str">
        <f>IF(TB[[#This Row],[售价]]&lt;1000,"低价商品",IF(TB[[#This Row],[售价]]&lt;5000,"中价商品",IF(TB[[#This Row],[售价]]&lt;10000,"高价商品","超高价商品")))</f>
        <v>中价商品</v>
      </c>
    </row>
    <row r="2263" spans="1:14" x14ac:dyDescent="0.2">
      <c r="A2263">
        <v>44</v>
      </c>
      <c r="B2263">
        <v>182</v>
      </c>
      <c r="C2263" t="s">
        <v>46</v>
      </c>
      <c r="D2263" t="s">
        <v>246</v>
      </c>
      <c r="E2263" t="s">
        <v>39</v>
      </c>
      <c r="F2263">
        <v>5</v>
      </c>
      <c r="G2263" t="s">
        <v>13</v>
      </c>
      <c r="H2263" s="1">
        <v>45972.89166666667</v>
      </c>
      <c r="I2263" s="5">
        <f>INT(TB[[#This Row],[时间戳]])</f>
        <v>45972</v>
      </c>
      <c r="J2263" s="2">
        <f>HOUR(TB[[#This Row],[时间戳]])</f>
        <v>21</v>
      </c>
      <c r="K2263">
        <v>1857</v>
      </c>
      <c r="L2263">
        <v>5</v>
      </c>
      <c r="M2263">
        <f>TB[[#This Row],[售价]]*TB[[#This Row],[销量]]</f>
        <v>9285</v>
      </c>
      <c r="N2263" t="str">
        <f>IF(TB[[#This Row],[售价]]&lt;1000,"低价商品",IF(TB[[#This Row],[售价]]&lt;5000,"中价商品",IF(TB[[#This Row],[售价]]&lt;10000,"高价商品","超高价商品")))</f>
        <v>中价商品</v>
      </c>
    </row>
    <row r="2264" spans="1:14" x14ac:dyDescent="0.2">
      <c r="A2264">
        <v>10</v>
      </c>
      <c r="B2264">
        <v>82</v>
      </c>
      <c r="C2264" t="s">
        <v>44</v>
      </c>
      <c r="D2264" t="s">
        <v>132</v>
      </c>
      <c r="E2264" t="s">
        <v>22</v>
      </c>
      <c r="F2264">
        <v>1</v>
      </c>
      <c r="G2264" t="s">
        <v>13</v>
      </c>
      <c r="H2264" s="1">
        <v>45972.932638888888</v>
      </c>
      <c r="I2264" s="5">
        <f>INT(TB[[#This Row],[时间戳]])</f>
        <v>45972</v>
      </c>
      <c r="J2264" s="2">
        <f>HOUR(TB[[#This Row],[时间戳]])</f>
        <v>22</v>
      </c>
      <c r="K2264">
        <v>2180</v>
      </c>
      <c r="L2264">
        <v>4</v>
      </c>
      <c r="M2264">
        <f>TB[[#This Row],[售价]]*TB[[#This Row],[销量]]</f>
        <v>8720</v>
      </c>
      <c r="N2264" t="str">
        <f>IF(TB[[#This Row],[售价]]&lt;1000,"低价商品",IF(TB[[#This Row],[售价]]&lt;5000,"中价商品",IF(TB[[#This Row],[售价]]&lt;10000,"高价商品","超高价商品")))</f>
        <v>中价商品</v>
      </c>
    </row>
    <row r="2265" spans="1:14" x14ac:dyDescent="0.2">
      <c r="A2265">
        <v>358</v>
      </c>
      <c r="B2265">
        <v>269</v>
      </c>
      <c r="C2265" t="s">
        <v>20</v>
      </c>
      <c r="D2265" t="s">
        <v>40</v>
      </c>
      <c r="E2265" t="s">
        <v>25</v>
      </c>
      <c r="F2265">
        <v>7</v>
      </c>
      <c r="G2265" t="s">
        <v>13</v>
      </c>
      <c r="H2265" s="1">
        <v>45972.943055555559</v>
      </c>
      <c r="I2265" s="5">
        <f>INT(TB[[#This Row],[时间戳]])</f>
        <v>45972</v>
      </c>
      <c r="J2265" s="2">
        <f>HOUR(TB[[#This Row],[时间戳]])</f>
        <v>22</v>
      </c>
      <c r="K2265">
        <v>4486</v>
      </c>
      <c r="L2265">
        <v>5</v>
      </c>
      <c r="M2265">
        <f>TB[[#This Row],[售价]]*TB[[#This Row],[销量]]</f>
        <v>22430</v>
      </c>
      <c r="N2265" t="str">
        <f>IF(TB[[#This Row],[售价]]&lt;1000,"低价商品",IF(TB[[#This Row],[售价]]&lt;5000,"中价商品",IF(TB[[#This Row],[售价]]&lt;10000,"高价商品","超高价商品")))</f>
        <v>中价商品</v>
      </c>
    </row>
    <row r="2266" spans="1:14" x14ac:dyDescent="0.2">
      <c r="A2266">
        <v>672</v>
      </c>
      <c r="B2266">
        <v>78</v>
      </c>
      <c r="C2266" t="s">
        <v>14</v>
      </c>
      <c r="D2266" t="s">
        <v>384</v>
      </c>
      <c r="E2266" t="s">
        <v>39</v>
      </c>
      <c r="F2266">
        <v>5</v>
      </c>
      <c r="G2266" t="s">
        <v>13</v>
      </c>
      <c r="H2266" s="1">
        <v>45972.960416666669</v>
      </c>
      <c r="I2266" s="5">
        <f>INT(TB[[#This Row],[时间戳]])</f>
        <v>45972</v>
      </c>
      <c r="J2266" s="2">
        <f>HOUR(TB[[#This Row],[时间戳]])</f>
        <v>23</v>
      </c>
      <c r="K2266">
        <v>2461</v>
      </c>
      <c r="L2266">
        <v>4</v>
      </c>
      <c r="M2266">
        <f>TB[[#This Row],[售价]]*TB[[#This Row],[销量]]</f>
        <v>9844</v>
      </c>
      <c r="N2266" t="str">
        <f>IF(TB[[#This Row],[售价]]&lt;1000,"低价商品",IF(TB[[#This Row],[售价]]&lt;5000,"中价商品",IF(TB[[#This Row],[售价]]&lt;10000,"高价商品","超高价商品")))</f>
        <v>中价商品</v>
      </c>
    </row>
    <row r="2267" spans="1:14" x14ac:dyDescent="0.2">
      <c r="A2267">
        <v>471</v>
      </c>
      <c r="B2267">
        <v>72</v>
      </c>
      <c r="C2267" t="s">
        <v>46</v>
      </c>
      <c r="D2267" t="s">
        <v>260</v>
      </c>
      <c r="E2267" t="s">
        <v>22</v>
      </c>
      <c r="F2267">
        <v>1</v>
      </c>
      <c r="G2267" t="s">
        <v>13</v>
      </c>
      <c r="H2267" s="1">
        <v>45972.978472222225</v>
      </c>
      <c r="I2267" s="5">
        <f>INT(TB[[#This Row],[时间戳]])</f>
        <v>45972</v>
      </c>
      <c r="J2267" s="2">
        <f>HOUR(TB[[#This Row],[时间戳]])</f>
        <v>23</v>
      </c>
      <c r="K2267">
        <v>4017</v>
      </c>
      <c r="L2267">
        <v>5</v>
      </c>
      <c r="M2267">
        <f>TB[[#This Row],[售价]]*TB[[#This Row],[销量]]</f>
        <v>20085</v>
      </c>
      <c r="N2267" t="str">
        <f>IF(TB[[#This Row],[售价]]&lt;1000,"低价商品",IF(TB[[#This Row],[售价]]&lt;5000,"中价商品",IF(TB[[#This Row],[售价]]&lt;10000,"高价商品","超高价商品")))</f>
        <v>中价商品</v>
      </c>
    </row>
    <row r="2268" spans="1:14" x14ac:dyDescent="0.2">
      <c r="A2268">
        <v>70</v>
      </c>
      <c r="B2268">
        <v>248</v>
      </c>
      <c r="C2268" t="s">
        <v>36</v>
      </c>
      <c r="D2268" t="s">
        <v>83</v>
      </c>
      <c r="E2268" t="s">
        <v>22</v>
      </c>
      <c r="F2268">
        <v>1</v>
      </c>
      <c r="G2268" t="s">
        <v>13</v>
      </c>
      <c r="H2268" s="1">
        <v>45972.995138888888</v>
      </c>
      <c r="I2268" s="5">
        <f>INT(TB[[#This Row],[时间戳]])</f>
        <v>45972</v>
      </c>
      <c r="J2268" s="2">
        <f>HOUR(TB[[#This Row],[时间戳]])</f>
        <v>23</v>
      </c>
      <c r="K2268">
        <v>3470</v>
      </c>
      <c r="L2268">
        <v>5</v>
      </c>
      <c r="M2268">
        <f>TB[[#This Row],[售价]]*TB[[#This Row],[销量]]</f>
        <v>17350</v>
      </c>
      <c r="N2268" t="str">
        <f>IF(TB[[#This Row],[售价]]&lt;1000,"低价商品",IF(TB[[#This Row],[售价]]&lt;5000,"中价商品",IF(TB[[#This Row],[售价]]&lt;10000,"高价商品","超高价商品")))</f>
        <v>中价商品</v>
      </c>
    </row>
    <row r="2269" spans="1:14" x14ac:dyDescent="0.2">
      <c r="A2269">
        <v>185</v>
      </c>
      <c r="B2269">
        <v>295</v>
      </c>
      <c r="C2269" t="s">
        <v>46</v>
      </c>
      <c r="D2269" t="s">
        <v>209</v>
      </c>
      <c r="E2269" t="s">
        <v>22</v>
      </c>
      <c r="F2269">
        <v>1</v>
      </c>
      <c r="G2269" t="s">
        <v>42</v>
      </c>
      <c r="H2269" s="1">
        <v>45973.017361111109</v>
      </c>
      <c r="I2269" s="5">
        <f>INT(TB[[#This Row],[时间戳]])</f>
        <v>45973</v>
      </c>
      <c r="J2269" s="2">
        <f>HOUR(TB[[#This Row],[时间戳]])</f>
        <v>0</v>
      </c>
      <c r="K2269">
        <v>4125</v>
      </c>
      <c r="L2269">
        <v>0</v>
      </c>
      <c r="M2269">
        <f>TB[[#This Row],[售价]]*TB[[#This Row],[销量]]</f>
        <v>0</v>
      </c>
      <c r="N2269" t="str">
        <f>IF(TB[[#This Row],[售价]]&lt;1000,"低价商品",IF(TB[[#This Row],[售价]]&lt;5000,"中价商品",IF(TB[[#This Row],[售价]]&lt;10000,"高价商品","超高价商品")))</f>
        <v>中价商品</v>
      </c>
    </row>
    <row r="2270" spans="1:14" x14ac:dyDescent="0.2">
      <c r="A2270">
        <v>133</v>
      </c>
      <c r="B2270">
        <v>166</v>
      </c>
      <c r="C2270" t="s">
        <v>20</v>
      </c>
      <c r="D2270" t="s">
        <v>296</v>
      </c>
      <c r="E2270" t="s">
        <v>25</v>
      </c>
      <c r="F2270">
        <v>7</v>
      </c>
      <c r="G2270" t="s">
        <v>42</v>
      </c>
      <c r="H2270" s="1">
        <v>45973.022222222222</v>
      </c>
      <c r="I2270" s="5">
        <f>INT(TB[[#This Row],[时间戳]])</f>
        <v>45973</v>
      </c>
      <c r="J2270" s="2">
        <f>HOUR(TB[[#This Row],[时间戳]])</f>
        <v>0</v>
      </c>
      <c r="K2270">
        <v>7363</v>
      </c>
      <c r="L2270">
        <v>0</v>
      </c>
      <c r="M2270">
        <f>TB[[#This Row],[售价]]*TB[[#This Row],[销量]]</f>
        <v>0</v>
      </c>
      <c r="N2270" t="str">
        <f>IF(TB[[#This Row],[售价]]&lt;1000,"低价商品",IF(TB[[#This Row],[售价]]&lt;5000,"中价商品",IF(TB[[#This Row],[售价]]&lt;10000,"高价商品","超高价商品")))</f>
        <v>高价商品</v>
      </c>
    </row>
    <row r="2271" spans="1:14" x14ac:dyDescent="0.2">
      <c r="A2271">
        <v>633</v>
      </c>
      <c r="B2271">
        <v>207</v>
      </c>
      <c r="C2271" t="s">
        <v>34</v>
      </c>
      <c r="D2271" t="s">
        <v>203</v>
      </c>
      <c r="E2271" t="s">
        <v>16</v>
      </c>
      <c r="F2271">
        <v>6</v>
      </c>
      <c r="G2271" t="s">
        <v>13</v>
      </c>
      <c r="H2271" s="1">
        <v>45973.035416666666</v>
      </c>
      <c r="I2271" s="5">
        <f>INT(TB[[#This Row],[时间戳]])</f>
        <v>45973</v>
      </c>
      <c r="J2271" s="2">
        <f>HOUR(TB[[#This Row],[时间戳]])</f>
        <v>0</v>
      </c>
      <c r="K2271">
        <v>11744</v>
      </c>
      <c r="L2271">
        <v>3</v>
      </c>
      <c r="M2271">
        <f>TB[[#This Row],[售价]]*TB[[#This Row],[销量]]</f>
        <v>35232</v>
      </c>
      <c r="N2271" t="str">
        <f>IF(TB[[#This Row],[售价]]&lt;1000,"低价商品",IF(TB[[#This Row],[售价]]&lt;5000,"中价商品",IF(TB[[#This Row],[售价]]&lt;10000,"高价商品","超高价商品")))</f>
        <v>超高价商品</v>
      </c>
    </row>
    <row r="2272" spans="1:14" x14ac:dyDescent="0.2">
      <c r="A2272">
        <v>163</v>
      </c>
      <c r="B2272">
        <v>119</v>
      </c>
      <c r="C2272" t="s">
        <v>10</v>
      </c>
      <c r="D2272" t="s">
        <v>11</v>
      </c>
      <c r="E2272" t="s">
        <v>12</v>
      </c>
      <c r="F2272">
        <v>2</v>
      </c>
      <c r="G2272" t="s">
        <v>13</v>
      </c>
      <c r="H2272" s="1">
        <v>45973.037499999999</v>
      </c>
      <c r="I2272" s="5">
        <f>INT(TB[[#This Row],[时间戳]])</f>
        <v>45973</v>
      </c>
      <c r="J2272" s="2">
        <f>HOUR(TB[[#This Row],[时间戳]])</f>
        <v>0</v>
      </c>
      <c r="K2272">
        <v>4930</v>
      </c>
      <c r="L2272">
        <v>5</v>
      </c>
      <c r="M2272">
        <f>TB[[#This Row],[售价]]*TB[[#This Row],[销量]]</f>
        <v>24650</v>
      </c>
      <c r="N2272" t="str">
        <f>IF(TB[[#This Row],[售价]]&lt;1000,"低价商品",IF(TB[[#This Row],[售价]]&lt;5000,"中价商品",IF(TB[[#This Row],[售价]]&lt;10000,"高价商品","超高价商品")))</f>
        <v>中价商品</v>
      </c>
    </row>
    <row r="2273" spans="1:14" x14ac:dyDescent="0.2">
      <c r="A2273">
        <v>696</v>
      </c>
      <c r="B2273">
        <v>244</v>
      </c>
      <c r="C2273" t="s">
        <v>14</v>
      </c>
      <c r="D2273" t="s">
        <v>207</v>
      </c>
      <c r="E2273" t="s">
        <v>25</v>
      </c>
      <c r="F2273">
        <v>7</v>
      </c>
      <c r="G2273" t="s">
        <v>13</v>
      </c>
      <c r="H2273" s="1">
        <v>45973.046527777777</v>
      </c>
      <c r="I2273" s="5">
        <f>INT(TB[[#This Row],[时间戳]])</f>
        <v>45973</v>
      </c>
      <c r="J2273" s="2">
        <f>HOUR(TB[[#This Row],[时间戳]])</f>
        <v>1</v>
      </c>
      <c r="K2273">
        <v>2430</v>
      </c>
      <c r="L2273">
        <v>3</v>
      </c>
      <c r="M2273">
        <f>TB[[#This Row],[售价]]*TB[[#This Row],[销量]]</f>
        <v>7290</v>
      </c>
      <c r="N2273" t="str">
        <f>IF(TB[[#This Row],[售价]]&lt;1000,"低价商品",IF(TB[[#This Row],[售价]]&lt;5000,"中价商品",IF(TB[[#This Row],[售价]]&lt;10000,"高价商品","超高价商品")))</f>
        <v>中价商品</v>
      </c>
    </row>
    <row r="2274" spans="1:14" x14ac:dyDescent="0.2">
      <c r="A2274">
        <v>243</v>
      </c>
      <c r="B2274">
        <v>54</v>
      </c>
      <c r="C2274" t="s">
        <v>32</v>
      </c>
      <c r="D2274" t="s">
        <v>368</v>
      </c>
      <c r="E2274" t="s">
        <v>16</v>
      </c>
      <c r="F2274">
        <v>6</v>
      </c>
      <c r="G2274" t="s">
        <v>13</v>
      </c>
      <c r="H2274" s="1">
        <v>45973.059027777781</v>
      </c>
      <c r="I2274" s="5">
        <f>INT(TB[[#This Row],[时间戳]])</f>
        <v>45973</v>
      </c>
      <c r="J2274" s="2">
        <f>HOUR(TB[[#This Row],[时间戳]])</f>
        <v>1</v>
      </c>
      <c r="K2274">
        <v>7491</v>
      </c>
      <c r="L2274">
        <v>3</v>
      </c>
      <c r="M2274">
        <f>TB[[#This Row],[售价]]*TB[[#This Row],[销量]]</f>
        <v>22473</v>
      </c>
      <c r="N2274" t="str">
        <f>IF(TB[[#This Row],[售价]]&lt;1000,"低价商品",IF(TB[[#This Row],[售价]]&lt;5000,"中价商品",IF(TB[[#This Row],[售价]]&lt;10000,"高价商品","超高价商品")))</f>
        <v>高价商品</v>
      </c>
    </row>
    <row r="2275" spans="1:14" x14ac:dyDescent="0.2">
      <c r="A2275">
        <v>66</v>
      </c>
      <c r="B2275">
        <v>32</v>
      </c>
      <c r="C2275" t="s">
        <v>17</v>
      </c>
      <c r="D2275" t="s">
        <v>137</v>
      </c>
      <c r="E2275" t="s">
        <v>31</v>
      </c>
      <c r="F2275">
        <v>4</v>
      </c>
      <c r="G2275" t="s">
        <v>13</v>
      </c>
      <c r="H2275" s="1">
        <v>45973.078472222223</v>
      </c>
      <c r="I2275" s="5">
        <f>INT(TB[[#This Row],[时间戳]])</f>
        <v>45973</v>
      </c>
      <c r="J2275" s="2">
        <f>HOUR(TB[[#This Row],[时间戳]])</f>
        <v>1</v>
      </c>
      <c r="K2275">
        <v>578</v>
      </c>
      <c r="L2275">
        <v>3</v>
      </c>
      <c r="M2275">
        <f>TB[[#This Row],[售价]]*TB[[#This Row],[销量]]</f>
        <v>1734</v>
      </c>
      <c r="N2275" t="str">
        <f>IF(TB[[#This Row],[售价]]&lt;1000,"低价商品",IF(TB[[#This Row],[售价]]&lt;5000,"中价商品",IF(TB[[#This Row],[售价]]&lt;10000,"高价商品","超高价商品")))</f>
        <v>低价商品</v>
      </c>
    </row>
    <row r="2276" spans="1:14" x14ac:dyDescent="0.2">
      <c r="A2276">
        <v>768</v>
      </c>
      <c r="B2276">
        <v>38</v>
      </c>
      <c r="C2276" t="s">
        <v>14</v>
      </c>
      <c r="D2276" t="s">
        <v>395</v>
      </c>
      <c r="E2276" t="s">
        <v>12</v>
      </c>
      <c r="F2276">
        <v>2</v>
      </c>
      <c r="G2276" t="s">
        <v>42</v>
      </c>
      <c r="H2276" s="1">
        <v>45973.134027777778</v>
      </c>
      <c r="I2276" s="5">
        <f>INT(TB[[#This Row],[时间戳]])</f>
        <v>45973</v>
      </c>
      <c r="J2276" s="2">
        <f>HOUR(TB[[#This Row],[时间戳]])</f>
        <v>3</v>
      </c>
      <c r="K2276">
        <v>13953</v>
      </c>
      <c r="L2276">
        <v>0</v>
      </c>
      <c r="M2276">
        <f>TB[[#This Row],[售价]]*TB[[#This Row],[销量]]</f>
        <v>0</v>
      </c>
      <c r="N2276" t="str">
        <f>IF(TB[[#This Row],[售价]]&lt;1000,"低价商品",IF(TB[[#This Row],[售价]]&lt;5000,"中价商品",IF(TB[[#This Row],[售价]]&lt;10000,"高价商品","超高价商品")))</f>
        <v>超高价商品</v>
      </c>
    </row>
    <row r="2277" spans="1:14" x14ac:dyDescent="0.2">
      <c r="A2277">
        <v>647</v>
      </c>
      <c r="B2277">
        <v>16</v>
      </c>
      <c r="C2277" t="s">
        <v>34</v>
      </c>
      <c r="D2277" t="s">
        <v>125</v>
      </c>
      <c r="E2277" t="s">
        <v>31</v>
      </c>
      <c r="F2277">
        <v>4</v>
      </c>
      <c r="G2277" t="s">
        <v>13</v>
      </c>
      <c r="H2277" s="1">
        <v>45973.150694444441</v>
      </c>
      <c r="I2277" s="5">
        <f>INT(TB[[#This Row],[时间戳]])</f>
        <v>45973</v>
      </c>
      <c r="J2277" s="2">
        <f>HOUR(TB[[#This Row],[时间戳]])</f>
        <v>3</v>
      </c>
      <c r="K2277">
        <v>1144</v>
      </c>
      <c r="L2277">
        <v>3</v>
      </c>
      <c r="M2277">
        <f>TB[[#This Row],[售价]]*TB[[#This Row],[销量]]</f>
        <v>3432</v>
      </c>
      <c r="N2277" t="str">
        <f>IF(TB[[#This Row],[售价]]&lt;1000,"低价商品",IF(TB[[#This Row],[售价]]&lt;5000,"中价商品",IF(TB[[#This Row],[售价]]&lt;10000,"高价商品","超高价商品")))</f>
        <v>中价商品</v>
      </c>
    </row>
    <row r="2278" spans="1:14" x14ac:dyDescent="0.2">
      <c r="A2278">
        <v>461</v>
      </c>
      <c r="B2278">
        <v>194</v>
      </c>
      <c r="C2278" t="s">
        <v>14</v>
      </c>
      <c r="D2278" t="s">
        <v>223</v>
      </c>
      <c r="E2278" t="s">
        <v>22</v>
      </c>
      <c r="F2278">
        <v>1</v>
      </c>
      <c r="G2278" t="s">
        <v>13</v>
      </c>
      <c r="H2278" s="1">
        <v>45973.175694444442</v>
      </c>
      <c r="I2278" s="5">
        <f>INT(TB[[#This Row],[时间戳]])</f>
        <v>45973</v>
      </c>
      <c r="J2278" s="2">
        <f>HOUR(TB[[#This Row],[时间戳]])</f>
        <v>4</v>
      </c>
      <c r="K2278">
        <v>2389</v>
      </c>
      <c r="L2278">
        <v>3</v>
      </c>
      <c r="M2278">
        <f>TB[[#This Row],[售价]]*TB[[#This Row],[销量]]</f>
        <v>7167</v>
      </c>
      <c r="N2278" t="str">
        <f>IF(TB[[#This Row],[售价]]&lt;1000,"低价商品",IF(TB[[#This Row],[售价]]&lt;5000,"中价商品",IF(TB[[#This Row],[售价]]&lt;10000,"高价商品","超高价商品")))</f>
        <v>中价商品</v>
      </c>
    </row>
    <row r="2279" spans="1:14" x14ac:dyDescent="0.2">
      <c r="A2279">
        <v>205</v>
      </c>
      <c r="B2279">
        <v>101</v>
      </c>
      <c r="C2279" t="s">
        <v>46</v>
      </c>
      <c r="D2279" t="s">
        <v>141</v>
      </c>
      <c r="E2279" t="s">
        <v>22</v>
      </c>
      <c r="F2279">
        <v>1</v>
      </c>
      <c r="G2279" t="s">
        <v>13</v>
      </c>
      <c r="H2279" s="1">
        <v>45973.188888888886</v>
      </c>
      <c r="I2279" s="5">
        <f>INT(TB[[#This Row],[时间戳]])</f>
        <v>45973</v>
      </c>
      <c r="J2279" s="2">
        <f>HOUR(TB[[#This Row],[时间戳]])</f>
        <v>4</v>
      </c>
      <c r="K2279">
        <v>2217</v>
      </c>
      <c r="L2279">
        <v>5</v>
      </c>
      <c r="M2279">
        <f>TB[[#This Row],[售价]]*TB[[#This Row],[销量]]</f>
        <v>11085</v>
      </c>
      <c r="N2279" t="str">
        <f>IF(TB[[#This Row],[售价]]&lt;1000,"低价商品",IF(TB[[#This Row],[售价]]&lt;5000,"中价商品",IF(TB[[#This Row],[售价]]&lt;10000,"高价商品","超高价商品")))</f>
        <v>中价商品</v>
      </c>
    </row>
    <row r="2280" spans="1:14" x14ac:dyDescent="0.2">
      <c r="A2280">
        <v>293</v>
      </c>
      <c r="B2280">
        <v>116</v>
      </c>
      <c r="C2280" t="s">
        <v>44</v>
      </c>
      <c r="D2280" t="s">
        <v>242</v>
      </c>
      <c r="E2280" t="s">
        <v>16</v>
      </c>
      <c r="F2280">
        <v>6</v>
      </c>
      <c r="G2280" t="s">
        <v>13</v>
      </c>
      <c r="H2280" s="1">
        <v>45973.206944444442</v>
      </c>
      <c r="I2280" s="5">
        <f>INT(TB[[#This Row],[时间戳]])</f>
        <v>45973</v>
      </c>
      <c r="J2280" s="2">
        <f>HOUR(TB[[#This Row],[时间戳]])</f>
        <v>4</v>
      </c>
      <c r="K2280">
        <v>6187</v>
      </c>
      <c r="L2280">
        <v>5</v>
      </c>
      <c r="M2280">
        <f>TB[[#This Row],[售价]]*TB[[#This Row],[销量]]</f>
        <v>30935</v>
      </c>
      <c r="N2280" t="str">
        <f>IF(TB[[#This Row],[售价]]&lt;1000,"低价商品",IF(TB[[#This Row],[售价]]&lt;5000,"中价商品",IF(TB[[#This Row],[售价]]&lt;10000,"高价商品","超高价商品")))</f>
        <v>高价商品</v>
      </c>
    </row>
    <row r="2281" spans="1:14" x14ac:dyDescent="0.2">
      <c r="A2281">
        <v>542</v>
      </c>
      <c r="B2281">
        <v>99</v>
      </c>
      <c r="C2281" t="s">
        <v>26</v>
      </c>
      <c r="D2281" t="s">
        <v>299</v>
      </c>
      <c r="E2281" t="s">
        <v>19</v>
      </c>
      <c r="F2281">
        <v>3</v>
      </c>
      <c r="G2281" t="s">
        <v>13</v>
      </c>
      <c r="H2281" s="1">
        <v>45973.208333333336</v>
      </c>
      <c r="I2281" s="5">
        <f>INT(TB[[#This Row],[时间戳]])</f>
        <v>45973</v>
      </c>
      <c r="J2281" s="2">
        <f>HOUR(TB[[#This Row],[时间戳]])</f>
        <v>5</v>
      </c>
      <c r="K2281">
        <v>3327</v>
      </c>
      <c r="L2281">
        <v>5</v>
      </c>
      <c r="M2281">
        <f>TB[[#This Row],[售价]]*TB[[#This Row],[销量]]</f>
        <v>16635</v>
      </c>
      <c r="N2281" t="str">
        <f>IF(TB[[#This Row],[售价]]&lt;1000,"低价商品",IF(TB[[#This Row],[售价]]&lt;5000,"中价商品",IF(TB[[#This Row],[售价]]&lt;10000,"高价商品","超高价商品")))</f>
        <v>中价商品</v>
      </c>
    </row>
    <row r="2282" spans="1:14" x14ac:dyDescent="0.2">
      <c r="A2282">
        <v>209</v>
      </c>
      <c r="B2282">
        <v>18</v>
      </c>
      <c r="C2282" t="s">
        <v>10</v>
      </c>
      <c r="D2282" t="s">
        <v>201</v>
      </c>
      <c r="E2282" t="s">
        <v>31</v>
      </c>
      <c r="F2282">
        <v>4</v>
      </c>
      <c r="G2282" t="s">
        <v>13</v>
      </c>
      <c r="H2282" s="1">
        <v>45973.213888888888</v>
      </c>
      <c r="I2282" s="5">
        <f>INT(TB[[#This Row],[时间戳]])</f>
        <v>45973</v>
      </c>
      <c r="J2282" s="2">
        <f>HOUR(TB[[#This Row],[时间戳]])</f>
        <v>5</v>
      </c>
      <c r="K2282">
        <v>324</v>
      </c>
      <c r="L2282">
        <v>3</v>
      </c>
      <c r="M2282">
        <f>TB[[#This Row],[售价]]*TB[[#This Row],[销量]]</f>
        <v>972</v>
      </c>
      <c r="N2282" t="str">
        <f>IF(TB[[#This Row],[售价]]&lt;1000,"低价商品",IF(TB[[#This Row],[售价]]&lt;5000,"中价商品",IF(TB[[#This Row],[售价]]&lt;10000,"高价商品","超高价商品")))</f>
        <v>低价商品</v>
      </c>
    </row>
    <row r="2283" spans="1:14" x14ac:dyDescent="0.2">
      <c r="A2283">
        <v>582</v>
      </c>
      <c r="B2283">
        <v>280</v>
      </c>
      <c r="C2283" t="s">
        <v>34</v>
      </c>
      <c r="D2283" t="s">
        <v>62</v>
      </c>
      <c r="E2283" t="s">
        <v>31</v>
      </c>
      <c r="F2283">
        <v>4</v>
      </c>
      <c r="G2283" t="s">
        <v>13</v>
      </c>
      <c r="H2283" s="1">
        <v>45973.222222222219</v>
      </c>
      <c r="I2283" s="5">
        <f>INT(TB[[#This Row],[时间戳]])</f>
        <v>45973</v>
      </c>
      <c r="J2283" s="2">
        <f>HOUR(TB[[#This Row],[时间戳]])</f>
        <v>5</v>
      </c>
      <c r="K2283">
        <v>139</v>
      </c>
      <c r="L2283">
        <v>5</v>
      </c>
      <c r="M2283">
        <f>TB[[#This Row],[售价]]*TB[[#This Row],[销量]]</f>
        <v>695</v>
      </c>
      <c r="N2283" t="str">
        <f>IF(TB[[#This Row],[售价]]&lt;1000,"低价商品",IF(TB[[#This Row],[售价]]&lt;5000,"中价商品",IF(TB[[#This Row],[售价]]&lt;10000,"高价商品","超高价商品")))</f>
        <v>低价商品</v>
      </c>
    </row>
    <row r="2284" spans="1:14" x14ac:dyDescent="0.2">
      <c r="A2284">
        <v>509</v>
      </c>
      <c r="B2284">
        <v>98</v>
      </c>
      <c r="C2284" t="s">
        <v>26</v>
      </c>
      <c r="D2284" t="s">
        <v>48</v>
      </c>
      <c r="E2284" t="s">
        <v>31</v>
      </c>
      <c r="F2284">
        <v>4</v>
      </c>
      <c r="G2284" t="s">
        <v>13</v>
      </c>
      <c r="H2284" s="1">
        <v>45973.234027777777</v>
      </c>
      <c r="I2284" s="5">
        <f>INT(TB[[#This Row],[时间戳]])</f>
        <v>45973</v>
      </c>
      <c r="J2284" s="2">
        <f>HOUR(TB[[#This Row],[时间戳]])</f>
        <v>5</v>
      </c>
      <c r="K2284">
        <v>171</v>
      </c>
      <c r="L2284">
        <v>5</v>
      </c>
      <c r="M2284">
        <f>TB[[#This Row],[售价]]*TB[[#This Row],[销量]]</f>
        <v>855</v>
      </c>
      <c r="N2284" t="str">
        <f>IF(TB[[#This Row],[售价]]&lt;1000,"低价商品",IF(TB[[#This Row],[售价]]&lt;5000,"中价商品",IF(TB[[#This Row],[售价]]&lt;10000,"高价商品","超高价商品")))</f>
        <v>低价商品</v>
      </c>
    </row>
    <row r="2285" spans="1:14" x14ac:dyDescent="0.2">
      <c r="A2285">
        <v>361</v>
      </c>
      <c r="B2285">
        <v>183</v>
      </c>
      <c r="C2285" t="s">
        <v>44</v>
      </c>
      <c r="D2285" t="s">
        <v>60</v>
      </c>
      <c r="E2285" t="s">
        <v>12</v>
      </c>
      <c r="F2285">
        <v>2</v>
      </c>
      <c r="G2285" t="s">
        <v>13</v>
      </c>
      <c r="H2285" s="1">
        <v>45973.234722222223</v>
      </c>
      <c r="I2285" s="5">
        <f>INT(TB[[#This Row],[时间戳]])</f>
        <v>45973</v>
      </c>
      <c r="J2285" s="2">
        <f>HOUR(TB[[#This Row],[时间戳]])</f>
        <v>5</v>
      </c>
      <c r="K2285">
        <v>7491</v>
      </c>
      <c r="L2285">
        <v>3</v>
      </c>
      <c r="M2285">
        <f>TB[[#This Row],[售价]]*TB[[#This Row],[销量]]</f>
        <v>22473</v>
      </c>
      <c r="N2285" t="str">
        <f>IF(TB[[#This Row],[售价]]&lt;1000,"低价商品",IF(TB[[#This Row],[售价]]&lt;5000,"中价商品",IF(TB[[#This Row],[售价]]&lt;10000,"高价商品","超高价商品")))</f>
        <v>高价商品</v>
      </c>
    </row>
    <row r="2286" spans="1:14" x14ac:dyDescent="0.2">
      <c r="A2286">
        <v>450</v>
      </c>
      <c r="B2286">
        <v>219</v>
      </c>
      <c r="C2286" t="s">
        <v>26</v>
      </c>
      <c r="D2286" t="s">
        <v>131</v>
      </c>
      <c r="E2286" t="s">
        <v>22</v>
      </c>
      <c r="F2286">
        <v>1</v>
      </c>
      <c r="G2286" t="s">
        <v>13</v>
      </c>
      <c r="H2286" s="1">
        <v>45973.237500000003</v>
      </c>
      <c r="I2286" s="5">
        <f>INT(TB[[#This Row],[时间戳]])</f>
        <v>45973</v>
      </c>
      <c r="J2286" s="2">
        <f>HOUR(TB[[#This Row],[时间戳]])</f>
        <v>5</v>
      </c>
      <c r="K2286">
        <v>6152</v>
      </c>
      <c r="L2286">
        <v>3</v>
      </c>
      <c r="M2286">
        <f>TB[[#This Row],[售价]]*TB[[#This Row],[销量]]</f>
        <v>18456</v>
      </c>
      <c r="N2286" t="str">
        <f>IF(TB[[#This Row],[售价]]&lt;1000,"低价商品",IF(TB[[#This Row],[售价]]&lt;5000,"中价商品",IF(TB[[#This Row],[售价]]&lt;10000,"高价商品","超高价商品")))</f>
        <v>高价商品</v>
      </c>
    </row>
    <row r="2287" spans="1:14" x14ac:dyDescent="0.2">
      <c r="A2287">
        <v>81</v>
      </c>
      <c r="B2287">
        <v>66</v>
      </c>
      <c r="C2287" t="s">
        <v>14</v>
      </c>
      <c r="D2287" t="s">
        <v>295</v>
      </c>
      <c r="E2287" t="s">
        <v>39</v>
      </c>
      <c r="F2287">
        <v>5</v>
      </c>
      <c r="G2287" t="s">
        <v>13</v>
      </c>
      <c r="H2287" s="1">
        <v>45973.243750000001</v>
      </c>
      <c r="I2287" s="5">
        <f>INT(TB[[#This Row],[时间戳]])</f>
        <v>45973</v>
      </c>
      <c r="J2287" s="2">
        <f>HOUR(TB[[#This Row],[时间戳]])</f>
        <v>5</v>
      </c>
      <c r="K2287">
        <v>3353</v>
      </c>
      <c r="L2287">
        <v>3</v>
      </c>
      <c r="M2287">
        <f>TB[[#This Row],[售价]]*TB[[#This Row],[销量]]</f>
        <v>10059</v>
      </c>
      <c r="N2287" t="str">
        <f>IF(TB[[#This Row],[售价]]&lt;1000,"低价商品",IF(TB[[#This Row],[售价]]&lt;5000,"中价商品",IF(TB[[#This Row],[售价]]&lt;10000,"高价商品","超高价商品")))</f>
        <v>中价商品</v>
      </c>
    </row>
    <row r="2288" spans="1:14" x14ac:dyDescent="0.2">
      <c r="A2288">
        <v>511</v>
      </c>
      <c r="B2288">
        <v>119</v>
      </c>
      <c r="C2288" t="s">
        <v>14</v>
      </c>
      <c r="D2288" t="s">
        <v>395</v>
      </c>
      <c r="E2288" t="s">
        <v>12</v>
      </c>
      <c r="F2288">
        <v>2</v>
      </c>
      <c r="G2288" t="s">
        <v>13</v>
      </c>
      <c r="H2288" s="1">
        <v>45973.309027777781</v>
      </c>
      <c r="I2288" s="5">
        <f>INT(TB[[#This Row],[时间戳]])</f>
        <v>45973</v>
      </c>
      <c r="J2288" s="2">
        <f>HOUR(TB[[#This Row],[时间戳]])</f>
        <v>7</v>
      </c>
      <c r="K2288">
        <v>12426</v>
      </c>
      <c r="L2288">
        <v>5</v>
      </c>
      <c r="M2288">
        <f>TB[[#This Row],[售价]]*TB[[#This Row],[销量]]</f>
        <v>62130</v>
      </c>
      <c r="N2288" t="str">
        <f>IF(TB[[#This Row],[售价]]&lt;1000,"低价商品",IF(TB[[#This Row],[售价]]&lt;5000,"中价商品",IF(TB[[#This Row],[售价]]&lt;10000,"高价商品","超高价商品")))</f>
        <v>超高价商品</v>
      </c>
    </row>
    <row r="2289" spans="1:14" x14ac:dyDescent="0.2">
      <c r="A2289">
        <v>24</v>
      </c>
      <c r="B2289">
        <v>115</v>
      </c>
      <c r="C2289" t="s">
        <v>20</v>
      </c>
      <c r="D2289" t="s">
        <v>103</v>
      </c>
      <c r="E2289" t="s">
        <v>16</v>
      </c>
      <c r="F2289">
        <v>6</v>
      </c>
      <c r="G2289" t="s">
        <v>42</v>
      </c>
      <c r="H2289" s="1">
        <v>45973.316666666666</v>
      </c>
      <c r="I2289" s="5">
        <f>INT(TB[[#This Row],[时间戳]])</f>
        <v>45973</v>
      </c>
      <c r="J2289" s="2">
        <f>HOUR(TB[[#This Row],[时间戳]])</f>
        <v>7</v>
      </c>
      <c r="K2289">
        <v>2950</v>
      </c>
      <c r="L2289">
        <v>0</v>
      </c>
      <c r="M2289">
        <f>TB[[#This Row],[售价]]*TB[[#This Row],[销量]]</f>
        <v>0</v>
      </c>
      <c r="N2289" t="str">
        <f>IF(TB[[#This Row],[售价]]&lt;1000,"低价商品",IF(TB[[#This Row],[售价]]&lt;5000,"中价商品",IF(TB[[#This Row],[售价]]&lt;10000,"高价商品","超高价商品")))</f>
        <v>中价商品</v>
      </c>
    </row>
    <row r="2290" spans="1:14" x14ac:dyDescent="0.2">
      <c r="A2290">
        <v>721</v>
      </c>
      <c r="B2290">
        <v>184</v>
      </c>
      <c r="C2290" t="s">
        <v>36</v>
      </c>
      <c r="D2290" t="s">
        <v>83</v>
      </c>
      <c r="E2290" t="s">
        <v>22</v>
      </c>
      <c r="F2290">
        <v>1</v>
      </c>
      <c r="G2290" t="s">
        <v>42</v>
      </c>
      <c r="H2290" s="1">
        <v>45973.328472222223</v>
      </c>
      <c r="I2290" s="5">
        <f>INT(TB[[#This Row],[时间戳]])</f>
        <v>45973</v>
      </c>
      <c r="J2290" s="2">
        <f>HOUR(TB[[#This Row],[时间戳]])</f>
        <v>7</v>
      </c>
      <c r="K2290">
        <v>7676</v>
      </c>
      <c r="L2290">
        <v>0</v>
      </c>
      <c r="M2290">
        <f>TB[[#This Row],[售价]]*TB[[#This Row],[销量]]</f>
        <v>0</v>
      </c>
      <c r="N2290" t="str">
        <f>IF(TB[[#This Row],[售价]]&lt;1000,"低价商品",IF(TB[[#This Row],[售价]]&lt;5000,"中价商品",IF(TB[[#This Row],[售价]]&lt;10000,"高价商品","超高价商品")))</f>
        <v>高价商品</v>
      </c>
    </row>
    <row r="2291" spans="1:14" x14ac:dyDescent="0.2">
      <c r="A2291">
        <v>548</v>
      </c>
      <c r="B2291">
        <v>295</v>
      </c>
      <c r="C2291" t="s">
        <v>36</v>
      </c>
      <c r="D2291" t="s">
        <v>173</v>
      </c>
      <c r="E2291" t="s">
        <v>19</v>
      </c>
      <c r="F2291">
        <v>3</v>
      </c>
      <c r="G2291" t="s">
        <v>13</v>
      </c>
      <c r="H2291" s="1">
        <v>45973.332638888889</v>
      </c>
      <c r="I2291" s="5">
        <f>INT(TB[[#This Row],[时间戳]])</f>
        <v>45973</v>
      </c>
      <c r="J2291" s="2">
        <f>HOUR(TB[[#This Row],[时间戳]])</f>
        <v>7</v>
      </c>
      <c r="K2291">
        <v>1936</v>
      </c>
      <c r="L2291">
        <v>3</v>
      </c>
      <c r="M2291">
        <f>TB[[#This Row],[售价]]*TB[[#This Row],[销量]]</f>
        <v>5808</v>
      </c>
      <c r="N2291" t="str">
        <f>IF(TB[[#This Row],[售价]]&lt;1000,"低价商品",IF(TB[[#This Row],[售价]]&lt;5000,"中价商品",IF(TB[[#This Row],[售价]]&lt;10000,"高价商品","超高价商品")))</f>
        <v>中价商品</v>
      </c>
    </row>
    <row r="2292" spans="1:14" x14ac:dyDescent="0.2">
      <c r="A2292">
        <v>320</v>
      </c>
      <c r="B2292">
        <v>205</v>
      </c>
      <c r="C2292" t="s">
        <v>46</v>
      </c>
      <c r="D2292" t="s">
        <v>81</v>
      </c>
      <c r="E2292" t="s">
        <v>12</v>
      </c>
      <c r="F2292">
        <v>2</v>
      </c>
      <c r="G2292" t="s">
        <v>13</v>
      </c>
      <c r="H2292" s="1">
        <v>45973.35</v>
      </c>
      <c r="I2292" s="5">
        <f>INT(TB[[#This Row],[时间戳]])</f>
        <v>45973</v>
      </c>
      <c r="J2292" s="2">
        <f>HOUR(TB[[#This Row],[时间戳]])</f>
        <v>8</v>
      </c>
      <c r="K2292">
        <v>8020</v>
      </c>
      <c r="L2292">
        <v>3</v>
      </c>
      <c r="M2292">
        <f>TB[[#This Row],[售价]]*TB[[#This Row],[销量]]</f>
        <v>24060</v>
      </c>
      <c r="N2292" t="str">
        <f>IF(TB[[#This Row],[售价]]&lt;1000,"低价商品",IF(TB[[#This Row],[售价]]&lt;5000,"中价商品",IF(TB[[#This Row],[售价]]&lt;10000,"高价商品","超高价商品")))</f>
        <v>高价商品</v>
      </c>
    </row>
    <row r="2293" spans="1:14" x14ac:dyDescent="0.2">
      <c r="A2293">
        <v>114</v>
      </c>
      <c r="B2293">
        <v>299</v>
      </c>
      <c r="C2293" t="s">
        <v>20</v>
      </c>
      <c r="D2293" t="s">
        <v>334</v>
      </c>
      <c r="E2293" t="s">
        <v>22</v>
      </c>
      <c r="F2293">
        <v>1</v>
      </c>
      <c r="G2293" t="s">
        <v>13</v>
      </c>
      <c r="H2293" s="1">
        <v>45973.356249999997</v>
      </c>
      <c r="I2293" s="5">
        <f>INT(TB[[#This Row],[时间戳]])</f>
        <v>45973</v>
      </c>
      <c r="J2293" s="2">
        <f>HOUR(TB[[#This Row],[时间戳]])</f>
        <v>8</v>
      </c>
      <c r="K2293">
        <v>5896</v>
      </c>
      <c r="L2293">
        <v>3</v>
      </c>
      <c r="M2293">
        <f>TB[[#This Row],[售价]]*TB[[#This Row],[销量]]</f>
        <v>17688</v>
      </c>
      <c r="N2293" t="str">
        <f>IF(TB[[#This Row],[售价]]&lt;1000,"低价商品",IF(TB[[#This Row],[售价]]&lt;5000,"中价商品",IF(TB[[#This Row],[售价]]&lt;10000,"高价商品","超高价商品")))</f>
        <v>高价商品</v>
      </c>
    </row>
    <row r="2294" spans="1:14" x14ac:dyDescent="0.2">
      <c r="A2294">
        <v>347</v>
      </c>
      <c r="B2294">
        <v>216</v>
      </c>
      <c r="C2294" t="s">
        <v>10</v>
      </c>
      <c r="D2294" t="s">
        <v>376</v>
      </c>
      <c r="E2294" t="s">
        <v>12</v>
      </c>
      <c r="F2294">
        <v>2</v>
      </c>
      <c r="G2294" t="s">
        <v>13</v>
      </c>
      <c r="H2294" s="1">
        <v>45973.36041666667</v>
      </c>
      <c r="I2294" s="5">
        <f>INT(TB[[#This Row],[时间戳]])</f>
        <v>45973</v>
      </c>
      <c r="J2294" s="2">
        <f>HOUR(TB[[#This Row],[时间戳]])</f>
        <v>8</v>
      </c>
      <c r="K2294">
        <v>11650</v>
      </c>
      <c r="L2294">
        <v>5</v>
      </c>
      <c r="M2294">
        <f>TB[[#This Row],[售价]]*TB[[#This Row],[销量]]</f>
        <v>58250</v>
      </c>
      <c r="N2294" t="str">
        <f>IF(TB[[#This Row],[售价]]&lt;1000,"低价商品",IF(TB[[#This Row],[售价]]&lt;5000,"中价商品",IF(TB[[#This Row],[售价]]&lt;10000,"高价商品","超高价商品")))</f>
        <v>超高价商品</v>
      </c>
    </row>
    <row r="2295" spans="1:14" x14ac:dyDescent="0.2">
      <c r="A2295">
        <v>143</v>
      </c>
      <c r="B2295">
        <v>105</v>
      </c>
      <c r="C2295" t="s">
        <v>34</v>
      </c>
      <c r="D2295" t="s">
        <v>414</v>
      </c>
      <c r="E2295" t="s">
        <v>12</v>
      </c>
      <c r="F2295">
        <v>2</v>
      </c>
      <c r="G2295" t="s">
        <v>13</v>
      </c>
      <c r="H2295" s="1">
        <v>45973.373611111114</v>
      </c>
      <c r="I2295" s="5">
        <f>INT(TB[[#This Row],[时间戳]])</f>
        <v>45973</v>
      </c>
      <c r="J2295" s="2">
        <f>HOUR(TB[[#This Row],[时间戳]])</f>
        <v>8</v>
      </c>
      <c r="K2295">
        <v>8176</v>
      </c>
      <c r="L2295">
        <v>5</v>
      </c>
      <c r="M2295">
        <f>TB[[#This Row],[售价]]*TB[[#This Row],[销量]]</f>
        <v>40880</v>
      </c>
      <c r="N2295" t="str">
        <f>IF(TB[[#This Row],[售价]]&lt;1000,"低价商品",IF(TB[[#This Row],[售价]]&lt;5000,"中价商品",IF(TB[[#This Row],[售价]]&lt;10000,"高价商品","超高价商品")))</f>
        <v>高价商品</v>
      </c>
    </row>
    <row r="2296" spans="1:14" x14ac:dyDescent="0.2">
      <c r="A2296">
        <v>64</v>
      </c>
      <c r="B2296">
        <v>121</v>
      </c>
      <c r="C2296" t="s">
        <v>34</v>
      </c>
      <c r="D2296" t="s">
        <v>232</v>
      </c>
      <c r="E2296" t="s">
        <v>22</v>
      </c>
      <c r="F2296">
        <v>1</v>
      </c>
      <c r="G2296" t="s">
        <v>13</v>
      </c>
      <c r="H2296" s="1">
        <v>45973.373611111114</v>
      </c>
      <c r="I2296" s="5">
        <f>INT(TB[[#This Row],[时间戳]])</f>
        <v>45973</v>
      </c>
      <c r="J2296" s="2">
        <f>HOUR(TB[[#This Row],[时间戳]])</f>
        <v>8</v>
      </c>
      <c r="K2296">
        <v>5656</v>
      </c>
      <c r="L2296">
        <v>5</v>
      </c>
      <c r="M2296">
        <f>TB[[#This Row],[售价]]*TB[[#This Row],[销量]]</f>
        <v>28280</v>
      </c>
      <c r="N2296" t="str">
        <f>IF(TB[[#This Row],[售价]]&lt;1000,"低价商品",IF(TB[[#This Row],[售价]]&lt;5000,"中价商品",IF(TB[[#This Row],[售价]]&lt;10000,"高价商品","超高价商品")))</f>
        <v>高价商品</v>
      </c>
    </row>
    <row r="2297" spans="1:14" x14ac:dyDescent="0.2">
      <c r="A2297">
        <v>720</v>
      </c>
      <c r="B2297">
        <v>19</v>
      </c>
      <c r="C2297" t="s">
        <v>46</v>
      </c>
      <c r="D2297" t="s">
        <v>141</v>
      </c>
      <c r="E2297" t="s">
        <v>22</v>
      </c>
      <c r="F2297">
        <v>1</v>
      </c>
      <c r="G2297" t="s">
        <v>13</v>
      </c>
      <c r="H2297" s="1">
        <v>45973.373611111114</v>
      </c>
      <c r="I2297" s="5">
        <f>INT(TB[[#This Row],[时间戳]])</f>
        <v>45973</v>
      </c>
      <c r="J2297" s="2">
        <f>HOUR(TB[[#This Row],[时间戳]])</f>
        <v>8</v>
      </c>
      <c r="K2297">
        <v>4880</v>
      </c>
      <c r="L2297">
        <v>3</v>
      </c>
      <c r="M2297">
        <f>TB[[#This Row],[售价]]*TB[[#This Row],[销量]]</f>
        <v>14640</v>
      </c>
      <c r="N2297" t="str">
        <f>IF(TB[[#This Row],[售价]]&lt;1000,"低价商品",IF(TB[[#This Row],[售价]]&lt;5000,"中价商品",IF(TB[[#This Row],[售价]]&lt;10000,"高价商品","超高价商品")))</f>
        <v>中价商品</v>
      </c>
    </row>
    <row r="2298" spans="1:14" x14ac:dyDescent="0.2">
      <c r="A2298">
        <v>758</v>
      </c>
      <c r="B2298">
        <v>42</v>
      </c>
      <c r="C2298" t="s">
        <v>17</v>
      </c>
      <c r="D2298" t="s">
        <v>50</v>
      </c>
      <c r="E2298" t="s">
        <v>22</v>
      </c>
      <c r="F2298">
        <v>1</v>
      </c>
      <c r="G2298" t="s">
        <v>13</v>
      </c>
      <c r="H2298" s="1">
        <v>45973.378472222219</v>
      </c>
      <c r="I2298" s="5">
        <f>INT(TB[[#This Row],[时间戳]])</f>
        <v>45973</v>
      </c>
      <c r="J2298" s="2">
        <f>HOUR(TB[[#This Row],[时间戳]])</f>
        <v>9</v>
      </c>
      <c r="K2298">
        <v>3669</v>
      </c>
      <c r="L2298">
        <v>5</v>
      </c>
      <c r="M2298">
        <f>TB[[#This Row],[售价]]*TB[[#This Row],[销量]]</f>
        <v>18345</v>
      </c>
      <c r="N2298" t="str">
        <f>IF(TB[[#This Row],[售价]]&lt;1000,"低价商品",IF(TB[[#This Row],[售价]]&lt;5000,"中价商品",IF(TB[[#This Row],[售价]]&lt;10000,"高价商品","超高价商品")))</f>
        <v>中价商品</v>
      </c>
    </row>
    <row r="2299" spans="1:14" x14ac:dyDescent="0.2">
      <c r="A2299">
        <v>741</v>
      </c>
      <c r="B2299">
        <v>22</v>
      </c>
      <c r="C2299" t="s">
        <v>26</v>
      </c>
      <c r="D2299" t="s">
        <v>306</v>
      </c>
      <c r="E2299" t="s">
        <v>31</v>
      </c>
      <c r="F2299">
        <v>4</v>
      </c>
      <c r="G2299" t="s">
        <v>42</v>
      </c>
      <c r="H2299" s="1">
        <v>45973.379166666666</v>
      </c>
      <c r="I2299" s="5">
        <f>INT(TB[[#This Row],[时间戳]])</f>
        <v>45973</v>
      </c>
      <c r="J2299" s="2">
        <f>HOUR(TB[[#This Row],[时间戳]])</f>
        <v>9</v>
      </c>
      <c r="K2299">
        <v>1224</v>
      </c>
      <c r="L2299">
        <v>0</v>
      </c>
      <c r="M2299">
        <f>TB[[#This Row],[售价]]*TB[[#This Row],[销量]]</f>
        <v>0</v>
      </c>
      <c r="N2299" t="str">
        <f>IF(TB[[#This Row],[售价]]&lt;1000,"低价商品",IF(TB[[#This Row],[售价]]&lt;5000,"中价商品",IF(TB[[#This Row],[售价]]&lt;10000,"高价商品","超高价商品")))</f>
        <v>中价商品</v>
      </c>
    </row>
    <row r="2300" spans="1:14" x14ac:dyDescent="0.2">
      <c r="A2300">
        <v>231</v>
      </c>
      <c r="B2300">
        <v>180</v>
      </c>
      <c r="C2300" t="s">
        <v>44</v>
      </c>
      <c r="D2300" t="s">
        <v>60</v>
      </c>
      <c r="E2300" t="s">
        <v>12</v>
      </c>
      <c r="F2300">
        <v>2</v>
      </c>
      <c r="G2300" t="s">
        <v>13</v>
      </c>
      <c r="H2300" s="1">
        <v>45973.381249999999</v>
      </c>
      <c r="I2300" s="5">
        <f>INT(TB[[#This Row],[时间戳]])</f>
        <v>45973</v>
      </c>
      <c r="J2300" s="2">
        <f>HOUR(TB[[#This Row],[时间戳]])</f>
        <v>9</v>
      </c>
      <c r="K2300">
        <v>5522</v>
      </c>
      <c r="L2300">
        <v>5</v>
      </c>
      <c r="M2300">
        <f>TB[[#This Row],[售价]]*TB[[#This Row],[销量]]</f>
        <v>27610</v>
      </c>
      <c r="N2300" t="str">
        <f>IF(TB[[#This Row],[售价]]&lt;1000,"低价商品",IF(TB[[#This Row],[售价]]&lt;5000,"中价商品",IF(TB[[#This Row],[售价]]&lt;10000,"高价商品","超高价商品")))</f>
        <v>高价商品</v>
      </c>
    </row>
    <row r="2301" spans="1:14" x14ac:dyDescent="0.2">
      <c r="A2301">
        <v>22</v>
      </c>
      <c r="B2301">
        <v>29</v>
      </c>
      <c r="C2301" t="s">
        <v>36</v>
      </c>
      <c r="D2301" t="s">
        <v>366</v>
      </c>
      <c r="E2301" t="s">
        <v>22</v>
      </c>
      <c r="F2301">
        <v>1</v>
      </c>
      <c r="G2301" t="s">
        <v>13</v>
      </c>
      <c r="H2301" s="1">
        <v>45973.388888888891</v>
      </c>
      <c r="I2301" s="5">
        <f>INT(TB[[#This Row],[时间戳]])</f>
        <v>45973</v>
      </c>
      <c r="J2301" s="2">
        <f>HOUR(TB[[#This Row],[时间戳]])</f>
        <v>9</v>
      </c>
      <c r="K2301">
        <v>4578</v>
      </c>
      <c r="L2301">
        <v>3</v>
      </c>
      <c r="M2301">
        <f>TB[[#This Row],[售价]]*TB[[#This Row],[销量]]</f>
        <v>13734</v>
      </c>
      <c r="N2301" t="str">
        <f>IF(TB[[#This Row],[售价]]&lt;1000,"低价商品",IF(TB[[#This Row],[售价]]&lt;5000,"中价商品",IF(TB[[#This Row],[售价]]&lt;10000,"高价商品","超高价商品")))</f>
        <v>中价商品</v>
      </c>
    </row>
    <row r="2302" spans="1:14" x14ac:dyDescent="0.2">
      <c r="A2302">
        <v>623</v>
      </c>
      <c r="B2302">
        <v>195</v>
      </c>
      <c r="C2302" t="s">
        <v>32</v>
      </c>
      <c r="D2302" t="s">
        <v>212</v>
      </c>
      <c r="E2302" t="s">
        <v>22</v>
      </c>
      <c r="F2302">
        <v>1</v>
      </c>
      <c r="G2302" t="s">
        <v>13</v>
      </c>
      <c r="H2302" s="1">
        <v>45973.418749999997</v>
      </c>
      <c r="I2302" s="5">
        <f>INT(TB[[#This Row],[时间戳]])</f>
        <v>45973</v>
      </c>
      <c r="J2302" s="2">
        <f>HOUR(TB[[#This Row],[时间戳]])</f>
        <v>10</v>
      </c>
      <c r="K2302">
        <v>1411</v>
      </c>
      <c r="L2302">
        <v>3</v>
      </c>
      <c r="M2302">
        <f>TB[[#This Row],[售价]]*TB[[#This Row],[销量]]</f>
        <v>4233</v>
      </c>
      <c r="N2302" t="str">
        <f>IF(TB[[#This Row],[售价]]&lt;1000,"低价商品",IF(TB[[#This Row],[售价]]&lt;5000,"中价商品",IF(TB[[#This Row],[售价]]&lt;10000,"高价商品","超高价商品")))</f>
        <v>中价商品</v>
      </c>
    </row>
    <row r="2303" spans="1:14" x14ac:dyDescent="0.2">
      <c r="A2303">
        <v>494</v>
      </c>
      <c r="B2303">
        <v>27</v>
      </c>
      <c r="C2303" t="s">
        <v>10</v>
      </c>
      <c r="D2303" t="s">
        <v>294</v>
      </c>
      <c r="E2303" t="s">
        <v>31</v>
      </c>
      <c r="F2303">
        <v>4</v>
      </c>
      <c r="G2303" t="s">
        <v>13</v>
      </c>
      <c r="H2303" s="1">
        <v>45973.434027777781</v>
      </c>
      <c r="I2303" s="5">
        <f>INT(TB[[#This Row],[时间戳]])</f>
        <v>45973</v>
      </c>
      <c r="J2303" s="2">
        <f>HOUR(TB[[#This Row],[时间戳]])</f>
        <v>10</v>
      </c>
      <c r="K2303">
        <v>1500</v>
      </c>
      <c r="L2303">
        <v>5</v>
      </c>
      <c r="M2303">
        <f>TB[[#This Row],[售价]]*TB[[#This Row],[销量]]</f>
        <v>7500</v>
      </c>
      <c r="N2303" t="str">
        <f>IF(TB[[#This Row],[售价]]&lt;1000,"低价商品",IF(TB[[#This Row],[售价]]&lt;5000,"中价商品",IF(TB[[#This Row],[售价]]&lt;10000,"高价商品","超高价商品")))</f>
        <v>中价商品</v>
      </c>
    </row>
    <row r="2304" spans="1:14" x14ac:dyDescent="0.2">
      <c r="A2304">
        <v>129</v>
      </c>
      <c r="B2304">
        <v>221</v>
      </c>
      <c r="C2304" t="s">
        <v>17</v>
      </c>
      <c r="D2304" t="s">
        <v>98</v>
      </c>
      <c r="E2304" t="s">
        <v>22</v>
      </c>
      <c r="F2304">
        <v>1</v>
      </c>
      <c r="G2304" t="s">
        <v>13</v>
      </c>
      <c r="H2304" s="1">
        <v>45973.447222222225</v>
      </c>
      <c r="I2304" s="5">
        <f>INT(TB[[#This Row],[时间戳]])</f>
        <v>45973</v>
      </c>
      <c r="J2304" s="2">
        <f>HOUR(TB[[#This Row],[时间戳]])</f>
        <v>10</v>
      </c>
      <c r="K2304">
        <v>4363</v>
      </c>
      <c r="L2304">
        <v>5</v>
      </c>
      <c r="M2304">
        <f>TB[[#This Row],[售价]]*TB[[#This Row],[销量]]</f>
        <v>21815</v>
      </c>
      <c r="N2304" t="str">
        <f>IF(TB[[#This Row],[售价]]&lt;1000,"低价商品",IF(TB[[#This Row],[售价]]&lt;5000,"中价商品",IF(TB[[#This Row],[售价]]&lt;10000,"高价商品","超高价商品")))</f>
        <v>中价商品</v>
      </c>
    </row>
    <row r="2305" spans="1:14" x14ac:dyDescent="0.2">
      <c r="A2305">
        <v>449</v>
      </c>
      <c r="B2305">
        <v>61</v>
      </c>
      <c r="C2305" t="s">
        <v>26</v>
      </c>
      <c r="D2305" t="s">
        <v>155</v>
      </c>
      <c r="E2305" t="s">
        <v>12</v>
      </c>
      <c r="F2305">
        <v>2</v>
      </c>
      <c r="G2305" t="s">
        <v>42</v>
      </c>
      <c r="H2305" s="1">
        <v>45973.45416666667</v>
      </c>
      <c r="I2305" s="5">
        <f>INT(TB[[#This Row],[时间戳]])</f>
        <v>45973</v>
      </c>
      <c r="J2305" s="2">
        <f>HOUR(TB[[#This Row],[时间戳]])</f>
        <v>10</v>
      </c>
      <c r="K2305">
        <v>11074</v>
      </c>
      <c r="L2305">
        <v>0</v>
      </c>
      <c r="M2305">
        <f>TB[[#This Row],[售价]]*TB[[#This Row],[销量]]</f>
        <v>0</v>
      </c>
      <c r="N2305" t="str">
        <f>IF(TB[[#This Row],[售价]]&lt;1000,"低价商品",IF(TB[[#This Row],[售价]]&lt;5000,"中价商品",IF(TB[[#This Row],[售价]]&lt;10000,"高价商品","超高价商品")))</f>
        <v>超高价商品</v>
      </c>
    </row>
    <row r="2306" spans="1:14" x14ac:dyDescent="0.2">
      <c r="A2306">
        <v>352</v>
      </c>
      <c r="B2306">
        <v>224</v>
      </c>
      <c r="C2306" t="s">
        <v>34</v>
      </c>
      <c r="D2306" t="s">
        <v>175</v>
      </c>
      <c r="E2306" t="s">
        <v>22</v>
      </c>
      <c r="F2306">
        <v>1</v>
      </c>
      <c r="G2306" t="s">
        <v>42</v>
      </c>
      <c r="H2306" s="1">
        <v>45973.503472222219</v>
      </c>
      <c r="I2306" s="5">
        <f>INT(TB[[#This Row],[时间戳]])</f>
        <v>45973</v>
      </c>
      <c r="J2306" s="2">
        <f>HOUR(TB[[#This Row],[时间戳]])</f>
        <v>12</v>
      </c>
      <c r="K2306">
        <v>6031</v>
      </c>
      <c r="L2306">
        <v>0</v>
      </c>
      <c r="M2306">
        <f>TB[[#This Row],[售价]]*TB[[#This Row],[销量]]</f>
        <v>0</v>
      </c>
      <c r="N2306" t="str">
        <f>IF(TB[[#This Row],[售价]]&lt;1000,"低价商品",IF(TB[[#This Row],[售价]]&lt;5000,"中价商品",IF(TB[[#This Row],[售价]]&lt;10000,"高价商品","超高价商品")))</f>
        <v>高价商品</v>
      </c>
    </row>
    <row r="2307" spans="1:14" x14ac:dyDescent="0.2">
      <c r="A2307">
        <v>603</v>
      </c>
      <c r="B2307">
        <v>6</v>
      </c>
      <c r="C2307" t="s">
        <v>32</v>
      </c>
      <c r="D2307" t="s">
        <v>58</v>
      </c>
      <c r="E2307" t="s">
        <v>31</v>
      </c>
      <c r="F2307">
        <v>4</v>
      </c>
      <c r="G2307" t="s">
        <v>13</v>
      </c>
      <c r="H2307" s="1">
        <v>45973.512499999997</v>
      </c>
      <c r="I2307" s="5">
        <f>INT(TB[[#This Row],[时间戳]])</f>
        <v>45973</v>
      </c>
      <c r="J2307" s="2">
        <f>HOUR(TB[[#This Row],[时间戳]])</f>
        <v>12</v>
      </c>
      <c r="K2307">
        <v>89</v>
      </c>
      <c r="L2307">
        <v>5</v>
      </c>
      <c r="M2307">
        <f>TB[[#This Row],[售价]]*TB[[#This Row],[销量]]</f>
        <v>445</v>
      </c>
      <c r="N2307" t="str">
        <f>IF(TB[[#This Row],[售价]]&lt;1000,"低价商品",IF(TB[[#This Row],[售价]]&lt;5000,"中价商品",IF(TB[[#This Row],[售价]]&lt;10000,"高价商品","超高价商品")))</f>
        <v>低价商品</v>
      </c>
    </row>
    <row r="2308" spans="1:14" x14ac:dyDescent="0.2">
      <c r="A2308">
        <v>47</v>
      </c>
      <c r="B2308">
        <v>8</v>
      </c>
      <c r="C2308" t="s">
        <v>20</v>
      </c>
      <c r="D2308" t="s">
        <v>412</v>
      </c>
      <c r="E2308" t="s">
        <v>12</v>
      </c>
      <c r="F2308">
        <v>2</v>
      </c>
      <c r="G2308" t="s">
        <v>42</v>
      </c>
      <c r="H2308" s="1">
        <v>45973.51458333333</v>
      </c>
      <c r="I2308" s="5">
        <f>INT(TB[[#This Row],[时间戳]])</f>
        <v>45973</v>
      </c>
      <c r="J2308" s="2">
        <f>HOUR(TB[[#This Row],[时间戳]])</f>
        <v>12</v>
      </c>
      <c r="K2308">
        <v>7732</v>
      </c>
      <c r="L2308">
        <v>0</v>
      </c>
      <c r="M2308">
        <f>TB[[#This Row],[售价]]*TB[[#This Row],[销量]]</f>
        <v>0</v>
      </c>
      <c r="N2308" t="str">
        <f>IF(TB[[#This Row],[售价]]&lt;1000,"低价商品",IF(TB[[#This Row],[售价]]&lt;5000,"中价商品",IF(TB[[#This Row],[售价]]&lt;10000,"高价商品","超高价商品")))</f>
        <v>高价商品</v>
      </c>
    </row>
    <row r="2309" spans="1:14" x14ac:dyDescent="0.2">
      <c r="A2309">
        <v>59</v>
      </c>
      <c r="B2309">
        <v>65</v>
      </c>
      <c r="C2309" t="s">
        <v>10</v>
      </c>
      <c r="D2309" t="s">
        <v>258</v>
      </c>
      <c r="E2309" t="s">
        <v>39</v>
      </c>
      <c r="F2309">
        <v>5</v>
      </c>
      <c r="G2309" t="s">
        <v>13</v>
      </c>
      <c r="H2309" s="1">
        <v>45973.531944444447</v>
      </c>
      <c r="I2309" s="5">
        <f>INT(TB[[#This Row],[时间戳]])</f>
        <v>45973</v>
      </c>
      <c r="J2309" s="2">
        <f>HOUR(TB[[#This Row],[时间戳]])</f>
        <v>12</v>
      </c>
      <c r="K2309">
        <v>3675</v>
      </c>
      <c r="L2309">
        <v>5</v>
      </c>
      <c r="M2309">
        <f>TB[[#This Row],[售价]]*TB[[#This Row],[销量]]</f>
        <v>18375</v>
      </c>
      <c r="N2309" t="str">
        <f>IF(TB[[#This Row],[售价]]&lt;1000,"低价商品",IF(TB[[#This Row],[售价]]&lt;5000,"中价商品",IF(TB[[#This Row],[售价]]&lt;10000,"高价商品","超高价商品")))</f>
        <v>中价商品</v>
      </c>
    </row>
    <row r="2310" spans="1:14" x14ac:dyDescent="0.2">
      <c r="A2310">
        <v>322</v>
      </c>
      <c r="B2310">
        <v>180</v>
      </c>
      <c r="C2310" t="s">
        <v>36</v>
      </c>
      <c r="D2310" t="s">
        <v>37</v>
      </c>
      <c r="E2310" t="s">
        <v>31</v>
      </c>
      <c r="F2310">
        <v>4</v>
      </c>
      <c r="G2310" t="s">
        <v>13</v>
      </c>
      <c r="H2310" s="1">
        <v>45973.53402777778</v>
      </c>
      <c r="I2310" s="5">
        <f>INT(TB[[#This Row],[时间戳]])</f>
        <v>45973</v>
      </c>
      <c r="J2310" s="2">
        <f>HOUR(TB[[#This Row],[时间戳]])</f>
        <v>12</v>
      </c>
      <c r="K2310">
        <v>840</v>
      </c>
      <c r="L2310">
        <v>5</v>
      </c>
      <c r="M2310">
        <f>TB[[#This Row],[售价]]*TB[[#This Row],[销量]]</f>
        <v>4200</v>
      </c>
      <c r="N2310" t="str">
        <f>IF(TB[[#This Row],[售价]]&lt;1000,"低价商品",IF(TB[[#This Row],[售价]]&lt;5000,"中价商品",IF(TB[[#This Row],[售价]]&lt;10000,"高价商品","超高价商品")))</f>
        <v>低价商品</v>
      </c>
    </row>
    <row r="2311" spans="1:14" x14ac:dyDescent="0.2">
      <c r="A2311">
        <v>133</v>
      </c>
      <c r="B2311">
        <v>204</v>
      </c>
      <c r="C2311" t="s">
        <v>32</v>
      </c>
      <c r="D2311" t="s">
        <v>107</v>
      </c>
      <c r="E2311" t="s">
        <v>31</v>
      </c>
      <c r="F2311">
        <v>4</v>
      </c>
      <c r="G2311" t="s">
        <v>42</v>
      </c>
      <c r="H2311" s="1">
        <v>45973.541666666664</v>
      </c>
      <c r="I2311" s="5">
        <f>INT(TB[[#This Row],[时间戳]])</f>
        <v>45973</v>
      </c>
      <c r="J2311" s="2">
        <f>HOUR(TB[[#This Row],[时间戳]])</f>
        <v>13</v>
      </c>
      <c r="K2311">
        <v>1418</v>
      </c>
      <c r="L2311">
        <v>0</v>
      </c>
      <c r="M2311">
        <f>TB[[#This Row],[售价]]*TB[[#This Row],[销量]]</f>
        <v>0</v>
      </c>
      <c r="N2311" t="str">
        <f>IF(TB[[#This Row],[售价]]&lt;1000,"低价商品",IF(TB[[#This Row],[售价]]&lt;5000,"中价商品",IF(TB[[#This Row],[售价]]&lt;10000,"高价商品","超高价商品")))</f>
        <v>中价商品</v>
      </c>
    </row>
    <row r="2312" spans="1:14" x14ac:dyDescent="0.2">
      <c r="A2312">
        <v>79</v>
      </c>
      <c r="B2312">
        <v>129</v>
      </c>
      <c r="C2312" t="s">
        <v>14</v>
      </c>
      <c r="D2312" t="s">
        <v>282</v>
      </c>
      <c r="E2312" t="s">
        <v>19</v>
      </c>
      <c r="F2312">
        <v>3</v>
      </c>
      <c r="G2312" t="s">
        <v>13</v>
      </c>
      <c r="H2312" s="1">
        <v>45973.554861111108</v>
      </c>
      <c r="I2312" s="5">
        <f>INT(TB[[#This Row],[时间戳]])</f>
        <v>45973</v>
      </c>
      <c r="J2312" s="2">
        <f>HOUR(TB[[#This Row],[时间戳]])</f>
        <v>13</v>
      </c>
      <c r="K2312">
        <v>5557</v>
      </c>
      <c r="L2312">
        <v>5</v>
      </c>
      <c r="M2312">
        <f>TB[[#This Row],[售价]]*TB[[#This Row],[销量]]</f>
        <v>27785</v>
      </c>
      <c r="N2312" t="str">
        <f>IF(TB[[#This Row],[售价]]&lt;1000,"低价商品",IF(TB[[#This Row],[售价]]&lt;5000,"中价商品",IF(TB[[#This Row],[售价]]&lt;10000,"高价商品","超高价商品")))</f>
        <v>高价商品</v>
      </c>
    </row>
    <row r="2313" spans="1:14" x14ac:dyDescent="0.2">
      <c r="A2313">
        <v>226</v>
      </c>
      <c r="B2313">
        <v>228</v>
      </c>
      <c r="C2313" t="s">
        <v>44</v>
      </c>
      <c r="D2313" t="s">
        <v>158</v>
      </c>
      <c r="E2313" t="s">
        <v>31</v>
      </c>
      <c r="F2313">
        <v>4</v>
      </c>
      <c r="G2313" t="s">
        <v>42</v>
      </c>
      <c r="H2313" s="1">
        <v>45973.593055555553</v>
      </c>
      <c r="I2313" s="5">
        <f>INT(TB[[#This Row],[时间戳]])</f>
        <v>45973</v>
      </c>
      <c r="J2313" s="2">
        <f>HOUR(TB[[#This Row],[时间戳]])</f>
        <v>14</v>
      </c>
      <c r="K2313">
        <v>1068</v>
      </c>
      <c r="L2313">
        <v>0</v>
      </c>
      <c r="M2313">
        <f>TB[[#This Row],[售价]]*TB[[#This Row],[销量]]</f>
        <v>0</v>
      </c>
      <c r="N2313" t="str">
        <f>IF(TB[[#This Row],[售价]]&lt;1000,"低价商品",IF(TB[[#This Row],[售价]]&lt;5000,"中价商品",IF(TB[[#This Row],[售价]]&lt;10000,"高价商品","超高价商品")))</f>
        <v>中价商品</v>
      </c>
    </row>
    <row r="2314" spans="1:14" x14ac:dyDescent="0.2">
      <c r="A2314">
        <v>670</v>
      </c>
      <c r="B2314">
        <v>126</v>
      </c>
      <c r="C2314" t="s">
        <v>20</v>
      </c>
      <c r="D2314" t="s">
        <v>88</v>
      </c>
      <c r="E2314" t="s">
        <v>19</v>
      </c>
      <c r="F2314">
        <v>3</v>
      </c>
      <c r="G2314" t="s">
        <v>13</v>
      </c>
      <c r="H2314" s="1">
        <v>45973.605555555558</v>
      </c>
      <c r="I2314" s="5">
        <f>INT(TB[[#This Row],[时间戳]])</f>
        <v>45973</v>
      </c>
      <c r="J2314" s="2">
        <f>HOUR(TB[[#This Row],[时间戳]])</f>
        <v>14</v>
      </c>
      <c r="K2314">
        <v>3966</v>
      </c>
      <c r="L2314">
        <v>5</v>
      </c>
      <c r="M2314">
        <f>TB[[#This Row],[售价]]*TB[[#This Row],[销量]]</f>
        <v>19830</v>
      </c>
      <c r="N2314" t="str">
        <f>IF(TB[[#This Row],[售价]]&lt;1000,"低价商品",IF(TB[[#This Row],[售价]]&lt;5000,"中价商品",IF(TB[[#This Row],[售价]]&lt;10000,"高价商品","超高价商品")))</f>
        <v>中价商品</v>
      </c>
    </row>
    <row r="2315" spans="1:14" x14ac:dyDescent="0.2">
      <c r="A2315">
        <v>555</v>
      </c>
      <c r="B2315">
        <v>258</v>
      </c>
      <c r="C2315" t="s">
        <v>34</v>
      </c>
      <c r="D2315" t="s">
        <v>105</v>
      </c>
      <c r="E2315" t="s">
        <v>12</v>
      </c>
      <c r="F2315">
        <v>2</v>
      </c>
      <c r="G2315" t="s">
        <v>42</v>
      </c>
      <c r="H2315" s="1">
        <v>45973.62777777778</v>
      </c>
      <c r="I2315" s="5">
        <f>INT(TB[[#This Row],[时间戳]])</f>
        <v>45973</v>
      </c>
      <c r="J2315" s="2">
        <f>HOUR(TB[[#This Row],[时间戳]])</f>
        <v>15</v>
      </c>
      <c r="K2315">
        <v>12567</v>
      </c>
      <c r="L2315">
        <v>0</v>
      </c>
      <c r="M2315">
        <f>TB[[#This Row],[售价]]*TB[[#This Row],[销量]]</f>
        <v>0</v>
      </c>
      <c r="N2315" t="str">
        <f>IF(TB[[#This Row],[售价]]&lt;1000,"低价商品",IF(TB[[#This Row],[售价]]&lt;5000,"中价商品",IF(TB[[#This Row],[售价]]&lt;10000,"高价商品","超高价商品")))</f>
        <v>超高价商品</v>
      </c>
    </row>
    <row r="2316" spans="1:14" x14ac:dyDescent="0.2">
      <c r="A2316">
        <v>723</v>
      </c>
      <c r="B2316">
        <v>249</v>
      </c>
      <c r="C2316" t="s">
        <v>34</v>
      </c>
      <c r="D2316" t="s">
        <v>62</v>
      </c>
      <c r="E2316" t="s">
        <v>31</v>
      </c>
      <c r="F2316">
        <v>4</v>
      </c>
      <c r="G2316" t="s">
        <v>13</v>
      </c>
      <c r="H2316" s="1">
        <v>45973.71875</v>
      </c>
      <c r="I2316" s="5">
        <f>INT(TB[[#This Row],[时间戳]])</f>
        <v>45973</v>
      </c>
      <c r="J2316" s="2">
        <f>HOUR(TB[[#This Row],[时间戳]])</f>
        <v>17</v>
      </c>
      <c r="K2316">
        <v>90</v>
      </c>
      <c r="L2316">
        <v>3</v>
      </c>
      <c r="M2316">
        <f>TB[[#This Row],[售价]]*TB[[#This Row],[销量]]</f>
        <v>270</v>
      </c>
      <c r="N2316" t="str">
        <f>IF(TB[[#This Row],[售价]]&lt;1000,"低价商品",IF(TB[[#This Row],[售价]]&lt;5000,"中价商品",IF(TB[[#This Row],[售价]]&lt;10000,"高价商品","超高价商品")))</f>
        <v>低价商品</v>
      </c>
    </row>
    <row r="2317" spans="1:14" x14ac:dyDescent="0.2">
      <c r="A2317">
        <v>534</v>
      </c>
      <c r="B2317">
        <v>119</v>
      </c>
      <c r="C2317" t="s">
        <v>32</v>
      </c>
      <c r="D2317" t="s">
        <v>170</v>
      </c>
      <c r="E2317" t="s">
        <v>31</v>
      </c>
      <c r="F2317">
        <v>4</v>
      </c>
      <c r="G2317" t="s">
        <v>13</v>
      </c>
      <c r="H2317" s="1">
        <v>45973.72152777778</v>
      </c>
      <c r="I2317" s="5">
        <f>INT(TB[[#This Row],[时间戳]])</f>
        <v>45973</v>
      </c>
      <c r="J2317" s="2">
        <f>HOUR(TB[[#This Row],[时间戳]])</f>
        <v>17</v>
      </c>
      <c r="K2317">
        <v>462</v>
      </c>
      <c r="L2317">
        <v>5</v>
      </c>
      <c r="M2317">
        <f>TB[[#This Row],[售价]]*TB[[#This Row],[销量]]</f>
        <v>2310</v>
      </c>
      <c r="N2317" t="str">
        <f>IF(TB[[#This Row],[售价]]&lt;1000,"低价商品",IF(TB[[#This Row],[售价]]&lt;5000,"中价商品",IF(TB[[#This Row],[售价]]&lt;10000,"高价商品","超高价商品")))</f>
        <v>低价商品</v>
      </c>
    </row>
    <row r="2318" spans="1:14" x14ac:dyDescent="0.2">
      <c r="A2318">
        <v>126</v>
      </c>
      <c r="B2318">
        <v>191</v>
      </c>
      <c r="C2318" t="s">
        <v>20</v>
      </c>
      <c r="D2318" t="s">
        <v>40</v>
      </c>
      <c r="E2318" t="s">
        <v>25</v>
      </c>
      <c r="F2318">
        <v>7</v>
      </c>
      <c r="G2318" t="s">
        <v>13</v>
      </c>
      <c r="H2318" s="1">
        <v>45973.727083333331</v>
      </c>
      <c r="I2318" s="5">
        <f>INT(TB[[#This Row],[时间戳]])</f>
        <v>45973</v>
      </c>
      <c r="J2318" s="2">
        <f>HOUR(TB[[#This Row],[时间戳]])</f>
        <v>17</v>
      </c>
      <c r="K2318">
        <v>4177</v>
      </c>
      <c r="L2318">
        <v>5</v>
      </c>
      <c r="M2318">
        <f>TB[[#This Row],[售价]]*TB[[#This Row],[销量]]</f>
        <v>20885</v>
      </c>
      <c r="N2318" t="str">
        <f>IF(TB[[#This Row],[售价]]&lt;1000,"低价商品",IF(TB[[#This Row],[售价]]&lt;5000,"中价商品",IF(TB[[#This Row],[售价]]&lt;10000,"高价商品","超高价商品")))</f>
        <v>中价商品</v>
      </c>
    </row>
    <row r="2319" spans="1:14" x14ac:dyDescent="0.2">
      <c r="A2319">
        <v>716</v>
      </c>
      <c r="B2319">
        <v>226</v>
      </c>
      <c r="C2319" t="s">
        <v>10</v>
      </c>
      <c r="D2319" t="s">
        <v>24</v>
      </c>
      <c r="E2319" t="s">
        <v>25</v>
      </c>
      <c r="F2319">
        <v>7</v>
      </c>
      <c r="G2319" t="s">
        <v>13</v>
      </c>
      <c r="H2319" s="1">
        <v>45973.736805555556</v>
      </c>
      <c r="I2319" s="5">
        <f>INT(TB[[#This Row],[时间戳]])</f>
        <v>45973</v>
      </c>
      <c r="J2319" s="2">
        <f>HOUR(TB[[#This Row],[时间戳]])</f>
        <v>17</v>
      </c>
      <c r="K2319">
        <v>7310</v>
      </c>
      <c r="L2319">
        <v>3</v>
      </c>
      <c r="M2319">
        <f>TB[[#This Row],[售价]]*TB[[#This Row],[销量]]</f>
        <v>21930</v>
      </c>
      <c r="N2319" t="str">
        <f>IF(TB[[#This Row],[售价]]&lt;1000,"低价商品",IF(TB[[#This Row],[售价]]&lt;5000,"中价商品",IF(TB[[#This Row],[售价]]&lt;10000,"高价商品","超高价商品")))</f>
        <v>高价商品</v>
      </c>
    </row>
    <row r="2320" spans="1:14" x14ac:dyDescent="0.2">
      <c r="A2320">
        <v>35</v>
      </c>
      <c r="B2320">
        <v>139</v>
      </c>
      <c r="C2320" t="s">
        <v>10</v>
      </c>
      <c r="D2320" t="s">
        <v>348</v>
      </c>
      <c r="E2320" t="s">
        <v>16</v>
      </c>
      <c r="F2320">
        <v>6</v>
      </c>
      <c r="G2320" t="s">
        <v>13</v>
      </c>
      <c r="H2320" s="1">
        <v>45973.746527777781</v>
      </c>
      <c r="I2320" s="5">
        <f>INT(TB[[#This Row],[时间戳]])</f>
        <v>45973</v>
      </c>
      <c r="J2320" s="2">
        <f>HOUR(TB[[#This Row],[时间戳]])</f>
        <v>17</v>
      </c>
      <c r="K2320">
        <v>9292</v>
      </c>
      <c r="L2320">
        <v>5</v>
      </c>
      <c r="M2320">
        <f>TB[[#This Row],[售价]]*TB[[#This Row],[销量]]</f>
        <v>46460</v>
      </c>
      <c r="N2320" t="str">
        <f>IF(TB[[#This Row],[售价]]&lt;1000,"低价商品",IF(TB[[#This Row],[售价]]&lt;5000,"中价商品",IF(TB[[#This Row],[售价]]&lt;10000,"高价商品","超高价商品")))</f>
        <v>高价商品</v>
      </c>
    </row>
    <row r="2321" spans="1:14" x14ac:dyDescent="0.2">
      <c r="A2321">
        <v>87</v>
      </c>
      <c r="B2321">
        <v>31</v>
      </c>
      <c r="C2321" t="s">
        <v>17</v>
      </c>
      <c r="D2321" t="s">
        <v>91</v>
      </c>
      <c r="E2321" t="s">
        <v>25</v>
      </c>
      <c r="F2321">
        <v>7</v>
      </c>
      <c r="G2321" t="s">
        <v>13</v>
      </c>
      <c r="H2321" s="1">
        <v>45973.756249999999</v>
      </c>
      <c r="I2321" s="5">
        <f>INT(TB[[#This Row],[时间戳]])</f>
        <v>45973</v>
      </c>
      <c r="J2321" s="2">
        <f>HOUR(TB[[#This Row],[时间戳]])</f>
        <v>18</v>
      </c>
      <c r="K2321">
        <v>3878</v>
      </c>
      <c r="L2321">
        <v>5</v>
      </c>
      <c r="M2321">
        <f>TB[[#This Row],[售价]]*TB[[#This Row],[销量]]</f>
        <v>19390</v>
      </c>
      <c r="N2321" t="str">
        <f>IF(TB[[#This Row],[售价]]&lt;1000,"低价商品",IF(TB[[#This Row],[售价]]&lt;5000,"中价商品",IF(TB[[#This Row],[售价]]&lt;10000,"高价商品","超高价商品")))</f>
        <v>中价商品</v>
      </c>
    </row>
    <row r="2322" spans="1:14" x14ac:dyDescent="0.2">
      <c r="A2322">
        <v>20</v>
      </c>
      <c r="B2322">
        <v>196</v>
      </c>
      <c r="C2322" t="s">
        <v>17</v>
      </c>
      <c r="D2322" t="s">
        <v>226</v>
      </c>
      <c r="E2322" t="s">
        <v>16</v>
      </c>
      <c r="F2322">
        <v>6</v>
      </c>
      <c r="G2322" t="s">
        <v>13</v>
      </c>
      <c r="H2322" s="1">
        <v>45973.8</v>
      </c>
      <c r="I2322" s="5">
        <f>INT(TB[[#This Row],[时间戳]])</f>
        <v>45973</v>
      </c>
      <c r="J2322" s="2">
        <f>HOUR(TB[[#This Row],[时间戳]])</f>
        <v>19</v>
      </c>
      <c r="K2322">
        <v>6684</v>
      </c>
      <c r="L2322">
        <v>5</v>
      </c>
      <c r="M2322">
        <f>TB[[#This Row],[售价]]*TB[[#This Row],[销量]]</f>
        <v>33420</v>
      </c>
      <c r="N2322" t="str">
        <f>IF(TB[[#This Row],[售价]]&lt;1000,"低价商品",IF(TB[[#This Row],[售价]]&lt;5000,"中价商品",IF(TB[[#This Row],[售价]]&lt;10000,"高价商品","超高价商品")))</f>
        <v>高价商品</v>
      </c>
    </row>
    <row r="2323" spans="1:14" x14ac:dyDescent="0.2">
      <c r="A2323">
        <v>211</v>
      </c>
      <c r="B2323">
        <v>195</v>
      </c>
      <c r="C2323" t="s">
        <v>10</v>
      </c>
      <c r="D2323" t="s">
        <v>197</v>
      </c>
      <c r="E2323" t="s">
        <v>39</v>
      </c>
      <c r="F2323">
        <v>5</v>
      </c>
      <c r="G2323" t="s">
        <v>13</v>
      </c>
      <c r="H2323" s="1">
        <v>45973.822916666664</v>
      </c>
      <c r="I2323" s="5">
        <f>INT(TB[[#This Row],[时间戳]])</f>
        <v>45973</v>
      </c>
      <c r="J2323" s="2">
        <f>HOUR(TB[[#This Row],[时间戳]])</f>
        <v>19</v>
      </c>
      <c r="K2323">
        <v>2402</v>
      </c>
      <c r="L2323">
        <v>5</v>
      </c>
      <c r="M2323">
        <f>TB[[#This Row],[售价]]*TB[[#This Row],[销量]]</f>
        <v>12010</v>
      </c>
      <c r="N2323" t="str">
        <f>IF(TB[[#This Row],[售价]]&lt;1000,"低价商品",IF(TB[[#This Row],[售价]]&lt;5000,"中价商品",IF(TB[[#This Row],[售价]]&lt;10000,"高价商品","超高价商品")))</f>
        <v>中价商品</v>
      </c>
    </row>
    <row r="2324" spans="1:14" x14ac:dyDescent="0.2">
      <c r="A2324">
        <v>54</v>
      </c>
      <c r="B2324">
        <v>157</v>
      </c>
      <c r="C2324" t="s">
        <v>17</v>
      </c>
      <c r="D2324" t="s">
        <v>50</v>
      </c>
      <c r="E2324" t="s">
        <v>22</v>
      </c>
      <c r="F2324">
        <v>1</v>
      </c>
      <c r="G2324" t="s">
        <v>13</v>
      </c>
      <c r="H2324" s="1">
        <v>45973.840277777781</v>
      </c>
      <c r="I2324" s="5">
        <f>INT(TB[[#This Row],[时间戳]])</f>
        <v>45973</v>
      </c>
      <c r="J2324" s="2">
        <f>HOUR(TB[[#This Row],[时间戳]])</f>
        <v>20</v>
      </c>
      <c r="K2324">
        <v>2647</v>
      </c>
      <c r="L2324">
        <v>3</v>
      </c>
      <c r="M2324">
        <f>TB[[#This Row],[售价]]*TB[[#This Row],[销量]]</f>
        <v>7941</v>
      </c>
      <c r="N2324" t="str">
        <f>IF(TB[[#This Row],[售价]]&lt;1000,"低价商品",IF(TB[[#This Row],[售价]]&lt;5000,"中价商品",IF(TB[[#This Row],[售价]]&lt;10000,"高价商品","超高价商品")))</f>
        <v>中价商品</v>
      </c>
    </row>
    <row r="2325" spans="1:14" x14ac:dyDescent="0.2">
      <c r="A2325">
        <v>624</v>
      </c>
      <c r="B2325">
        <v>173</v>
      </c>
      <c r="C2325" t="s">
        <v>34</v>
      </c>
      <c r="D2325" t="s">
        <v>69</v>
      </c>
      <c r="E2325" t="s">
        <v>31</v>
      </c>
      <c r="F2325">
        <v>4</v>
      </c>
      <c r="G2325" t="s">
        <v>13</v>
      </c>
      <c r="H2325" s="1">
        <v>45973.847222222219</v>
      </c>
      <c r="I2325" s="5">
        <f>INT(TB[[#This Row],[时间戳]])</f>
        <v>45973</v>
      </c>
      <c r="J2325" s="2">
        <f>HOUR(TB[[#This Row],[时间戳]])</f>
        <v>20</v>
      </c>
      <c r="K2325">
        <v>191</v>
      </c>
      <c r="L2325">
        <v>3</v>
      </c>
      <c r="M2325">
        <f>TB[[#This Row],[售价]]*TB[[#This Row],[销量]]</f>
        <v>573</v>
      </c>
      <c r="N2325" t="str">
        <f>IF(TB[[#This Row],[售价]]&lt;1000,"低价商品",IF(TB[[#This Row],[售价]]&lt;5000,"中价商品",IF(TB[[#This Row],[售价]]&lt;10000,"高价商品","超高价商品")))</f>
        <v>低价商品</v>
      </c>
    </row>
    <row r="2326" spans="1:14" x14ac:dyDescent="0.2">
      <c r="A2326">
        <v>776</v>
      </c>
      <c r="B2326">
        <v>15</v>
      </c>
      <c r="C2326" t="s">
        <v>46</v>
      </c>
      <c r="D2326" t="s">
        <v>135</v>
      </c>
      <c r="E2326" t="s">
        <v>22</v>
      </c>
      <c r="F2326">
        <v>1</v>
      </c>
      <c r="G2326" t="s">
        <v>13</v>
      </c>
      <c r="H2326" s="1">
        <v>45973.879166666666</v>
      </c>
      <c r="I2326" s="5">
        <f>INT(TB[[#This Row],[时间戳]])</f>
        <v>45973</v>
      </c>
      <c r="J2326" s="2">
        <f>HOUR(TB[[#This Row],[时间戳]])</f>
        <v>21</v>
      </c>
      <c r="K2326">
        <v>7718</v>
      </c>
      <c r="L2326">
        <v>5</v>
      </c>
      <c r="M2326">
        <f>TB[[#This Row],[售价]]*TB[[#This Row],[销量]]</f>
        <v>38590</v>
      </c>
      <c r="N2326" t="str">
        <f>IF(TB[[#This Row],[售价]]&lt;1000,"低价商品",IF(TB[[#This Row],[售价]]&lt;5000,"中价商品",IF(TB[[#This Row],[售价]]&lt;10000,"高价商品","超高价商品")))</f>
        <v>高价商品</v>
      </c>
    </row>
    <row r="2327" spans="1:14" x14ac:dyDescent="0.2">
      <c r="A2327">
        <v>438</v>
      </c>
      <c r="B2327">
        <v>30</v>
      </c>
      <c r="C2327" t="s">
        <v>46</v>
      </c>
      <c r="D2327" t="s">
        <v>371</v>
      </c>
      <c r="E2327" t="s">
        <v>16</v>
      </c>
      <c r="F2327">
        <v>6</v>
      </c>
      <c r="G2327" t="s">
        <v>13</v>
      </c>
      <c r="H2327" s="1">
        <v>45973.936111111114</v>
      </c>
      <c r="I2327" s="5">
        <f>INT(TB[[#This Row],[时间戳]])</f>
        <v>45973</v>
      </c>
      <c r="J2327" s="2">
        <f>HOUR(TB[[#This Row],[时间戳]])</f>
        <v>22</v>
      </c>
      <c r="K2327">
        <v>7757</v>
      </c>
      <c r="L2327">
        <v>5</v>
      </c>
      <c r="M2327">
        <f>TB[[#This Row],[售价]]*TB[[#This Row],[销量]]</f>
        <v>38785</v>
      </c>
      <c r="N2327" t="str">
        <f>IF(TB[[#This Row],[售价]]&lt;1000,"低价商品",IF(TB[[#This Row],[售价]]&lt;5000,"中价商品",IF(TB[[#This Row],[售价]]&lt;10000,"高价商品","超高价商品")))</f>
        <v>高价商品</v>
      </c>
    </row>
    <row r="2328" spans="1:14" x14ac:dyDescent="0.2">
      <c r="A2328">
        <v>548</v>
      </c>
      <c r="B2328">
        <v>238</v>
      </c>
      <c r="C2328" t="s">
        <v>17</v>
      </c>
      <c r="D2328" t="s">
        <v>133</v>
      </c>
      <c r="E2328" t="s">
        <v>31</v>
      </c>
      <c r="F2328">
        <v>4</v>
      </c>
      <c r="G2328" t="s">
        <v>13</v>
      </c>
      <c r="H2328" s="1">
        <v>45973.968055555553</v>
      </c>
      <c r="I2328" s="5">
        <f>INT(TB[[#This Row],[时间戳]])</f>
        <v>45973</v>
      </c>
      <c r="J2328" s="2">
        <f>HOUR(TB[[#This Row],[时间戳]])</f>
        <v>23</v>
      </c>
      <c r="K2328">
        <v>356</v>
      </c>
      <c r="L2328">
        <v>5</v>
      </c>
      <c r="M2328">
        <f>TB[[#This Row],[售价]]*TB[[#This Row],[销量]]</f>
        <v>1780</v>
      </c>
      <c r="N2328" t="str">
        <f>IF(TB[[#This Row],[售价]]&lt;1000,"低价商品",IF(TB[[#This Row],[售价]]&lt;5000,"中价商品",IF(TB[[#This Row],[售价]]&lt;10000,"高价商品","超高价商品")))</f>
        <v>低价商品</v>
      </c>
    </row>
    <row r="2329" spans="1:14" x14ac:dyDescent="0.2">
      <c r="A2329">
        <v>267</v>
      </c>
      <c r="B2329">
        <v>84</v>
      </c>
      <c r="C2329" t="s">
        <v>46</v>
      </c>
      <c r="D2329" t="s">
        <v>81</v>
      </c>
      <c r="E2329" t="s">
        <v>12</v>
      </c>
      <c r="F2329">
        <v>2</v>
      </c>
      <c r="G2329" t="s">
        <v>13</v>
      </c>
      <c r="H2329" s="1">
        <v>45973.968055555553</v>
      </c>
      <c r="I2329" s="5">
        <f>INT(TB[[#This Row],[时间戳]])</f>
        <v>45973</v>
      </c>
      <c r="J2329" s="2">
        <f>HOUR(TB[[#This Row],[时间戳]])</f>
        <v>23</v>
      </c>
      <c r="K2329">
        <v>11037</v>
      </c>
      <c r="L2329">
        <v>3</v>
      </c>
      <c r="M2329">
        <f>TB[[#This Row],[售价]]*TB[[#This Row],[销量]]</f>
        <v>33111</v>
      </c>
      <c r="N2329" t="str">
        <f>IF(TB[[#This Row],[售价]]&lt;1000,"低价商品",IF(TB[[#This Row],[售价]]&lt;5000,"中价商品",IF(TB[[#This Row],[售价]]&lt;10000,"高价商品","超高价商品")))</f>
        <v>超高价商品</v>
      </c>
    </row>
    <row r="2330" spans="1:14" x14ac:dyDescent="0.2">
      <c r="A2330">
        <v>16</v>
      </c>
      <c r="B2330">
        <v>144</v>
      </c>
      <c r="C2330" t="s">
        <v>32</v>
      </c>
      <c r="D2330" t="s">
        <v>275</v>
      </c>
      <c r="E2330" t="s">
        <v>22</v>
      </c>
      <c r="F2330">
        <v>1</v>
      </c>
      <c r="G2330" t="s">
        <v>42</v>
      </c>
      <c r="H2330" s="1">
        <v>45973.986805555556</v>
      </c>
      <c r="I2330" s="5">
        <f>INT(TB[[#This Row],[时间戳]])</f>
        <v>45973</v>
      </c>
      <c r="J2330" s="2">
        <f>HOUR(TB[[#This Row],[时间戳]])</f>
        <v>23</v>
      </c>
      <c r="K2330">
        <v>4162</v>
      </c>
      <c r="L2330">
        <v>0</v>
      </c>
      <c r="M2330">
        <f>TB[[#This Row],[售价]]*TB[[#This Row],[销量]]</f>
        <v>0</v>
      </c>
      <c r="N2330" t="str">
        <f>IF(TB[[#This Row],[售价]]&lt;1000,"低价商品",IF(TB[[#This Row],[售价]]&lt;5000,"中价商品",IF(TB[[#This Row],[售价]]&lt;10000,"高价商品","超高价商品")))</f>
        <v>中价商品</v>
      </c>
    </row>
    <row r="2331" spans="1:14" x14ac:dyDescent="0.2">
      <c r="A2331">
        <v>256</v>
      </c>
      <c r="B2331">
        <v>278</v>
      </c>
      <c r="C2331" t="s">
        <v>36</v>
      </c>
      <c r="D2331" t="s">
        <v>386</v>
      </c>
      <c r="E2331" t="s">
        <v>22</v>
      </c>
      <c r="F2331">
        <v>1</v>
      </c>
      <c r="G2331" t="s">
        <v>13</v>
      </c>
      <c r="H2331" s="1">
        <v>45973.987500000003</v>
      </c>
      <c r="I2331" s="5">
        <f>INT(TB[[#This Row],[时间戳]])</f>
        <v>45973</v>
      </c>
      <c r="J2331" s="2">
        <f>HOUR(TB[[#This Row],[时间戳]])</f>
        <v>23</v>
      </c>
      <c r="K2331">
        <v>7699</v>
      </c>
      <c r="L2331">
        <v>5</v>
      </c>
      <c r="M2331">
        <f>TB[[#This Row],[售价]]*TB[[#This Row],[销量]]</f>
        <v>38495</v>
      </c>
      <c r="N2331" t="str">
        <f>IF(TB[[#This Row],[售价]]&lt;1000,"低价商品",IF(TB[[#This Row],[售价]]&lt;5000,"中价商品",IF(TB[[#This Row],[售价]]&lt;10000,"高价商品","超高价商品")))</f>
        <v>高价商品</v>
      </c>
    </row>
    <row r="2332" spans="1:14" x14ac:dyDescent="0.2">
      <c r="A2332">
        <v>40</v>
      </c>
      <c r="B2332">
        <v>141</v>
      </c>
      <c r="C2332" t="s">
        <v>46</v>
      </c>
      <c r="D2332" t="s">
        <v>316</v>
      </c>
      <c r="E2332" t="s">
        <v>25</v>
      </c>
      <c r="F2332">
        <v>7</v>
      </c>
      <c r="G2332" t="s">
        <v>13</v>
      </c>
      <c r="H2332" s="1">
        <v>45973.993055555555</v>
      </c>
      <c r="I2332" s="5">
        <f>INT(TB[[#This Row],[时间戳]])</f>
        <v>45973</v>
      </c>
      <c r="J2332" s="2">
        <f>HOUR(TB[[#This Row],[时间戳]])</f>
        <v>23</v>
      </c>
      <c r="K2332">
        <v>3895</v>
      </c>
      <c r="L2332">
        <v>3</v>
      </c>
      <c r="M2332">
        <f>TB[[#This Row],[售价]]*TB[[#This Row],[销量]]</f>
        <v>11685</v>
      </c>
      <c r="N2332" t="str">
        <f>IF(TB[[#This Row],[售价]]&lt;1000,"低价商品",IF(TB[[#This Row],[售价]]&lt;5000,"中价商品",IF(TB[[#This Row],[售价]]&lt;10000,"高价商品","超高价商品")))</f>
        <v>中价商品</v>
      </c>
    </row>
    <row r="2333" spans="1:14" x14ac:dyDescent="0.2">
      <c r="A2333">
        <v>13</v>
      </c>
      <c r="B2333">
        <v>64</v>
      </c>
      <c r="C2333" t="s">
        <v>36</v>
      </c>
      <c r="D2333" t="s">
        <v>87</v>
      </c>
      <c r="E2333" t="s">
        <v>19</v>
      </c>
      <c r="F2333">
        <v>3</v>
      </c>
      <c r="G2333" t="s">
        <v>13</v>
      </c>
      <c r="H2333" s="1">
        <v>45973.994444444441</v>
      </c>
      <c r="I2333" s="5">
        <f>INT(TB[[#This Row],[时间戳]])</f>
        <v>45973</v>
      </c>
      <c r="J2333" s="2">
        <f>HOUR(TB[[#This Row],[时间戳]])</f>
        <v>23</v>
      </c>
      <c r="K2333">
        <v>4400</v>
      </c>
      <c r="L2333">
        <v>5</v>
      </c>
      <c r="M2333">
        <f>TB[[#This Row],[售价]]*TB[[#This Row],[销量]]</f>
        <v>22000</v>
      </c>
      <c r="N2333" t="str">
        <f>IF(TB[[#This Row],[售价]]&lt;1000,"低价商品",IF(TB[[#This Row],[售价]]&lt;5000,"中价商品",IF(TB[[#This Row],[售价]]&lt;10000,"高价商品","超高价商品")))</f>
        <v>中价商品</v>
      </c>
    </row>
    <row r="2334" spans="1:14" x14ac:dyDescent="0.2">
      <c r="A2334">
        <v>184</v>
      </c>
      <c r="B2334">
        <v>228</v>
      </c>
      <c r="C2334" t="s">
        <v>34</v>
      </c>
      <c r="D2334" t="s">
        <v>291</v>
      </c>
      <c r="E2334" t="s">
        <v>31</v>
      </c>
      <c r="F2334">
        <v>4</v>
      </c>
      <c r="G2334" t="s">
        <v>42</v>
      </c>
      <c r="H2334" s="1">
        <v>45974.011111111111</v>
      </c>
      <c r="I2334" s="5">
        <f>INT(TB[[#This Row],[时间戳]])</f>
        <v>45974</v>
      </c>
      <c r="J2334" s="2">
        <f>HOUR(TB[[#This Row],[时间戳]])</f>
        <v>0</v>
      </c>
      <c r="K2334">
        <v>769</v>
      </c>
      <c r="L2334">
        <v>0</v>
      </c>
      <c r="M2334">
        <f>TB[[#This Row],[售价]]*TB[[#This Row],[销量]]</f>
        <v>0</v>
      </c>
      <c r="N2334" t="str">
        <f>IF(TB[[#This Row],[售价]]&lt;1000,"低价商品",IF(TB[[#This Row],[售价]]&lt;5000,"中价商品",IF(TB[[#This Row],[售价]]&lt;10000,"高价商品","超高价商品")))</f>
        <v>低价商品</v>
      </c>
    </row>
    <row r="2335" spans="1:14" x14ac:dyDescent="0.2">
      <c r="A2335">
        <v>478</v>
      </c>
      <c r="B2335">
        <v>19</v>
      </c>
      <c r="C2335" t="s">
        <v>44</v>
      </c>
      <c r="D2335" t="s">
        <v>59</v>
      </c>
      <c r="E2335" t="s">
        <v>22</v>
      </c>
      <c r="F2335">
        <v>1</v>
      </c>
      <c r="G2335" t="s">
        <v>13</v>
      </c>
      <c r="H2335" s="1">
        <v>45974.032638888886</v>
      </c>
      <c r="I2335" s="5">
        <f>INT(TB[[#This Row],[时间戳]])</f>
        <v>45974</v>
      </c>
      <c r="J2335" s="2">
        <f>HOUR(TB[[#This Row],[时间戳]])</f>
        <v>0</v>
      </c>
      <c r="K2335">
        <v>4598</v>
      </c>
      <c r="L2335">
        <v>5</v>
      </c>
      <c r="M2335">
        <f>TB[[#This Row],[售价]]*TB[[#This Row],[销量]]</f>
        <v>22990</v>
      </c>
      <c r="N2335" t="str">
        <f>IF(TB[[#This Row],[售价]]&lt;1000,"低价商品",IF(TB[[#This Row],[售价]]&lt;5000,"中价商品",IF(TB[[#This Row],[售价]]&lt;10000,"高价商品","超高价商品")))</f>
        <v>中价商品</v>
      </c>
    </row>
    <row r="2336" spans="1:14" x14ac:dyDescent="0.2">
      <c r="A2336">
        <v>419</v>
      </c>
      <c r="B2336">
        <v>30</v>
      </c>
      <c r="C2336" t="s">
        <v>20</v>
      </c>
      <c r="D2336" t="s">
        <v>120</v>
      </c>
      <c r="E2336" t="s">
        <v>22</v>
      </c>
      <c r="F2336">
        <v>1</v>
      </c>
      <c r="G2336" t="s">
        <v>13</v>
      </c>
      <c r="H2336" s="1">
        <v>45974.034722222219</v>
      </c>
      <c r="I2336" s="5">
        <f>INT(TB[[#This Row],[时间戳]])</f>
        <v>45974</v>
      </c>
      <c r="J2336" s="2">
        <f>HOUR(TB[[#This Row],[时间戳]])</f>
        <v>0</v>
      </c>
      <c r="K2336">
        <v>3983</v>
      </c>
      <c r="L2336">
        <v>5</v>
      </c>
      <c r="M2336">
        <f>TB[[#This Row],[售价]]*TB[[#This Row],[销量]]</f>
        <v>19915</v>
      </c>
      <c r="N2336" t="str">
        <f>IF(TB[[#This Row],[售价]]&lt;1000,"低价商品",IF(TB[[#This Row],[售价]]&lt;5000,"中价商品",IF(TB[[#This Row],[售价]]&lt;10000,"高价商品","超高价商品")))</f>
        <v>中价商品</v>
      </c>
    </row>
    <row r="2337" spans="1:14" x14ac:dyDescent="0.2">
      <c r="A2337">
        <v>565</v>
      </c>
      <c r="B2337">
        <v>161</v>
      </c>
      <c r="C2337" t="s">
        <v>36</v>
      </c>
      <c r="D2337" t="s">
        <v>123</v>
      </c>
      <c r="E2337" t="s">
        <v>31</v>
      </c>
      <c r="F2337">
        <v>4</v>
      </c>
      <c r="G2337" t="s">
        <v>13</v>
      </c>
      <c r="H2337" s="1">
        <v>45974.043749999997</v>
      </c>
      <c r="I2337" s="5">
        <f>INT(TB[[#This Row],[时间戳]])</f>
        <v>45974</v>
      </c>
      <c r="J2337" s="2">
        <f>HOUR(TB[[#This Row],[时间戳]])</f>
        <v>1</v>
      </c>
      <c r="K2337">
        <v>1076</v>
      </c>
      <c r="L2337">
        <v>3</v>
      </c>
      <c r="M2337">
        <f>TB[[#This Row],[售价]]*TB[[#This Row],[销量]]</f>
        <v>3228</v>
      </c>
      <c r="N2337" t="str">
        <f>IF(TB[[#This Row],[售价]]&lt;1000,"低价商品",IF(TB[[#This Row],[售价]]&lt;5000,"中价商品",IF(TB[[#This Row],[售价]]&lt;10000,"高价商品","超高价商品")))</f>
        <v>中价商品</v>
      </c>
    </row>
    <row r="2338" spans="1:14" x14ac:dyDescent="0.2">
      <c r="A2338">
        <v>785</v>
      </c>
      <c r="B2338">
        <v>142</v>
      </c>
      <c r="C2338" t="s">
        <v>26</v>
      </c>
      <c r="D2338" t="s">
        <v>219</v>
      </c>
      <c r="E2338" t="s">
        <v>22</v>
      </c>
      <c r="F2338">
        <v>1</v>
      </c>
      <c r="G2338" t="s">
        <v>13</v>
      </c>
      <c r="H2338" s="1">
        <v>45974.054861111108</v>
      </c>
      <c r="I2338" s="5">
        <f>INT(TB[[#This Row],[时间戳]])</f>
        <v>45974</v>
      </c>
      <c r="J2338" s="2">
        <f>HOUR(TB[[#This Row],[时间戳]])</f>
        <v>1</v>
      </c>
      <c r="K2338">
        <v>1549</v>
      </c>
      <c r="L2338">
        <v>5</v>
      </c>
      <c r="M2338">
        <f>TB[[#This Row],[售价]]*TB[[#This Row],[销量]]</f>
        <v>7745</v>
      </c>
      <c r="N2338" t="str">
        <f>IF(TB[[#This Row],[售价]]&lt;1000,"低价商品",IF(TB[[#This Row],[售价]]&lt;5000,"中价商品",IF(TB[[#This Row],[售价]]&lt;10000,"高价商品","超高价商品")))</f>
        <v>中价商品</v>
      </c>
    </row>
    <row r="2339" spans="1:14" x14ac:dyDescent="0.2">
      <c r="A2339">
        <v>646</v>
      </c>
      <c r="B2339">
        <v>90</v>
      </c>
      <c r="C2339" t="s">
        <v>26</v>
      </c>
      <c r="D2339" t="s">
        <v>345</v>
      </c>
      <c r="E2339" t="s">
        <v>12</v>
      </c>
      <c r="F2339">
        <v>2</v>
      </c>
      <c r="G2339" t="s">
        <v>42</v>
      </c>
      <c r="H2339" s="1">
        <v>45974.063194444447</v>
      </c>
      <c r="I2339" s="5">
        <f>INT(TB[[#This Row],[时间戳]])</f>
        <v>45974</v>
      </c>
      <c r="J2339" s="2">
        <f>HOUR(TB[[#This Row],[时间戳]])</f>
        <v>1</v>
      </c>
      <c r="K2339">
        <v>8305</v>
      </c>
      <c r="L2339">
        <v>0</v>
      </c>
      <c r="M2339">
        <f>TB[[#This Row],[售价]]*TB[[#This Row],[销量]]</f>
        <v>0</v>
      </c>
      <c r="N2339" t="str">
        <f>IF(TB[[#This Row],[售价]]&lt;1000,"低价商品",IF(TB[[#This Row],[售价]]&lt;5000,"中价商品",IF(TB[[#This Row],[售价]]&lt;10000,"高价商品","超高价商品")))</f>
        <v>高价商品</v>
      </c>
    </row>
    <row r="2340" spans="1:14" x14ac:dyDescent="0.2">
      <c r="A2340">
        <v>118</v>
      </c>
      <c r="B2340">
        <v>20</v>
      </c>
      <c r="C2340" t="s">
        <v>10</v>
      </c>
      <c r="D2340" t="s">
        <v>298</v>
      </c>
      <c r="E2340" t="s">
        <v>12</v>
      </c>
      <c r="F2340">
        <v>2</v>
      </c>
      <c r="G2340" t="s">
        <v>13</v>
      </c>
      <c r="H2340" s="1">
        <v>45974.065972222219</v>
      </c>
      <c r="I2340" s="5">
        <f>INT(TB[[#This Row],[时间戳]])</f>
        <v>45974</v>
      </c>
      <c r="J2340" s="2">
        <f>HOUR(TB[[#This Row],[时间戳]])</f>
        <v>1</v>
      </c>
      <c r="K2340">
        <v>6522</v>
      </c>
      <c r="L2340">
        <v>3</v>
      </c>
      <c r="M2340">
        <f>TB[[#This Row],[售价]]*TB[[#This Row],[销量]]</f>
        <v>19566</v>
      </c>
      <c r="N2340" t="str">
        <f>IF(TB[[#This Row],[售价]]&lt;1000,"低价商品",IF(TB[[#This Row],[售价]]&lt;5000,"中价商品",IF(TB[[#This Row],[售价]]&lt;10000,"高价商品","超高价商品")))</f>
        <v>高价商品</v>
      </c>
    </row>
    <row r="2341" spans="1:14" x14ac:dyDescent="0.2">
      <c r="A2341">
        <v>594</v>
      </c>
      <c r="B2341">
        <v>163</v>
      </c>
      <c r="C2341" t="s">
        <v>20</v>
      </c>
      <c r="D2341" t="s">
        <v>261</v>
      </c>
      <c r="E2341" t="s">
        <v>22</v>
      </c>
      <c r="F2341">
        <v>1</v>
      </c>
      <c r="G2341" t="s">
        <v>13</v>
      </c>
      <c r="H2341" s="1">
        <v>45974.075694444444</v>
      </c>
      <c r="I2341" s="5">
        <f>INT(TB[[#This Row],[时间戳]])</f>
        <v>45974</v>
      </c>
      <c r="J2341" s="2">
        <f>HOUR(TB[[#This Row],[时间戳]])</f>
        <v>1</v>
      </c>
      <c r="K2341">
        <v>2659</v>
      </c>
      <c r="L2341">
        <v>3</v>
      </c>
      <c r="M2341">
        <f>TB[[#This Row],[售价]]*TB[[#This Row],[销量]]</f>
        <v>7977</v>
      </c>
      <c r="N2341" t="str">
        <f>IF(TB[[#This Row],[售价]]&lt;1000,"低价商品",IF(TB[[#This Row],[售价]]&lt;5000,"中价商品",IF(TB[[#This Row],[售价]]&lt;10000,"高价商品","超高价商品")))</f>
        <v>中价商品</v>
      </c>
    </row>
    <row r="2342" spans="1:14" x14ac:dyDescent="0.2">
      <c r="A2342">
        <v>732</v>
      </c>
      <c r="B2342">
        <v>133</v>
      </c>
      <c r="C2342" t="s">
        <v>32</v>
      </c>
      <c r="D2342" t="s">
        <v>58</v>
      </c>
      <c r="E2342" t="s">
        <v>31</v>
      </c>
      <c r="F2342">
        <v>4</v>
      </c>
      <c r="G2342" t="s">
        <v>13</v>
      </c>
      <c r="H2342" s="1">
        <v>45974.101388888892</v>
      </c>
      <c r="I2342" s="5">
        <f>INT(TB[[#This Row],[时间戳]])</f>
        <v>45974</v>
      </c>
      <c r="J2342" s="2">
        <f>HOUR(TB[[#This Row],[时间戳]])</f>
        <v>2</v>
      </c>
      <c r="K2342">
        <v>218</v>
      </c>
      <c r="L2342">
        <v>5</v>
      </c>
      <c r="M2342">
        <f>TB[[#This Row],[售价]]*TB[[#This Row],[销量]]</f>
        <v>1090</v>
      </c>
      <c r="N2342" t="str">
        <f>IF(TB[[#This Row],[售价]]&lt;1000,"低价商品",IF(TB[[#This Row],[售价]]&lt;5000,"中价商品",IF(TB[[#This Row],[售价]]&lt;10000,"高价商品","超高价商品")))</f>
        <v>低价商品</v>
      </c>
    </row>
    <row r="2343" spans="1:14" x14ac:dyDescent="0.2">
      <c r="A2343">
        <v>736</v>
      </c>
      <c r="B2343">
        <v>23</v>
      </c>
      <c r="C2343" t="s">
        <v>34</v>
      </c>
      <c r="D2343" t="s">
        <v>331</v>
      </c>
      <c r="E2343" t="s">
        <v>25</v>
      </c>
      <c r="F2343">
        <v>7</v>
      </c>
      <c r="G2343" t="s">
        <v>13</v>
      </c>
      <c r="H2343" s="1">
        <v>45974.102777777778</v>
      </c>
      <c r="I2343" s="5">
        <f>INT(TB[[#This Row],[时间戳]])</f>
        <v>45974</v>
      </c>
      <c r="J2343" s="2">
        <f>HOUR(TB[[#This Row],[时间戳]])</f>
        <v>2</v>
      </c>
      <c r="K2343">
        <v>3416</v>
      </c>
      <c r="L2343">
        <v>5</v>
      </c>
      <c r="M2343">
        <f>TB[[#This Row],[售价]]*TB[[#This Row],[销量]]</f>
        <v>17080</v>
      </c>
      <c r="N2343" t="str">
        <f>IF(TB[[#This Row],[售价]]&lt;1000,"低价商品",IF(TB[[#This Row],[售价]]&lt;5000,"中价商品",IF(TB[[#This Row],[售价]]&lt;10000,"高价商品","超高价商品")))</f>
        <v>中价商品</v>
      </c>
    </row>
    <row r="2344" spans="1:14" x14ac:dyDescent="0.2">
      <c r="A2344">
        <v>80</v>
      </c>
      <c r="B2344">
        <v>260</v>
      </c>
      <c r="C2344" t="s">
        <v>34</v>
      </c>
      <c r="D2344" t="s">
        <v>307</v>
      </c>
      <c r="E2344" t="s">
        <v>22</v>
      </c>
      <c r="F2344">
        <v>1</v>
      </c>
      <c r="G2344" t="s">
        <v>13</v>
      </c>
      <c r="H2344" s="1">
        <v>45974.104166666664</v>
      </c>
      <c r="I2344" s="5">
        <f>INT(TB[[#This Row],[时间戳]])</f>
        <v>45974</v>
      </c>
      <c r="J2344" s="2">
        <f>HOUR(TB[[#This Row],[时间戳]])</f>
        <v>2</v>
      </c>
      <c r="K2344">
        <v>5839</v>
      </c>
      <c r="L2344">
        <v>5</v>
      </c>
      <c r="M2344">
        <f>TB[[#This Row],[售价]]*TB[[#This Row],[销量]]</f>
        <v>29195</v>
      </c>
      <c r="N2344" t="str">
        <f>IF(TB[[#This Row],[售价]]&lt;1000,"低价商品",IF(TB[[#This Row],[售价]]&lt;5000,"中价商品",IF(TB[[#This Row],[售价]]&lt;10000,"高价商品","超高价商品")))</f>
        <v>高价商品</v>
      </c>
    </row>
    <row r="2345" spans="1:14" x14ac:dyDescent="0.2">
      <c r="A2345">
        <v>243</v>
      </c>
      <c r="B2345">
        <v>105</v>
      </c>
      <c r="C2345" t="s">
        <v>20</v>
      </c>
      <c r="D2345" t="s">
        <v>72</v>
      </c>
      <c r="E2345" t="s">
        <v>25</v>
      </c>
      <c r="F2345">
        <v>7</v>
      </c>
      <c r="G2345" t="s">
        <v>13</v>
      </c>
      <c r="H2345" s="1">
        <v>45974.112500000003</v>
      </c>
      <c r="I2345" s="5">
        <f>INT(TB[[#This Row],[时间戳]])</f>
        <v>45974</v>
      </c>
      <c r="J2345" s="2">
        <f>HOUR(TB[[#This Row],[时间戳]])</f>
        <v>2</v>
      </c>
      <c r="K2345">
        <v>4992</v>
      </c>
      <c r="L2345">
        <v>5</v>
      </c>
      <c r="M2345">
        <f>TB[[#This Row],[售价]]*TB[[#This Row],[销量]]</f>
        <v>24960</v>
      </c>
      <c r="N2345" t="str">
        <f>IF(TB[[#This Row],[售价]]&lt;1000,"低价商品",IF(TB[[#This Row],[售价]]&lt;5000,"中价商品",IF(TB[[#This Row],[售价]]&lt;10000,"高价商品","超高价商品")))</f>
        <v>中价商品</v>
      </c>
    </row>
    <row r="2346" spans="1:14" x14ac:dyDescent="0.2">
      <c r="A2346">
        <v>426</v>
      </c>
      <c r="B2346">
        <v>37</v>
      </c>
      <c r="C2346" t="s">
        <v>34</v>
      </c>
      <c r="D2346" t="s">
        <v>374</v>
      </c>
      <c r="E2346" t="s">
        <v>25</v>
      </c>
      <c r="F2346">
        <v>7</v>
      </c>
      <c r="G2346" t="s">
        <v>13</v>
      </c>
      <c r="H2346" s="1">
        <v>45974.164583333331</v>
      </c>
      <c r="I2346" s="5">
        <f>INT(TB[[#This Row],[时间戳]])</f>
        <v>45974</v>
      </c>
      <c r="J2346" s="2">
        <f>HOUR(TB[[#This Row],[时间戳]])</f>
        <v>3</v>
      </c>
      <c r="K2346">
        <v>4260</v>
      </c>
      <c r="L2346">
        <v>5</v>
      </c>
      <c r="M2346">
        <f>TB[[#This Row],[售价]]*TB[[#This Row],[销量]]</f>
        <v>21300</v>
      </c>
      <c r="N2346" t="str">
        <f>IF(TB[[#This Row],[售价]]&lt;1000,"低价商品",IF(TB[[#This Row],[售价]]&lt;5000,"中价商品",IF(TB[[#This Row],[售价]]&lt;10000,"高价商品","超高价商品")))</f>
        <v>中价商品</v>
      </c>
    </row>
    <row r="2347" spans="1:14" x14ac:dyDescent="0.2">
      <c r="A2347">
        <v>26</v>
      </c>
      <c r="B2347">
        <v>168</v>
      </c>
      <c r="C2347" t="s">
        <v>36</v>
      </c>
      <c r="D2347" t="s">
        <v>310</v>
      </c>
      <c r="E2347" t="s">
        <v>39</v>
      </c>
      <c r="F2347">
        <v>5</v>
      </c>
      <c r="G2347" t="s">
        <v>13</v>
      </c>
      <c r="H2347" s="1">
        <v>45974.18472222222</v>
      </c>
      <c r="I2347" s="5">
        <f>INT(TB[[#This Row],[时间戳]])</f>
        <v>45974</v>
      </c>
      <c r="J2347" s="2">
        <f>HOUR(TB[[#This Row],[时间戳]])</f>
        <v>4</v>
      </c>
      <c r="K2347">
        <v>3447</v>
      </c>
      <c r="L2347">
        <v>3</v>
      </c>
      <c r="M2347">
        <f>TB[[#This Row],[售价]]*TB[[#This Row],[销量]]</f>
        <v>10341</v>
      </c>
      <c r="N2347" t="str">
        <f>IF(TB[[#This Row],[售价]]&lt;1000,"低价商品",IF(TB[[#This Row],[售价]]&lt;5000,"中价商品",IF(TB[[#This Row],[售价]]&lt;10000,"高价商品","超高价商品")))</f>
        <v>中价商品</v>
      </c>
    </row>
    <row r="2348" spans="1:14" x14ac:dyDescent="0.2">
      <c r="A2348">
        <v>668</v>
      </c>
      <c r="B2348">
        <v>192</v>
      </c>
      <c r="C2348" t="s">
        <v>34</v>
      </c>
      <c r="D2348" t="s">
        <v>253</v>
      </c>
      <c r="E2348" t="s">
        <v>25</v>
      </c>
      <c r="F2348">
        <v>7</v>
      </c>
      <c r="G2348" t="s">
        <v>13</v>
      </c>
      <c r="H2348" s="1">
        <v>45974.205555555556</v>
      </c>
      <c r="I2348" s="5">
        <f>INT(TB[[#This Row],[时间戳]])</f>
        <v>45974</v>
      </c>
      <c r="J2348" s="2">
        <f>HOUR(TB[[#This Row],[时间戳]])</f>
        <v>4</v>
      </c>
      <c r="K2348">
        <v>6456</v>
      </c>
      <c r="L2348">
        <v>5</v>
      </c>
      <c r="M2348">
        <f>TB[[#This Row],[售价]]*TB[[#This Row],[销量]]</f>
        <v>32280</v>
      </c>
      <c r="N2348" t="str">
        <f>IF(TB[[#This Row],[售价]]&lt;1000,"低价商品",IF(TB[[#This Row],[售价]]&lt;5000,"中价商品",IF(TB[[#This Row],[售价]]&lt;10000,"高价商品","超高价商品")))</f>
        <v>高价商品</v>
      </c>
    </row>
    <row r="2349" spans="1:14" x14ac:dyDescent="0.2">
      <c r="A2349">
        <v>165</v>
      </c>
      <c r="B2349">
        <v>189</v>
      </c>
      <c r="C2349" t="s">
        <v>46</v>
      </c>
      <c r="D2349" t="s">
        <v>159</v>
      </c>
      <c r="E2349" t="s">
        <v>16</v>
      </c>
      <c r="F2349">
        <v>6</v>
      </c>
      <c r="G2349" t="s">
        <v>13</v>
      </c>
      <c r="H2349" s="1">
        <v>45974.213888888888</v>
      </c>
      <c r="I2349" s="5">
        <f>INT(TB[[#This Row],[时间戳]])</f>
        <v>45974</v>
      </c>
      <c r="J2349" s="2">
        <f>HOUR(TB[[#This Row],[时间戳]])</f>
        <v>5</v>
      </c>
      <c r="K2349">
        <v>9661</v>
      </c>
      <c r="L2349">
        <v>5</v>
      </c>
      <c r="M2349">
        <f>TB[[#This Row],[售价]]*TB[[#This Row],[销量]]</f>
        <v>48305</v>
      </c>
      <c r="N2349" t="str">
        <f>IF(TB[[#This Row],[售价]]&lt;1000,"低价商品",IF(TB[[#This Row],[售价]]&lt;5000,"中价商品",IF(TB[[#This Row],[售价]]&lt;10000,"高价商品","超高价商品")))</f>
        <v>高价商品</v>
      </c>
    </row>
    <row r="2350" spans="1:14" x14ac:dyDescent="0.2">
      <c r="A2350">
        <v>27</v>
      </c>
      <c r="B2350">
        <v>55</v>
      </c>
      <c r="C2350" t="s">
        <v>26</v>
      </c>
      <c r="D2350" t="s">
        <v>48</v>
      </c>
      <c r="E2350" t="s">
        <v>31</v>
      </c>
      <c r="F2350">
        <v>4</v>
      </c>
      <c r="G2350" t="s">
        <v>13</v>
      </c>
      <c r="H2350" s="1">
        <v>45974.230555555558</v>
      </c>
      <c r="I2350" s="5">
        <f>INT(TB[[#This Row],[时间戳]])</f>
        <v>45974</v>
      </c>
      <c r="J2350" s="2">
        <f>HOUR(TB[[#This Row],[时间戳]])</f>
        <v>5</v>
      </c>
      <c r="K2350">
        <v>89</v>
      </c>
      <c r="L2350">
        <v>5</v>
      </c>
      <c r="M2350">
        <f>TB[[#This Row],[售价]]*TB[[#This Row],[销量]]</f>
        <v>445</v>
      </c>
      <c r="N2350" t="str">
        <f>IF(TB[[#This Row],[售价]]&lt;1000,"低价商品",IF(TB[[#This Row],[售价]]&lt;5000,"中价商品",IF(TB[[#This Row],[售价]]&lt;10000,"高价商品","超高价商品")))</f>
        <v>低价商品</v>
      </c>
    </row>
    <row r="2351" spans="1:14" x14ac:dyDescent="0.2">
      <c r="A2351">
        <v>733</v>
      </c>
      <c r="B2351">
        <v>261</v>
      </c>
      <c r="C2351" t="s">
        <v>34</v>
      </c>
      <c r="D2351" t="s">
        <v>164</v>
      </c>
      <c r="E2351" t="s">
        <v>22</v>
      </c>
      <c r="F2351">
        <v>1</v>
      </c>
      <c r="G2351" t="s">
        <v>13</v>
      </c>
      <c r="H2351" s="1">
        <v>45974.230555555558</v>
      </c>
      <c r="I2351" s="5">
        <f>INT(TB[[#This Row],[时间戳]])</f>
        <v>45974</v>
      </c>
      <c r="J2351" s="2">
        <f>HOUR(TB[[#This Row],[时间戳]])</f>
        <v>5</v>
      </c>
      <c r="K2351">
        <v>5897</v>
      </c>
      <c r="L2351">
        <v>5</v>
      </c>
      <c r="M2351">
        <f>TB[[#This Row],[售价]]*TB[[#This Row],[销量]]</f>
        <v>29485</v>
      </c>
      <c r="N2351" t="str">
        <f>IF(TB[[#This Row],[售价]]&lt;1000,"低价商品",IF(TB[[#This Row],[售价]]&lt;5000,"中价商品",IF(TB[[#This Row],[售价]]&lt;10000,"高价商品","超高价商品")))</f>
        <v>高价商品</v>
      </c>
    </row>
    <row r="2352" spans="1:14" x14ac:dyDescent="0.2">
      <c r="A2352">
        <v>388</v>
      </c>
      <c r="B2352">
        <v>299</v>
      </c>
      <c r="C2352" t="s">
        <v>34</v>
      </c>
      <c r="D2352" t="s">
        <v>82</v>
      </c>
      <c r="E2352" t="s">
        <v>31</v>
      </c>
      <c r="F2352">
        <v>4</v>
      </c>
      <c r="G2352" t="s">
        <v>13</v>
      </c>
      <c r="H2352" s="1">
        <v>45974.249305555553</v>
      </c>
      <c r="I2352" s="5">
        <f>INT(TB[[#This Row],[时间戳]])</f>
        <v>45974</v>
      </c>
      <c r="J2352" s="2">
        <f>HOUR(TB[[#This Row],[时间戳]])</f>
        <v>5</v>
      </c>
      <c r="K2352">
        <v>1404</v>
      </c>
      <c r="L2352">
        <v>3</v>
      </c>
      <c r="M2352">
        <f>TB[[#This Row],[售价]]*TB[[#This Row],[销量]]</f>
        <v>4212</v>
      </c>
      <c r="N2352" t="str">
        <f>IF(TB[[#This Row],[售价]]&lt;1000,"低价商品",IF(TB[[#This Row],[售价]]&lt;5000,"中价商品",IF(TB[[#This Row],[售价]]&lt;10000,"高价商品","超高价商品")))</f>
        <v>中价商品</v>
      </c>
    </row>
    <row r="2353" spans="1:14" x14ac:dyDescent="0.2">
      <c r="A2353">
        <v>781</v>
      </c>
      <c r="B2353">
        <v>41</v>
      </c>
      <c r="C2353" t="s">
        <v>26</v>
      </c>
      <c r="D2353" t="s">
        <v>299</v>
      </c>
      <c r="E2353" t="s">
        <v>19</v>
      </c>
      <c r="F2353">
        <v>3</v>
      </c>
      <c r="G2353" t="s">
        <v>13</v>
      </c>
      <c r="H2353" s="1">
        <v>45974.294444444444</v>
      </c>
      <c r="I2353" s="5">
        <f>INT(TB[[#This Row],[时间戳]])</f>
        <v>45974</v>
      </c>
      <c r="J2353" s="2">
        <f>HOUR(TB[[#This Row],[时间戳]])</f>
        <v>7</v>
      </c>
      <c r="K2353">
        <v>1903</v>
      </c>
      <c r="L2353">
        <v>3</v>
      </c>
      <c r="M2353">
        <f>TB[[#This Row],[售价]]*TB[[#This Row],[销量]]</f>
        <v>5709</v>
      </c>
      <c r="N2353" t="str">
        <f>IF(TB[[#This Row],[售价]]&lt;1000,"低价商品",IF(TB[[#This Row],[售价]]&lt;5000,"中价商品",IF(TB[[#This Row],[售价]]&lt;10000,"高价商品","超高价商品")))</f>
        <v>中价商品</v>
      </c>
    </row>
    <row r="2354" spans="1:14" x14ac:dyDescent="0.2">
      <c r="A2354">
        <v>589</v>
      </c>
      <c r="B2354">
        <v>281</v>
      </c>
      <c r="C2354" t="s">
        <v>46</v>
      </c>
      <c r="D2354" t="s">
        <v>141</v>
      </c>
      <c r="E2354" t="s">
        <v>22</v>
      </c>
      <c r="F2354">
        <v>1</v>
      </c>
      <c r="G2354" t="s">
        <v>13</v>
      </c>
      <c r="H2354" s="1">
        <v>45974.311805555553</v>
      </c>
      <c r="I2354" s="5">
        <f>INT(TB[[#This Row],[时间戳]])</f>
        <v>45974</v>
      </c>
      <c r="J2354" s="2">
        <f>HOUR(TB[[#This Row],[时间戳]])</f>
        <v>7</v>
      </c>
      <c r="K2354">
        <v>1547</v>
      </c>
      <c r="L2354">
        <v>5</v>
      </c>
      <c r="M2354">
        <f>TB[[#This Row],[售价]]*TB[[#This Row],[销量]]</f>
        <v>7735</v>
      </c>
      <c r="N2354" t="str">
        <f>IF(TB[[#This Row],[售价]]&lt;1000,"低价商品",IF(TB[[#This Row],[售价]]&lt;5000,"中价商品",IF(TB[[#This Row],[售价]]&lt;10000,"高价商品","超高价商品")))</f>
        <v>中价商品</v>
      </c>
    </row>
    <row r="2355" spans="1:14" x14ac:dyDescent="0.2">
      <c r="A2355">
        <v>125</v>
      </c>
      <c r="B2355">
        <v>271</v>
      </c>
      <c r="C2355" t="s">
        <v>20</v>
      </c>
      <c r="D2355" t="s">
        <v>334</v>
      </c>
      <c r="E2355" t="s">
        <v>22</v>
      </c>
      <c r="F2355">
        <v>1</v>
      </c>
      <c r="G2355" t="s">
        <v>13</v>
      </c>
      <c r="H2355" s="1">
        <v>45974.35</v>
      </c>
      <c r="I2355" s="5">
        <f>INT(TB[[#This Row],[时间戳]])</f>
        <v>45974</v>
      </c>
      <c r="J2355" s="2">
        <f>HOUR(TB[[#This Row],[时间戳]])</f>
        <v>8</v>
      </c>
      <c r="K2355">
        <v>7026</v>
      </c>
      <c r="L2355">
        <v>3</v>
      </c>
      <c r="M2355">
        <f>TB[[#This Row],[售价]]*TB[[#This Row],[销量]]</f>
        <v>21078</v>
      </c>
      <c r="N2355" t="str">
        <f>IF(TB[[#This Row],[售价]]&lt;1000,"低价商品",IF(TB[[#This Row],[售价]]&lt;5000,"中价商品",IF(TB[[#This Row],[售价]]&lt;10000,"高价商品","超高价商品")))</f>
        <v>高价商品</v>
      </c>
    </row>
    <row r="2356" spans="1:14" x14ac:dyDescent="0.2">
      <c r="A2356">
        <v>676</v>
      </c>
      <c r="B2356">
        <v>269</v>
      </c>
      <c r="C2356" t="s">
        <v>46</v>
      </c>
      <c r="D2356" t="s">
        <v>47</v>
      </c>
      <c r="E2356" t="s">
        <v>22</v>
      </c>
      <c r="F2356">
        <v>1</v>
      </c>
      <c r="G2356" t="s">
        <v>42</v>
      </c>
      <c r="H2356" s="1">
        <v>45974.373611111114</v>
      </c>
      <c r="I2356" s="5">
        <f>INT(TB[[#This Row],[时间戳]])</f>
        <v>45974</v>
      </c>
      <c r="J2356" s="2">
        <f>HOUR(TB[[#This Row],[时间戳]])</f>
        <v>8</v>
      </c>
      <c r="K2356">
        <v>7364</v>
      </c>
      <c r="L2356">
        <v>0</v>
      </c>
      <c r="M2356">
        <f>TB[[#This Row],[售价]]*TB[[#This Row],[销量]]</f>
        <v>0</v>
      </c>
      <c r="N2356" t="str">
        <f>IF(TB[[#This Row],[售价]]&lt;1000,"低价商品",IF(TB[[#This Row],[售价]]&lt;5000,"中价商品",IF(TB[[#This Row],[售价]]&lt;10000,"高价商品","超高价商品")))</f>
        <v>高价商品</v>
      </c>
    </row>
    <row r="2357" spans="1:14" x14ac:dyDescent="0.2">
      <c r="A2357">
        <v>200</v>
      </c>
      <c r="B2357">
        <v>295</v>
      </c>
      <c r="C2357" t="s">
        <v>34</v>
      </c>
      <c r="D2357" t="s">
        <v>248</v>
      </c>
      <c r="E2357" t="s">
        <v>22</v>
      </c>
      <c r="F2357">
        <v>1</v>
      </c>
      <c r="G2357" t="s">
        <v>13</v>
      </c>
      <c r="H2357" s="1">
        <v>45974.375694444447</v>
      </c>
      <c r="I2357" s="5">
        <f>INT(TB[[#This Row],[时间戳]])</f>
        <v>45974</v>
      </c>
      <c r="J2357" s="2">
        <f>HOUR(TB[[#This Row],[时间戳]])</f>
        <v>9</v>
      </c>
      <c r="K2357">
        <v>5287</v>
      </c>
      <c r="L2357">
        <v>5</v>
      </c>
      <c r="M2357">
        <f>TB[[#This Row],[售价]]*TB[[#This Row],[销量]]</f>
        <v>26435</v>
      </c>
      <c r="N2357" t="str">
        <f>IF(TB[[#This Row],[售价]]&lt;1000,"低价商品",IF(TB[[#This Row],[售价]]&lt;5000,"中价商品",IF(TB[[#This Row],[售价]]&lt;10000,"高价商品","超高价商品")))</f>
        <v>高价商品</v>
      </c>
    </row>
    <row r="2358" spans="1:14" x14ac:dyDescent="0.2">
      <c r="A2358">
        <v>787</v>
      </c>
      <c r="B2358">
        <v>186</v>
      </c>
      <c r="C2358" t="s">
        <v>34</v>
      </c>
      <c r="D2358" t="s">
        <v>82</v>
      </c>
      <c r="E2358" t="s">
        <v>31</v>
      </c>
      <c r="F2358">
        <v>4</v>
      </c>
      <c r="G2358" t="s">
        <v>13</v>
      </c>
      <c r="H2358" s="1">
        <v>45974.418749999997</v>
      </c>
      <c r="I2358" s="5">
        <f>INT(TB[[#This Row],[时间戳]])</f>
        <v>45974</v>
      </c>
      <c r="J2358" s="2">
        <f>HOUR(TB[[#This Row],[时间戳]])</f>
        <v>10</v>
      </c>
      <c r="K2358">
        <v>574</v>
      </c>
      <c r="L2358">
        <v>5</v>
      </c>
      <c r="M2358">
        <f>TB[[#This Row],[售价]]*TB[[#This Row],[销量]]</f>
        <v>2870</v>
      </c>
      <c r="N2358" t="str">
        <f>IF(TB[[#This Row],[售价]]&lt;1000,"低价商品",IF(TB[[#This Row],[售价]]&lt;5000,"中价商品",IF(TB[[#This Row],[售价]]&lt;10000,"高价商品","超高价商品")))</f>
        <v>低价商品</v>
      </c>
    </row>
    <row r="2359" spans="1:14" x14ac:dyDescent="0.2">
      <c r="A2359">
        <v>119</v>
      </c>
      <c r="B2359">
        <v>124</v>
      </c>
      <c r="C2359" t="s">
        <v>34</v>
      </c>
      <c r="D2359" t="s">
        <v>374</v>
      </c>
      <c r="E2359" t="s">
        <v>25</v>
      </c>
      <c r="F2359">
        <v>7</v>
      </c>
      <c r="G2359" t="s">
        <v>13</v>
      </c>
      <c r="H2359" s="1">
        <v>45974.420138888891</v>
      </c>
      <c r="I2359" s="5">
        <f>INT(TB[[#This Row],[时间戳]])</f>
        <v>45974</v>
      </c>
      <c r="J2359" s="2">
        <f>HOUR(TB[[#This Row],[时间戳]])</f>
        <v>10</v>
      </c>
      <c r="K2359">
        <v>3424</v>
      </c>
      <c r="L2359">
        <v>5</v>
      </c>
      <c r="M2359">
        <f>TB[[#This Row],[售价]]*TB[[#This Row],[销量]]</f>
        <v>17120</v>
      </c>
      <c r="N2359" t="str">
        <f>IF(TB[[#This Row],[售价]]&lt;1000,"低价商品",IF(TB[[#This Row],[售价]]&lt;5000,"中价商品",IF(TB[[#This Row],[售价]]&lt;10000,"高价商品","超高价商品")))</f>
        <v>中价商品</v>
      </c>
    </row>
    <row r="2360" spans="1:14" x14ac:dyDescent="0.2">
      <c r="A2360">
        <v>82</v>
      </c>
      <c r="B2360">
        <v>181</v>
      </c>
      <c r="C2360" t="s">
        <v>17</v>
      </c>
      <c r="D2360" t="s">
        <v>67</v>
      </c>
      <c r="E2360" t="s">
        <v>39</v>
      </c>
      <c r="F2360">
        <v>5</v>
      </c>
      <c r="G2360" t="s">
        <v>42</v>
      </c>
      <c r="H2360" s="1">
        <v>45974.434027777781</v>
      </c>
      <c r="I2360" s="5">
        <f>INT(TB[[#This Row],[时间戳]])</f>
        <v>45974</v>
      </c>
      <c r="J2360" s="2">
        <f>HOUR(TB[[#This Row],[时间戳]])</f>
        <v>10</v>
      </c>
      <c r="K2360">
        <v>2797</v>
      </c>
      <c r="L2360">
        <v>0</v>
      </c>
      <c r="M2360">
        <f>TB[[#This Row],[售价]]*TB[[#This Row],[销量]]</f>
        <v>0</v>
      </c>
      <c r="N2360" t="str">
        <f>IF(TB[[#This Row],[售价]]&lt;1000,"低价商品",IF(TB[[#This Row],[售价]]&lt;5000,"中价商品",IF(TB[[#This Row],[售价]]&lt;10000,"高价商品","超高价商品")))</f>
        <v>中价商品</v>
      </c>
    </row>
    <row r="2361" spans="1:14" x14ac:dyDescent="0.2">
      <c r="A2361">
        <v>670</v>
      </c>
      <c r="B2361">
        <v>248</v>
      </c>
      <c r="C2361" t="s">
        <v>14</v>
      </c>
      <c r="D2361" t="s">
        <v>305</v>
      </c>
      <c r="E2361" t="s">
        <v>25</v>
      </c>
      <c r="F2361">
        <v>7</v>
      </c>
      <c r="G2361" t="s">
        <v>13</v>
      </c>
      <c r="H2361" s="1">
        <v>45974.436805555553</v>
      </c>
      <c r="I2361" s="5">
        <f>INT(TB[[#This Row],[时间戳]])</f>
        <v>45974</v>
      </c>
      <c r="J2361" s="2">
        <f>HOUR(TB[[#This Row],[时间戳]])</f>
        <v>10</v>
      </c>
      <c r="K2361">
        <v>6149</v>
      </c>
      <c r="L2361">
        <v>5</v>
      </c>
      <c r="M2361">
        <f>TB[[#This Row],[售价]]*TB[[#This Row],[销量]]</f>
        <v>30745</v>
      </c>
      <c r="N2361" t="str">
        <f>IF(TB[[#This Row],[售价]]&lt;1000,"低价商品",IF(TB[[#This Row],[售价]]&lt;5000,"中价商品",IF(TB[[#This Row],[售价]]&lt;10000,"高价商品","超高价商品")))</f>
        <v>高价商品</v>
      </c>
    </row>
    <row r="2362" spans="1:14" x14ac:dyDescent="0.2">
      <c r="A2362">
        <v>236</v>
      </c>
      <c r="B2362">
        <v>292</v>
      </c>
      <c r="C2362" t="s">
        <v>44</v>
      </c>
      <c r="D2362" t="s">
        <v>169</v>
      </c>
      <c r="E2362" t="s">
        <v>31</v>
      </c>
      <c r="F2362">
        <v>4</v>
      </c>
      <c r="G2362" t="s">
        <v>13</v>
      </c>
      <c r="H2362" s="1">
        <v>45974.436805555553</v>
      </c>
      <c r="I2362" s="5">
        <f>INT(TB[[#This Row],[时间戳]])</f>
        <v>45974</v>
      </c>
      <c r="J2362" s="2">
        <f>HOUR(TB[[#This Row],[时间戳]])</f>
        <v>10</v>
      </c>
      <c r="K2362">
        <v>1206</v>
      </c>
      <c r="L2362">
        <v>5</v>
      </c>
      <c r="M2362">
        <f>TB[[#This Row],[售价]]*TB[[#This Row],[销量]]</f>
        <v>6030</v>
      </c>
      <c r="N2362" t="str">
        <f>IF(TB[[#This Row],[售价]]&lt;1000,"低价商品",IF(TB[[#This Row],[售价]]&lt;5000,"中价商品",IF(TB[[#This Row],[售价]]&lt;10000,"高价商品","超高价商品")))</f>
        <v>中价商品</v>
      </c>
    </row>
    <row r="2363" spans="1:14" x14ac:dyDescent="0.2">
      <c r="A2363">
        <v>691</v>
      </c>
      <c r="B2363">
        <v>300</v>
      </c>
      <c r="C2363" t="s">
        <v>32</v>
      </c>
      <c r="D2363" t="s">
        <v>79</v>
      </c>
      <c r="E2363" t="s">
        <v>31</v>
      </c>
      <c r="F2363">
        <v>4</v>
      </c>
      <c r="G2363" t="s">
        <v>13</v>
      </c>
      <c r="H2363" s="1">
        <v>45974.447222222225</v>
      </c>
      <c r="I2363" s="5">
        <f>INT(TB[[#This Row],[时间戳]])</f>
        <v>45974</v>
      </c>
      <c r="J2363" s="2">
        <f>HOUR(TB[[#This Row],[时间戳]])</f>
        <v>10</v>
      </c>
      <c r="K2363">
        <v>381</v>
      </c>
      <c r="L2363">
        <v>3</v>
      </c>
      <c r="M2363">
        <f>TB[[#This Row],[售价]]*TB[[#This Row],[销量]]</f>
        <v>1143</v>
      </c>
      <c r="N2363" t="str">
        <f>IF(TB[[#This Row],[售价]]&lt;1000,"低价商品",IF(TB[[#This Row],[售价]]&lt;5000,"中价商品",IF(TB[[#This Row],[售价]]&lt;10000,"高价商品","超高价商品")))</f>
        <v>低价商品</v>
      </c>
    </row>
    <row r="2364" spans="1:14" x14ac:dyDescent="0.2">
      <c r="A2364">
        <v>294</v>
      </c>
      <c r="B2364">
        <v>175</v>
      </c>
      <c r="C2364" t="s">
        <v>46</v>
      </c>
      <c r="D2364" t="s">
        <v>104</v>
      </c>
      <c r="E2364" t="s">
        <v>12</v>
      </c>
      <c r="F2364">
        <v>2</v>
      </c>
      <c r="G2364" t="s">
        <v>13</v>
      </c>
      <c r="H2364" s="1">
        <v>45974.453472222223</v>
      </c>
      <c r="I2364" s="5">
        <f>INT(TB[[#This Row],[时间戳]])</f>
        <v>45974</v>
      </c>
      <c r="J2364" s="2">
        <f>HOUR(TB[[#This Row],[时间戳]])</f>
        <v>10</v>
      </c>
      <c r="K2364">
        <v>14780</v>
      </c>
      <c r="L2364">
        <v>3</v>
      </c>
      <c r="M2364">
        <f>TB[[#This Row],[售价]]*TB[[#This Row],[销量]]</f>
        <v>44340</v>
      </c>
      <c r="N2364" t="str">
        <f>IF(TB[[#This Row],[售价]]&lt;1000,"低价商品",IF(TB[[#This Row],[售价]]&lt;5000,"中价商品",IF(TB[[#This Row],[售价]]&lt;10000,"高价商品","超高价商品")))</f>
        <v>超高价商品</v>
      </c>
    </row>
    <row r="2365" spans="1:14" x14ac:dyDescent="0.2">
      <c r="A2365">
        <v>432</v>
      </c>
      <c r="B2365">
        <v>259</v>
      </c>
      <c r="C2365" t="s">
        <v>14</v>
      </c>
      <c r="D2365" t="s">
        <v>357</v>
      </c>
      <c r="E2365" t="s">
        <v>16</v>
      </c>
      <c r="F2365">
        <v>6</v>
      </c>
      <c r="G2365" t="s">
        <v>42</v>
      </c>
      <c r="H2365" s="1">
        <v>45974.46597222222</v>
      </c>
      <c r="I2365" s="5">
        <f>INT(TB[[#This Row],[时间戳]])</f>
        <v>45974</v>
      </c>
      <c r="J2365" s="2">
        <f>HOUR(TB[[#This Row],[时间戳]])</f>
        <v>11</v>
      </c>
      <c r="K2365">
        <v>7002</v>
      </c>
      <c r="L2365">
        <v>0</v>
      </c>
      <c r="M2365">
        <f>TB[[#This Row],[售价]]*TB[[#This Row],[销量]]</f>
        <v>0</v>
      </c>
      <c r="N2365" t="str">
        <f>IF(TB[[#This Row],[售价]]&lt;1000,"低价商品",IF(TB[[#This Row],[售价]]&lt;5000,"中价商品",IF(TB[[#This Row],[售价]]&lt;10000,"高价商品","超高价商品")))</f>
        <v>高价商品</v>
      </c>
    </row>
    <row r="2366" spans="1:14" x14ac:dyDescent="0.2">
      <c r="A2366">
        <v>792</v>
      </c>
      <c r="B2366">
        <v>102</v>
      </c>
      <c r="C2366" t="s">
        <v>44</v>
      </c>
      <c r="D2366" t="s">
        <v>372</v>
      </c>
      <c r="E2366" t="s">
        <v>22</v>
      </c>
      <c r="F2366">
        <v>1</v>
      </c>
      <c r="G2366" t="s">
        <v>13</v>
      </c>
      <c r="H2366" s="1">
        <v>45974.481944444444</v>
      </c>
      <c r="I2366" s="5">
        <f>INT(TB[[#This Row],[时间戳]])</f>
        <v>45974</v>
      </c>
      <c r="J2366" s="2">
        <f>HOUR(TB[[#This Row],[时间戳]])</f>
        <v>11</v>
      </c>
      <c r="K2366">
        <v>2309</v>
      </c>
      <c r="L2366">
        <v>5</v>
      </c>
      <c r="M2366">
        <f>TB[[#This Row],[售价]]*TB[[#This Row],[销量]]</f>
        <v>11545</v>
      </c>
      <c r="N2366" t="str">
        <f>IF(TB[[#This Row],[售价]]&lt;1000,"低价商品",IF(TB[[#This Row],[售价]]&lt;5000,"中价商品",IF(TB[[#This Row],[售价]]&lt;10000,"高价商品","超高价商品")))</f>
        <v>中价商品</v>
      </c>
    </row>
    <row r="2367" spans="1:14" x14ac:dyDescent="0.2">
      <c r="A2367">
        <v>124</v>
      </c>
      <c r="B2367">
        <v>215</v>
      </c>
      <c r="C2367" t="s">
        <v>10</v>
      </c>
      <c r="D2367" t="s">
        <v>41</v>
      </c>
      <c r="E2367" t="s">
        <v>22</v>
      </c>
      <c r="F2367">
        <v>1</v>
      </c>
      <c r="G2367" t="s">
        <v>13</v>
      </c>
      <c r="H2367" s="1">
        <v>45974.482638888891</v>
      </c>
      <c r="I2367" s="5">
        <f>INT(TB[[#This Row],[时间戳]])</f>
        <v>45974</v>
      </c>
      <c r="J2367" s="2">
        <f>HOUR(TB[[#This Row],[时间戳]])</f>
        <v>11</v>
      </c>
      <c r="K2367">
        <v>2505</v>
      </c>
      <c r="L2367">
        <v>5</v>
      </c>
      <c r="M2367">
        <f>TB[[#This Row],[售价]]*TB[[#This Row],[销量]]</f>
        <v>12525</v>
      </c>
      <c r="N2367" t="str">
        <f>IF(TB[[#This Row],[售价]]&lt;1000,"低价商品",IF(TB[[#This Row],[售价]]&lt;5000,"中价商品",IF(TB[[#This Row],[售价]]&lt;10000,"高价商品","超高价商品")))</f>
        <v>中价商品</v>
      </c>
    </row>
    <row r="2368" spans="1:14" x14ac:dyDescent="0.2">
      <c r="A2368">
        <v>482</v>
      </c>
      <c r="B2368">
        <v>52</v>
      </c>
      <c r="C2368" t="s">
        <v>20</v>
      </c>
      <c r="D2368" t="s">
        <v>204</v>
      </c>
      <c r="E2368" t="s">
        <v>25</v>
      </c>
      <c r="F2368">
        <v>7</v>
      </c>
      <c r="G2368" t="s">
        <v>13</v>
      </c>
      <c r="H2368" s="1">
        <v>45974.484722222223</v>
      </c>
      <c r="I2368" s="5">
        <f>INT(TB[[#This Row],[时间戳]])</f>
        <v>45974</v>
      </c>
      <c r="J2368" s="2">
        <f>HOUR(TB[[#This Row],[时间戳]])</f>
        <v>11</v>
      </c>
      <c r="K2368">
        <v>3848</v>
      </c>
      <c r="L2368">
        <v>5</v>
      </c>
      <c r="M2368">
        <f>TB[[#This Row],[售价]]*TB[[#This Row],[销量]]</f>
        <v>19240</v>
      </c>
      <c r="N2368" t="str">
        <f>IF(TB[[#This Row],[售价]]&lt;1000,"低价商品",IF(TB[[#This Row],[售价]]&lt;5000,"中价商品",IF(TB[[#This Row],[售价]]&lt;10000,"高价商品","超高价商品")))</f>
        <v>中价商品</v>
      </c>
    </row>
    <row r="2369" spans="1:14" x14ac:dyDescent="0.2">
      <c r="A2369">
        <v>707</v>
      </c>
      <c r="B2369">
        <v>86</v>
      </c>
      <c r="C2369" t="s">
        <v>17</v>
      </c>
      <c r="D2369" t="s">
        <v>194</v>
      </c>
      <c r="E2369" t="s">
        <v>16</v>
      </c>
      <c r="F2369">
        <v>6</v>
      </c>
      <c r="G2369" t="s">
        <v>13</v>
      </c>
      <c r="H2369" s="1">
        <v>45974.5</v>
      </c>
      <c r="I2369" s="5">
        <f>INT(TB[[#This Row],[时间戳]])</f>
        <v>45974</v>
      </c>
      <c r="J2369" s="2">
        <f>HOUR(TB[[#This Row],[时间戳]])</f>
        <v>12</v>
      </c>
      <c r="K2369">
        <v>3887</v>
      </c>
      <c r="L2369">
        <v>5</v>
      </c>
      <c r="M2369">
        <f>TB[[#This Row],[售价]]*TB[[#This Row],[销量]]</f>
        <v>19435</v>
      </c>
      <c r="N2369" t="str">
        <f>IF(TB[[#This Row],[售价]]&lt;1000,"低价商品",IF(TB[[#This Row],[售价]]&lt;5000,"中价商品",IF(TB[[#This Row],[售价]]&lt;10000,"高价商品","超高价商品")))</f>
        <v>中价商品</v>
      </c>
    </row>
    <row r="2370" spans="1:14" x14ac:dyDescent="0.2">
      <c r="A2370">
        <v>398</v>
      </c>
      <c r="B2370">
        <v>217</v>
      </c>
      <c r="C2370" t="s">
        <v>20</v>
      </c>
      <c r="D2370" t="s">
        <v>412</v>
      </c>
      <c r="E2370" t="s">
        <v>12</v>
      </c>
      <c r="F2370">
        <v>2</v>
      </c>
      <c r="G2370" t="s">
        <v>13</v>
      </c>
      <c r="H2370" s="1">
        <v>45974.507638888892</v>
      </c>
      <c r="I2370" s="5">
        <f>INT(TB[[#This Row],[时间戳]])</f>
        <v>45974</v>
      </c>
      <c r="J2370" s="2">
        <f>HOUR(TB[[#This Row],[时间戳]])</f>
        <v>12</v>
      </c>
      <c r="K2370">
        <v>5063</v>
      </c>
      <c r="L2370">
        <v>3</v>
      </c>
      <c r="M2370">
        <f>TB[[#This Row],[售价]]*TB[[#This Row],[销量]]</f>
        <v>15189</v>
      </c>
      <c r="N2370" t="str">
        <f>IF(TB[[#This Row],[售价]]&lt;1000,"低价商品",IF(TB[[#This Row],[售价]]&lt;5000,"中价商品",IF(TB[[#This Row],[售价]]&lt;10000,"高价商品","超高价商品")))</f>
        <v>高价商品</v>
      </c>
    </row>
    <row r="2371" spans="1:14" x14ac:dyDescent="0.2">
      <c r="A2371">
        <v>248</v>
      </c>
      <c r="B2371">
        <v>151</v>
      </c>
      <c r="C2371" t="s">
        <v>17</v>
      </c>
      <c r="D2371" t="s">
        <v>255</v>
      </c>
      <c r="E2371" t="s">
        <v>31</v>
      </c>
      <c r="F2371">
        <v>4</v>
      </c>
      <c r="G2371" t="s">
        <v>13</v>
      </c>
      <c r="H2371" s="1">
        <v>45974.531944444447</v>
      </c>
      <c r="I2371" s="5">
        <f>INT(TB[[#This Row],[时间戳]])</f>
        <v>45974</v>
      </c>
      <c r="J2371" s="2">
        <f>HOUR(TB[[#This Row],[时间戳]])</f>
        <v>12</v>
      </c>
      <c r="K2371">
        <v>640</v>
      </c>
      <c r="L2371">
        <v>5</v>
      </c>
      <c r="M2371">
        <f>TB[[#This Row],[售价]]*TB[[#This Row],[销量]]</f>
        <v>3200</v>
      </c>
      <c r="N2371" t="str">
        <f>IF(TB[[#This Row],[售价]]&lt;1000,"低价商品",IF(TB[[#This Row],[售价]]&lt;5000,"中价商品",IF(TB[[#This Row],[售价]]&lt;10000,"高价商品","超高价商品")))</f>
        <v>低价商品</v>
      </c>
    </row>
    <row r="2372" spans="1:14" x14ac:dyDescent="0.2">
      <c r="A2372">
        <v>624</v>
      </c>
      <c r="B2372">
        <v>56</v>
      </c>
      <c r="C2372" t="s">
        <v>34</v>
      </c>
      <c r="D2372" t="s">
        <v>203</v>
      </c>
      <c r="E2372" t="s">
        <v>16</v>
      </c>
      <c r="F2372">
        <v>6</v>
      </c>
      <c r="G2372" t="s">
        <v>13</v>
      </c>
      <c r="H2372" s="1">
        <v>45974.551388888889</v>
      </c>
      <c r="I2372" s="5">
        <f>INT(TB[[#This Row],[时间戳]])</f>
        <v>45974</v>
      </c>
      <c r="J2372" s="2">
        <f>HOUR(TB[[#This Row],[时间戳]])</f>
        <v>13</v>
      </c>
      <c r="K2372">
        <v>3922</v>
      </c>
      <c r="L2372">
        <v>3</v>
      </c>
      <c r="M2372">
        <f>TB[[#This Row],[售价]]*TB[[#This Row],[销量]]</f>
        <v>11766</v>
      </c>
      <c r="N2372" t="str">
        <f>IF(TB[[#This Row],[售价]]&lt;1000,"低价商品",IF(TB[[#This Row],[售价]]&lt;5000,"中价商品",IF(TB[[#This Row],[售价]]&lt;10000,"高价商品","超高价商品")))</f>
        <v>中价商品</v>
      </c>
    </row>
    <row r="2373" spans="1:14" x14ac:dyDescent="0.2">
      <c r="A2373">
        <v>419</v>
      </c>
      <c r="B2373">
        <v>231</v>
      </c>
      <c r="C2373" t="s">
        <v>34</v>
      </c>
      <c r="D2373" t="s">
        <v>62</v>
      </c>
      <c r="E2373" t="s">
        <v>31</v>
      </c>
      <c r="F2373">
        <v>4</v>
      </c>
      <c r="G2373" t="s">
        <v>13</v>
      </c>
      <c r="H2373" s="1">
        <v>45974.585416666669</v>
      </c>
      <c r="I2373" s="5">
        <f>INT(TB[[#This Row],[时间戳]])</f>
        <v>45974</v>
      </c>
      <c r="J2373" s="2">
        <f>HOUR(TB[[#This Row],[时间戳]])</f>
        <v>14</v>
      </c>
      <c r="K2373">
        <v>50</v>
      </c>
      <c r="L2373">
        <v>5</v>
      </c>
      <c r="M2373">
        <f>TB[[#This Row],[售价]]*TB[[#This Row],[销量]]</f>
        <v>250</v>
      </c>
      <c r="N2373" t="str">
        <f>IF(TB[[#This Row],[售价]]&lt;1000,"低价商品",IF(TB[[#This Row],[售价]]&lt;5000,"中价商品",IF(TB[[#This Row],[售价]]&lt;10000,"高价商品","超高价商品")))</f>
        <v>低价商品</v>
      </c>
    </row>
    <row r="2374" spans="1:14" x14ac:dyDescent="0.2">
      <c r="A2374">
        <v>717</v>
      </c>
      <c r="B2374">
        <v>69</v>
      </c>
      <c r="C2374" t="s">
        <v>36</v>
      </c>
      <c r="D2374" t="s">
        <v>83</v>
      </c>
      <c r="E2374" t="s">
        <v>22</v>
      </c>
      <c r="F2374">
        <v>1</v>
      </c>
      <c r="G2374" t="s">
        <v>42</v>
      </c>
      <c r="H2374" s="1">
        <v>45974.607638888891</v>
      </c>
      <c r="I2374" s="5">
        <f>INT(TB[[#This Row],[时间戳]])</f>
        <v>45974</v>
      </c>
      <c r="J2374" s="2">
        <f>HOUR(TB[[#This Row],[时间戳]])</f>
        <v>14</v>
      </c>
      <c r="K2374">
        <v>7090</v>
      </c>
      <c r="L2374">
        <v>0</v>
      </c>
      <c r="M2374">
        <f>TB[[#This Row],[售价]]*TB[[#This Row],[销量]]</f>
        <v>0</v>
      </c>
      <c r="N2374" t="str">
        <f>IF(TB[[#This Row],[售价]]&lt;1000,"低价商品",IF(TB[[#This Row],[售价]]&lt;5000,"中价商品",IF(TB[[#This Row],[售价]]&lt;10000,"高价商品","超高价商品")))</f>
        <v>高价商品</v>
      </c>
    </row>
    <row r="2375" spans="1:14" x14ac:dyDescent="0.2">
      <c r="A2375">
        <v>86</v>
      </c>
      <c r="B2375">
        <v>78</v>
      </c>
      <c r="C2375" t="s">
        <v>46</v>
      </c>
      <c r="D2375" t="s">
        <v>141</v>
      </c>
      <c r="E2375" t="s">
        <v>22</v>
      </c>
      <c r="F2375">
        <v>1</v>
      </c>
      <c r="G2375" t="s">
        <v>13</v>
      </c>
      <c r="H2375" s="1">
        <v>45974.617361111108</v>
      </c>
      <c r="I2375" s="5">
        <f>INT(TB[[#This Row],[时间戳]])</f>
        <v>45974</v>
      </c>
      <c r="J2375" s="2">
        <f>HOUR(TB[[#This Row],[时间戳]])</f>
        <v>14</v>
      </c>
      <c r="K2375">
        <v>6901</v>
      </c>
      <c r="L2375">
        <v>5</v>
      </c>
      <c r="M2375">
        <f>TB[[#This Row],[售价]]*TB[[#This Row],[销量]]</f>
        <v>34505</v>
      </c>
      <c r="N2375" t="str">
        <f>IF(TB[[#This Row],[售价]]&lt;1000,"低价商品",IF(TB[[#This Row],[售价]]&lt;5000,"中价商品",IF(TB[[#This Row],[售价]]&lt;10000,"高价商品","超高价商品")))</f>
        <v>高价商品</v>
      </c>
    </row>
    <row r="2376" spans="1:14" x14ac:dyDescent="0.2">
      <c r="A2376">
        <v>691</v>
      </c>
      <c r="B2376">
        <v>233</v>
      </c>
      <c r="C2376" t="s">
        <v>46</v>
      </c>
      <c r="D2376" t="s">
        <v>104</v>
      </c>
      <c r="E2376" t="s">
        <v>12</v>
      </c>
      <c r="F2376">
        <v>2</v>
      </c>
      <c r="G2376" t="s">
        <v>13</v>
      </c>
      <c r="H2376" s="1">
        <v>45974.638194444444</v>
      </c>
      <c r="I2376" s="5">
        <f>INT(TB[[#This Row],[时间戳]])</f>
        <v>45974</v>
      </c>
      <c r="J2376" s="2">
        <f>HOUR(TB[[#This Row],[时间戳]])</f>
        <v>15</v>
      </c>
      <c r="K2376">
        <v>4230</v>
      </c>
      <c r="L2376">
        <v>5</v>
      </c>
      <c r="M2376">
        <f>TB[[#This Row],[售价]]*TB[[#This Row],[销量]]</f>
        <v>21150</v>
      </c>
      <c r="N2376" t="str">
        <f>IF(TB[[#This Row],[售价]]&lt;1000,"低价商品",IF(TB[[#This Row],[售价]]&lt;5000,"中价商品",IF(TB[[#This Row],[售价]]&lt;10000,"高价商品","超高价商品")))</f>
        <v>中价商品</v>
      </c>
    </row>
    <row r="2377" spans="1:14" x14ac:dyDescent="0.2">
      <c r="A2377">
        <v>521</v>
      </c>
      <c r="B2377">
        <v>144</v>
      </c>
      <c r="C2377" t="s">
        <v>44</v>
      </c>
      <c r="D2377" t="s">
        <v>76</v>
      </c>
      <c r="E2377" t="s">
        <v>31</v>
      </c>
      <c r="F2377">
        <v>4</v>
      </c>
      <c r="G2377" t="s">
        <v>13</v>
      </c>
      <c r="H2377" s="1">
        <v>45974.644444444442</v>
      </c>
      <c r="I2377" s="5">
        <f>INT(TB[[#This Row],[时间戳]])</f>
        <v>45974</v>
      </c>
      <c r="J2377" s="2">
        <f>HOUR(TB[[#This Row],[时间戳]])</f>
        <v>15</v>
      </c>
      <c r="K2377">
        <v>790</v>
      </c>
      <c r="L2377">
        <v>3</v>
      </c>
      <c r="M2377">
        <f>TB[[#This Row],[售价]]*TB[[#This Row],[销量]]</f>
        <v>2370</v>
      </c>
      <c r="N2377" t="str">
        <f>IF(TB[[#This Row],[售价]]&lt;1000,"低价商品",IF(TB[[#This Row],[售价]]&lt;5000,"中价商品",IF(TB[[#This Row],[售价]]&lt;10000,"高价商品","超高价商品")))</f>
        <v>低价商品</v>
      </c>
    </row>
    <row r="2378" spans="1:14" x14ac:dyDescent="0.2">
      <c r="A2378">
        <v>350</v>
      </c>
      <c r="B2378">
        <v>25</v>
      </c>
      <c r="C2378" t="s">
        <v>36</v>
      </c>
      <c r="D2378" t="s">
        <v>269</v>
      </c>
      <c r="E2378" t="s">
        <v>19</v>
      </c>
      <c r="F2378">
        <v>3</v>
      </c>
      <c r="G2378" t="s">
        <v>13</v>
      </c>
      <c r="H2378" s="1">
        <v>45974.650694444441</v>
      </c>
      <c r="I2378" s="5">
        <f>INT(TB[[#This Row],[时间戳]])</f>
        <v>45974</v>
      </c>
      <c r="J2378" s="2">
        <f>HOUR(TB[[#This Row],[时间戳]])</f>
        <v>15</v>
      </c>
      <c r="K2378">
        <v>2211</v>
      </c>
      <c r="L2378">
        <v>5</v>
      </c>
      <c r="M2378">
        <f>TB[[#This Row],[售价]]*TB[[#This Row],[销量]]</f>
        <v>11055</v>
      </c>
      <c r="N2378" t="str">
        <f>IF(TB[[#This Row],[售价]]&lt;1000,"低价商品",IF(TB[[#This Row],[售价]]&lt;5000,"中价商品",IF(TB[[#This Row],[售价]]&lt;10000,"高价商品","超高价商品")))</f>
        <v>中价商品</v>
      </c>
    </row>
    <row r="2379" spans="1:14" x14ac:dyDescent="0.2">
      <c r="A2379">
        <v>521</v>
      </c>
      <c r="B2379">
        <v>219</v>
      </c>
      <c r="C2379" t="s">
        <v>20</v>
      </c>
      <c r="D2379" t="s">
        <v>412</v>
      </c>
      <c r="E2379" t="s">
        <v>12</v>
      </c>
      <c r="F2379">
        <v>2</v>
      </c>
      <c r="G2379" t="s">
        <v>13</v>
      </c>
      <c r="H2379" s="1">
        <v>45974.679861111108</v>
      </c>
      <c r="I2379" s="5">
        <f>INT(TB[[#This Row],[时间戳]])</f>
        <v>45974</v>
      </c>
      <c r="J2379" s="2">
        <f>HOUR(TB[[#This Row],[时间戳]])</f>
        <v>16</v>
      </c>
      <c r="K2379">
        <v>13307</v>
      </c>
      <c r="L2379">
        <v>5</v>
      </c>
      <c r="M2379">
        <f>TB[[#This Row],[售价]]*TB[[#This Row],[销量]]</f>
        <v>66535</v>
      </c>
      <c r="N2379" t="str">
        <f>IF(TB[[#This Row],[售价]]&lt;1000,"低价商品",IF(TB[[#This Row],[售价]]&lt;5000,"中价商品",IF(TB[[#This Row],[售价]]&lt;10000,"高价商品","超高价商品")))</f>
        <v>超高价商品</v>
      </c>
    </row>
    <row r="2380" spans="1:14" x14ac:dyDescent="0.2">
      <c r="A2380">
        <v>776</v>
      </c>
      <c r="B2380">
        <v>92</v>
      </c>
      <c r="C2380" t="s">
        <v>17</v>
      </c>
      <c r="D2380" t="s">
        <v>67</v>
      </c>
      <c r="E2380" t="s">
        <v>39</v>
      </c>
      <c r="F2380">
        <v>5</v>
      </c>
      <c r="G2380" t="s">
        <v>13</v>
      </c>
      <c r="H2380" s="1">
        <v>45974.69027777778</v>
      </c>
      <c r="I2380" s="5">
        <f>INT(TB[[#This Row],[时间戳]])</f>
        <v>45974</v>
      </c>
      <c r="J2380" s="2">
        <f>HOUR(TB[[#This Row],[时间戳]])</f>
        <v>16</v>
      </c>
      <c r="K2380">
        <v>1933</v>
      </c>
      <c r="L2380">
        <v>5</v>
      </c>
      <c r="M2380">
        <f>TB[[#This Row],[售价]]*TB[[#This Row],[销量]]</f>
        <v>9665</v>
      </c>
      <c r="N2380" t="str">
        <f>IF(TB[[#This Row],[售价]]&lt;1000,"低价商品",IF(TB[[#This Row],[售价]]&lt;5000,"中价商品",IF(TB[[#This Row],[售价]]&lt;10000,"高价商品","超高价商品")))</f>
        <v>中价商品</v>
      </c>
    </row>
    <row r="2381" spans="1:14" x14ac:dyDescent="0.2">
      <c r="A2381">
        <v>532</v>
      </c>
      <c r="B2381">
        <v>143</v>
      </c>
      <c r="C2381" t="s">
        <v>32</v>
      </c>
      <c r="D2381" t="s">
        <v>79</v>
      </c>
      <c r="E2381" t="s">
        <v>31</v>
      </c>
      <c r="F2381">
        <v>4</v>
      </c>
      <c r="G2381" t="s">
        <v>13</v>
      </c>
      <c r="H2381" s="1">
        <v>45974.720138888886</v>
      </c>
      <c r="I2381" s="5">
        <f>INT(TB[[#This Row],[时间戳]])</f>
        <v>45974</v>
      </c>
      <c r="J2381" s="2">
        <f>HOUR(TB[[#This Row],[时间戳]])</f>
        <v>17</v>
      </c>
      <c r="K2381">
        <v>164</v>
      </c>
      <c r="L2381">
        <v>3</v>
      </c>
      <c r="M2381">
        <f>TB[[#This Row],[售价]]*TB[[#This Row],[销量]]</f>
        <v>492</v>
      </c>
      <c r="N2381" t="str">
        <f>IF(TB[[#This Row],[售价]]&lt;1000,"低价商品",IF(TB[[#This Row],[售价]]&lt;5000,"中价商品",IF(TB[[#This Row],[售价]]&lt;10000,"高价商品","超高价商品")))</f>
        <v>低价商品</v>
      </c>
    </row>
    <row r="2382" spans="1:14" x14ac:dyDescent="0.2">
      <c r="A2382">
        <v>356</v>
      </c>
      <c r="B2382">
        <v>146</v>
      </c>
      <c r="C2382" t="s">
        <v>34</v>
      </c>
      <c r="D2382" t="s">
        <v>307</v>
      </c>
      <c r="E2382" t="s">
        <v>22</v>
      </c>
      <c r="F2382">
        <v>1</v>
      </c>
      <c r="G2382" t="s">
        <v>13</v>
      </c>
      <c r="H2382" s="1">
        <v>45974.751388888886</v>
      </c>
      <c r="I2382" s="5">
        <f>INT(TB[[#This Row],[时间戳]])</f>
        <v>45974</v>
      </c>
      <c r="J2382" s="2">
        <f>HOUR(TB[[#This Row],[时间戳]])</f>
        <v>18</v>
      </c>
      <c r="K2382">
        <v>5826</v>
      </c>
      <c r="L2382">
        <v>5</v>
      </c>
      <c r="M2382">
        <f>TB[[#This Row],[售价]]*TB[[#This Row],[销量]]</f>
        <v>29130</v>
      </c>
      <c r="N2382" t="str">
        <f>IF(TB[[#This Row],[售价]]&lt;1000,"低价商品",IF(TB[[#This Row],[售价]]&lt;5000,"中价商品",IF(TB[[#This Row],[售价]]&lt;10000,"高价商品","超高价商品")))</f>
        <v>高价商品</v>
      </c>
    </row>
    <row r="2383" spans="1:14" x14ac:dyDescent="0.2">
      <c r="A2383">
        <v>499</v>
      </c>
      <c r="B2383">
        <v>225</v>
      </c>
      <c r="C2383" t="s">
        <v>36</v>
      </c>
      <c r="D2383" t="s">
        <v>112</v>
      </c>
      <c r="E2383" t="s">
        <v>22</v>
      </c>
      <c r="F2383">
        <v>1</v>
      </c>
      <c r="G2383" t="s">
        <v>13</v>
      </c>
      <c r="H2383" s="1">
        <v>45974.787499999999</v>
      </c>
      <c r="I2383" s="5">
        <f>INT(TB[[#This Row],[时间戳]])</f>
        <v>45974</v>
      </c>
      <c r="J2383" s="2">
        <f>HOUR(TB[[#This Row],[时间戳]])</f>
        <v>18</v>
      </c>
      <c r="K2383">
        <v>2216</v>
      </c>
      <c r="L2383">
        <v>5</v>
      </c>
      <c r="M2383">
        <f>TB[[#This Row],[售价]]*TB[[#This Row],[销量]]</f>
        <v>11080</v>
      </c>
      <c r="N2383" t="str">
        <f>IF(TB[[#This Row],[售价]]&lt;1000,"低价商品",IF(TB[[#This Row],[售价]]&lt;5000,"中价商品",IF(TB[[#This Row],[售价]]&lt;10000,"高价商品","超高价商品")))</f>
        <v>中价商品</v>
      </c>
    </row>
    <row r="2384" spans="1:14" x14ac:dyDescent="0.2">
      <c r="A2384">
        <v>621</v>
      </c>
      <c r="B2384">
        <v>55</v>
      </c>
      <c r="C2384" t="s">
        <v>36</v>
      </c>
      <c r="D2384" t="s">
        <v>112</v>
      </c>
      <c r="E2384" t="s">
        <v>22</v>
      </c>
      <c r="F2384">
        <v>1</v>
      </c>
      <c r="G2384" t="s">
        <v>13</v>
      </c>
      <c r="H2384" s="1">
        <v>45974.833333333336</v>
      </c>
      <c r="I2384" s="5">
        <f>INT(TB[[#This Row],[时间戳]])</f>
        <v>45974</v>
      </c>
      <c r="J2384" s="2">
        <f>HOUR(TB[[#This Row],[时间戳]])</f>
        <v>20</v>
      </c>
      <c r="K2384">
        <v>2718</v>
      </c>
      <c r="L2384">
        <v>5</v>
      </c>
      <c r="M2384">
        <f>TB[[#This Row],[售价]]*TB[[#This Row],[销量]]</f>
        <v>13590</v>
      </c>
      <c r="N2384" t="str">
        <f>IF(TB[[#This Row],[售价]]&lt;1000,"低价商品",IF(TB[[#This Row],[售价]]&lt;5000,"中价商品",IF(TB[[#This Row],[售价]]&lt;10000,"高价商品","超高价商品")))</f>
        <v>中价商品</v>
      </c>
    </row>
    <row r="2385" spans="1:14" x14ac:dyDescent="0.2">
      <c r="A2385">
        <v>99</v>
      </c>
      <c r="B2385">
        <v>106</v>
      </c>
      <c r="C2385" t="s">
        <v>36</v>
      </c>
      <c r="D2385" t="s">
        <v>317</v>
      </c>
      <c r="E2385" t="s">
        <v>19</v>
      </c>
      <c r="F2385">
        <v>3</v>
      </c>
      <c r="G2385" t="s">
        <v>13</v>
      </c>
      <c r="H2385" s="1">
        <v>45974.84375</v>
      </c>
      <c r="I2385" s="5">
        <f>INT(TB[[#This Row],[时间戳]])</f>
        <v>45974</v>
      </c>
      <c r="J2385" s="2">
        <f>HOUR(TB[[#This Row],[时间戳]])</f>
        <v>20</v>
      </c>
      <c r="K2385">
        <v>3538</v>
      </c>
      <c r="L2385">
        <v>5</v>
      </c>
      <c r="M2385">
        <f>TB[[#This Row],[售价]]*TB[[#This Row],[销量]]</f>
        <v>17690</v>
      </c>
      <c r="N2385" t="str">
        <f>IF(TB[[#This Row],[售价]]&lt;1000,"低价商品",IF(TB[[#This Row],[售价]]&lt;5000,"中价商品",IF(TB[[#This Row],[售价]]&lt;10000,"高价商品","超高价商品")))</f>
        <v>中价商品</v>
      </c>
    </row>
    <row r="2386" spans="1:14" x14ac:dyDescent="0.2">
      <c r="A2386">
        <v>613</v>
      </c>
      <c r="B2386">
        <v>21</v>
      </c>
      <c r="C2386" t="s">
        <v>26</v>
      </c>
      <c r="D2386" t="s">
        <v>131</v>
      </c>
      <c r="E2386" t="s">
        <v>22</v>
      </c>
      <c r="F2386">
        <v>1</v>
      </c>
      <c r="G2386" t="s">
        <v>13</v>
      </c>
      <c r="H2386" s="1">
        <v>45974.850694444445</v>
      </c>
      <c r="I2386" s="5">
        <f>INT(TB[[#This Row],[时间戳]])</f>
        <v>45974</v>
      </c>
      <c r="J2386" s="2">
        <f>HOUR(TB[[#This Row],[时间戳]])</f>
        <v>20</v>
      </c>
      <c r="K2386">
        <v>5583</v>
      </c>
      <c r="L2386">
        <v>5</v>
      </c>
      <c r="M2386">
        <f>TB[[#This Row],[售价]]*TB[[#This Row],[销量]]</f>
        <v>27915</v>
      </c>
      <c r="N2386" t="str">
        <f>IF(TB[[#This Row],[售价]]&lt;1000,"低价商品",IF(TB[[#This Row],[售价]]&lt;5000,"中价商品",IF(TB[[#This Row],[售价]]&lt;10000,"高价商品","超高价商品")))</f>
        <v>高价商品</v>
      </c>
    </row>
    <row r="2387" spans="1:14" x14ac:dyDescent="0.2">
      <c r="A2387">
        <v>501</v>
      </c>
      <c r="B2387">
        <v>14</v>
      </c>
      <c r="C2387" t="s">
        <v>32</v>
      </c>
      <c r="D2387" t="s">
        <v>58</v>
      </c>
      <c r="E2387" t="s">
        <v>31</v>
      </c>
      <c r="F2387">
        <v>4</v>
      </c>
      <c r="G2387" t="s">
        <v>13</v>
      </c>
      <c r="H2387" s="1">
        <v>45974.866666666669</v>
      </c>
      <c r="I2387" s="5">
        <f>INT(TB[[#This Row],[时间戳]])</f>
        <v>45974</v>
      </c>
      <c r="J2387" s="2">
        <f>HOUR(TB[[#This Row],[时间戳]])</f>
        <v>20</v>
      </c>
      <c r="K2387">
        <v>1230</v>
      </c>
      <c r="L2387">
        <v>5</v>
      </c>
      <c r="M2387">
        <f>TB[[#This Row],[售价]]*TB[[#This Row],[销量]]</f>
        <v>6150</v>
      </c>
      <c r="N2387" t="str">
        <f>IF(TB[[#This Row],[售价]]&lt;1000,"低价商品",IF(TB[[#This Row],[售价]]&lt;5000,"中价商品",IF(TB[[#This Row],[售价]]&lt;10000,"高价商品","超高价商品")))</f>
        <v>中价商品</v>
      </c>
    </row>
    <row r="2388" spans="1:14" x14ac:dyDescent="0.2">
      <c r="A2388">
        <v>437</v>
      </c>
      <c r="B2388">
        <v>228</v>
      </c>
      <c r="C2388" t="s">
        <v>36</v>
      </c>
      <c r="D2388" t="s">
        <v>123</v>
      </c>
      <c r="E2388" t="s">
        <v>31</v>
      </c>
      <c r="F2388">
        <v>4</v>
      </c>
      <c r="G2388" t="s">
        <v>13</v>
      </c>
      <c r="H2388" s="1">
        <v>45974.875</v>
      </c>
      <c r="I2388" s="5">
        <f>INT(TB[[#This Row],[时间戳]])</f>
        <v>45974</v>
      </c>
      <c r="J2388" s="2">
        <f>HOUR(TB[[#This Row],[时间戳]])</f>
        <v>21</v>
      </c>
      <c r="K2388">
        <v>710</v>
      </c>
      <c r="L2388">
        <v>3</v>
      </c>
      <c r="M2388">
        <f>TB[[#This Row],[售价]]*TB[[#This Row],[销量]]</f>
        <v>2130</v>
      </c>
      <c r="N2388" t="str">
        <f>IF(TB[[#This Row],[售价]]&lt;1000,"低价商品",IF(TB[[#This Row],[售价]]&lt;5000,"中价商品",IF(TB[[#This Row],[售价]]&lt;10000,"高价商品","超高价商品")))</f>
        <v>低价商品</v>
      </c>
    </row>
    <row r="2389" spans="1:14" x14ac:dyDescent="0.2">
      <c r="A2389">
        <v>113</v>
      </c>
      <c r="B2389">
        <v>62</v>
      </c>
      <c r="C2389" t="s">
        <v>44</v>
      </c>
      <c r="D2389" t="s">
        <v>132</v>
      </c>
      <c r="E2389" t="s">
        <v>22</v>
      </c>
      <c r="F2389">
        <v>1</v>
      </c>
      <c r="G2389" t="s">
        <v>13</v>
      </c>
      <c r="H2389" s="1">
        <v>45974.892361111109</v>
      </c>
      <c r="I2389" s="5">
        <f>INT(TB[[#This Row],[时间戳]])</f>
        <v>45974</v>
      </c>
      <c r="J2389" s="2">
        <f>HOUR(TB[[#This Row],[时间戳]])</f>
        <v>21</v>
      </c>
      <c r="K2389">
        <v>5131</v>
      </c>
      <c r="L2389">
        <v>5</v>
      </c>
      <c r="M2389">
        <f>TB[[#This Row],[售价]]*TB[[#This Row],[销量]]</f>
        <v>25655</v>
      </c>
      <c r="N2389" t="str">
        <f>IF(TB[[#This Row],[售价]]&lt;1000,"低价商品",IF(TB[[#This Row],[售价]]&lt;5000,"中价商品",IF(TB[[#This Row],[售价]]&lt;10000,"高价商品","超高价商品")))</f>
        <v>高价商品</v>
      </c>
    </row>
    <row r="2390" spans="1:14" x14ac:dyDescent="0.2">
      <c r="A2390">
        <v>89</v>
      </c>
      <c r="B2390">
        <v>71</v>
      </c>
      <c r="C2390" t="s">
        <v>44</v>
      </c>
      <c r="D2390" t="s">
        <v>100</v>
      </c>
      <c r="E2390" t="s">
        <v>19</v>
      </c>
      <c r="F2390">
        <v>3</v>
      </c>
      <c r="G2390" t="s">
        <v>13</v>
      </c>
      <c r="H2390" s="1">
        <v>45974.914583333331</v>
      </c>
      <c r="I2390" s="5">
        <f>INT(TB[[#This Row],[时间戳]])</f>
        <v>45974</v>
      </c>
      <c r="J2390" s="2">
        <f>HOUR(TB[[#This Row],[时间戳]])</f>
        <v>21</v>
      </c>
      <c r="K2390">
        <v>5161</v>
      </c>
      <c r="L2390">
        <v>5</v>
      </c>
      <c r="M2390">
        <f>TB[[#This Row],[售价]]*TB[[#This Row],[销量]]</f>
        <v>25805</v>
      </c>
      <c r="N2390" t="str">
        <f>IF(TB[[#This Row],[售价]]&lt;1000,"低价商品",IF(TB[[#This Row],[售价]]&lt;5000,"中价商品",IF(TB[[#This Row],[售价]]&lt;10000,"高价商品","超高价商品")))</f>
        <v>高价商品</v>
      </c>
    </row>
    <row r="2391" spans="1:14" x14ac:dyDescent="0.2">
      <c r="A2391">
        <v>81</v>
      </c>
      <c r="B2391">
        <v>114</v>
      </c>
      <c r="C2391" t="s">
        <v>14</v>
      </c>
      <c r="D2391" t="s">
        <v>228</v>
      </c>
      <c r="E2391" t="s">
        <v>31</v>
      </c>
      <c r="F2391">
        <v>4</v>
      </c>
      <c r="G2391" t="s">
        <v>13</v>
      </c>
      <c r="H2391" s="1">
        <v>45974.936111111114</v>
      </c>
      <c r="I2391" s="5">
        <f>INT(TB[[#This Row],[时间戳]])</f>
        <v>45974</v>
      </c>
      <c r="J2391" s="2">
        <f>HOUR(TB[[#This Row],[时间戳]])</f>
        <v>22</v>
      </c>
      <c r="K2391">
        <v>794</v>
      </c>
      <c r="L2391">
        <v>3</v>
      </c>
      <c r="M2391">
        <f>TB[[#This Row],[售价]]*TB[[#This Row],[销量]]</f>
        <v>2382</v>
      </c>
      <c r="N2391" t="str">
        <f>IF(TB[[#This Row],[售价]]&lt;1000,"低价商品",IF(TB[[#This Row],[售价]]&lt;5000,"中价商品",IF(TB[[#This Row],[售价]]&lt;10000,"高价商品","超高价商品")))</f>
        <v>低价商品</v>
      </c>
    </row>
    <row r="2392" spans="1:14" x14ac:dyDescent="0.2">
      <c r="A2392">
        <v>344</v>
      </c>
      <c r="B2392">
        <v>142</v>
      </c>
      <c r="C2392" t="s">
        <v>26</v>
      </c>
      <c r="D2392" t="s">
        <v>160</v>
      </c>
      <c r="E2392" t="s">
        <v>19</v>
      </c>
      <c r="F2392">
        <v>3</v>
      </c>
      <c r="G2392" t="s">
        <v>13</v>
      </c>
      <c r="H2392" s="1">
        <v>45974.944444444445</v>
      </c>
      <c r="I2392" s="5">
        <f>INT(TB[[#This Row],[时间戳]])</f>
        <v>45974</v>
      </c>
      <c r="J2392" s="2">
        <f>HOUR(TB[[#This Row],[时间戳]])</f>
        <v>22</v>
      </c>
      <c r="K2392">
        <v>2076</v>
      </c>
      <c r="L2392">
        <v>3</v>
      </c>
      <c r="M2392">
        <f>TB[[#This Row],[售价]]*TB[[#This Row],[销量]]</f>
        <v>6228</v>
      </c>
      <c r="N2392" t="str">
        <f>IF(TB[[#This Row],[售价]]&lt;1000,"低价商品",IF(TB[[#This Row],[售价]]&lt;5000,"中价商品",IF(TB[[#This Row],[售价]]&lt;10000,"高价商品","超高价商品")))</f>
        <v>中价商品</v>
      </c>
    </row>
    <row r="2393" spans="1:14" x14ac:dyDescent="0.2">
      <c r="A2393">
        <v>796</v>
      </c>
      <c r="B2393">
        <v>38</v>
      </c>
      <c r="C2393" t="s">
        <v>20</v>
      </c>
      <c r="D2393" t="s">
        <v>334</v>
      </c>
      <c r="E2393" t="s">
        <v>22</v>
      </c>
      <c r="F2393">
        <v>1</v>
      </c>
      <c r="G2393" t="s">
        <v>13</v>
      </c>
      <c r="H2393" s="1">
        <v>45974.947916666664</v>
      </c>
      <c r="I2393" s="5">
        <f>INT(TB[[#This Row],[时间戳]])</f>
        <v>45974</v>
      </c>
      <c r="J2393" s="2">
        <f>HOUR(TB[[#This Row],[时间戳]])</f>
        <v>22</v>
      </c>
      <c r="K2393">
        <v>4836</v>
      </c>
      <c r="L2393">
        <v>5</v>
      </c>
      <c r="M2393">
        <f>TB[[#This Row],[售价]]*TB[[#This Row],[销量]]</f>
        <v>24180</v>
      </c>
      <c r="N2393" t="str">
        <f>IF(TB[[#This Row],[售价]]&lt;1000,"低价商品",IF(TB[[#This Row],[售价]]&lt;5000,"中价商品",IF(TB[[#This Row],[售价]]&lt;10000,"高价商品","超高价商品")))</f>
        <v>中价商品</v>
      </c>
    </row>
    <row r="2394" spans="1:14" x14ac:dyDescent="0.2">
      <c r="A2394">
        <v>723</v>
      </c>
      <c r="B2394">
        <v>267</v>
      </c>
      <c r="C2394" t="s">
        <v>17</v>
      </c>
      <c r="D2394" t="s">
        <v>194</v>
      </c>
      <c r="E2394" t="s">
        <v>16</v>
      </c>
      <c r="F2394">
        <v>6</v>
      </c>
      <c r="G2394" t="s">
        <v>13</v>
      </c>
      <c r="H2394" s="1">
        <v>45974.958333333336</v>
      </c>
      <c r="I2394" s="5">
        <f>INT(TB[[#This Row],[时间戳]])</f>
        <v>45974</v>
      </c>
      <c r="J2394" s="2">
        <f>HOUR(TB[[#This Row],[时间戳]])</f>
        <v>23</v>
      </c>
      <c r="K2394">
        <v>6976</v>
      </c>
      <c r="L2394">
        <v>5</v>
      </c>
      <c r="M2394">
        <f>TB[[#This Row],[售价]]*TB[[#This Row],[销量]]</f>
        <v>34880</v>
      </c>
      <c r="N2394" t="str">
        <f>IF(TB[[#This Row],[售价]]&lt;1000,"低价商品",IF(TB[[#This Row],[售价]]&lt;5000,"中价商品",IF(TB[[#This Row],[售价]]&lt;10000,"高价商品","超高价商品")))</f>
        <v>高价商品</v>
      </c>
    </row>
    <row r="2395" spans="1:14" x14ac:dyDescent="0.2">
      <c r="A2395">
        <v>642</v>
      </c>
      <c r="B2395">
        <v>19</v>
      </c>
      <c r="C2395" t="s">
        <v>20</v>
      </c>
      <c r="D2395" t="s">
        <v>276</v>
      </c>
      <c r="E2395" t="s">
        <v>16</v>
      </c>
      <c r="F2395">
        <v>6</v>
      </c>
      <c r="G2395" t="s">
        <v>42</v>
      </c>
      <c r="H2395" s="1">
        <v>45974.961111111108</v>
      </c>
      <c r="I2395" s="5">
        <f>INT(TB[[#This Row],[时间戳]])</f>
        <v>45974</v>
      </c>
      <c r="J2395" s="2">
        <f>HOUR(TB[[#This Row],[时间戳]])</f>
        <v>23</v>
      </c>
      <c r="K2395">
        <v>7099</v>
      </c>
      <c r="L2395">
        <v>0</v>
      </c>
      <c r="M2395">
        <f>TB[[#This Row],[售价]]*TB[[#This Row],[销量]]</f>
        <v>0</v>
      </c>
      <c r="N2395" t="str">
        <f>IF(TB[[#This Row],[售价]]&lt;1000,"低价商品",IF(TB[[#This Row],[售价]]&lt;5000,"中价商品",IF(TB[[#This Row],[售价]]&lt;10000,"高价商品","超高价商品")))</f>
        <v>高价商品</v>
      </c>
    </row>
    <row r="2396" spans="1:14" x14ac:dyDescent="0.2">
      <c r="A2396">
        <v>141</v>
      </c>
      <c r="B2396">
        <v>193</v>
      </c>
      <c r="C2396" t="s">
        <v>10</v>
      </c>
      <c r="D2396" t="s">
        <v>41</v>
      </c>
      <c r="E2396" t="s">
        <v>22</v>
      </c>
      <c r="F2396">
        <v>1</v>
      </c>
      <c r="G2396" t="s">
        <v>13</v>
      </c>
      <c r="H2396" s="1">
        <v>45975.002083333333</v>
      </c>
      <c r="I2396" s="5">
        <f>INT(TB[[#This Row],[时间戳]])</f>
        <v>45975</v>
      </c>
      <c r="J2396" s="2">
        <f>HOUR(TB[[#This Row],[时间戳]])</f>
        <v>0</v>
      </c>
      <c r="K2396">
        <v>6318</v>
      </c>
      <c r="L2396">
        <v>5</v>
      </c>
      <c r="M2396">
        <f>TB[[#This Row],[售价]]*TB[[#This Row],[销量]]</f>
        <v>31590</v>
      </c>
      <c r="N2396" t="str">
        <f>IF(TB[[#This Row],[售价]]&lt;1000,"低价商品",IF(TB[[#This Row],[售价]]&lt;5000,"中价商品",IF(TB[[#This Row],[售价]]&lt;10000,"高价商品","超高价商品")))</f>
        <v>高价商品</v>
      </c>
    </row>
    <row r="2397" spans="1:14" x14ac:dyDescent="0.2">
      <c r="A2397">
        <v>482</v>
      </c>
      <c r="B2397">
        <v>78</v>
      </c>
      <c r="C2397" t="s">
        <v>32</v>
      </c>
      <c r="D2397" t="s">
        <v>148</v>
      </c>
      <c r="E2397" t="s">
        <v>16</v>
      </c>
      <c r="F2397">
        <v>6</v>
      </c>
      <c r="G2397" t="s">
        <v>13</v>
      </c>
      <c r="H2397" s="1">
        <v>45975.009722222225</v>
      </c>
      <c r="I2397" s="5">
        <f>INT(TB[[#This Row],[时间戳]])</f>
        <v>45975</v>
      </c>
      <c r="J2397" s="2">
        <f>HOUR(TB[[#This Row],[时间戳]])</f>
        <v>0</v>
      </c>
      <c r="K2397">
        <v>5751</v>
      </c>
      <c r="L2397">
        <v>2</v>
      </c>
      <c r="M2397">
        <f>TB[[#This Row],[售价]]*TB[[#This Row],[销量]]</f>
        <v>11502</v>
      </c>
      <c r="N2397" t="str">
        <f>IF(TB[[#This Row],[售价]]&lt;1000,"低价商品",IF(TB[[#This Row],[售价]]&lt;5000,"中价商品",IF(TB[[#This Row],[售价]]&lt;10000,"高价商品","超高价商品")))</f>
        <v>高价商品</v>
      </c>
    </row>
    <row r="2398" spans="1:14" x14ac:dyDescent="0.2">
      <c r="A2398">
        <v>135</v>
      </c>
      <c r="B2398">
        <v>102</v>
      </c>
      <c r="C2398" t="s">
        <v>44</v>
      </c>
      <c r="D2398" t="s">
        <v>132</v>
      </c>
      <c r="E2398" t="s">
        <v>22</v>
      </c>
      <c r="F2398">
        <v>1</v>
      </c>
      <c r="G2398" t="s">
        <v>13</v>
      </c>
      <c r="H2398" s="1">
        <v>45975.013194444444</v>
      </c>
      <c r="I2398" s="5">
        <f>INT(TB[[#This Row],[时间戳]])</f>
        <v>45975</v>
      </c>
      <c r="J2398" s="2">
        <f>HOUR(TB[[#This Row],[时间戳]])</f>
        <v>0</v>
      </c>
      <c r="K2398">
        <v>4864</v>
      </c>
      <c r="L2398">
        <v>2</v>
      </c>
      <c r="M2398">
        <f>TB[[#This Row],[售价]]*TB[[#This Row],[销量]]</f>
        <v>9728</v>
      </c>
      <c r="N2398" t="str">
        <f>IF(TB[[#This Row],[售价]]&lt;1000,"低价商品",IF(TB[[#This Row],[售价]]&lt;5000,"中价商品",IF(TB[[#This Row],[售价]]&lt;10000,"高价商品","超高价商品")))</f>
        <v>中价商品</v>
      </c>
    </row>
    <row r="2399" spans="1:14" x14ac:dyDescent="0.2">
      <c r="A2399">
        <v>445</v>
      </c>
      <c r="B2399">
        <v>35</v>
      </c>
      <c r="C2399" t="s">
        <v>32</v>
      </c>
      <c r="D2399" t="s">
        <v>381</v>
      </c>
      <c r="E2399" t="s">
        <v>19</v>
      </c>
      <c r="F2399">
        <v>3</v>
      </c>
      <c r="G2399" t="s">
        <v>13</v>
      </c>
      <c r="H2399" s="1">
        <v>45975.013194444444</v>
      </c>
      <c r="I2399" s="5">
        <f>INT(TB[[#This Row],[时间戳]])</f>
        <v>45975</v>
      </c>
      <c r="J2399" s="2">
        <f>HOUR(TB[[#This Row],[时间戳]])</f>
        <v>0</v>
      </c>
      <c r="K2399">
        <v>2290</v>
      </c>
      <c r="L2399">
        <v>5</v>
      </c>
      <c r="M2399">
        <f>TB[[#This Row],[售价]]*TB[[#This Row],[销量]]</f>
        <v>11450</v>
      </c>
      <c r="N2399" t="str">
        <f>IF(TB[[#This Row],[售价]]&lt;1000,"低价商品",IF(TB[[#This Row],[售价]]&lt;5000,"中价商品",IF(TB[[#This Row],[售价]]&lt;10000,"高价商品","超高价商品")))</f>
        <v>中价商品</v>
      </c>
    </row>
    <row r="2400" spans="1:14" x14ac:dyDescent="0.2">
      <c r="A2400">
        <v>728</v>
      </c>
      <c r="B2400">
        <v>92</v>
      </c>
      <c r="C2400" t="s">
        <v>46</v>
      </c>
      <c r="D2400" t="s">
        <v>341</v>
      </c>
      <c r="E2400" t="s">
        <v>31</v>
      </c>
      <c r="F2400">
        <v>4</v>
      </c>
      <c r="G2400" t="s">
        <v>13</v>
      </c>
      <c r="H2400" s="1">
        <v>45975.032638888886</v>
      </c>
      <c r="I2400" s="5">
        <f>INT(TB[[#This Row],[时间戳]])</f>
        <v>45975</v>
      </c>
      <c r="J2400" s="2">
        <f>HOUR(TB[[#This Row],[时间戳]])</f>
        <v>0</v>
      </c>
      <c r="K2400">
        <v>1139</v>
      </c>
      <c r="L2400">
        <v>5</v>
      </c>
      <c r="M2400">
        <f>TB[[#This Row],[售价]]*TB[[#This Row],[销量]]</f>
        <v>5695</v>
      </c>
      <c r="N2400" t="str">
        <f>IF(TB[[#This Row],[售价]]&lt;1000,"低价商品",IF(TB[[#This Row],[售价]]&lt;5000,"中价商品",IF(TB[[#This Row],[售价]]&lt;10000,"高价商品","超高价商品")))</f>
        <v>中价商品</v>
      </c>
    </row>
    <row r="2401" spans="1:14" x14ac:dyDescent="0.2">
      <c r="A2401">
        <v>390</v>
      </c>
      <c r="B2401">
        <v>299</v>
      </c>
      <c r="C2401" t="s">
        <v>36</v>
      </c>
      <c r="D2401" t="s">
        <v>192</v>
      </c>
      <c r="E2401" t="s">
        <v>22</v>
      </c>
      <c r="F2401">
        <v>1</v>
      </c>
      <c r="G2401" t="s">
        <v>13</v>
      </c>
      <c r="H2401" s="1">
        <v>45975.051388888889</v>
      </c>
      <c r="I2401" s="5">
        <f>INT(TB[[#This Row],[时间戳]])</f>
        <v>45975</v>
      </c>
      <c r="J2401" s="2">
        <f>HOUR(TB[[#This Row],[时间戳]])</f>
        <v>1</v>
      </c>
      <c r="K2401">
        <v>1331</v>
      </c>
      <c r="L2401">
        <v>2</v>
      </c>
      <c r="M2401">
        <f>TB[[#This Row],[售价]]*TB[[#This Row],[销量]]</f>
        <v>2662</v>
      </c>
      <c r="N2401" t="str">
        <f>IF(TB[[#This Row],[售价]]&lt;1000,"低价商品",IF(TB[[#This Row],[售价]]&lt;5000,"中价商品",IF(TB[[#This Row],[售价]]&lt;10000,"高价商品","超高价商品")))</f>
        <v>中价商品</v>
      </c>
    </row>
    <row r="2402" spans="1:14" x14ac:dyDescent="0.2">
      <c r="A2402">
        <v>544</v>
      </c>
      <c r="B2402">
        <v>93</v>
      </c>
      <c r="C2402" t="s">
        <v>34</v>
      </c>
      <c r="D2402" t="s">
        <v>165</v>
      </c>
      <c r="E2402" t="s">
        <v>39</v>
      </c>
      <c r="F2402">
        <v>5</v>
      </c>
      <c r="G2402" t="s">
        <v>13</v>
      </c>
      <c r="H2402" s="1">
        <v>45975.059027777781</v>
      </c>
      <c r="I2402" s="5">
        <f>INT(TB[[#This Row],[时间戳]])</f>
        <v>45975</v>
      </c>
      <c r="J2402" s="2">
        <f>HOUR(TB[[#This Row],[时间戳]])</f>
        <v>1</v>
      </c>
      <c r="K2402">
        <v>1887</v>
      </c>
      <c r="L2402">
        <v>5</v>
      </c>
      <c r="M2402">
        <f>TB[[#This Row],[售价]]*TB[[#This Row],[销量]]</f>
        <v>9435</v>
      </c>
      <c r="N2402" t="str">
        <f>IF(TB[[#This Row],[售价]]&lt;1000,"低价商品",IF(TB[[#This Row],[售价]]&lt;5000,"中价商品",IF(TB[[#This Row],[售价]]&lt;10000,"高价商品","超高价商品")))</f>
        <v>中价商品</v>
      </c>
    </row>
    <row r="2403" spans="1:14" x14ac:dyDescent="0.2">
      <c r="A2403">
        <v>502</v>
      </c>
      <c r="B2403">
        <v>201</v>
      </c>
      <c r="C2403" t="s">
        <v>36</v>
      </c>
      <c r="D2403" t="s">
        <v>265</v>
      </c>
      <c r="E2403" t="s">
        <v>31</v>
      </c>
      <c r="F2403">
        <v>4</v>
      </c>
      <c r="G2403" t="s">
        <v>13</v>
      </c>
      <c r="H2403" s="1">
        <v>45975.060416666667</v>
      </c>
      <c r="I2403" s="5">
        <f>INT(TB[[#This Row],[时间戳]])</f>
        <v>45975</v>
      </c>
      <c r="J2403" s="2">
        <f>HOUR(TB[[#This Row],[时间戳]])</f>
        <v>1</v>
      </c>
      <c r="K2403">
        <v>582</v>
      </c>
      <c r="L2403">
        <v>5</v>
      </c>
      <c r="M2403">
        <f>TB[[#This Row],[售价]]*TB[[#This Row],[销量]]</f>
        <v>2910</v>
      </c>
      <c r="N2403" t="str">
        <f>IF(TB[[#This Row],[售价]]&lt;1000,"低价商品",IF(TB[[#This Row],[售价]]&lt;5000,"中价商品",IF(TB[[#This Row],[售价]]&lt;10000,"高价商品","超高价商品")))</f>
        <v>低价商品</v>
      </c>
    </row>
    <row r="2404" spans="1:14" x14ac:dyDescent="0.2">
      <c r="A2404">
        <v>303</v>
      </c>
      <c r="B2404">
        <v>50</v>
      </c>
      <c r="C2404" t="s">
        <v>20</v>
      </c>
      <c r="D2404" t="s">
        <v>167</v>
      </c>
      <c r="E2404" t="s">
        <v>39</v>
      </c>
      <c r="F2404">
        <v>5</v>
      </c>
      <c r="G2404" t="s">
        <v>13</v>
      </c>
      <c r="H2404" s="1">
        <v>45975.069444444445</v>
      </c>
      <c r="I2404" s="5">
        <f>INT(TB[[#This Row],[时间戳]])</f>
        <v>45975</v>
      </c>
      <c r="J2404" s="2">
        <f>HOUR(TB[[#This Row],[时间戳]])</f>
        <v>1</v>
      </c>
      <c r="K2404">
        <v>3230</v>
      </c>
      <c r="L2404">
        <v>2</v>
      </c>
      <c r="M2404">
        <f>TB[[#This Row],[售价]]*TB[[#This Row],[销量]]</f>
        <v>6460</v>
      </c>
      <c r="N2404" t="str">
        <f>IF(TB[[#This Row],[售价]]&lt;1000,"低价商品",IF(TB[[#This Row],[售价]]&lt;5000,"中价商品",IF(TB[[#This Row],[售价]]&lt;10000,"高价商品","超高价商品")))</f>
        <v>中价商品</v>
      </c>
    </row>
    <row r="2405" spans="1:14" x14ac:dyDescent="0.2">
      <c r="A2405">
        <v>458</v>
      </c>
      <c r="B2405">
        <v>167</v>
      </c>
      <c r="C2405" t="s">
        <v>36</v>
      </c>
      <c r="D2405" t="s">
        <v>284</v>
      </c>
      <c r="E2405" t="s">
        <v>39</v>
      </c>
      <c r="F2405">
        <v>5</v>
      </c>
      <c r="G2405" t="s">
        <v>13</v>
      </c>
      <c r="H2405" s="1">
        <v>45975.076388888891</v>
      </c>
      <c r="I2405" s="5">
        <f>INT(TB[[#This Row],[时间戳]])</f>
        <v>45975</v>
      </c>
      <c r="J2405" s="2">
        <f>HOUR(TB[[#This Row],[时间戳]])</f>
        <v>1</v>
      </c>
      <c r="K2405">
        <v>1553</v>
      </c>
      <c r="L2405">
        <v>5</v>
      </c>
      <c r="M2405">
        <f>TB[[#This Row],[售价]]*TB[[#This Row],[销量]]</f>
        <v>7765</v>
      </c>
      <c r="N2405" t="str">
        <f>IF(TB[[#This Row],[售价]]&lt;1000,"低价商品",IF(TB[[#This Row],[售价]]&lt;5000,"中价商品",IF(TB[[#This Row],[售价]]&lt;10000,"高价商品","超高价商品")))</f>
        <v>中价商品</v>
      </c>
    </row>
    <row r="2406" spans="1:14" x14ac:dyDescent="0.2">
      <c r="A2406">
        <v>181</v>
      </c>
      <c r="B2406">
        <v>238</v>
      </c>
      <c r="C2406" t="s">
        <v>17</v>
      </c>
      <c r="D2406" t="s">
        <v>194</v>
      </c>
      <c r="E2406" t="s">
        <v>16</v>
      </c>
      <c r="F2406">
        <v>6</v>
      </c>
      <c r="G2406" t="s">
        <v>13</v>
      </c>
      <c r="H2406" s="1">
        <v>45975.097222222219</v>
      </c>
      <c r="I2406" s="5">
        <f>INT(TB[[#This Row],[时间戳]])</f>
        <v>45975</v>
      </c>
      <c r="J2406" s="2">
        <f>HOUR(TB[[#This Row],[时间戳]])</f>
        <v>2</v>
      </c>
      <c r="K2406">
        <v>6192</v>
      </c>
      <c r="L2406">
        <v>5</v>
      </c>
      <c r="M2406">
        <f>TB[[#This Row],[售价]]*TB[[#This Row],[销量]]</f>
        <v>30960</v>
      </c>
      <c r="N2406" t="str">
        <f>IF(TB[[#This Row],[售价]]&lt;1000,"低价商品",IF(TB[[#This Row],[售价]]&lt;5000,"中价商品",IF(TB[[#This Row],[售价]]&lt;10000,"高价商品","超高价商品")))</f>
        <v>高价商品</v>
      </c>
    </row>
    <row r="2407" spans="1:14" x14ac:dyDescent="0.2">
      <c r="A2407">
        <v>714</v>
      </c>
      <c r="B2407">
        <v>204</v>
      </c>
      <c r="C2407" t="s">
        <v>14</v>
      </c>
      <c r="D2407" t="s">
        <v>305</v>
      </c>
      <c r="E2407" t="s">
        <v>25</v>
      </c>
      <c r="F2407">
        <v>7</v>
      </c>
      <c r="G2407" t="s">
        <v>13</v>
      </c>
      <c r="H2407" s="1">
        <v>45975.114583333336</v>
      </c>
      <c r="I2407" s="5">
        <f>INT(TB[[#This Row],[时间戳]])</f>
        <v>45975</v>
      </c>
      <c r="J2407" s="2">
        <f>HOUR(TB[[#This Row],[时间戳]])</f>
        <v>2</v>
      </c>
      <c r="K2407">
        <v>4250</v>
      </c>
      <c r="L2407">
        <v>2</v>
      </c>
      <c r="M2407">
        <f>TB[[#This Row],[售价]]*TB[[#This Row],[销量]]</f>
        <v>8500</v>
      </c>
      <c r="N2407" t="str">
        <f>IF(TB[[#This Row],[售价]]&lt;1000,"低价商品",IF(TB[[#This Row],[售价]]&lt;5000,"中价商品",IF(TB[[#This Row],[售价]]&lt;10000,"高价商品","超高价商品")))</f>
        <v>中价商品</v>
      </c>
    </row>
    <row r="2408" spans="1:14" x14ac:dyDescent="0.2">
      <c r="A2408">
        <v>616</v>
      </c>
      <c r="B2408">
        <v>211</v>
      </c>
      <c r="C2408" t="s">
        <v>44</v>
      </c>
      <c r="D2408" t="s">
        <v>45</v>
      </c>
      <c r="E2408" t="s">
        <v>19</v>
      </c>
      <c r="F2408">
        <v>3</v>
      </c>
      <c r="G2408" t="s">
        <v>13</v>
      </c>
      <c r="H2408" s="1">
        <v>45975.122916666667</v>
      </c>
      <c r="I2408" s="5">
        <f>INT(TB[[#This Row],[时间戳]])</f>
        <v>45975</v>
      </c>
      <c r="J2408" s="2">
        <f>HOUR(TB[[#This Row],[时间戳]])</f>
        <v>2</v>
      </c>
      <c r="K2408">
        <v>2745</v>
      </c>
      <c r="L2408">
        <v>5</v>
      </c>
      <c r="M2408">
        <f>TB[[#This Row],[售价]]*TB[[#This Row],[销量]]</f>
        <v>13725</v>
      </c>
      <c r="N2408" t="str">
        <f>IF(TB[[#This Row],[售价]]&lt;1000,"低价商品",IF(TB[[#This Row],[售价]]&lt;5000,"中价商品",IF(TB[[#This Row],[售价]]&lt;10000,"高价商品","超高价商品")))</f>
        <v>中价商品</v>
      </c>
    </row>
    <row r="2409" spans="1:14" x14ac:dyDescent="0.2">
      <c r="A2409">
        <v>275</v>
      </c>
      <c r="B2409">
        <v>260</v>
      </c>
      <c r="C2409" t="s">
        <v>10</v>
      </c>
      <c r="D2409" t="s">
        <v>96</v>
      </c>
      <c r="E2409" t="s">
        <v>22</v>
      </c>
      <c r="F2409">
        <v>1</v>
      </c>
      <c r="G2409" t="s">
        <v>42</v>
      </c>
      <c r="H2409" s="1">
        <v>45975.12777777778</v>
      </c>
      <c r="I2409" s="5">
        <f>INT(TB[[#This Row],[时间戳]])</f>
        <v>45975</v>
      </c>
      <c r="J2409" s="2">
        <f>HOUR(TB[[#This Row],[时间戳]])</f>
        <v>3</v>
      </c>
      <c r="K2409">
        <v>6549</v>
      </c>
      <c r="L2409">
        <v>0</v>
      </c>
      <c r="M2409">
        <f>TB[[#This Row],[售价]]*TB[[#This Row],[销量]]</f>
        <v>0</v>
      </c>
      <c r="N2409" t="str">
        <f>IF(TB[[#This Row],[售价]]&lt;1000,"低价商品",IF(TB[[#This Row],[售价]]&lt;5000,"中价商品",IF(TB[[#This Row],[售价]]&lt;10000,"高价商品","超高价商品")))</f>
        <v>高价商品</v>
      </c>
    </row>
    <row r="2410" spans="1:14" x14ac:dyDescent="0.2">
      <c r="A2410">
        <v>576</v>
      </c>
      <c r="B2410">
        <v>166</v>
      </c>
      <c r="C2410" t="s">
        <v>17</v>
      </c>
      <c r="D2410" t="s">
        <v>74</v>
      </c>
      <c r="E2410" t="s">
        <v>22</v>
      </c>
      <c r="F2410">
        <v>1</v>
      </c>
      <c r="G2410" t="s">
        <v>42</v>
      </c>
      <c r="H2410" s="1">
        <v>45975.209027777775</v>
      </c>
      <c r="I2410" s="5">
        <f>INT(TB[[#This Row],[时间戳]])</f>
        <v>45975</v>
      </c>
      <c r="J2410" s="2">
        <f>HOUR(TB[[#This Row],[时间戳]])</f>
        <v>5</v>
      </c>
      <c r="K2410">
        <v>2962</v>
      </c>
      <c r="L2410">
        <v>0</v>
      </c>
      <c r="M2410">
        <f>TB[[#This Row],[售价]]*TB[[#This Row],[销量]]</f>
        <v>0</v>
      </c>
      <c r="N2410" t="str">
        <f>IF(TB[[#This Row],[售价]]&lt;1000,"低价商品",IF(TB[[#This Row],[售价]]&lt;5000,"中价商品",IF(TB[[#This Row],[售价]]&lt;10000,"高价商品","超高价商品")))</f>
        <v>中价商品</v>
      </c>
    </row>
    <row r="2411" spans="1:14" x14ac:dyDescent="0.2">
      <c r="A2411">
        <v>401</v>
      </c>
      <c r="B2411">
        <v>227</v>
      </c>
      <c r="C2411" t="s">
        <v>34</v>
      </c>
      <c r="D2411" t="s">
        <v>57</v>
      </c>
      <c r="E2411" t="s">
        <v>12</v>
      </c>
      <c r="F2411">
        <v>2</v>
      </c>
      <c r="G2411" t="s">
        <v>13</v>
      </c>
      <c r="H2411" s="1">
        <v>45975.220138888886</v>
      </c>
      <c r="I2411" s="5">
        <f>INT(TB[[#This Row],[时间戳]])</f>
        <v>45975</v>
      </c>
      <c r="J2411" s="2">
        <f>HOUR(TB[[#This Row],[时间戳]])</f>
        <v>5</v>
      </c>
      <c r="K2411">
        <v>8431</v>
      </c>
      <c r="L2411">
        <v>5</v>
      </c>
      <c r="M2411">
        <f>TB[[#This Row],[售价]]*TB[[#This Row],[销量]]</f>
        <v>42155</v>
      </c>
      <c r="N2411" t="str">
        <f>IF(TB[[#This Row],[售价]]&lt;1000,"低价商品",IF(TB[[#This Row],[售价]]&lt;5000,"中价商品",IF(TB[[#This Row],[售价]]&lt;10000,"高价商品","超高价商品")))</f>
        <v>高价商品</v>
      </c>
    </row>
    <row r="2412" spans="1:14" x14ac:dyDescent="0.2">
      <c r="A2412">
        <v>275</v>
      </c>
      <c r="B2412">
        <v>249</v>
      </c>
      <c r="C2412" t="s">
        <v>36</v>
      </c>
      <c r="D2412" t="s">
        <v>187</v>
      </c>
      <c r="E2412" t="s">
        <v>12</v>
      </c>
      <c r="F2412">
        <v>2</v>
      </c>
      <c r="G2412" t="s">
        <v>13</v>
      </c>
      <c r="H2412" s="1">
        <v>45975.241666666669</v>
      </c>
      <c r="I2412" s="5">
        <f>INT(TB[[#This Row],[时间戳]])</f>
        <v>45975</v>
      </c>
      <c r="J2412" s="2">
        <f>HOUR(TB[[#This Row],[时间戳]])</f>
        <v>5</v>
      </c>
      <c r="K2412">
        <v>10970</v>
      </c>
      <c r="L2412">
        <v>2</v>
      </c>
      <c r="M2412">
        <f>TB[[#This Row],[售价]]*TB[[#This Row],[销量]]</f>
        <v>21940</v>
      </c>
      <c r="N2412" t="str">
        <f>IF(TB[[#This Row],[售价]]&lt;1000,"低价商品",IF(TB[[#This Row],[售价]]&lt;5000,"中价商品",IF(TB[[#This Row],[售价]]&lt;10000,"高价商品","超高价商品")))</f>
        <v>超高价商品</v>
      </c>
    </row>
    <row r="2413" spans="1:14" x14ac:dyDescent="0.2">
      <c r="A2413">
        <v>47</v>
      </c>
      <c r="B2413">
        <v>158</v>
      </c>
      <c r="C2413" t="s">
        <v>34</v>
      </c>
      <c r="D2413" t="s">
        <v>232</v>
      </c>
      <c r="E2413" t="s">
        <v>22</v>
      </c>
      <c r="F2413">
        <v>1</v>
      </c>
      <c r="G2413" t="s">
        <v>13</v>
      </c>
      <c r="H2413" s="1">
        <v>45975.244444444441</v>
      </c>
      <c r="I2413" s="5">
        <f>INT(TB[[#This Row],[时间戳]])</f>
        <v>45975</v>
      </c>
      <c r="J2413" s="2">
        <f>HOUR(TB[[#This Row],[时间戳]])</f>
        <v>5</v>
      </c>
      <c r="K2413">
        <v>6877</v>
      </c>
      <c r="L2413">
        <v>5</v>
      </c>
      <c r="M2413">
        <f>TB[[#This Row],[售价]]*TB[[#This Row],[销量]]</f>
        <v>34385</v>
      </c>
      <c r="N2413" t="str">
        <f>IF(TB[[#This Row],[售价]]&lt;1000,"低价商品",IF(TB[[#This Row],[售价]]&lt;5000,"中价商品",IF(TB[[#This Row],[售价]]&lt;10000,"高价商品","超高价商品")))</f>
        <v>高价商品</v>
      </c>
    </row>
    <row r="2414" spans="1:14" x14ac:dyDescent="0.2">
      <c r="A2414">
        <v>171</v>
      </c>
      <c r="B2414">
        <v>275</v>
      </c>
      <c r="C2414" t="s">
        <v>32</v>
      </c>
      <c r="D2414" t="s">
        <v>215</v>
      </c>
      <c r="E2414" t="s">
        <v>31</v>
      </c>
      <c r="F2414">
        <v>4</v>
      </c>
      <c r="G2414" t="s">
        <v>13</v>
      </c>
      <c r="H2414" s="1">
        <v>45975.256249999999</v>
      </c>
      <c r="I2414" s="5">
        <f>INT(TB[[#This Row],[时间戳]])</f>
        <v>45975</v>
      </c>
      <c r="J2414" s="2">
        <f>HOUR(TB[[#This Row],[时间戳]])</f>
        <v>6</v>
      </c>
      <c r="K2414">
        <v>975</v>
      </c>
      <c r="L2414">
        <v>5</v>
      </c>
      <c r="M2414">
        <f>TB[[#This Row],[售价]]*TB[[#This Row],[销量]]</f>
        <v>4875</v>
      </c>
      <c r="N2414" t="str">
        <f>IF(TB[[#This Row],[售价]]&lt;1000,"低价商品",IF(TB[[#This Row],[售价]]&lt;5000,"中价商品",IF(TB[[#This Row],[售价]]&lt;10000,"高价商品","超高价商品")))</f>
        <v>低价商品</v>
      </c>
    </row>
    <row r="2415" spans="1:14" x14ac:dyDescent="0.2">
      <c r="A2415">
        <v>626</v>
      </c>
      <c r="B2415">
        <v>169</v>
      </c>
      <c r="C2415" t="s">
        <v>14</v>
      </c>
      <c r="D2415" t="s">
        <v>375</v>
      </c>
      <c r="E2415" t="s">
        <v>16</v>
      </c>
      <c r="F2415">
        <v>6</v>
      </c>
      <c r="G2415" t="s">
        <v>13</v>
      </c>
      <c r="H2415" s="1">
        <v>45975.256944444445</v>
      </c>
      <c r="I2415" s="5">
        <f>INT(TB[[#This Row],[时间戳]])</f>
        <v>45975</v>
      </c>
      <c r="J2415" s="2">
        <f>HOUR(TB[[#This Row],[时间戳]])</f>
        <v>6</v>
      </c>
      <c r="K2415">
        <v>5577</v>
      </c>
      <c r="L2415">
        <v>2</v>
      </c>
      <c r="M2415">
        <f>TB[[#This Row],[售价]]*TB[[#This Row],[销量]]</f>
        <v>11154</v>
      </c>
      <c r="N2415" t="str">
        <f>IF(TB[[#This Row],[售价]]&lt;1000,"低价商品",IF(TB[[#This Row],[售价]]&lt;5000,"中价商品",IF(TB[[#This Row],[售价]]&lt;10000,"高价商品","超高价商品")))</f>
        <v>高价商品</v>
      </c>
    </row>
    <row r="2416" spans="1:14" x14ac:dyDescent="0.2">
      <c r="A2416">
        <v>740</v>
      </c>
      <c r="B2416">
        <v>11</v>
      </c>
      <c r="C2416" t="s">
        <v>20</v>
      </c>
      <c r="D2416" t="s">
        <v>394</v>
      </c>
      <c r="E2416" t="s">
        <v>39</v>
      </c>
      <c r="F2416">
        <v>5</v>
      </c>
      <c r="G2416" t="s">
        <v>13</v>
      </c>
      <c r="H2416" s="1">
        <v>45975.270138888889</v>
      </c>
      <c r="I2416" s="5">
        <f>INT(TB[[#This Row],[时间戳]])</f>
        <v>45975</v>
      </c>
      <c r="J2416" s="2">
        <f>HOUR(TB[[#This Row],[时间戳]])</f>
        <v>6</v>
      </c>
      <c r="K2416">
        <v>1438</v>
      </c>
      <c r="L2416">
        <v>2</v>
      </c>
      <c r="M2416">
        <f>TB[[#This Row],[售价]]*TB[[#This Row],[销量]]</f>
        <v>2876</v>
      </c>
      <c r="N2416" t="str">
        <f>IF(TB[[#This Row],[售价]]&lt;1000,"低价商品",IF(TB[[#This Row],[售价]]&lt;5000,"中价商品",IF(TB[[#This Row],[售价]]&lt;10000,"高价商品","超高价商品")))</f>
        <v>中价商品</v>
      </c>
    </row>
    <row r="2417" spans="1:14" x14ac:dyDescent="0.2">
      <c r="A2417">
        <v>342</v>
      </c>
      <c r="B2417">
        <v>181</v>
      </c>
      <c r="C2417" t="s">
        <v>14</v>
      </c>
      <c r="D2417" t="s">
        <v>223</v>
      </c>
      <c r="E2417" t="s">
        <v>22</v>
      </c>
      <c r="F2417">
        <v>1</v>
      </c>
      <c r="G2417" t="s">
        <v>13</v>
      </c>
      <c r="H2417" s="1">
        <v>45975.331250000003</v>
      </c>
      <c r="I2417" s="5">
        <f>INT(TB[[#This Row],[时间戳]])</f>
        <v>45975</v>
      </c>
      <c r="J2417" s="2">
        <f>HOUR(TB[[#This Row],[时间戳]])</f>
        <v>7</v>
      </c>
      <c r="K2417">
        <v>7567</v>
      </c>
      <c r="L2417">
        <v>5</v>
      </c>
      <c r="M2417">
        <f>TB[[#This Row],[售价]]*TB[[#This Row],[销量]]</f>
        <v>37835</v>
      </c>
      <c r="N2417" t="str">
        <f>IF(TB[[#This Row],[售价]]&lt;1000,"低价商品",IF(TB[[#This Row],[售价]]&lt;5000,"中价商品",IF(TB[[#This Row],[售价]]&lt;10000,"高价商品","超高价商品")))</f>
        <v>高价商品</v>
      </c>
    </row>
    <row r="2418" spans="1:14" x14ac:dyDescent="0.2">
      <c r="A2418">
        <v>216</v>
      </c>
      <c r="B2418">
        <v>186</v>
      </c>
      <c r="C2418" t="s">
        <v>10</v>
      </c>
      <c r="D2418" t="s">
        <v>294</v>
      </c>
      <c r="E2418" t="s">
        <v>31</v>
      </c>
      <c r="F2418">
        <v>4</v>
      </c>
      <c r="G2418" t="s">
        <v>13</v>
      </c>
      <c r="H2418" s="1">
        <v>45975.340277777781</v>
      </c>
      <c r="I2418" s="5">
        <f>INT(TB[[#This Row],[时间戳]])</f>
        <v>45975</v>
      </c>
      <c r="J2418" s="2">
        <f>HOUR(TB[[#This Row],[时间戳]])</f>
        <v>8</v>
      </c>
      <c r="K2418">
        <v>1014</v>
      </c>
      <c r="L2418">
        <v>2</v>
      </c>
      <c r="M2418">
        <f>TB[[#This Row],[售价]]*TB[[#This Row],[销量]]</f>
        <v>2028</v>
      </c>
      <c r="N2418" t="str">
        <f>IF(TB[[#This Row],[售价]]&lt;1000,"低价商品",IF(TB[[#This Row],[售价]]&lt;5000,"中价商品",IF(TB[[#This Row],[售价]]&lt;10000,"高价商品","超高价商品")))</f>
        <v>中价商品</v>
      </c>
    </row>
    <row r="2419" spans="1:14" x14ac:dyDescent="0.2">
      <c r="A2419">
        <v>406</v>
      </c>
      <c r="B2419">
        <v>118</v>
      </c>
      <c r="C2419" t="s">
        <v>26</v>
      </c>
      <c r="D2419" t="s">
        <v>48</v>
      </c>
      <c r="E2419" t="s">
        <v>31</v>
      </c>
      <c r="F2419">
        <v>4</v>
      </c>
      <c r="G2419" t="s">
        <v>13</v>
      </c>
      <c r="H2419" s="1">
        <v>45975.34097222222</v>
      </c>
      <c r="I2419" s="5">
        <f>INT(TB[[#This Row],[时间戳]])</f>
        <v>45975</v>
      </c>
      <c r="J2419" s="2">
        <f>HOUR(TB[[#This Row],[时间戳]])</f>
        <v>8</v>
      </c>
      <c r="K2419">
        <v>1047</v>
      </c>
      <c r="L2419">
        <v>2</v>
      </c>
      <c r="M2419">
        <f>TB[[#This Row],[售价]]*TB[[#This Row],[销量]]</f>
        <v>2094</v>
      </c>
      <c r="N2419" t="str">
        <f>IF(TB[[#This Row],[售价]]&lt;1000,"低价商品",IF(TB[[#This Row],[售价]]&lt;5000,"中价商品",IF(TB[[#This Row],[售价]]&lt;10000,"高价商品","超高价商品")))</f>
        <v>中价商品</v>
      </c>
    </row>
    <row r="2420" spans="1:14" x14ac:dyDescent="0.2">
      <c r="A2420">
        <v>424</v>
      </c>
      <c r="B2420">
        <v>111</v>
      </c>
      <c r="C2420" t="s">
        <v>34</v>
      </c>
      <c r="D2420" t="s">
        <v>400</v>
      </c>
      <c r="E2420" t="s">
        <v>19</v>
      </c>
      <c r="F2420">
        <v>3</v>
      </c>
      <c r="G2420" t="s">
        <v>13</v>
      </c>
      <c r="H2420" s="1">
        <v>45975.341666666667</v>
      </c>
      <c r="I2420" s="5">
        <f>INT(TB[[#This Row],[时间戳]])</f>
        <v>45975</v>
      </c>
      <c r="J2420" s="2">
        <f>HOUR(TB[[#This Row],[时间戳]])</f>
        <v>8</v>
      </c>
      <c r="K2420">
        <v>3759</v>
      </c>
      <c r="L2420">
        <v>2</v>
      </c>
      <c r="M2420">
        <f>TB[[#This Row],[售价]]*TB[[#This Row],[销量]]</f>
        <v>7518</v>
      </c>
      <c r="N2420" t="str">
        <f>IF(TB[[#This Row],[售价]]&lt;1000,"低价商品",IF(TB[[#This Row],[售价]]&lt;5000,"中价商品",IF(TB[[#This Row],[售价]]&lt;10000,"高价商品","超高价商品")))</f>
        <v>中价商品</v>
      </c>
    </row>
    <row r="2421" spans="1:14" x14ac:dyDescent="0.2">
      <c r="A2421">
        <v>37</v>
      </c>
      <c r="B2421">
        <v>11</v>
      </c>
      <c r="C2421" t="s">
        <v>32</v>
      </c>
      <c r="D2421" t="s">
        <v>286</v>
      </c>
      <c r="E2421" t="s">
        <v>22</v>
      </c>
      <c r="F2421">
        <v>1</v>
      </c>
      <c r="G2421" t="s">
        <v>13</v>
      </c>
      <c r="H2421" s="1">
        <v>45975.350694444445</v>
      </c>
      <c r="I2421" s="5">
        <f>INT(TB[[#This Row],[时间戳]])</f>
        <v>45975</v>
      </c>
      <c r="J2421" s="2">
        <f>HOUR(TB[[#This Row],[时间戳]])</f>
        <v>8</v>
      </c>
      <c r="K2421">
        <v>5704</v>
      </c>
      <c r="L2421">
        <v>2</v>
      </c>
      <c r="M2421">
        <f>TB[[#This Row],[售价]]*TB[[#This Row],[销量]]</f>
        <v>11408</v>
      </c>
      <c r="N2421" t="str">
        <f>IF(TB[[#This Row],[售价]]&lt;1000,"低价商品",IF(TB[[#This Row],[售价]]&lt;5000,"中价商品",IF(TB[[#This Row],[售价]]&lt;10000,"高价商品","超高价商品")))</f>
        <v>高价商品</v>
      </c>
    </row>
    <row r="2422" spans="1:14" x14ac:dyDescent="0.2">
      <c r="A2422">
        <v>408</v>
      </c>
      <c r="B2422">
        <v>249</v>
      </c>
      <c r="C2422" t="s">
        <v>14</v>
      </c>
      <c r="D2422" t="s">
        <v>29</v>
      </c>
      <c r="E2422" t="s">
        <v>22</v>
      </c>
      <c r="F2422">
        <v>1</v>
      </c>
      <c r="G2422" t="s">
        <v>13</v>
      </c>
      <c r="H2422" s="1">
        <v>45975.353472222225</v>
      </c>
      <c r="I2422" s="5">
        <f>INT(TB[[#This Row],[时间戳]])</f>
        <v>45975</v>
      </c>
      <c r="J2422" s="2">
        <f>HOUR(TB[[#This Row],[时间戳]])</f>
        <v>8</v>
      </c>
      <c r="K2422">
        <v>7254</v>
      </c>
      <c r="L2422">
        <v>5</v>
      </c>
      <c r="M2422">
        <f>TB[[#This Row],[售价]]*TB[[#This Row],[销量]]</f>
        <v>36270</v>
      </c>
      <c r="N2422" t="str">
        <f>IF(TB[[#This Row],[售价]]&lt;1000,"低价商品",IF(TB[[#This Row],[售价]]&lt;5000,"中价商品",IF(TB[[#This Row],[售价]]&lt;10000,"高价商品","超高价商品")))</f>
        <v>高价商品</v>
      </c>
    </row>
    <row r="2423" spans="1:14" x14ac:dyDescent="0.2">
      <c r="A2423">
        <v>25</v>
      </c>
      <c r="B2423">
        <v>118</v>
      </c>
      <c r="C2423" t="s">
        <v>36</v>
      </c>
      <c r="D2423" t="s">
        <v>213</v>
      </c>
      <c r="E2423" t="s">
        <v>39</v>
      </c>
      <c r="F2423">
        <v>5</v>
      </c>
      <c r="G2423" t="s">
        <v>13</v>
      </c>
      <c r="H2423" s="1">
        <v>45975.354166666664</v>
      </c>
      <c r="I2423" s="5">
        <f>INT(TB[[#This Row],[时间戳]])</f>
        <v>45975</v>
      </c>
      <c r="J2423" s="2">
        <f>HOUR(TB[[#This Row],[时间戳]])</f>
        <v>8</v>
      </c>
      <c r="K2423">
        <v>853</v>
      </c>
      <c r="L2423">
        <v>2</v>
      </c>
      <c r="M2423">
        <f>TB[[#This Row],[售价]]*TB[[#This Row],[销量]]</f>
        <v>1706</v>
      </c>
      <c r="N2423" t="str">
        <f>IF(TB[[#This Row],[售价]]&lt;1000,"低价商品",IF(TB[[#This Row],[售价]]&lt;5000,"中价商品",IF(TB[[#This Row],[售价]]&lt;10000,"高价商品","超高价商品")))</f>
        <v>低价商品</v>
      </c>
    </row>
    <row r="2424" spans="1:14" x14ac:dyDescent="0.2">
      <c r="A2424">
        <v>279</v>
      </c>
      <c r="B2424">
        <v>64</v>
      </c>
      <c r="C2424" t="s">
        <v>32</v>
      </c>
      <c r="D2424" t="s">
        <v>286</v>
      </c>
      <c r="E2424" t="s">
        <v>22</v>
      </c>
      <c r="F2424">
        <v>1</v>
      </c>
      <c r="G2424" t="s">
        <v>42</v>
      </c>
      <c r="H2424" s="1">
        <v>45975.379861111112</v>
      </c>
      <c r="I2424" s="5">
        <f>INT(TB[[#This Row],[时间戳]])</f>
        <v>45975</v>
      </c>
      <c r="J2424" s="2">
        <f>HOUR(TB[[#This Row],[时间戳]])</f>
        <v>9</v>
      </c>
      <c r="K2424">
        <v>6368</v>
      </c>
      <c r="L2424">
        <v>0</v>
      </c>
      <c r="M2424">
        <f>TB[[#This Row],[售价]]*TB[[#This Row],[销量]]</f>
        <v>0</v>
      </c>
      <c r="N2424" t="str">
        <f>IF(TB[[#This Row],[售价]]&lt;1000,"低价商品",IF(TB[[#This Row],[售价]]&lt;5000,"中价商品",IF(TB[[#This Row],[售价]]&lt;10000,"高价商品","超高价商品")))</f>
        <v>高价商品</v>
      </c>
    </row>
    <row r="2425" spans="1:14" x14ac:dyDescent="0.2">
      <c r="A2425">
        <v>759</v>
      </c>
      <c r="B2425">
        <v>139</v>
      </c>
      <c r="C2425" t="s">
        <v>17</v>
      </c>
      <c r="D2425" t="s">
        <v>214</v>
      </c>
      <c r="E2425" t="s">
        <v>22</v>
      </c>
      <c r="F2425">
        <v>1</v>
      </c>
      <c r="G2425" t="s">
        <v>13</v>
      </c>
      <c r="H2425" s="1">
        <v>45975.390972222223</v>
      </c>
      <c r="I2425" s="5">
        <f>INT(TB[[#This Row],[时间戳]])</f>
        <v>45975</v>
      </c>
      <c r="J2425" s="2">
        <f>HOUR(TB[[#This Row],[时间戳]])</f>
        <v>9</v>
      </c>
      <c r="K2425">
        <v>7653</v>
      </c>
      <c r="L2425">
        <v>2</v>
      </c>
      <c r="M2425">
        <f>TB[[#This Row],[售价]]*TB[[#This Row],[销量]]</f>
        <v>15306</v>
      </c>
      <c r="N2425" t="str">
        <f>IF(TB[[#This Row],[售价]]&lt;1000,"低价商品",IF(TB[[#This Row],[售价]]&lt;5000,"中价商品",IF(TB[[#This Row],[售价]]&lt;10000,"高价商品","超高价商品")))</f>
        <v>高价商品</v>
      </c>
    </row>
    <row r="2426" spans="1:14" x14ac:dyDescent="0.2">
      <c r="A2426">
        <v>740</v>
      </c>
      <c r="B2426">
        <v>213</v>
      </c>
      <c r="C2426" t="s">
        <v>14</v>
      </c>
      <c r="D2426" t="s">
        <v>52</v>
      </c>
      <c r="E2426" t="s">
        <v>31</v>
      </c>
      <c r="F2426">
        <v>4</v>
      </c>
      <c r="G2426" t="s">
        <v>13</v>
      </c>
      <c r="H2426" s="1">
        <v>45975.397916666669</v>
      </c>
      <c r="I2426" s="5">
        <f>INT(TB[[#This Row],[时间戳]])</f>
        <v>45975</v>
      </c>
      <c r="J2426" s="2">
        <f>HOUR(TB[[#This Row],[时间戳]])</f>
        <v>9</v>
      </c>
      <c r="K2426">
        <v>62</v>
      </c>
      <c r="L2426">
        <v>5</v>
      </c>
      <c r="M2426">
        <f>TB[[#This Row],[售价]]*TB[[#This Row],[销量]]</f>
        <v>310</v>
      </c>
      <c r="N2426" t="str">
        <f>IF(TB[[#This Row],[售价]]&lt;1000,"低价商品",IF(TB[[#This Row],[售价]]&lt;5000,"中价商品",IF(TB[[#This Row],[售价]]&lt;10000,"高价商品","超高价商品")))</f>
        <v>低价商品</v>
      </c>
    </row>
    <row r="2427" spans="1:14" x14ac:dyDescent="0.2">
      <c r="A2427">
        <v>156</v>
      </c>
      <c r="B2427">
        <v>49</v>
      </c>
      <c r="C2427" t="s">
        <v>20</v>
      </c>
      <c r="D2427" t="s">
        <v>412</v>
      </c>
      <c r="E2427" t="s">
        <v>12</v>
      </c>
      <c r="F2427">
        <v>2</v>
      </c>
      <c r="G2427" t="s">
        <v>13</v>
      </c>
      <c r="H2427" s="1">
        <v>45975.44027777778</v>
      </c>
      <c r="I2427" s="5">
        <f>INT(TB[[#This Row],[时间戳]])</f>
        <v>45975</v>
      </c>
      <c r="J2427" s="2">
        <f>HOUR(TB[[#This Row],[时间戳]])</f>
        <v>10</v>
      </c>
      <c r="K2427">
        <v>4137</v>
      </c>
      <c r="L2427">
        <v>2</v>
      </c>
      <c r="M2427">
        <f>TB[[#This Row],[售价]]*TB[[#This Row],[销量]]</f>
        <v>8274</v>
      </c>
      <c r="N2427" t="str">
        <f>IF(TB[[#This Row],[售价]]&lt;1000,"低价商品",IF(TB[[#This Row],[售价]]&lt;5000,"中价商品",IF(TB[[#This Row],[售价]]&lt;10000,"高价商品","超高价商品")))</f>
        <v>中价商品</v>
      </c>
    </row>
    <row r="2428" spans="1:14" x14ac:dyDescent="0.2">
      <c r="A2428">
        <v>621</v>
      </c>
      <c r="B2428">
        <v>160</v>
      </c>
      <c r="C2428" t="s">
        <v>17</v>
      </c>
      <c r="D2428" t="s">
        <v>214</v>
      </c>
      <c r="E2428" t="s">
        <v>22</v>
      </c>
      <c r="F2428">
        <v>1</v>
      </c>
      <c r="G2428" t="s">
        <v>13</v>
      </c>
      <c r="H2428" s="1">
        <v>45975.442361111112</v>
      </c>
      <c r="I2428" s="5">
        <f>INT(TB[[#This Row],[时间戳]])</f>
        <v>45975</v>
      </c>
      <c r="J2428" s="2">
        <f>HOUR(TB[[#This Row],[时间戳]])</f>
        <v>10</v>
      </c>
      <c r="K2428">
        <v>7129</v>
      </c>
      <c r="L2428">
        <v>2</v>
      </c>
      <c r="M2428">
        <f>TB[[#This Row],[售价]]*TB[[#This Row],[销量]]</f>
        <v>14258</v>
      </c>
      <c r="N2428" t="str">
        <f>IF(TB[[#This Row],[售价]]&lt;1000,"低价商品",IF(TB[[#This Row],[售价]]&lt;5000,"中价商品",IF(TB[[#This Row],[售价]]&lt;10000,"高价商品","超高价商品")))</f>
        <v>高价商品</v>
      </c>
    </row>
    <row r="2429" spans="1:14" x14ac:dyDescent="0.2">
      <c r="A2429">
        <v>24</v>
      </c>
      <c r="B2429">
        <v>155</v>
      </c>
      <c r="C2429" t="s">
        <v>20</v>
      </c>
      <c r="D2429" t="s">
        <v>324</v>
      </c>
      <c r="E2429" t="s">
        <v>12</v>
      </c>
      <c r="F2429">
        <v>2</v>
      </c>
      <c r="G2429" t="s">
        <v>42</v>
      </c>
      <c r="H2429" s="1">
        <v>45975.5</v>
      </c>
      <c r="I2429" s="5">
        <f>INT(TB[[#This Row],[时间戳]])</f>
        <v>45975</v>
      </c>
      <c r="J2429" s="2">
        <f>HOUR(TB[[#This Row],[时间戳]])</f>
        <v>12</v>
      </c>
      <c r="K2429">
        <v>9320</v>
      </c>
      <c r="L2429">
        <v>0</v>
      </c>
      <c r="M2429">
        <f>TB[[#This Row],[售价]]*TB[[#This Row],[销量]]</f>
        <v>0</v>
      </c>
      <c r="N2429" t="str">
        <f>IF(TB[[#This Row],[售价]]&lt;1000,"低价商品",IF(TB[[#This Row],[售价]]&lt;5000,"中价商品",IF(TB[[#This Row],[售价]]&lt;10000,"高价商品","超高价商品")))</f>
        <v>高价商品</v>
      </c>
    </row>
    <row r="2430" spans="1:14" x14ac:dyDescent="0.2">
      <c r="A2430">
        <v>271</v>
      </c>
      <c r="B2430">
        <v>296</v>
      </c>
      <c r="C2430" t="s">
        <v>32</v>
      </c>
      <c r="D2430" t="s">
        <v>58</v>
      </c>
      <c r="E2430" t="s">
        <v>31</v>
      </c>
      <c r="F2430">
        <v>4</v>
      </c>
      <c r="G2430" t="s">
        <v>42</v>
      </c>
      <c r="H2430" s="1">
        <v>45975.506944444445</v>
      </c>
      <c r="I2430" s="5">
        <f>INT(TB[[#This Row],[时间戳]])</f>
        <v>45975</v>
      </c>
      <c r="J2430" s="2">
        <f>HOUR(TB[[#This Row],[时间戳]])</f>
        <v>12</v>
      </c>
      <c r="K2430">
        <v>645</v>
      </c>
      <c r="L2430">
        <v>0</v>
      </c>
      <c r="M2430">
        <f>TB[[#This Row],[售价]]*TB[[#This Row],[销量]]</f>
        <v>0</v>
      </c>
      <c r="N2430" t="str">
        <f>IF(TB[[#This Row],[售价]]&lt;1000,"低价商品",IF(TB[[#This Row],[售价]]&lt;5000,"中价商品",IF(TB[[#This Row],[售价]]&lt;10000,"高价商品","超高价商品")))</f>
        <v>低价商品</v>
      </c>
    </row>
    <row r="2431" spans="1:14" x14ac:dyDescent="0.2">
      <c r="A2431">
        <v>96</v>
      </c>
      <c r="B2431">
        <v>114</v>
      </c>
      <c r="C2431" t="s">
        <v>36</v>
      </c>
      <c r="D2431" t="s">
        <v>185</v>
      </c>
      <c r="E2431" t="s">
        <v>12</v>
      </c>
      <c r="F2431">
        <v>2</v>
      </c>
      <c r="G2431" t="s">
        <v>13</v>
      </c>
      <c r="H2431" s="1">
        <v>45975.547222222223</v>
      </c>
      <c r="I2431" s="5">
        <f>INT(TB[[#This Row],[时间戳]])</f>
        <v>45975</v>
      </c>
      <c r="J2431" s="2">
        <f>HOUR(TB[[#This Row],[时间戳]])</f>
        <v>13</v>
      </c>
      <c r="K2431">
        <v>11715</v>
      </c>
      <c r="L2431">
        <v>5</v>
      </c>
      <c r="M2431">
        <f>TB[[#This Row],[售价]]*TB[[#This Row],[销量]]</f>
        <v>58575</v>
      </c>
      <c r="N2431" t="str">
        <f>IF(TB[[#This Row],[售价]]&lt;1000,"低价商品",IF(TB[[#This Row],[售价]]&lt;5000,"中价商品",IF(TB[[#This Row],[售价]]&lt;10000,"高价商品","超高价商品")))</f>
        <v>超高价商品</v>
      </c>
    </row>
    <row r="2432" spans="1:14" x14ac:dyDescent="0.2">
      <c r="A2432">
        <v>292</v>
      </c>
      <c r="B2432">
        <v>274</v>
      </c>
      <c r="C2432" t="s">
        <v>36</v>
      </c>
      <c r="D2432" t="s">
        <v>83</v>
      </c>
      <c r="E2432" t="s">
        <v>22</v>
      </c>
      <c r="F2432">
        <v>1</v>
      </c>
      <c r="G2432" t="s">
        <v>42</v>
      </c>
      <c r="H2432" s="1">
        <v>45975.563888888886</v>
      </c>
      <c r="I2432" s="5">
        <f>INT(TB[[#This Row],[时间戳]])</f>
        <v>45975</v>
      </c>
      <c r="J2432" s="2">
        <f>HOUR(TB[[#This Row],[时间戳]])</f>
        <v>13</v>
      </c>
      <c r="K2432">
        <v>4415</v>
      </c>
      <c r="L2432">
        <v>0</v>
      </c>
      <c r="M2432">
        <f>TB[[#This Row],[售价]]*TB[[#This Row],[销量]]</f>
        <v>0</v>
      </c>
      <c r="N2432" t="str">
        <f>IF(TB[[#This Row],[售价]]&lt;1000,"低价商品",IF(TB[[#This Row],[售价]]&lt;5000,"中价商品",IF(TB[[#This Row],[售价]]&lt;10000,"高价商品","超高价商品")))</f>
        <v>中价商品</v>
      </c>
    </row>
    <row r="2433" spans="1:14" x14ac:dyDescent="0.2">
      <c r="A2433">
        <v>509</v>
      </c>
      <c r="B2433">
        <v>202</v>
      </c>
      <c r="C2433" t="s">
        <v>17</v>
      </c>
      <c r="D2433" t="s">
        <v>362</v>
      </c>
      <c r="E2433" t="s">
        <v>25</v>
      </c>
      <c r="F2433">
        <v>7</v>
      </c>
      <c r="G2433" t="s">
        <v>13</v>
      </c>
      <c r="H2433" s="1">
        <v>45975.59652777778</v>
      </c>
      <c r="I2433" s="5">
        <f>INT(TB[[#This Row],[时间戳]])</f>
        <v>45975</v>
      </c>
      <c r="J2433" s="2">
        <f>HOUR(TB[[#This Row],[时间戳]])</f>
        <v>14</v>
      </c>
      <c r="K2433">
        <v>5575</v>
      </c>
      <c r="L2433">
        <v>2</v>
      </c>
      <c r="M2433">
        <f>TB[[#This Row],[售价]]*TB[[#This Row],[销量]]</f>
        <v>11150</v>
      </c>
      <c r="N2433" t="str">
        <f>IF(TB[[#This Row],[售价]]&lt;1000,"低价商品",IF(TB[[#This Row],[售价]]&lt;5000,"中价商品",IF(TB[[#This Row],[售价]]&lt;10000,"高价商品","超高价商品")))</f>
        <v>高价商品</v>
      </c>
    </row>
    <row r="2434" spans="1:14" x14ac:dyDescent="0.2">
      <c r="A2434">
        <v>464</v>
      </c>
      <c r="B2434">
        <v>115</v>
      </c>
      <c r="C2434" t="s">
        <v>20</v>
      </c>
      <c r="D2434" t="s">
        <v>206</v>
      </c>
      <c r="E2434" t="s">
        <v>19</v>
      </c>
      <c r="F2434">
        <v>3</v>
      </c>
      <c r="G2434" t="s">
        <v>13</v>
      </c>
      <c r="H2434" s="1">
        <v>45975.672222222223</v>
      </c>
      <c r="I2434" s="5">
        <f>INT(TB[[#This Row],[时间戳]])</f>
        <v>45975</v>
      </c>
      <c r="J2434" s="2">
        <f>HOUR(TB[[#This Row],[时间戳]])</f>
        <v>16</v>
      </c>
      <c r="K2434">
        <v>4743</v>
      </c>
      <c r="L2434">
        <v>5</v>
      </c>
      <c r="M2434">
        <f>TB[[#This Row],[售价]]*TB[[#This Row],[销量]]</f>
        <v>23715</v>
      </c>
      <c r="N2434" t="str">
        <f>IF(TB[[#This Row],[售价]]&lt;1000,"低价商品",IF(TB[[#This Row],[售价]]&lt;5000,"中价商品",IF(TB[[#This Row],[售价]]&lt;10000,"高价商品","超高价商品")))</f>
        <v>中价商品</v>
      </c>
    </row>
    <row r="2435" spans="1:14" x14ac:dyDescent="0.2">
      <c r="A2435">
        <v>379</v>
      </c>
      <c r="B2435">
        <v>245</v>
      </c>
      <c r="C2435" t="s">
        <v>32</v>
      </c>
      <c r="D2435" t="s">
        <v>326</v>
      </c>
      <c r="E2435" t="s">
        <v>19</v>
      </c>
      <c r="F2435">
        <v>3</v>
      </c>
      <c r="G2435" t="s">
        <v>13</v>
      </c>
      <c r="H2435" s="1">
        <v>45975.678472222222</v>
      </c>
      <c r="I2435" s="5">
        <f>INT(TB[[#This Row],[时间戳]])</f>
        <v>45975</v>
      </c>
      <c r="J2435" s="2">
        <f>HOUR(TB[[#This Row],[时间戳]])</f>
        <v>16</v>
      </c>
      <c r="K2435">
        <v>1706</v>
      </c>
      <c r="L2435">
        <v>5</v>
      </c>
      <c r="M2435">
        <f>TB[[#This Row],[售价]]*TB[[#This Row],[销量]]</f>
        <v>8530</v>
      </c>
      <c r="N2435" t="str">
        <f>IF(TB[[#This Row],[售价]]&lt;1000,"低价商品",IF(TB[[#This Row],[售价]]&lt;5000,"中价商品",IF(TB[[#This Row],[售价]]&lt;10000,"高价商品","超高价商品")))</f>
        <v>中价商品</v>
      </c>
    </row>
    <row r="2436" spans="1:14" x14ac:dyDescent="0.2">
      <c r="A2436">
        <v>148</v>
      </c>
      <c r="B2436">
        <v>43</v>
      </c>
      <c r="C2436" t="s">
        <v>36</v>
      </c>
      <c r="D2436" t="s">
        <v>102</v>
      </c>
      <c r="E2436" t="s">
        <v>19</v>
      </c>
      <c r="F2436">
        <v>3</v>
      </c>
      <c r="G2436" t="s">
        <v>42</v>
      </c>
      <c r="H2436" s="1">
        <v>45975.738194444442</v>
      </c>
      <c r="I2436" s="5">
        <f>INT(TB[[#This Row],[时间戳]])</f>
        <v>45975</v>
      </c>
      <c r="J2436" s="2">
        <f>HOUR(TB[[#This Row],[时间戳]])</f>
        <v>17</v>
      </c>
      <c r="K2436">
        <v>2521</v>
      </c>
      <c r="L2436">
        <v>0</v>
      </c>
      <c r="M2436">
        <f>TB[[#This Row],[售价]]*TB[[#This Row],[销量]]</f>
        <v>0</v>
      </c>
      <c r="N2436" t="str">
        <f>IF(TB[[#This Row],[售价]]&lt;1000,"低价商品",IF(TB[[#This Row],[售价]]&lt;5000,"中价商品",IF(TB[[#This Row],[售价]]&lt;10000,"高价商品","超高价商品")))</f>
        <v>中价商品</v>
      </c>
    </row>
    <row r="2437" spans="1:14" x14ac:dyDescent="0.2">
      <c r="A2437">
        <v>502</v>
      </c>
      <c r="B2437">
        <v>128</v>
      </c>
      <c r="C2437" t="s">
        <v>26</v>
      </c>
      <c r="D2437" t="s">
        <v>345</v>
      </c>
      <c r="E2437" t="s">
        <v>12</v>
      </c>
      <c r="F2437">
        <v>2</v>
      </c>
      <c r="G2437" t="s">
        <v>42</v>
      </c>
      <c r="H2437" s="1">
        <v>45975.74722222222</v>
      </c>
      <c r="I2437" s="5">
        <f>INT(TB[[#This Row],[时间戳]])</f>
        <v>45975</v>
      </c>
      <c r="J2437" s="2">
        <f>HOUR(TB[[#This Row],[时间戳]])</f>
        <v>17</v>
      </c>
      <c r="K2437">
        <v>5649</v>
      </c>
      <c r="L2437">
        <v>0</v>
      </c>
      <c r="M2437">
        <f>TB[[#This Row],[售价]]*TB[[#This Row],[销量]]</f>
        <v>0</v>
      </c>
      <c r="N2437" t="str">
        <f>IF(TB[[#This Row],[售价]]&lt;1000,"低价商品",IF(TB[[#This Row],[售价]]&lt;5000,"中价商品",IF(TB[[#This Row],[售价]]&lt;10000,"高价商品","超高价商品")))</f>
        <v>高价商品</v>
      </c>
    </row>
    <row r="2438" spans="1:14" x14ac:dyDescent="0.2">
      <c r="A2438">
        <v>485</v>
      </c>
      <c r="B2438">
        <v>268</v>
      </c>
      <c r="C2438" t="s">
        <v>17</v>
      </c>
      <c r="D2438" t="s">
        <v>354</v>
      </c>
      <c r="E2438" t="s">
        <v>16</v>
      </c>
      <c r="F2438">
        <v>6</v>
      </c>
      <c r="G2438" t="s">
        <v>42</v>
      </c>
      <c r="H2438" s="1">
        <v>45975.756249999999</v>
      </c>
      <c r="I2438" s="5">
        <f>INT(TB[[#This Row],[时间戳]])</f>
        <v>45975</v>
      </c>
      <c r="J2438" s="2">
        <f>HOUR(TB[[#This Row],[时间戳]])</f>
        <v>18</v>
      </c>
      <c r="K2438">
        <v>3246</v>
      </c>
      <c r="L2438">
        <v>0</v>
      </c>
      <c r="M2438">
        <f>TB[[#This Row],[售价]]*TB[[#This Row],[销量]]</f>
        <v>0</v>
      </c>
      <c r="N2438" t="str">
        <f>IF(TB[[#This Row],[售价]]&lt;1000,"低价商品",IF(TB[[#This Row],[售价]]&lt;5000,"中价商品",IF(TB[[#This Row],[售价]]&lt;10000,"高价商品","超高价商品")))</f>
        <v>中价商品</v>
      </c>
    </row>
    <row r="2439" spans="1:14" x14ac:dyDescent="0.2">
      <c r="A2439">
        <v>786</v>
      </c>
      <c r="B2439">
        <v>253</v>
      </c>
      <c r="C2439" t="s">
        <v>32</v>
      </c>
      <c r="D2439" t="s">
        <v>411</v>
      </c>
      <c r="E2439" t="s">
        <v>39</v>
      </c>
      <c r="F2439">
        <v>5</v>
      </c>
      <c r="G2439" t="s">
        <v>13</v>
      </c>
      <c r="H2439" s="1">
        <v>45975.763888888891</v>
      </c>
      <c r="I2439" s="5">
        <f>INT(TB[[#This Row],[时间戳]])</f>
        <v>45975</v>
      </c>
      <c r="J2439" s="2">
        <f>HOUR(TB[[#This Row],[时间戳]])</f>
        <v>18</v>
      </c>
      <c r="K2439">
        <v>3851</v>
      </c>
      <c r="L2439">
        <v>5</v>
      </c>
      <c r="M2439">
        <f>TB[[#This Row],[售价]]*TB[[#This Row],[销量]]</f>
        <v>19255</v>
      </c>
      <c r="N2439" t="str">
        <f>IF(TB[[#This Row],[售价]]&lt;1000,"低价商品",IF(TB[[#This Row],[售价]]&lt;5000,"中价商品",IF(TB[[#This Row],[售价]]&lt;10000,"高价商品","超高价商品")))</f>
        <v>中价商品</v>
      </c>
    </row>
    <row r="2440" spans="1:14" x14ac:dyDescent="0.2">
      <c r="A2440">
        <v>155</v>
      </c>
      <c r="B2440">
        <v>19</v>
      </c>
      <c r="C2440" t="s">
        <v>36</v>
      </c>
      <c r="D2440" t="s">
        <v>102</v>
      </c>
      <c r="E2440" t="s">
        <v>19</v>
      </c>
      <c r="F2440">
        <v>3</v>
      </c>
      <c r="G2440" t="s">
        <v>42</v>
      </c>
      <c r="H2440" s="1">
        <v>45975.77847222222</v>
      </c>
      <c r="I2440" s="5">
        <f>INT(TB[[#This Row],[时间戳]])</f>
        <v>45975</v>
      </c>
      <c r="J2440" s="2">
        <f>HOUR(TB[[#This Row],[时间戳]])</f>
        <v>18</v>
      </c>
      <c r="K2440">
        <v>3574</v>
      </c>
      <c r="L2440">
        <v>0</v>
      </c>
      <c r="M2440">
        <f>TB[[#This Row],[售价]]*TB[[#This Row],[销量]]</f>
        <v>0</v>
      </c>
      <c r="N2440" t="str">
        <f>IF(TB[[#This Row],[售价]]&lt;1000,"低价商品",IF(TB[[#This Row],[售价]]&lt;5000,"中价商品",IF(TB[[#This Row],[售价]]&lt;10000,"高价商品","超高价商品")))</f>
        <v>中价商品</v>
      </c>
    </row>
    <row r="2441" spans="1:14" x14ac:dyDescent="0.2">
      <c r="A2441">
        <v>417</v>
      </c>
      <c r="B2441">
        <v>3</v>
      </c>
      <c r="C2441" t="s">
        <v>46</v>
      </c>
      <c r="D2441" t="s">
        <v>84</v>
      </c>
      <c r="E2441" t="s">
        <v>39</v>
      </c>
      <c r="F2441">
        <v>5</v>
      </c>
      <c r="G2441" t="s">
        <v>42</v>
      </c>
      <c r="H2441" s="1">
        <v>45975.78125</v>
      </c>
      <c r="I2441" s="5">
        <f>INT(TB[[#This Row],[时间戳]])</f>
        <v>45975</v>
      </c>
      <c r="J2441" s="2">
        <f>HOUR(TB[[#This Row],[时间戳]])</f>
        <v>18</v>
      </c>
      <c r="K2441">
        <v>2268</v>
      </c>
      <c r="L2441">
        <v>0</v>
      </c>
      <c r="M2441">
        <f>TB[[#This Row],[售价]]*TB[[#This Row],[销量]]</f>
        <v>0</v>
      </c>
      <c r="N2441" t="str">
        <f>IF(TB[[#This Row],[售价]]&lt;1000,"低价商品",IF(TB[[#This Row],[售价]]&lt;5000,"中价商品",IF(TB[[#This Row],[售价]]&lt;10000,"高价商品","超高价商品")))</f>
        <v>中价商品</v>
      </c>
    </row>
    <row r="2442" spans="1:14" x14ac:dyDescent="0.2">
      <c r="A2442">
        <v>501</v>
      </c>
      <c r="B2442">
        <v>280</v>
      </c>
      <c r="C2442" t="s">
        <v>32</v>
      </c>
      <c r="D2442" t="s">
        <v>313</v>
      </c>
      <c r="E2442" t="s">
        <v>39</v>
      </c>
      <c r="F2442">
        <v>5</v>
      </c>
      <c r="G2442" t="s">
        <v>42</v>
      </c>
      <c r="H2442" s="1">
        <v>45975.796527777777</v>
      </c>
      <c r="I2442" s="5">
        <f>INT(TB[[#This Row],[时间戳]])</f>
        <v>45975</v>
      </c>
      <c r="J2442" s="2">
        <f>HOUR(TB[[#This Row],[时间戳]])</f>
        <v>19</v>
      </c>
      <c r="K2442">
        <v>2051</v>
      </c>
      <c r="L2442">
        <v>0</v>
      </c>
      <c r="M2442">
        <f>TB[[#This Row],[售价]]*TB[[#This Row],[销量]]</f>
        <v>0</v>
      </c>
      <c r="N2442" t="str">
        <f>IF(TB[[#This Row],[售价]]&lt;1000,"低价商品",IF(TB[[#This Row],[售价]]&lt;5000,"中价商品",IF(TB[[#This Row],[售价]]&lt;10000,"高价商品","超高价商品")))</f>
        <v>中价商品</v>
      </c>
    </row>
    <row r="2443" spans="1:14" x14ac:dyDescent="0.2">
      <c r="A2443">
        <v>473</v>
      </c>
      <c r="B2443">
        <v>248</v>
      </c>
      <c r="C2443" t="s">
        <v>32</v>
      </c>
      <c r="D2443" t="s">
        <v>342</v>
      </c>
      <c r="E2443" t="s">
        <v>39</v>
      </c>
      <c r="F2443">
        <v>5</v>
      </c>
      <c r="G2443" t="s">
        <v>13</v>
      </c>
      <c r="H2443" s="1">
        <v>45975.810416666667</v>
      </c>
      <c r="I2443" s="5">
        <f>INT(TB[[#This Row],[时间戳]])</f>
        <v>45975</v>
      </c>
      <c r="J2443" s="2">
        <f>HOUR(TB[[#This Row],[时间戳]])</f>
        <v>19</v>
      </c>
      <c r="K2443">
        <v>2807</v>
      </c>
      <c r="L2443">
        <v>5</v>
      </c>
      <c r="M2443">
        <f>TB[[#This Row],[售价]]*TB[[#This Row],[销量]]</f>
        <v>14035</v>
      </c>
      <c r="N2443" t="str">
        <f>IF(TB[[#This Row],[售价]]&lt;1000,"低价商品",IF(TB[[#This Row],[售价]]&lt;5000,"中价商品",IF(TB[[#This Row],[售价]]&lt;10000,"高价商品","超高价商品")))</f>
        <v>中价商品</v>
      </c>
    </row>
    <row r="2444" spans="1:14" x14ac:dyDescent="0.2">
      <c r="A2444">
        <v>436</v>
      </c>
      <c r="B2444">
        <v>40</v>
      </c>
      <c r="C2444" t="s">
        <v>14</v>
      </c>
      <c r="D2444" t="s">
        <v>395</v>
      </c>
      <c r="E2444" t="s">
        <v>12</v>
      </c>
      <c r="F2444">
        <v>2</v>
      </c>
      <c r="G2444" t="s">
        <v>13</v>
      </c>
      <c r="H2444" s="1">
        <v>45975.836805555555</v>
      </c>
      <c r="I2444" s="5">
        <f>INT(TB[[#This Row],[时间戳]])</f>
        <v>45975</v>
      </c>
      <c r="J2444" s="2">
        <f>HOUR(TB[[#This Row],[时间戳]])</f>
        <v>20</v>
      </c>
      <c r="K2444">
        <v>12512</v>
      </c>
      <c r="L2444">
        <v>5</v>
      </c>
      <c r="M2444">
        <f>TB[[#This Row],[售价]]*TB[[#This Row],[销量]]</f>
        <v>62560</v>
      </c>
      <c r="N2444" t="str">
        <f>IF(TB[[#This Row],[售价]]&lt;1000,"低价商品",IF(TB[[#This Row],[售价]]&lt;5000,"中价商品",IF(TB[[#This Row],[售价]]&lt;10000,"高价商品","超高价商品")))</f>
        <v>超高价商品</v>
      </c>
    </row>
    <row r="2445" spans="1:14" x14ac:dyDescent="0.2">
      <c r="A2445">
        <v>533</v>
      </c>
      <c r="B2445">
        <v>63</v>
      </c>
      <c r="C2445" t="s">
        <v>10</v>
      </c>
      <c r="D2445" t="s">
        <v>41</v>
      </c>
      <c r="E2445" t="s">
        <v>22</v>
      </c>
      <c r="F2445">
        <v>1</v>
      </c>
      <c r="G2445" t="s">
        <v>13</v>
      </c>
      <c r="H2445" s="1">
        <v>45975.870138888888</v>
      </c>
      <c r="I2445" s="5">
        <f>INT(TB[[#This Row],[时间戳]])</f>
        <v>45975</v>
      </c>
      <c r="J2445" s="2">
        <f>HOUR(TB[[#This Row],[时间戳]])</f>
        <v>20</v>
      </c>
      <c r="K2445">
        <v>3942</v>
      </c>
      <c r="L2445">
        <v>5</v>
      </c>
      <c r="M2445">
        <f>TB[[#This Row],[售价]]*TB[[#This Row],[销量]]</f>
        <v>19710</v>
      </c>
      <c r="N2445" t="str">
        <f>IF(TB[[#This Row],[售价]]&lt;1000,"低价商品",IF(TB[[#This Row],[售价]]&lt;5000,"中价商品",IF(TB[[#This Row],[售价]]&lt;10000,"高价商品","超高价商品")))</f>
        <v>中价商品</v>
      </c>
    </row>
    <row r="2446" spans="1:14" x14ac:dyDescent="0.2">
      <c r="A2446">
        <v>40</v>
      </c>
      <c r="B2446">
        <v>218</v>
      </c>
      <c r="C2446" t="s">
        <v>44</v>
      </c>
      <c r="D2446" t="s">
        <v>222</v>
      </c>
      <c r="E2446" t="s">
        <v>12</v>
      </c>
      <c r="F2446">
        <v>2</v>
      </c>
      <c r="G2446" t="s">
        <v>13</v>
      </c>
      <c r="H2446" s="1">
        <v>45975.880555555559</v>
      </c>
      <c r="I2446" s="5">
        <f>INT(TB[[#This Row],[时间戳]])</f>
        <v>45975</v>
      </c>
      <c r="J2446" s="2">
        <f>HOUR(TB[[#This Row],[时间戳]])</f>
        <v>21</v>
      </c>
      <c r="K2446">
        <v>6623</v>
      </c>
      <c r="L2446">
        <v>5</v>
      </c>
      <c r="M2446">
        <f>TB[[#This Row],[售价]]*TB[[#This Row],[销量]]</f>
        <v>33115</v>
      </c>
      <c r="N2446" t="str">
        <f>IF(TB[[#This Row],[售价]]&lt;1000,"低价商品",IF(TB[[#This Row],[售价]]&lt;5000,"中价商品",IF(TB[[#This Row],[售价]]&lt;10000,"高价商品","超高价商品")))</f>
        <v>高价商品</v>
      </c>
    </row>
    <row r="2447" spans="1:14" x14ac:dyDescent="0.2">
      <c r="A2447">
        <v>144</v>
      </c>
      <c r="B2447">
        <v>281</v>
      </c>
      <c r="C2447" t="s">
        <v>20</v>
      </c>
      <c r="D2447" t="s">
        <v>113</v>
      </c>
      <c r="E2447" t="s">
        <v>31</v>
      </c>
      <c r="F2447">
        <v>4</v>
      </c>
      <c r="G2447" t="s">
        <v>13</v>
      </c>
      <c r="H2447" s="1">
        <v>45975.887499999997</v>
      </c>
      <c r="I2447" s="5">
        <f>INT(TB[[#This Row],[时间戳]])</f>
        <v>45975</v>
      </c>
      <c r="J2447" s="2">
        <f>HOUR(TB[[#This Row],[时间戳]])</f>
        <v>21</v>
      </c>
      <c r="K2447">
        <v>951</v>
      </c>
      <c r="L2447">
        <v>5</v>
      </c>
      <c r="M2447">
        <f>TB[[#This Row],[售价]]*TB[[#This Row],[销量]]</f>
        <v>4755</v>
      </c>
      <c r="N2447" t="str">
        <f>IF(TB[[#This Row],[售价]]&lt;1000,"低价商品",IF(TB[[#This Row],[售价]]&lt;5000,"中价商品",IF(TB[[#This Row],[售价]]&lt;10000,"高价商品","超高价商品")))</f>
        <v>低价商品</v>
      </c>
    </row>
    <row r="2448" spans="1:14" x14ac:dyDescent="0.2">
      <c r="A2448">
        <v>121</v>
      </c>
      <c r="B2448">
        <v>223</v>
      </c>
      <c r="C2448" t="s">
        <v>10</v>
      </c>
      <c r="D2448" t="s">
        <v>329</v>
      </c>
      <c r="E2448" t="s">
        <v>39</v>
      </c>
      <c r="F2448">
        <v>5</v>
      </c>
      <c r="G2448" t="s">
        <v>13</v>
      </c>
      <c r="H2448" s="1">
        <v>45975.893055555556</v>
      </c>
      <c r="I2448" s="5">
        <f>INT(TB[[#This Row],[时间戳]])</f>
        <v>45975</v>
      </c>
      <c r="J2448" s="2">
        <f>HOUR(TB[[#This Row],[时间戳]])</f>
        <v>21</v>
      </c>
      <c r="K2448">
        <v>2516</v>
      </c>
      <c r="L2448">
        <v>2</v>
      </c>
      <c r="M2448">
        <f>TB[[#This Row],[售价]]*TB[[#This Row],[销量]]</f>
        <v>5032</v>
      </c>
      <c r="N2448" t="str">
        <f>IF(TB[[#This Row],[售价]]&lt;1000,"低价商品",IF(TB[[#This Row],[售价]]&lt;5000,"中价商品",IF(TB[[#This Row],[售价]]&lt;10000,"高价商品","超高价商品")))</f>
        <v>中价商品</v>
      </c>
    </row>
    <row r="2449" spans="1:14" x14ac:dyDescent="0.2">
      <c r="A2449">
        <v>331</v>
      </c>
      <c r="B2449">
        <v>191</v>
      </c>
      <c r="C2449" t="s">
        <v>36</v>
      </c>
      <c r="D2449" t="s">
        <v>87</v>
      </c>
      <c r="E2449" t="s">
        <v>19</v>
      </c>
      <c r="F2449">
        <v>3</v>
      </c>
      <c r="G2449" t="s">
        <v>13</v>
      </c>
      <c r="H2449" s="1">
        <v>45975.896527777775</v>
      </c>
      <c r="I2449" s="5">
        <f>INT(TB[[#This Row],[时间戳]])</f>
        <v>45975</v>
      </c>
      <c r="J2449" s="2">
        <f>HOUR(TB[[#This Row],[时间戳]])</f>
        <v>21</v>
      </c>
      <c r="K2449">
        <v>4078</v>
      </c>
      <c r="L2449">
        <v>5</v>
      </c>
      <c r="M2449">
        <f>TB[[#This Row],[售价]]*TB[[#This Row],[销量]]</f>
        <v>20390</v>
      </c>
      <c r="N2449" t="str">
        <f>IF(TB[[#This Row],[售价]]&lt;1000,"低价商品",IF(TB[[#This Row],[售价]]&lt;5000,"中价商品",IF(TB[[#This Row],[售价]]&lt;10000,"高价商品","超高价商品")))</f>
        <v>中价商品</v>
      </c>
    </row>
    <row r="2450" spans="1:14" x14ac:dyDescent="0.2">
      <c r="A2450">
        <v>298</v>
      </c>
      <c r="B2450">
        <v>268</v>
      </c>
      <c r="C2450" t="s">
        <v>26</v>
      </c>
      <c r="D2450" t="s">
        <v>27</v>
      </c>
      <c r="E2450" t="s">
        <v>22</v>
      </c>
      <c r="F2450">
        <v>1</v>
      </c>
      <c r="G2450" t="s">
        <v>13</v>
      </c>
      <c r="H2450" s="1">
        <v>45975.897916666669</v>
      </c>
      <c r="I2450" s="5">
        <f>INT(TB[[#This Row],[时间戳]])</f>
        <v>45975</v>
      </c>
      <c r="J2450" s="2">
        <f>HOUR(TB[[#This Row],[时间戳]])</f>
        <v>21</v>
      </c>
      <c r="K2450">
        <v>5750</v>
      </c>
      <c r="L2450">
        <v>5</v>
      </c>
      <c r="M2450">
        <f>TB[[#This Row],[售价]]*TB[[#This Row],[销量]]</f>
        <v>28750</v>
      </c>
      <c r="N2450" t="str">
        <f>IF(TB[[#This Row],[售价]]&lt;1000,"低价商品",IF(TB[[#This Row],[售价]]&lt;5000,"中价商品",IF(TB[[#This Row],[售价]]&lt;10000,"高价商品","超高价商品")))</f>
        <v>高价商品</v>
      </c>
    </row>
    <row r="2451" spans="1:14" x14ac:dyDescent="0.2">
      <c r="A2451">
        <v>532</v>
      </c>
      <c r="B2451">
        <v>129</v>
      </c>
      <c r="C2451" t="s">
        <v>46</v>
      </c>
      <c r="D2451" t="s">
        <v>220</v>
      </c>
      <c r="E2451" t="s">
        <v>39</v>
      </c>
      <c r="F2451">
        <v>5</v>
      </c>
      <c r="G2451" t="s">
        <v>13</v>
      </c>
      <c r="H2451" s="1">
        <v>45975.905555555553</v>
      </c>
      <c r="I2451" s="5">
        <f>INT(TB[[#This Row],[时间戳]])</f>
        <v>45975</v>
      </c>
      <c r="J2451" s="2">
        <f>HOUR(TB[[#This Row],[时间戳]])</f>
        <v>21</v>
      </c>
      <c r="K2451">
        <v>3509</v>
      </c>
      <c r="L2451">
        <v>2</v>
      </c>
      <c r="M2451">
        <f>TB[[#This Row],[售价]]*TB[[#This Row],[销量]]</f>
        <v>7018</v>
      </c>
      <c r="N2451" t="str">
        <f>IF(TB[[#This Row],[售价]]&lt;1000,"低价商品",IF(TB[[#This Row],[售价]]&lt;5000,"中价商品",IF(TB[[#This Row],[售价]]&lt;10000,"高价商品","超高价商品")))</f>
        <v>中价商品</v>
      </c>
    </row>
    <row r="2452" spans="1:14" x14ac:dyDescent="0.2">
      <c r="A2452">
        <v>765</v>
      </c>
      <c r="B2452">
        <v>70</v>
      </c>
      <c r="C2452" t="s">
        <v>32</v>
      </c>
      <c r="D2452" t="s">
        <v>107</v>
      </c>
      <c r="E2452" t="s">
        <v>31</v>
      </c>
      <c r="F2452">
        <v>4</v>
      </c>
      <c r="G2452" t="s">
        <v>13</v>
      </c>
      <c r="H2452" s="1">
        <v>45975.911805555559</v>
      </c>
      <c r="I2452" s="5">
        <f>INT(TB[[#This Row],[时间戳]])</f>
        <v>45975</v>
      </c>
      <c r="J2452" s="2">
        <f>HOUR(TB[[#This Row],[时间戳]])</f>
        <v>21</v>
      </c>
      <c r="K2452">
        <v>1052</v>
      </c>
      <c r="L2452">
        <v>5</v>
      </c>
      <c r="M2452">
        <f>TB[[#This Row],[售价]]*TB[[#This Row],[销量]]</f>
        <v>5260</v>
      </c>
      <c r="N2452" t="str">
        <f>IF(TB[[#This Row],[售价]]&lt;1000,"低价商品",IF(TB[[#This Row],[售价]]&lt;5000,"中价商品",IF(TB[[#This Row],[售价]]&lt;10000,"高价商品","超高价商品")))</f>
        <v>中价商品</v>
      </c>
    </row>
    <row r="2453" spans="1:14" x14ac:dyDescent="0.2">
      <c r="A2453">
        <v>326</v>
      </c>
      <c r="B2453">
        <v>214</v>
      </c>
      <c r="C2453" t="s">
        <v>44</v>
      </c>
      <c r="D2453" t="s">
        <v>397</v>
      </c>
      <c r="E2453" t="s">
        <v>25</v>
      </c>
      <c r="F2453">
        <v>7</v>
      </c>
      <c r="G2453" t="s">
        <v>13</v>
      </c>
      <c r="H2453" s="1">
        <v>45975.973611111112</v>
      </c>
      <c r="I2453" s="5">
        <f>INT(TB[[#This Row],[时间戳]])</f>
        <v>45975</v>
      </c>
      <c r="J2453" s="2">
        <f>HOUR(TB[[#This Row],[时间戳]])</f>
        <v>23</v>
      </c>
      <c r="K2453">
        <v>2913</v>
      </c>
      <c r="L2453">
        <v>5</v>
      </c>
      <c r="M2453">
        <f>TB[[#This Row],[售价]]*TB[[#This Row],[销量]]</f>
        <v>14565</v>
      </c>
      <c r="N2453" t="str">
        <f>IF(TB[[#This Row],[售价]]&lt;1000,"低价商品",IF(TB[[#This Row],[售价]]&lt;5000,"中价商品",IF(TB[[#This Row],[售价]]&lt;10000,"高价商品","超高价商品")))</f>
        <v>中价商品</v>
      </c>
    </row>
    <row r="2454" spans="1:14" x14ac:dyDescent="0.2">
      <c r="A2454">
        <v>6</v>
      </c>
      <c r="B2454">
        <v>160</v>
      </c>
      <c r="C2454" t="s">
        <v>44</v>
      </c>
      <c r="D2454" t="s">
        <v>222</v>
      </c>
      <c r="E2454" t="s">
        <v>12</v>
      </c>
      <c r="F2454">
        <v>2</v>
      </c>
      <c r="G2454" t="s">
        <v>13</v>
      </c>
      <c r="H2454" s="1">
        <v>45975.988888888889</v>
      </c>
      <c r="I2454" s="5">
        <f>INT(TB[[#This Row],[时间戳]])</f>
        <v>45975</v>
      </c>
      <c r="J2454" s="2">
        <f>HOUR(TB[[#This Row],[时间戳]])</f>
        <v>23</v>
      </c>
      <c r="K2454">
        <v>6812</v>
      </c>
      <c r="L2454">
        <v>5</v>
      </c>
      <c r="M2454">
        <f>TB[[#This Row],[售价]]*TB[[#This Row],[销量]]</f>
        <v>34060</v>
      </c>
      <c r="N2454" t="str">
        <f>IF(TB[[#This Row],[售价]]&lt;1000,"低价商品",IF(TB[[#This Row],[售价]]&lt;5000,"中价商品",IF(TB[[#This Row],[售价]]&lt;10000,"高价商品","超高价商品")))</f>
        <v>高价商品</v>
      </c>
    </row>
    <row r="2455" spans="1:14" x14ac:dyDescent="0.2">
      <c r="A2455">
        <v>551</v>
      </c>
      <c r="B2455">
        <v>235</v>
      </c>
      <c r="C2455" t="s">
        <v>32</v>
      </c>
      <c r="D2455" t="s">
        <v>58</v>
      </c>
      <c r="E2455" t="s">
        <v>31</v>
      </c>
      <c r="F2455">
        <v>4</v>
      </c>
      <c r="G2455" t="s">
        <v>13</v>
      </c>
      <c r="H2455" s="1">
        <v>45975.996527777781</v>
      </c>
      <c r="I2455" s="5">
        <f>INT(TB[[#This Row],[时间戳]])</f>
        <v>45975</v>
      </c>
      <c r="J2455" s="2">
        <f>HOUR(TB[[#This Row],[时间戳]])</f>
        <v>23</v>
      </c>
      <c r="K2455">
        <v>1382</v>
      </c>
      <c r="L2455">
        <v>5</v>
      </c>
      <c r="M2455">
        <f>TB[[#This Row],[售价]]*TB[[#This Row],[销量]]</f>
        <v>6910</v>
      </c>
      <c r="N2455" t="str">
        <f>IF(TB[[#This Row],[售价]]&lt;1000,"低价商品",IF(TB[[#This Row],[售价]]&lt;5000,"中价商品",IF(TB[[#This Row],[售价]]&lt;10000,"高价商品","超高价商品")))</f>
        <v>中价商品</v>
      </c>
    </row>
    <row r="2456" spans="1:14" x14ac:dyDescent="0.2">
      <c r="A2456">
        <v>480</v>
      </c>
      <c r="B2456">
        <v>81</v>
      </c>
      <c r="C2456" t="s">
        <v>10</v>
      </c>
      <c r="D2456" t="s">
        <v>387</v>
      </c>
      <c r="E2456" t="s">
        <v>16</v>
      </c>
      <c r="F2456">
        <v>6</v>
      </c>
      <c r="G2456" t="s">
        <v>42</v>
      </c>
      <c r="H2456" s="1">
        <v>45976.012499999997</v>
      </c>
      <c r="I2456" s="5">
        <f>INT(TB[[#This Row],[时间戳]])</f>
        <v>45976</v>
      </c>
      <c r="J2456" s="2">
        <f>HOUR(TB[[#This Row],[时间戳]])</f>
        <v>0</v>
      </c>
      <c r="K2456">
        <v>7271</v>
      </c>
      <c r="L2456">
        <v>0</v>
      </c>
      <c r="M2456">
        <f>TB[[#This Row],[售价]]*TB[[#This Row],[销量]]</f>
        <v>0</v>
      </c>
      <c r="N2456" t="str">
        <f>IF(TB[[#This Row],[售价]]&lt;1000,"低价商品",IF(TB[[#This Row],[售价]]&lt;5000,"中价商品",IF(TB[[#This Row],[售价]]&lt;10000,"高价商品","超高价商品")))</f>
        <v>高价商品</v>
      </c>
    </row>
    <row r="2457" spans="1:14" x14ac:dyDescent="0.2">
      <c r="A2457">
        <v>354</v>
      </c>
      <c r="B2457">
        <v>8</v>
      </c>
      <c r="C2457" t="s">
        <v>20</v>
      </c>
      <c r="D2457" t="s">
        <v>277</v>
      </c>
      <c r="E2457" t="s">
        <v>12</v>
      </c>
      <c r="F2457">
        <v>2</v>
      </c>
      <c r="G2457" t="s">
        <v>13</v>
      </c>
      <c r="H2457" s="1">
        <v>45976.015277777777</v>
      </c>
      <c r="I2457" s="5">
        <f>INT(TB[[#This Row],[时间戳]])</f>
        <v>45976</v>
      </c>
      <c r="J2457" s="2">
        <f>HOUR(TB[[#This Row],[时间戳]])</f>
        <v>0</v>
      </c>
      <c r="K2457">
        <v>5072</v>
      </c>
      <c r="L2457">
        <v>4</v>
      </c>
      <c r="M2457">
        <f>TB[[#This Row],[售价]]*TB[[#This Row],[销量]]</f>
        <v>20288</v>
      </c>
      <c r="N2457" t="str">
        <f>IF(TB[[#This Row],[售价]]&lt;1000,"低价商品",IF(TB[[#This Row],[售价]]&lt;5000,"中价商品",IF(TB[[#This Row],[售价]]&lt;10000,"高价商品","超高价商品")))</f>
        <v>高价商品</v>
      </c>
    </row>
    <row r="2458" spans="1:14" x14ac:dyDescent="0.2">
      <c r="A2458">
        <v>599</v>
      </c>
      <c r="B2458">
        <v>157</v>
      </c>
      <c r="C2458" t="s">
        <v>36</v>
      </c>
      <c r="D2458" t="s">
        <v>185</v>
      </c>
      <c r="E2458" t="s">
        <v>12</v>
      </c>
      <c r="F2458">
        <v>2</v>
      </c>
      <c r="G2458" t="s">
        <v>13</v>
      </c>
      <c r="H2458" s="1">
        <v>45976.026388888888</v>
      </c>
      <c r="I2458" s="5">
        <f>INT(TB[[#This Row],[时间戳]])</f>
        <v>45976</v>
      </c>
      <c r="J2458" s="2">
        <f>HOUR(TB[[#This Row],[时间戳]])</f>
        <v>0</v>
      </c>
      <c r="K2458">
        <v>7096</v>
      </c>
      <c r="L2458">
        <v>4</v>
      </c>
      <c r="M2458">
        <f>TB[[#This Row],[售价]]*TB[[#This Row],[销量]]</f>
        <v>28384</v>
      </c>
      <c r="N2458" t="str">
        <f>IF(TB[[#This Row],[售价]]&lt;1000,"低价商品",IF(TB[[#This Row],[售价]]&lt;5000,"中价商品",IF(TB[[#This Row],[售价]]&lt;10000,"高价商品","超高价商品")))</f>
        <v>高价商品</v>
      </c>
    </row>
    <row r="2459" spans="1:14" x14ac:dyDescent="0.2">
      <c r="A2459">
        <v>575</v>
      </c>
      <c r="B2459">
        <v>278</v>
      </c>
      <c r="C2459" t="s">
        <v>17</v>
      </c>
      <c r="D2459" t="s">
        <v>309</v>
      </c>
      <c r="E2459" t="s">
        <v>16</v>
      </c>
      <c r="F2459">
        <v>6</v>
      </c>
      <c r="G2459" t="s">
        <v>13</v>
      </c>
      <c r="H2459" s="1">
        <v>45976.044444444444</v>
      </c>
      <c r="I2459" s="5">
        <f>INT(TB[[#This Row],[时间戳]])</f>
        <v>45976</v>
      </c>
      <c r="J2459" s="2">
        <f>HOUR(TB[[#This Row],[时间戳]])</f>
        <v>1</v>
      </c>
      <c r="K2459">
        <v>8136</v>
      </c>
      <c r="L2459">
        <v>5</v>
      </c>
      <c r="M2459">
        <f>TB[[#This Row],[售价]]*TB[[#This Row],[销量]]</f>
        <v>40680</v>
      </c>
      <c r="N2459" t="str">
        <f>IF(TB[[#This Row],[售价]]&lt;1000,"低价商品",IF(TB[[#This Row],[售价]]&lt;5000,"中价商品",IF(TB[[#This Row],[售价]]&lt;10000,"高价商品","超高价商品")))</f>
        <v>高价商品</v>
      </c>
    </row>
    <row r="2460" spans="1:14" x14ac:dyDescent="0.2">
      <c r="A2460">
        <v>607</v>
      </c>
      <c r="B2460">
        <v>79</v>
      </c>
      <c r="C2460" t="s">
        <v>32</v>
      </c>
      <c r="D2460" t="s">
        <v>58</v>
      </c>
      <c r="E2460" t="s">
        <v>31</v>
      </c>
      <c r="F2460">
        <v>4</v>
      </c>
      <c r="G2460" t="s">
        <v>42</v>
      </c>
      <c r="H2460" s="1">
        <v>45976.056944444441</v>
      </c>
      <c r="I2460" s="5">
        <f>INT(TB[[#This Row],[时间戳]])</f>
        <v>45976</v>
      </c>
      <c r="J2460" s="2">
        <f>HOUR(TB[[#This Row],[时间戳]])</f>
        <v>1</v>
      </c>
      <c r="K2460">
        <v>1500</v>
      </c>
      <c r="L2460">
        <v>0</v>
      </c>
      <c r="M2460">
        <f>TB[[#This Row],[售价]]*TB[[#This Row],[销量]]</f>
        <v>0</v>
      </c>
      <c r="N2460" t="str">
        <f>IF(TB[[#This Row],[售价]]&lt;1000,"低价商品",IF(TB[[#This Row],[售价]]&lt;5000,"中价商品",IF(TB[[#This Row],[售价]]&lt;10000,"高价商品","超高价商品")))</f>
        <v>中价商品</v>
      </c>
    </row>
    <row r="2461" spans="1:14" x14ac:dyDescent="0.2">
      <c r="A2461">
        <v>183</v>
      </c>
      <c r="B2461">
        <v>135</v>
      </c>
      <c r="C2461" t="s">
        <v>32</v>
      </c>
      <c r="D2461" t="s">
        <v>148</v>
      </c>
      <c r="E2461" t="s">
        <v>16</v>
      </c>
      <c r="F2461">
        <v>6</v>
      </c>
      <c r="G2461" t="s">
        <v>13</v>
      </c>
      <c r="H2461" s="1">
        <v>45976.065972222219</v>
      </c>
      <c r="I2461" s="5">
        <f>INT(TB[[#This Row],[时间戳]])</f>
        <v>45976</v>
      </c>
      <c r="J2461" s="2">
        <f>HOUR(TB[[#This Row],[时间戳]])</f>
        <v>1</v>
      </c>
      <c r="K2461">
        <v>3861</v>
      </c>
      <c r="L2461">
        <v>5</v>
      </c>
      <c r="M2461">
        <f>TB[[#This Row],[售价]]*TB[[#This Row],[销量]]</f>
        <v>19305</v>
      </c>
      <c r="N2461" t="str">
        <f>IF(TB[[#This Row],[售价]]&lt;1000,"低价商品",IF(TB[[#This Row],[售价]]&lt;5000,"中价商品",IF(TB[[#This Row],[售价]]&lt;10000,"高价商品","超高价商品")))</f>
        <v>中价商品</v>
      </c>
    </row>
    <row r="2462" spans="1:14" x14ac:dyDescent="0.2">
      <c r="A2462">
        <v>602</v>
      </c>
      <c r="B2462">
        <v>197</v>
      </c>
      <c r="C2462" t="s">
        <v>26</v>
      </c>
      <c r="D2462" t="s">
        <v>94</v>
      </c>
      <c r="E2462" t="s">
        <v>12</v>
      </c>
      <c r="F2462">
        <v>2</v>
      </c>
      <c r="G2462" t="s">
        <v>13</v>
      </c>
      <c r="H2462" s="1">
        <v>45976.159722222219</v>
      </c>
      <c r="I2462" s="5">
        <f>INT(TB[[#This Row],[时间戳]])</f>
        <v>45976</v>
      </c>
      <c r="J2462" s="2">
        <f>HOUR(TB[[#This Row],[时间戳]])</f>
        <v>3</v>
      </c>
      <c r="K2462">
        <v>13087</v>
      </c>
      <c r="L2462">
        <v>2</v>
      </c>
      <c r="M2462">
        <f>TB[[#This Row],[售价]]*TB[[#This Row],[销量]]</f>
        <v>26174</v>
      </c>
      <c r="N2462" t="str">
        <f>IF(TB[[#This Row],[售价]]&lt;1000,"低价商品",IF(TB[[#This Row],[售价]]&lt;5000,"中价商品",IF(TB[[#This Row],[售价]]&lt;10000,"高价商品","超高价商品")))</f>
        <v>超高价商品</v>
      </c>
    </row>
    <row r="2463" spans="1:14" x14ac:dyDescent="0.2">
      <c r="A2463">
        <v>284</v>
      </c>
      <c r="B2463">
        <v>243</v>
      </c>
      <c r="C2463" t="s">
        <v>46</v>
      </c>
      <c r="D2463" t="s">
        <v>84</v>
      </c>
      <c r="E2463" t="s">
        <v>39</v>
      </c>
      <c r="F2463">
        <v>5</v>
      </c>
      <c r="G2463" t="s">
        <v>13</v>
      </c>
      <c r="H2463" s="1">
        <v>45976.199305555558</v>
      </c>
      <c r="I2463" s="5">
        <f>INT(TB[[#This Row],[时间戳]])</f>
        <v>45976</v>
      </c>
      <c r="J2463" s="2">
        <f>HOUR(TB[[#This Row],[时间戳]])</f>
        <v>4</v>
      </c>
      <c r="K2463">
        <v>2246</v>
      </c>
      <c r="L2463">
        <v>5</v>
      </c>
      <c r="M2463">
        <f>TB[[#This Row],[售价]]*TB[[#This Row],[销量]]</f>
        <v>11230</v>
      </c>
      <c r="N2463" t="str">
        <f>IF(TB[[#This Row],[售价]]&lt;1000,"低价商品",IF(TB[[#This Row],[售价]]&lt;5000,"中价商品",IF(TB[[#This Row],[售价]]&lt;10000,"高价商品","超高价商品")))</f>
        <v>中价商品</v>
      </c>
    </row>
    <row r="2464" spans="1:14" x14ac:dyDescent="0.2">
      <c r="A2464">
        <v>222</v>
      </c>
      <c r="B2464">
        <v>47</v>
      </c>
      <c r="C2464" t="s">
        <v>10</v>
      </c>
      <c r="D2464" t="s">
        <v>41</v>
      </c>
      <c r="E2464" t="s">
        <v>22</v>
      </c>
      <c r="F2464">
        <v>1</v>
      </c>
      <c r="G2464" t="s">
        <v>42</v>
      </c>
      <c r="H2464" s="1">
        <v>45976.216666666667</v>
      </c>
      <c r="I2464" s="5">
        <f>INT(TB[[#This Row],[时间戳]])</f>
        <v>45976</v>
      </c>
      <c r="J2464" s="2">
        <f>HOUR(TB[[#This Row],[时间戳]])</f>
        <v>5</v>
      </c>
      <c r="K2464">
        <v>2600</v>
      </c>
      <c r="L2464">
        <v>0</v>
      </c>
      <c r="M2464">
        <f>TB[[#This Row],[售价]]*TB[[#This Row],[销量]]</f>
        <v>0</v>
      </c>
      <c r="N2464" t="str">
        <f>IF(TB[[#This Row],[售价]]&lt;1000,"低价商品",IF(TB[[#This Row],[售价]]&lt;5000,"中价商品",IF(TB[[#This Row],[售价]]&lt;10000,"高价商品","超高价商品")))</f>
        <v>中价商品</v>
      </c>
    </row>
    <row r="2465" spans="1:14" x14ac:dyDescent="0.2">
      <c r="A2465">
        <v>487</v>
      </c>
      <c r="B2465">
        <v>1</v>
      </c>
      <c r="C2465" t="s">
        <v>26</v>
      </c>
      <c r="D2465" t="s">
        <v>345</v>
      </c>
      <c r="E2465" t="s">
        <v>12</v>
      </c>
      <c r="F2465">
        <v>2</v>
      </c>
      <c r="G2465" t="s">
        <v>13</v>
      </c>
      <c r="H2465" s="1">
        <v>45976.232638888891</v>
      </c>
      <c r="I2465" s="5">
        <f>INT(TB[[#This Row],[时间戳]])</f>
        <v>45976</v>
      </c>
      <c r="J2465" s="2">
        <f>HOUR(TB[[#This Row],[时间戳]])</f>
        <v>5</v>
      </c>
      <c r="K2465">
        <v>13949</v>
      </c>
      <c r="L2465">
        <v>5</v>
      </c>
      <c r="M2465">
        <f>TB[[#This Row],[售价]]*TB[[#This Row],[销量]]</f>
        <v>69745</v>
      </c>
      <c r="N2465" t="str">
        <f>IF(TB[[#This Row],[售价]]&lt;1000,"低价商品",IF(TB[[#This Row],[售价]]&lt;5000,"中价商品",IF(TB[[#This Row],[售价]]&lt;10000,"高价商品","超高价商品")))</f>
        <v>超高价商品</v>
      </c>
    </row>
    <row r="2466" spans="1:14" x14ac:dyDescent="0.2">
      <c r="A2466">
        <v>524</v>
      </c>
      <c r="B2466">
        <v>226</v>
      </c>
      <c r="C2466" t="s">
        <v>10</v>
      </c>
      <c r="D2466" t="s">
        <v>382</v>
      </c>
      <c r="E2466" t="s">
        <v>16</v>
      </c>
      <c r="F2466">
        <v>6</v>
      </c>
      <c r="G2466" t="s">
        <v>42</v>
      </c>
      <c r="H2466" s="1">
        <v>45976.25</v>
      </c>
      <c r="I2466" s="5">
        <f>INT(TB[[#This Row],[时间戳]])</f>
        <v>45976</v>
      </c>
      <c r="J2466" s="2">
        <f>HOUR(TB[[#This Row],[时间戳]])</f>
        <v>6</v>
      </c>
      <c r="K2466">
        <v>7136</v>
      </c>
      <c r="L2466">
        <v>0</v>
      </c>
      <c r="M2466">
        <f>TB[[#This Row],[售价]]*TB[[#This Row],[销量]]</f>
        <v>0</v>
      </c>
      <c r="N2466" t="str">
        <f>IF(TB[[#This Row],[售价]]&lt;1000,"低价商品",IF(TB[[#This Row],[售价]]&lt;5000,"中价商品",IF(TB[[#This Row],[售价]]&lt;10000,"高价商品","超高价商品")))</f>
        <v>高价商品</v>
      </c>
    </row>
    <row r="2467" spans="1:14" x14ac:dyDescent="0.2">
      <c r="A2467">
        <v>310</v>
      </c>
      <c r="B2467">
        <v>257</v>
      </c>
      <c r="C2467" t="s">
        <v>44</v>
      </c>
      <c r="D2467" t="s">
        <v>132</v>
      </c>
      <c r="E2467" t="s">
        <v>22</v>
      </c>
      <c r="F2467">
        <v>1</v>
      </c>
      <c r="G2467" t="s">
        <v>42</v>
      </c>
      <c r="H2467" s="1">
        <v>45976.254166666666</v>
      </c>
      <c r="I2467" s="5">
        <f>INT(TB[[#This Row],[时间戳]])</f>
        <v>45976</v>
      </c>
      <c r="J2467" s="2">
        <f>HOUR(TB[[#This Row],[时间戳]])</f>
        <v>6</v>
      </c>
      <c r="K2467">
        <v>4624</v>
      </c>
      <c r="L2467">
        <v>0</v>
      </c>
      <c r="M2467">
        <f>TB[[#This Row],[售价]]*TB[[#This Row],[销量]]</f>
        <v>0</v>
      </c>
      <c r="N2467" t="str">
        <f>IF(TB[[#This Row],[售价]]&lt;1000,"低价商品",IF(TB[[#This Row],[售价]]&lt;5000,"中价商品",IF(TB[[#This Row],[售价]]&lt;10000,"高价商品","超高价商品")))</f>
        <v>中价商品</v>
      </c>
    </row>
    <row r="2468" spans="1:14" x14ac:dyDescent="0.2">
      <c r="A2468">
        <v>387</v>
      </c>
      <c r="B2468">
        <v>198</v>
      </c>
      <c r="C2468" t="s">
        <v>20</v>
      </c>
      <c r="D2468" t="s">
        <v>23</v>
      </c>
      <c r="E2468" t="s">
        <v>12</v>
      </c>
      <c r="F2468">
        <v>2</v>
      </c>
      <c r="G2468" t="s">
        <v>13</v>
      </c>
      <c r="H2468" s="1">
        <v>45976.263888888891</v>
      </c>
      <c r="I2468" s="5">
        <f>INT(TB[[#This Row],[时间戳]])</f>
        <v>45976</v>
      </c>
      <c r="J2468" s="2">
        <f>HOUR(TB[[#This Row],[时间戳]])</f>
        <v>6</v>
      </c>
      <c r="K2468">
        <v>5844</v>
      </c>
      <c r="L2468">
        <v>5</v>
      </c>
      <c r="M2468">
        <f>TB[[#This Row],[售价]]*TB[[#This Row],[销量]]</f>
        <v>29220</v>
      </c>
      <c r="N2468" t="str">
        <f>IF(TB[[#This Row],[售价]]&lt;1000,"低价商品",IF(TB[[#This Row],[售价]]&lt;5000,"中价商品",IF(TB[[#This Row],[售价]]&lt;10000,"高价商品","超高价商品")))</f>
        <v>高价商品</v>
      </c>
    </row>
    <row r="2469" spans="1:14" x14ac:dyDescent="0.2">
      <c r="A2469">
        <v>535</v>
      </c>
      <c r="B2469">
        <v>163</v>
      </c>
      <c r="C2469" t="s">
        <v>34</v>
      </c>
      <c r="D2469" t="s">
        <v>248</v>
      </c>
      <c r="E2469" t="s">
        <v>22</v>
      </c>
      <c r="F2469">
        <v>1</v>
      </c>
      <c r="G2469" t="s">
        <v>13</v>
      </c>
      <c r="H2469" s="1">
        <v>45976.26458333333</v>
      </c>
      <c r="I2469" s="5">
        <f>INT(TB[[#This Row],[时间戳]])</f>
        <v>45976</v>
      </c>
      <c r="J2469" s="2">
        <f>HOUR(TB[[#This Row],[时间戳]])</f>
        <v>6</v>
      </c>
      <c r="K2469">
        <v>6827</v>
      </c>
      <c r="L2469">
        <v>4</v>
      </c>
      <c r="M2469">
        <f>TB[[#This Row],[售价]]*TB[[#This Row],[销量]]</f>
        <v>27308</v>
      </c>
      <c r="N2469" t="str">
        <f>IF(TB[[#This Row],[售价]]&lt;1000,"低价商品",IF(TB[[#This Row],[售价]]&lt;5000,"中价商品",IF(TB[[#This Row],[售价]]&lt;10000,"高价商品","超高价商品")))</f>
        <v>高价商品</v>
      </c>
    </row>
    <row r="2470" spans="1:14" x14ac:dyDescent="0.2">
      <c r="A2470">
        <v>171</v>
      </c>
      <c r="B2470">
        <v>143</v>
      </c>
      <c r="C2470" t="s">
        <v>46</v>
      </c>
      <c r="D2470" t="s">
        <v>378</v>
      </c>
      <c r="E2470" t="s">
        <v>19</v>
      </c>
      <c r="F2470">
        <v>3</v>
      </c>
      <c r="G2470" t="s">
        <v>13</v>
      </c>
      <c r="H2470" s="1">
        <v>45976.276388888888</v>
      </c>
      <c r="I2470" s="5">
        <f>INT(TB[[#This Row],[时间戳]])</f>
        <v>45976</v>
      </c>
      <c r="J2470" s="2">
        <f>HOUR(TB[[#This Row],[时间戳]])</f>
        <v>6</v>
      </c>
      <c r="K2470">
        <v>5687</v>
      </c>
      <c r="L2470">
        <v>4</v>
      </c>
      <c r="M2470">
        <f>TB[[#This Row],[售价]]*TB[[#This Row],[销量]]</f>
        <v>22748</v>
      </c>
      <c r="N2470" t="str">
        <f>IF(TB[[#This Row],[售价]]&lt;1000,"低价商品",IF(TB[[#This Row],[售价]]&lt;5000,"中价商品",IF(TB[[#This Row],[售价]]&lt;10000,"高价商品","超高价商品")))</f>
        <v>高价商品</v>
      </c>
    </row>
    <row r="2471" spans="1:14" x14ac:dyDescent="0.2">
      <c r="A2471">
        <v>502</v>
      </c>
      <c r="B2471">
        <v>129</v>
      </c>
      <c r="C2471" t="s">
        <v>20</v>
      </c>
      <c r="D2471" t="s">
        <v>259</v>
      </c>
      <c r="E2471" t="s">
        <v>16</v>
      </c>
      <c r="F2471">
        <v>6</v>
      </c>
      <c r="G2471" t="s">
        <v>13</v>
      </c>
      <c r="H2471" s="1">
        <v>45976.290972222225</v>
      </c>
      <c r="I2471" s="5">
        <f>INT(TB[[#This Row],[时间戳]])</f>
        <v>45976</v>
      </c>
      <c r="J2471" s="2">
        <f>HOUR(TB[[#This Row],[时间戳]])</f>
        <v>6</v>
      </c>
      <c r="K2471">
        <v>4364</v>
      </c>
      <c r="L2471">
        <v>4</v>
      </c>
      <c r="M2471">
        <f>TB[[#This Row],[售价]]*TB[[#This Row],[销量]]</f>
        <v>17456</v>
      </c>
      <c r="N2471" t="str">
        <f>IF(TB[[#This Row],[售价]]&lt;1000,"低价商品",IF(TB[[#This Row],[售价]]&lt;5000,"中价商品",IF(TB[[#This Row],[售价]]&lt;10000,"高价商品","超高价商品")))</f>
        <v>中价商品</v>
      </c>
    </row>
    <row r="2472" spans="1:14" x14ac:dyDescent="0.2">
      <c r="A2472">
        <v>668</v>
      </c>
      <c r="B2472">
        <v>179</v>
      </c>
      <c r="C2472" t="s">
        <v>20</v>
      </c>
      <c r="D2472" t="s">
        <v>167</v>
      </c>
      <c r="E2472" t="s">
        <v>39</v>
      </c>
      <c r="F2472">
        <v>5</v>
      </c>
      <c r="G2472" t="s">
        <v>13</v>
      </c>
      <c r="H2472" s="1">
        <v>45976.295138888891</v>
      </c>
      <c r="I2472" s="5">
        <f>INT(TB[[#This Row],[时间戳]])</f>
        <v>45976</v>
      </c>
      <c r="J2472" s="2">
        <f>HOUR(TB[[#This Row],[时间戳]])</f>
        <v>7</v>
      </c>
      <c r="K2472">
        <v>3468</v>
      </c>
      <c r="L2472">
        <v>2</v>
      </c>
      <c r="M2472">
        <f>TB[[#This Row],[售价]]*TB[[#This Row],[销量]]</f>
        <v>6936</v>
      </c>
      <c r="N2472" t="str">
        <f>IF(TB[[#This Row],[售价]]&lt;1000,"低价商品",IF(TB[[#This Row],[售价]]&lt;5000,"中价商品",IF(TB[[#This Row],[售价]]&lt;10000,"高价商品","超高价商品")))</f>
        <v>中价商品</v>
      </c>
    </row>
    <row r="2473" spans="1:14" x14ac:dyDescent="0.2">
      <c r="A2473">
        <v>790</v>
      </c>
      <c r="B2473">
        <v>178</v>
      </c>
      <c r="C2473" t="s">
        <v>34</v>
      </c>
      <c r="D2473" t="s">
        <v>165</v>
      </c>
      <c r="E2473" t="s">
        <v>39</v>
      </c>
      <c r="F2473">
        <v>5</v>
      </c>
      <c r="G2473" t="s">
        <v>13</v>
      </c>
      <c r="H2473" s="1">
        <v>45976.356944444444</v>
      </c>
      <c r="I2473" s="5">
        <f>INT(TB[[#This Row],[时间戳]])</f>
        <v>45976</v>
      </c>
      <c r="J2473" s="2">
        <f>HOUR(TB[[#This Row],[时间戳]])</f>
        <v>8</v>
      </c>
      <c r="K2473">
        <v>1341</v>
      </c>
      <c r="L2473">
        <v>5</v>
      </c>
      <c r="M2473">
        <f>TB[[#This Row],[售价]]*TB[[#This Row],[销量]]</f>
        <v>6705</v>
      </c>
      <c r="N2473" t="str">
        <f>IF(TB[[#This Row],[售价]]&lt;1000,"低价商品",IF(TB[[#This Row],[售价]]&lt;5000,"中价商品",IF(TB[[#This Row],[售价]]&lt;10000,"高价商品","超高价商品")))</f>
        <v>中价商品</v>
      </c>
    </row>
    <row r="2474" spans="1:14" x14ac:dyDescent="0.2">
      <c r="A2474">
        <v>196</v>
      </c>
      <c r="B2474">
        <v>196</v>
      </c>
      <c r="C2474" t="s">
        <v>46</v>
      </c>
      <c r="D2474" t="s">
        <v>77</v>
      </c>
      <c r="E2474" t="s">
        <v>19</v>
      </c>
      <c r="F2474">
        <v>3</v>
      </c>
      <c r="G2474" t="s">
        <v>13</v>
      </c>
      <c r="H2474" s="1">
        <v>45976.400694444441</v>
      </c>
      <c r="I2474" s="5">
        <f>INT(TB[[#This Row],[时间戳]])</f>
        <v>45976</v>
      </c>
      <c r="J2474" s="2">
        <f>HOUR(TB[[#This Row],[时间戳]])</f>
        <v>9</v>
      </c>
      <c r="K2474">
        <v>4883</v>
      </c>
      <c r="L2474">
        <v>4</v>
      </c>
      <c r="M2474">
        <f>TB[[#This Row],[售价]]*TB[[#This Row],[销量]]</f>
        <v>19532</v>
      </c>
      <c r="N2474" t="str">
        <f>IF(TB[[#This Row],[售价]]&lt;1000,"低价商品",IF(TB[[#This Row],[售价]]&lt;5000,"中价商品",IF(TB[[#This Row],[售价]]&lt;10000,"高价商品","超高价商品")))</f>
        <v>中价商品</v>
      </c>
    </row>
    <row r="2475" spans="1:14" x14ac:dyDescent="0.2">
      <c r="A2475">
        <v>453</v>
      </c>
      <c r="B2475">
        <v>185</v>
      </c>
      <c r="C2475" t="s">
        <v>10</v>
      </c>
      <c r="D2475" t="s">
        <v>116</v>
      </c>
      <c r="E2475" t="s">
        <v>31</v>
      </c>
      <c r="F2475">
        <v>4</v>
      </c>
      <c r="G2475" t="s">
        <v>13</v>
      </c>
      <c r="H2475" s="1">
        <v>45976.424305555556</v>
      </c>
      <c r="I2475" s="5">
        <f>INT(TB[[#This Row],[时间戳]])</f>
        <v>45976</v>
      </c>
      <c r="J2475" s="2">
        <f>HOUR(TB[[#This Row],[时间戳]])</f>
        <v>10</v>
      </c>
      <c r="K2475">
        <v>707</v>
      </c>
      <c r="L2475">
        <v>5</v>
      </c>
      <c r="M2475">
        <f>TB[[#This Row],[售价]]*TB[[#This Row],[销量]]</f>
        <v>3535</v>
      </c>
      <c r="N2475" t="str">
        <f>IF(TB[[#This Row],[售价]]&lt;1000,"低价商品",IF(TB[[#This Row],[售价]]&lt;5000,"中价商品",IF(TB[[#This Row],[售价]]&lt;10000,"高价商品","超高价商品")))</f>
        <v>低价商品</v>
      </c>
    </row>
    <row r="2476" spans="1:14" x14ac:dyDescent="0.2">
      <c r="A2476">
        <v>318</v>
      </c>
      <c r="B2476">
        <v>169</v>
      </c>
      <c r="C2476" t="s">
        <v>10</v>
      </c>
      <c r="D2476" t="s">
        <v>363</v>
      </c>
      <c r="E2476" t="s">
        <v>25</v>
      </c>
      <c r="F2476">
        <v>7</v>
      </c>
      <c r="G2476" t="s">
        <v>13</v>
      </c>
      <c r="H2476" s="1">
        <v>45976.438194444447</v>
      </c>
      <c r="I2476" s="5">
        <f>INT(TB[[#This Row],[时间戳]])</f>
        <v>45976</v>
      </c>
      <c r="J2476" s="2">
        <f>HOUR(TB[[#This Row],[时间戳]])</f>
        <v>10</v>
      </c>
      <c r="K2476">
        <v>5708</v>
      </c>
      <c r="L2476">
        <v>5</v>
      </c>
      <c r="M2476">
        <f>TB[[#This Row],[售价]]*TB[[#This Row],[销量]]</f>
        <v>28540</v>
      </c>
      <c r="N2476" t="str">
        <f>IF(TB[[#This Row],[售价]]&lt;1000,"低价商品",IF(TB[[#This Row],[售价]]&lt;5000,"中价商品",IF(TB[[#This Row],[售价]]&lt;10000,"高价商品","超高价商品")))</f>
        <v>高价商品</v>
      </c>
    </row>
    <row r="2477" spans="1:14" x14ac:dyDescent="0.2">
      <c r="A2477">
        <v>14</v>
      </c>
      <c r="B2477">
        <v>140</v>
      </c>
      <c r="C2477" t="s">
        <v>36</v>
      </c>
      <c r="D2477" t="s">
        <v>192</v>
      </c>
      <c r="E2477" t="s">
        <v>22</v>
      </c>
      <c r="F2477">
        <v>1</v>
      </c>
      <c r="G2477" t="s">
        <v>13</v>
      </c>
      <c r="H2477" s="1">
        <v>45976.475694444445</v>
      </c>
      <c r="I2477" s="5">
        <f>INT(TB[[#This Row],[时间戳]])</f>
        <v>45976</v>
      </c>
      <c r="J2477" s="2">
        <f>HOUR(TB[[#This Row],[时间戳]])</f>
        <v>11</v>
      </c>
      <c r="K2477">
        <v>1758</v>
      </c>
      <c r="L2477">
        <v>2</v>
      </c>
      <c r="M2477">
        <f>TB[[#This Row],[售价]]*TB[[#This Row],[销量]]</f>
        <v>3516</v>
      </c>
      <c r="N2477" t="str">
        <f>IF(TB[[#This Row],[售价]]&lt;1000,"低价商品",IF(TB[[#This Row],[售价]]&lt;5000,"中价商品",IF(TB[[#This Row],[售价]]&lt;10000,"高价商品","超高价商品")))</f>
        <v>中价商品</v>
      </c>
    </row>
    <row r="2478" spans="1:14" x14ac:dyDescent="0.2">
      <c r="A2478">
        <v>408</v>
      </c>
      <c r="B2478">
        <v>23</v>
      </c>
      <c r="C2478" t="s">
        <v>36</v>
      </c>
      <c r="D2478" t="s">
        <v>269</v>
      </c>
      <c r="E2478" t="s">
        <v>19</v>
      </c>
      <c r="F2478">
        <v>3</v>
      </c>
      <c r="G2478" t="s">
        <v>13</v>
      </c>
      <c r="H2478" s="1">
        <v>45976.478472222225</v>
      </c>
      <c r="I2478" s="5">
        <f>INT(TB[[#This Row],[时间戳]])</f>
        <v>45976</v>
      </c>
      <c r="J2478" s="2">
        <f>HOUR(TB[[#This Row],[时间戳]])</f>
        <v>11</v>
      </c>
      <c r="K2478">
        <v>1905</v>
      </c>
      <c r="L2478">
        <v>5</v>
      </c>
      <c r="M2478">
        <f>TB[[#This Row],[售价]]*TB[[#This Row],[销量]]</f>
        <v>9525</v>
      </c>
      <c r="N2478" t="str">
        <f>IF(TB[[#This Row],[售价]]&lt;1000,"低价商品",IF(TB[[#This Row],[售价]]&lt;5000,"中价商品",IF(TB[[#This Row],[售价]]&lt;10000,"高价商品","超高价商品")))</f>
        <v>中价商品</v>
      </c>
    </row>
    <row r="2479" spans="1:14" x14ac:dyDescent="0.2">
      <c r="A2479">
        <v>641</v>
      </c>
      <c r="B2479">
        <v>30</v>
      </c>
      <c r="C2479" t="s">
        <v>36</v>
      </c>
      <c r="D2479" t="s">
        <v>112</v>
      </c>
      <c r="E2479" t="s">
        <v>22</v>
      </c>
      <c r="F2479">
        <v>1</v>
      </c>
      <c r="G2479" t="s">
        <v>13</v>
      </c>
      <c r="H2479" s="1">
        <v>45976.506944444445</v>
      </c>
      <c r="I2479" s="5">
        <f>INT(TB[[#This Row],[时间戳]])</f>
        <v>45976</v>
      </c>
      <c r="J2479" s="2">
        <f>HOUR(TB[[#This Row],[时间戳]])</f>
        <v>12</v>
      </c>
      <c r="K2479">
        <v>6857</v>
      </c>
      <c r="L2479">
        <v>4</v>
      </c>
      <c r="M2479">
        <f>TB[[#This Row],[售价]]*TB[[#This Row],[销量]]</f>
        <v>27428</v>
      </c>
      <c r="N2479" t="str">
        <f>IF(TB[[#This Row],[售价]]&lt;1000,"低价商品",IF(TB[[#This Row],[售价]]&lt;5000,"中价商品",IF(TB[[#This Row],[售价]]&lt;10000,"高价商品","超高价商品")))</f>
        <v>高价商品</v>
      </c>
    </row>
    <row r="2480" spans="1:14" x14ac:dyDescent="0.2">
      <c r="A2480">
        <v>648</v>
      </c>
      <c r="B2480">
        <v>233</v>
      </c>
      <c r="C2480" t="s">
        <v>44</v>
      </c>
      <c r="D2480" t="s">
        <v>60</v>
      </c>
      <c r="E2480" t="s">
        <v>12</v>
      </c>
      <c r="F2480">
        <v>2</v>
      </c>
      <c r="G2480" t="s">
        <v>13</v>
      </c>
      <c r="H2480" s="1">
        <v>45976.509722222225</v>
      </c>
      <c r="I2480" s="5">
        <f>INT(TB[[#This Row],[时间戳]])</f>
        <v>45976</v>
      </c>
      <c r="J2480" s="2">
        <f>HOUR(TB[[#This Row],[时间戳]])</f>
        <v>12</v>
      </c>
      <c r="K2480">
        <v>13189</v>
      </c>
      <c r="L2480">
        <v>4</v>
      </c>
      <c r="M2480">
        <f>TB[[#This Row],[售价]]*TB[[#This Row],[销量]]</f>
        <v>52756</v>
      </c>
      <c r="N2480" t="str">
        <f>IF(TB[[#This Row],[售价]]&lt;1000,"低价商品",IF(TB[[#This Row],[售价]]&lt;5000,"中价商品",IF(TB[[#This Row],[售价]]&lt;10000,"高价商品","超高价商品")))</f>
        <v>超高价商品</v>
      </c>
    </row>
    <row r="2481" spans="1:14" x14ac:dyDescent="0.2">
      <c r="A2481">
        <v>664</v>
      </c>
      <c r="B2481">
        <v>280</v>
      </c>
      <c r="C2481" t="s">
        <v>44</v>
      </c>
      <c r="D2481" t="s">
        <v>393</v>
      </c>
      <c r="E2481" t="s">
        <v>25</v>
      </c>
      <c r="F2481">
        <v>7</v>
      </c>
      <c r="G2481" t="s">
        <v>13</v>
      </c>
      <c r="H2481" s="1">
        <v>45976.538888888892</v>
      </c>
      <c r="I2481" s="5">
        <f>INT(TB[[#This Row],[时间戳]])</f>
        <v>45976</v>
      </c>
      <c r="J2481" s="2">
        <f>HOUR(TB[[#This Row],[时间戳]])</f>
        <v>12</v>
      </c>
      <c r="K2481">
        <v>5404</v>
      </c>
      <c r="L2481">
        <v>5</v>
      </c>
      <c r="M2481">
        <f>TB[[#This Row],[售价]]*TB[[#This Row],[销量]]</f>
        <v>27020</v>
      </c>
      <c r="N2481" t="str">
        <f>IF(TB[[#This Row],[售价]]&lt;1000,"低价商品",IF(TB[[#This Row],[售价]]&lt;5000,"中价商品",IF(TB[[#This Row],[售价]]&lt;10000,"高价商品","超高价商品")))</f>
        <v>高价商品</v>
      </c>
    </row>
    <row r="2482" spans="1:14" x14ac:dyDescent="0.2">
      <c r="A2482">
        <v>628</v>
      </c>
      <c r="B2482">
        <v>79</v>
      </c>
      <c r="C2482" t="s">
        <v>34</v>
      </c>
      <c r="D2482" t="s">
        <v>69</v>
      </c>
      <c r="E2482" t="s">
        <v>31</v>
      </c>
      <c r="F2482">
        <v>4</v>
      </c>
      <c r="G2482" t="s">
        <v>13</v>
      </c>
      <c r="H2482" s="1">
        <v>45976.544444444444</v>
      </c>
      <c r="I2482" s="5">
        <f>INT(TB[[#This Row],[时间戳]])</f>
        <v>45976</v>
      </c>
      <c r="J2482" s="2">
        <f>HOUR(TB[[#This Row],[时间戳]])</f>
        <v>13</v>
      </c>
      <c r="K2482">
        <v>81</v>
      </c>
      <c r="L2482">
        <v>4</v>
      </c>
      <c r="M2482">
        <f>TB[[#This Row],[售价]]*TB[[#This Row],[销量]]</f>
        <v>324</v>
      </c>
      <c r="N2482" t="str">
        <f>IF(TB[[#This Row],[售价]]&lt;1000,"低价商品",IF(TB[[#This Row],[售价]]&lt;5000,"中价商品",IF(TB[[#This Row],[售价]]&lt;10000,"高价商品","超高价商品")))</f>
        <v>低价商品</v>
      </c>
    </row>
    <row r="2483" spans="1:14" x14ac:dyDescent="0.2">
      <c r="A2483">
        <v>123</v>
      </c>
      <c r="B2483">
        <v>29</v>
      </c>
      <c r="C2483" t="s">
        <v>14</v>
      </c>
      <c r="D2483" t="s">
        <v>280</v>
      </c>
      <c r="E2483" t="s">
        <v>12</v>
      </c>
      <c r="F2483">
        <v>2</v>
      </c>
      <c r="G2483" t="s">
        <v>13</v>
      </c>
      <c r="H2483" s="1">
        <v>45976.583333333336</v>
      </c>
      <c r="I2483" s="5">
        <f>INT(TB[[#This Row],[时间戳]])</f>
        <v>45976</v>
      </c>
      <c r="J2483" s="2">
        <f>HOUR(TB[[#This Row],[时间戳]])</f>
        <v>14</v>
      </c>
      <c r="K2483">
        <v>6765</v>
      </c>
      <c r="L2483">
        <v>2</v>
      </c>
      <c r="M2483">
        <f>TB[[#This Row],[售价]]*TB[[#This Row],[销量]]</f>
        <v>13530</v>
      </c>
      <c r="N2483" t="str">
        <f>IF(TB[[#This Row],[售价]]&lt;1000,"低价商品",IF(TB[[#This Row],[售价]]&lt;5000,"中价商品",IF(TB[[#This Row],[售价]]&lt;10000,"高价商品","超高价商品")))</f>
        <v>高价商品</v>
      </c>
    </row>
    <row r="2484" spans="1:14" x14ac:dyDescent="0.2">
      <c r="A2484">
        <v>100</v>
      </c>
      <c r="B2484">
        <v>279</v>
      </c>
      <c r="C2484" t="s">
        <v>10</v>
      </c>
      <c r="D2484" t="s">
        <v>241</v>
      </c>
      <c r="E2484" t="s">
        <v>12</v>
      </c>
      <c r="F2484">
        <v>2</v>
      </c>
      <c r="G2484" t="s">
        <v>13</v>
      </c>
      <c r="H2484" s="1">
        <v>45976.636111111111</v>
      </c>
      <c r="I2484" s="5">
        <f>INT(TB[[#This Row],[时间戳]])</f>
        <v>45976</v>
      </c>
      <c r="J2484" s="2">
        <f>HOUR(TB[[#This Row],[时间戳]])</f>
        <v>15</v>
      </c>
      <c r="K2484">
        <v>11390</v>
      </c>
      <c r="L2484">
        <v>4</v>
      </c>
      <c r="M2484">
        <f>TB[[#This Row],[售价]]*TB[[#This Row],[销量]]</f>
        <v>45560</v>
      </c>
      <c r="N2484" t="str">
        <f>IF(TB[[#This Row],[售价]]&lt;1000,"低价商品",IF(TB[[#This Row],[售价]]&lt;5000,"中价商品",IF(TB[[#This Row],[售价]]&lt;10000,"高价商品","超高价商品")))</f>
        <v>超高价商品</v>
      </c>
    </row>
    <row r="2485" spans="1:14" x14ac:dyDescent="0.2">
      <c r="A2485">
        <v>341</v>
      </c>
      <c r="B2485">
        <v>163</v>
      </c>
      <c r="C2485" t="s">
        <v>46</v>
      </c>
      <c r="D2485" t="s">
        <v>180</v>
      </c>
      <c r="E2485" t="s">
        <v>31</v>
      </c>
      <c r="F2485">
        <v>4</v>
      </c>
      <c r="G2485" t="s">
        <v>13</v>
      </c>
      <c r="H2485" s="1">
        <v>45976.63958333333</v>
      </c>
      <c r="I2485" s="5">
        <f>INT(TB[[#This Row],[时间戳]])</f>
        <v>45976</v>
      </c>
      <c r="J2485" s="2">
        <f>HOUR(TB[[#This Row],[时间戳]])</f>
        <v>15</v>
      </c>
      <c r="K2485">
        <v>517</v>
      </c>
      <c r="L2485">
        <v>4</v>
      </c>
      <c r="M2485">
        <f>TB[[#This Row],[售价]]*TB[[#This Row],[销量]]</f>
        <v>2068</v>
      </c>
      <c r="N2485" t="str">
        <f>IF(TB[[#This Row],[售价]]&lt;1000,"低价商品",IF(TB[[#This Row],[售价]]&lt;5000,"中价商品",IF(TB[[#This Row],[售价]]&lt;10000,"高价商品","超高价商品")))</f>
        <v>低价商品</v>
      </c>
    </row>
    <row r="2486" spans="1:14" x14ac:dyDescent="0.2">
      <c r="A2486">
        <v>376</v>
      </c>
      <c r="B2486">
        <v>265</v>
      </c>
      <c r="C2486" t="s">
        <v>46</v>
      </c>
      <c r="D2486" t="s">
        <v>209</v>
      </c>
      <c r="E2486" t="s">
        <v>22</v>
      </c>
      <c r="F2486">
        <v>1</v>
      </c>
      <c r="G2486" t="s">
        <v>13</v>
      </c>
      <c r="H2486" s="1">
        <v>45976.650694444441</v>
      </c>
      <c r="I2486" s="5">
        <f>INT(TB[[#This Row],[时间戳]])</f>
        <v>45976</v>
      </c>
      <c r="J2486" s="2">
        <f>HOUR(TB[[#This Row],[时间戳]])</f>
        <v>15</v>
      </c>
      <c r="K2486">
        <v>6696</v>
      </c>
      <c r="L2486">
        <v>4</v>
      </c>
      <c r="M2486">
        <f>TB[[#This Row],[售价]]*TB[[#This Row],[销量]]</f>
        <v>26784</v>
      </c>
      <c r="N2486" t="str">
        <f>IF(TB[[#This Row],[售价]]&lt;1000,"低价商品",IF(TB[[#This Row],[售价]]&lt;5000,"中价商品",IF(TB[[#This Row],[售价]]&lt;10000,"高价商品","超高价商品")))</f>
        <v>高价商品</v>
      </c>
    </row>
    <row r="2487" spans="1:14" x14ac:dyDescent="0.2">
      <c r="A2487">
        <v>684</v>
      </c>
      <c r="B2487">
        <v>32</v>
      </c>
      <c r="C2487" t="s">
        <v>17</v>
      </c>
      <c r="D2487" t="s">
        <v>156</v>
      </c>
      <c r="E2487" t="s">
        <v>19</v>
      </c>
      <c r="F2487">
        <v>3</v>
      </c>
      <c r="G2487" t="s">
        <v>13</v>
      </c>
      <c r="H2487" s="1">
        <v>45976.723611111112</v>
      </c>
      <c r="I2487" s="5">
        <f>INT(TB[[#This Row],[时间戳]])</f>
        <v>45976</v>
      </c>
      <c r="J2487" s="2">
        <f>HOUR(TB[[#This Row],[时间戳]])</f>
        <v>17</v>
      </c>
      <c r="K2487">
        <v>1756</v>
      </c>
      <c r="L2487">
        <v>5</v>
      </c>
      <c r="M2487">
        <f>TB[[#This Row],[售价]]*TB[[#This Row],[销量]]</f>
        <v>8780</v>
      </c>
      <c r="N2487" t="str">
        <f>IF(TB[[#This Row],[售价]]&lt;1000,"低价商品",IF(TB[[#This Row],[售价]]&lt;5000,"中价商品",IF(TB[[#This Row],[售价]]&lt;10000,"高价商品","超高价商品")))</f>
        <v>中价商品</v>
      </c>
    </row>
    <row r="2488" spans="1:14" x14ac:dyDescent="0.2">
      <c r="A2488">
        <v>747</v>
      </c>
      <c r="B2488">
        <v>137</v>
      </c>
      <c r="C2488" t="s">
        <v>20</v>
      </c>
      <c r="D2488" t="s">
        <v>267</v>
      </c>
      <c r="E2488" t="s">
        <v>39</v>
      </c>
      <c r="F2488">
        <v>5</v>
      </c>
      <c r="G2488" t="s">
        <v>13</v>
      </c>
      <c r="H2488" s="1">
        <v>45976.736111111109</v>
      </c>
      <c r="I2488" s="5">
        <f>INT(TB[[#This Row],[时间戳]])</f>
        <v>45976</v>
      </c>
      <c r="J2488" s="2">
        <f>HOUR(TB[[#This Row],[时间戳]])</f>
        <v>17</v>
      </c>
      <c r="K2488">
        <v>964</v>
      </c>
      <c r="L2488">
        <v>5</v>
      </c>
      <c r="M2488">
        <f>TB[[#This Row],[售价]]*TB[[#This Row],[销量]]</f>
        <v>4820</v>
      </c>
      <c r="N2488" t="str">
        <f>IF(TB[[#This Row],[售价]]&lt;1000,"低价商品",IF(TB[[#This Row],[售价]]&lt;5000,"中价商品",IF(TB[[#This Row],[售价]]&lt;10000,"高价商品","超高价商品")))</f>
        <v>低价商品</v>
      </c>
    </row>
    <row r="2489" spans="1:14" x14ac:dyDescent="0.2">
      <c r="A2489">
        <v>283</v>
      </c>
      <c r="B2489">
        <v>102</v>
      </c>
      <c r="C2489" t="s">
        <v>44</v>
      </c>
      <c r="D2489" t="s">
        <v>59</v>
      </c>
      <c r="E2489" t="s">
        <v>22</v>
      </c>
      <c r="F2489">
        <v>1</v>
      </c>
      <c r="G2489" t="s">
        <v>42</v>
      </c>
      <c r="H2489" s="1">
        <v>45976.772222222222</v>
      </c>
      <c r="I2489" s="5">
        <f>INT(TB[[#This Row],[时间戳]])</f>
        <v>45976</v>
      </c>
      <c r="J2489" s="2">
        <f>HOUR(TB[[#This Row],[时间戳]])</f>
        <v>18</v>
      </c>
      <c r="K2489">
        <v>1575</v>
      </c>
      <c r="L2489">
        <v>0</v>
      </c>
      <c r="M2489">
        <f>TB[[#This Row],[售价]]*TB[[#This Row],[销量]]</f>
        <v>0</v>
      </c>
      <c r="N2489" t="str">
        <f>IF(TB[[#This Row],[售价]]&lt;1000,"低价商品",IF(TB[[#This Row],[售价]]&lt;5000,"中价商品",IF(TB[[#This Row],[售价]]&lt;10000,"高价商品","超高价商品")))</f>
        <v>中价商品</v>
      </c>
    </row>
    <row r="2490" spans="1:14" x14ac:dyDescent="0.2">
      <c r="A2490">
        <v>765</v>
      </c>
      <c r="B2490">
        <v>2</v>
      </c>
      <c r="C2490" t="s">
        <v>26</v>
      </c>
      <c r="D2490" t="s">
        <v>281</v>
      </c>
      <c r="E2490" t="s">
        <v>16</v>
      </c>
      <c r="F2490">
        <v>6</v>
      </c>
      <c r="G2490" t="s">
        <v>13</v>
      </c>
      <c r="H2490" s="1">
        <v>45976.788888888892</v>
      </c>
      <c r="I2490" s="5">
        <f>INT(TB[[#This Row],[时间戳]])</f>
        <v>45976</v>
      </c>
      <c r="J2490" s="2">
        <f>HOUR(TB[[#This Row],[时间戳]])</f>
        <v>18</v>
      </c>
      <c r="K2490">
        <v>10290</v>
      </c>
      <c r="L2490">
        <v>4</v>
      </c>
      <c r="M2490">
        <f>TB[[#This Row],[售价]]*TB[[#This Row],[销量]]</f>
        <v>41160</v>
      </c>
      <c r="N2490" t="str">
        <f>IF(TB[[#This Row],[售价]]&lt;1000,"低价商品",IF(TB[[#This Row],[售价]]&lt;5000,"中价商品",IF(TB[[#This Row],[售价]]&lt;10000,"高价商品","超高价商品")))</f>
        <v>超高价商品</v>
      </c>
    </row>
    <row r="2491" spans="1:14" x14ac:dyDescent="0.2">
      <c r="A2491">
        <v>121</v>
      </c>
      <c r="B2491">
        <v>175</v>
      </c>
      <c r="C2491" t="s">
        <v>20</v>
      </c>
      <c r="D2491" t="s">
        <v>296</v>
      </c>
      <c r="E2491" t="s">
        <v>25</v>
      </c>
      <c r="F2491">
        <v>7</v>
      </c>
      <c r="G2491" t="s">
        <v>13</v>
      </c>
      <c r="H2491" s="1">
        <v>45976.797222222223</v>
      </c>
      <c r="I2491" s="5">
        <f>INT(TB[[#This Row],[时间戳]])</f>
        <v>45976</v>
      </c>
      <c r="J2491" s="2">
        <f>HOUR(TB[[#This Row],[时间戳]])</f>
        <v>19</v>
      </c>
      <c r="K2491">
        <v>3989</v>
      </c>
      <c r="L2491">
        <v>4</v>
      </c>
      <c r="M2491">
        <f>TB[[#This Row],[售价]]*TB[[#This Row],[销量]]</f>
        <v>15956</v>
      </c>
      <c r="N2491" t="str">
        <f>IF(TB[[#This Row],[售价]]&lt;1000,"低价商品",IF(TB[[#This Row],[售价]]&lt;5000,"中价商品",IF(TB[[#This Row],[售价]]&lt;10000,"高价商品","超高价商品")))</f>
        <v>中价商品</v>
      </c>
    </row>
    <row r="2492" spans="1:14" x14ac:dyDescent="0.2">
      <c r="A2492">
        <v>475</v>
      </c>
      <c r="B2492">
        <v>46</v>
      </c>
      <c r="C2492" t="s">
        <v>14</v>
      </c>
      <c r="D2492" t="s">
        <v>178</v>
      </c>
      <c r="E2492" t="s">
        <v>12</v>
      </c>
      <c r="F2492">
        <v>2</v>
      </c>
      <c r="G2492" t="s">
        <v>42</v>
      </c>
      <c r="H2492" s="1">
        <v>45976.803472222222</v>
      </c>
      <c r="I2492" s="5">
        <f>INT(TB[[#This Row],[时间戳]])</f>
        <v>45976</v>
      </c>
      <c r="J2492" s="2">
        <f>HOUR(TB[[#This Row],[时间戳]])</f>
        <v>19</v>
      </c>
      <c r="K2492">
        <v>11729</v>
      </c>
      <c r="L2492">
        <v>0</v>
      </c>
      <c r="M2492">
        <f>TB[[#This Row],[售价]]*TB[[#This Row],[销量]]</f>
        <v>0</v>
      </c>
      <c r="N2492" t="str">
        <f>IF(TB[[#This Row],[售价]]&lt;1000,"低价商品",IF(TB[[#This Row],[售价]]&lt;5000,"中价商品",IF(TB[[#This Row],[售价]]&lt;10000,"高价商品","超高价商品")))</f>
        <v>超高价商品</v>
      </c>
    </row>
    <row r="2493" spans="1:14" x14ac:dyDescent="0.2">
      <c r="A2493">
        <v>191</v>
      </c>
      <c r="B2493">
        <v>163</v>
      </c>
      <c r="C2493" t="s">
        <v>26</v>
      </c>
      <c r="D2493" t="s">
        <v>225</v>
      </c>
      <c r="E2493" t="s">
        <v>31</v>
      </c>
      <c r="F2493">
        <v>4</v>
      </c>
      <c r="G2493" t="s">
        <v>13</v>
      </c>
      <c r="H2493" s="1">
        <v>45976.807638888888</v>
      </c>
      <c r="I2493" s="5">
        <f>INT(TB[[#This Row],[时间戳]])</f>
        <v>45976</v>
      </c>
      <c r="J2493" s="2">
        <f>HOUR(TB[[#This Row],[时间戳]])</f>
        <v>19</v>
      </c>
      <c r="K2493">
        <v>134</v>
      </c>
      <c r="L2493">
        <v>2</v>
      </c>
      <c r="M2493">
        <f>TB[[#This Row],[售价]]*TB[[#This Row],[销量]]</f>
        <v>268</v>
      </c>
      <c r="N2493" t="str">
        <f>IF(TB[[#This Row],[售价]]&lt;1000,"低价商品",IF(TB[[#This Row],[售价]]&lt;5000,"中价商品",IF(TB[[#This Row],[售价]]&lt;10000,"高价商品","超高价商品")))</f>
        <v>低价商品</v>
      </c>
    </row>
    <row r="2494" spans="1:14" x14ac:dyDescent="0.2">
      <c r="A2494">
        <v>223</v>
      </c>
      <c r="B2494">
        <v>192</v>
      </c>
      <c r="C2494" t="s">
        <v>26</v>
      </c>
      <c r="D2494" t="s">
        <v>300</v>
      </c>
      <c r="E2494" t="s">
        <v>19</v>
      </c>
      <c r="F2494">
        <v>3</v>
      </c>
      <c r="G2494" t="s">
        <v>13</v>
      </c>
      <c r="H2494" s="1">
        <v>45976.834027777775</v>
      </c>
      <c r="I2494" s="5">
        <f>INT(TB[[#This Row],[时间戳]])</f>
        <v>45976</v>
      </c>
      <c r="J2494" s="2">
        <f>HOUR(TB[[#This Row],[时间戳]])</f>
        <v>20</v>
      </c>
      <c r="K2494">
        <v>1856</v>
      </c>
      <c r="L2494">
        <v>4</v>
      </c>
      <c r="M2494">
        <f>TB[[#This Row],[售价]]*TB[[#This Row],[销量]]</f>
        <v>7424</v>
      </c>
      <c r="N2494" t="str">
        <f>IF(TB[[#This Row],[售价]]&lt;1000,"低价商品",IF(TB[[#This Row],[售价]]&lt;5000,"中价商品",IF(TB[[#This Row],[售价]]&lt;10000,"高价商品","超高价商品")))</f>
        <v>中价商品</v>
      </c>
    </row>
    <row r="2495" spans="1:14" x14ac:dyDescent="0.2">
      <c r="A2495">
        <v>698</v>
      </c>
      <c r="B2495">
        <v>98</v>
      </c>
      <c r="C2495" t="s">
        <v>32</v>
      </c>
      <c r="D2495" t="s">
        <v>342</v>
      </c>
      <c r="E2495" t="s">
        <v>39</v>
      </c>
      <c r="F2495">
        <v>5</v>
      </c>
      <c r="G2495" t="s">
        <v>13</v>
      </c>
      <c r="H2495" s="1">
        <v>45976.843055555553</v>
      </c>
      <c r="I2495" s="5">
        <f>INT(TB[[#This Row],[时间戳]])</f>
        <v>45976</v>
      </c>
      <c r="J2495" s="2">
        <f>HOUR(TB[[#This Row],[时间戳]])</f>
        <v>20</v>
      </c>
      <c r="K2495">
        <v>2526</v>
      </c>
      <c r="L2495">
        <v>4</v>
      </c>
      <c r="M2495">
        <f>TB[[#This Row],[售价]]*TB[[#This Row],[销量]]</f>
        <v>10104</v>
      </c>
      <c r="N2495" t="str">
        <f>IF(TB[[#This Row],[售价]]&lt;1000,"低价商品",IF(TB[[#This Row],[售价]]&lt;5000,"中价商品",IF(TB[[#This Row],[售价]]&lt;10000,"高价商品","超高价商品")))</f>
        <v>中价商品</v>
      </c>
    </row>
    <row r="2496" spans="1:14" x14ac:dyDescent="0.2">
      <c r="A2496">
        <v>723</v>
      </c>
      <c r="B2496">
        <v>147</v>
      </c>
      <c r="C2496" t="s">
        <v>10</v>
      </c>
      <c r="D2496" t="s">
        <v>351</v>
      </c>
      <c r="E2496" t="s">
        <v>31</v>
      </c>
      <c r="F2496">
        <v>4</v>
      </c>
      <c r="G2496" t="s">
        <v>13</v>
      </c>
      <c r="H2496" s="1">
        <v>45976.856249999997</v>
      </c>
      <c r="I2496" s="5">
        <f>INT(TB[[#This Row],[时间戳]])</f>
        <v>45976</v>
      </c>
      <c r="J2496" s="2">
        <f>HOUR(TB[[#This Row],[时间戳]])</f>
        <v>20</v>
      </c>
      <c r="K2496">
        <v>279</v>
      </c>
      <c r="L2496">
        <v>5</v>
      </c>
      <c r="M2496">
        <f>TB[[#This Row],[售价]]*TB[[#This Row],[销量]]</f>
        <v>1395</v>
      </c>
      <c r="N2496" t="str">
        <f>IF(TB[[#This Row],[售价]]&lt;1000,"低价商品",IF(TB[[#This Row],[售价]]&lt;5000,"中价商品",IF(TB[[#This Row],[售价]]&lt;10000,"高价商品","超高价商品")))</f>
        <v>低价商品</v>
      </c>
    </row>
    <row r="2497" spans="1:14" x14ac:dyDescent="0.2">
      <c r="A2497">
        <v>324</v>
      </c>
      <c r="B2497">
        <v>212</v>
      </c>
      <c r="C2497" t="s">
        <v>26</v>
      </c>
      <c r="D2497" t="s">
        <v>270</v>
      </c>
      <c r="E2497" t="s">
        <v>16</v>
      </c>
      <c r="F2497">
        <v>6</v>
      </c>
      <c r="G2497" t="s">
        <v>42</v>
      </c>
      <c r="H2497" s="1">
        <v>45976.868750000001</v>
      </c>
      <c r="I2497" s="5">
        <f>INT(TB[[#This Row],[时间戳]])</f>
        <v>45976</v>
      </c>
      <c r="J2497" s="2">
        <f>HOUR(TB[[#This Row],[时间戳]])</f>
        <v>20</v>
      </c>
      <c r="K2497">
        <v>4858</v>
      </c>
      <c r="L2497">
        <v>0</v>
      </c>
      <c r="M2497">
        <f>TB[[#This Row],[售价]]*TB[[#This Row],[销量]]</f>
        <v>0</v>
      </c>
      <c r="N2497" t="str">
        <f>IF(TB[[#This Row],[售价]]&lt;1000,"低价商品",IF(TB[[#This Row],[售价]]&lt;5000,"中价商品",IF(TB[[#This Row],[售价]]&lt;10000,"高价商品","超高价商品")))</f>
        <v>中价商品</v>
      </c>
    </row>
    <row r="2498" spans="1:14" x14ac:dyDescent="0.2">
      <c r="A2498">
        <v>182</v>
      </c>
      <c r="B2498">
        <v>152</v>
      </c>
      <c r="C2498" t="s">
        <v>36</v>
      </c>
      <c r="D2498" t="s">
        <v>151</v>
      </c>
      <c r="E2498" t="s">
        <v>25</v>
      </c>
      <c r="F2498">
        <v>7</v>
      </c>
      <c r="G2498" t="s">
        <v>13</v>
      </c>
      <c r="H2498" s="1">
        <v>45976.884722222225</v>
      </c>
      <c r="I2498" s="5">
        <f>INT(TB[[#This Row],[时间戳]])</f>
        <v>45976</v>
      </c>
      <c r="J2498" s="2">
        <f>HOUR(TB[[#This Row],[时间戳]])</f>
        <v>21</v>
      </c>
      <c r="K2498">
        <v>3247</v>
      </c>
      <c r="L2498">
        <v>4</v>
      </c>
      <c r="M2498">
        <f>TB[[#This Row],[售价]]*TB[[#This Row],[销量]]</f>
        <v>12988</v>
      </c>
      <c r="N2498" t="str">
        <f>IF(TB[[#This Row],[售价]]&lt;1000,"低价商品",IF(TB[[#This Row],[售价]]&lt;5000,"中价商品",IF(TB[[#This Row],[售价]]&lt;10000,"高价商品","超高价商品")))</f>
        <v>中价商品</v>
      </c>
    </row>
    <row r="2499" spans="1:14" x14ac:dyDescent="0.2">
      <c r="A2499">
        <v>95</v>
      </c>
      <c r="B2499">
        <v>251</v>
      </c>
      <c r="C2499" t="s">
        <v>44</v>
      </c>
      <c r="D2499" t="s">
        <v>184</v>
      </c>
      <c r="E2499" t="s">
        <v>12</v>
      </c>
      <c r="F2499">
        <v>2</v>
      </c>
      <c r="G2499" t="s">
        <v>13</v>
      </c>
      <c r="H2499" s="1">
        <v>45976.921527777777</v>
      </c>
      <c r="I2499" s="5">
        <f>INT(TB[[#This Row],[时间戳]])</f>
        <v>45976</v>
      </c>
      <c r="J2499" s="2">
        <f>HOUR(TB[[#This Row],[时间戳]])</f>
        <v>22</v>
      </c>
      <c r="K2499">
        <v>8406</v>
      </c>
      <c r="L2499">
        <v>2</v>
      </c>
      <c r="M2499">
        <f>TB[[#This Row],[售价]]*TB[[#This Row],[销量]]</f>
        <v>16812</v>
      </c>
      <c r="N2499" t="str">
        <f>IF(TB[[#This Row],[售价]]&lt;1000,"低价商品",IF(TB[[#This Row],[售价]]&lt;5000,"中价商品",IF(TB[[#This Row],[售价]]&lt;10000,"高价商品","超高价商品")))</f>
        <v>高价商品</v>
      </c>
    </row>
    <row r="2500" spans="1:14" x14ac:dyDescent="0.2">
      <c r="A2500">
        <v>791</v>
      </c>
      <c r="B2500">
        <v>268</v>
      </c>
      <c r="C2500" t="s">
        <v>34</v>
      </c>
      <c r="D2500" t="s">
        <v>389</v>
      </c>
      <c r="E2500" t="s">
        <v>39</v>
      </c>
      <c r="F2500">
        <v>5</v>
      </c>
      <c r="G2500" t="s">
        <v>42</v>
      </c>
      <c r="H2500" s="1">
        <v>45976.994444444441</v>
      </c>
      <c r="I2500" s="5">
        <f>INT(TB[[#This Row],[时间戳]])</f>
        <v>45976</v>
      </c>
      <c r="J2500" s="2">
        <f>HOUR(TB[[#This Row],[时间戳]])</f>
        <v>23</v>
      </c>
      <c r="K2500">
        <v>2350</v>
      </c>
      <c r="L2500">
        <v>0</v>
      </c>
      <c r="M2500">
        <f>TB[[#This Row],[售价]]*TB[[#This Row],[销量]]</f>
        <v>0</v>
      </c>
      <c r="N2500" t="str">
        <f>IF(TB[[#This Row],[售价]]&lt;1000,"低价商品",IF(TB[[#This Row],[售价]]&lt;5000,"中价商品",IF(TB[[#This Row],[售价]]&lt;10000,"高价商品","超高价商品")))</f>
        <v>中价商品</v>
      </c>
    </row>
    <row r="2501" spans="1:14" x14ac:dyDescent="0.2">
      <c r="A2501">
        <v>600</v>
      </c>
      <c r="B2501">
        <v>198</v>
      </c>
      <c r="C2501" t="s">
        <v>26</v>
      </c>
      <c r="D2501" t="s">
        <v>407</v>
      </c>
      <c r="E2501" t="s">
        <v>39</v>
      </c>
      <c r="F2501">
        <v>5</v>
      </c>
      <c r="G2501" t="s">
        <v>13</v>
      </c>
      <c r="H2501" s="1">
        <v>45977.004166666666</v>
      </c>
      <c r="I2501" s="5">
        <f>INT(TB[[#This Row],[时间戳]])</f>
        <v>45977</v>
      </c>
      <c r="J2501" s="2">
        <f>HOUR(TB[[#This Row],[时间戳]])</f>
        <v>0</v>
      </c>
      <c r="K2501">
        <v>2764</v>
      </c>
      <c r="L2501">
        <v>3</v>
      </c>
      <c r="M2501">
        <f>TB[[#This Row],[售价]]*TB[[#This Row],[销量]]</f>
        <v>8292</v>
      </c>
      <c r="N2501" t="str">
        <f>IF(TB[[#This Row],[售价]]&lt;1000,"低价商品",IF(TB[[#This Row],[售价]]&lt;5000,"中价商品",IF(TB[[#This Row],[售价]]&lt;10000,"高价商品","超高价商品")))</f>
        <v>中价商品</v>
      </c>
    </row>
    <row r="2502" spans="1:14" x14ac:dyDescent="0.2">
      <c r="A2502">
        <v>720</v>
      </c>
      <c r="B2502">
        <v>223</v>
      </c>
      <c r="C2502" t="s">
        <v>46</v>
      </c>
      <c r="D2502" t="s">
        <v>231</v>
      </c>
      <c r="E2502" t="s">
        <v>16</v>
      </c>
      <c r="F2502">
        <v>6</v>
      </c>
      <c r="G2502" t="s">
        <v>13</v>
      </c>
      <c r="H2502" s="1">
        <v>45977.036111111112</v>
      </c>
      <c r="I2502" s="5">
        <f>INT(TB[[#This Row],[时间戳]])</f>
        <v>45977</v>
      </c>
      <c r="J2502" s="2">
        <f>HOUR(TB[[#This Row],[时间戳]])</f>
        <v>0</v>
      </c>
      <c r="K2502">
        <v>4626</v>
      </c>
      <c r="L2502">
        <v>4</v>
      </c>
      <c r="M2502">
        <f>TB[[#This Row],[售价]]*TB[[#This Row],[销量]]</f>
        <v>18504</v>
      </c>
      <c r="N2502" t="str">
        <f>IF(TB[[#This Row],[售价]]&lt;1000,"低价商品",IF(TB[[#This Row],[售价]]&lt;5000,"中价商品",IF(TB[[#This Row],[售价]]&lt;10000,"高价商品","超高价商品")))</f>
        <v>中价商品</v>
      </c>
    </row>
    <row r="2503" spans="1:14" x14ac:dyDescent="0.2">
      <c r="A2503">
        <v>351</v>
      </c>
      <c r="B2503">
        <v>258</v>
      </c>
      <c r="C2503" t="s">
        <v>36</v>
      </c>
      <c r="D2503" t="s">
        <v>238</v>
      </c>
      <c r="E2503" t="s">
        <v>12</v>
      </c>
      <c r="F2503">
        <v>2</v>
      </c>
      <c r="G2503" t="s">
        <v>13</v>
      </c>
      <c r="H2503" s="1">
        <v>45977.063194444447</v>
      </c>
      <c r="I2503" s="5">
        <f>INT(TB[[#This Row],[时间戳]])</f>
        <v>45977</v>
      </c>
      <c r="J2503" s="2">
        <f>HOUR(TB[[#This Row],[时间戳]])</f>
        <v>1</v>
      </c>
      <c r="K2503">
        <v>9813</v>
      </c>
      <c r="L2503">
        <v>3</v>
      </c>
      <c r="M2503">
        <f>TB[[#This Row],[售价]]*TB[[#This Row],[销量]]</f>
        <v>29439</v>
      </c>
      <c r="N2503" t="str">
        <f>IF(TB[[#This Row],[售价]]&lt;1000,"低价商品",IF(TB[[#This Row],[售价]]&lt;5000,"中价商品",IF(TB[[#This Row],[售价]]&lt;10000,"高价商品","超高价商品")))</f>
        <v>高价商品</v>
      </c>
    </row>
    <row r="2504" spans="1:14" x14ac:dyDescent="0.2">
      <c r="A2504">
        <v>526</v>
      </c>
      <c r="B2504">
        <v>108</v>
      </c>
      <c r="C2504" t="s">
        <v>36</v>
      </c>
      <c r="D2504" t="s">
        <v>187</v>
      </c>
      <c r="E2504" t="s">
        <v>12</v>
      </c>
      <c r="F2504">
        <v>2</v>
      </c>
      <c r="G2504" t="s">
        <v>42</v>
      </c>
      <c r="H2504" s="1">
        <v>45977.078472222223</v>
      </c>
      <c r="I2504" s="5">
        <f>INT(TB[[#This Row],[时间戳]])</f>
        <v>45977</v>
      </c>
      <c r="J2504" s="2">
        <f>HOUR(TB[[#This Row],[时间戳]])</f>
        <v>1</v>
      </c>
      <c r="K2504">
        <v>13217</v>
      </c>
      <c r="L2504">
        <v>0</v>
      </c>
      <c r="M2504">
        <f>TB[[#This Row],[售价]]*TB[[#This Row],[销量]]</f>
        <v>0</v>
      </c>
      <c r="N2504" t="str">
        <f>IF(TB[[#This Row],[售价]]&lt;1000,"低价商品",IF(TB[[#This Row],[售价]]&lt;5000,"中价商品",IF(TB[[#This Row],[售价]]&lt;10000,"高价商品","超高价商品")))</f>
        <v>超高价商品</v>
      </c>
    </row>
    <row r="2505" spans="1:14" x14ac:dyDescent="0.2">
      <c r="A2505">
        <v>33</v>
      </c>
      <c r="B2505">
        <v>60</v>
      </c>
      <c r="C2505" t="s">
        <v>44</v>
      </c>
      <c r="D2505" t="s">
        <v>100</v>
      </c>
      <c r="E2505" t="s">
        <v>19</v>
      </c>
      <c r="F2505">
        <v>3</v>
      </c>
      <c r="G2505" t="s">
        <v>13</v>
      </c>
      <c r="H2505" s="1">
        <v>45977.136111111111</v>
      </c>
      <c r="I2505" s="5">
        <f>INT(TB[[#This Row],[时间戳]])</f>
        <v>45977</v>
      </c>
      <c r="J2505" s="2">
        <f>HOUR(TB[[#This Row],[时间戳]])</f>
        <v>3</v>
      </c>
      <c r="K2505">
        <v>3526</v>
      </c>
      <c r="L2505">
        <v>2</v>
      </c>
      <c r="M2505">
        <f>TB[[#This Row],[售价]]*TB[[#This Row],[销量]]</f>
        <v>7052</v>
      </c>
      <c r="N2505" t="str">
        <f>IF(TB[[#This Row],[售价]]&lt;1000,"低价商品",IF(TB[[#This Row],[售价]]&lt;5000,"中价商品",IF(TB[[#This Row],[售价]]&lt;10000,"高价商品","超高价商品")))</f>
        <v>中价商品</v>
      </c>
    </row>
    <row r="2506" spans="1:14" x14ac:dyDescent="0.2">
      <c r="A2506">
        <v>144</v>
      </c>
      <c r="B2506">
        <v>240</v>
      </c>
      <c r="C2506" t="s">
        <v>26</v>
      </c>
      <c r="D2506" t="s">
        <v>122</v>
      </c>
      <c r="E2506" t="s">
        <v>31</v>
      </c>
      <c r="F2506">
        <v>4</v>
      </c>
      <c r="G2506" t="s">
        <v>13</v>
      </c>
      <c r="H2506" s="1">
        <v>45977.140277777777</v>
      </c>
      <c r="I2506" s="5">
        <f>INT(TB[[#This Row],[时间戳]])</f>
        <v>45977</v>
      </c>
      <c r="J2506" s="2">
        <f>HOUR(TB[[#This Row],[时间戳]])</f>
        <v>3</v>
      </c>
      <c r="K2506">
        <v>1245</v>
      </c>
      <c r="L2506">
        <v>3</v>
      </c>
      <c r="M2506">
        <f>TB[[#This Row],[售价]]*TB[[#This Row],[销量]]</f>
        <v>3735</v>
      </c>
      <c r="N2506" t="str">
        <f>IF(TB[[#This Row],[售价]]&lt;1000,"低价商品",IF(TB[[#This Row],[售价]]&lt;5000,"中价商品",IF(TB[[#This Row],[售价]]&lt;10000,"高价商品","超高价商品")))</f>
        <v>中价商品</v>
      </c>
    </row>
    <row r="2507" spans="1:14" x14ac:dyDescent="0.2">
      <c r="A2507">
        <v>387</v>
      </c>
      <c r="B2507">
        <v>18</v>
      </c>
      <c r="C2507" t="s">
        <v>34</v>
      </c>
      <c r="D2507" t="s">
        <v>125</v>
      </c>
      <c r="E2507" t="s">
        <v>31</v>
      </c>
      <c r="F2507">
        <v>4</v>
      </c>
      <c r="G2507" t="s">
        <v>13</v>
      </c>
      <c r="H2507" s="1">
        <v>45977.142361111109</v>
      </c>
      <c r="I2507" s="5">
        <f>INT(TB[[#This Row],[时间戳]])</f>
        <v>45977</v>
      </c>
      <c r="J2507" s="2">
        <f>HOUR(TB[[#This Row],[时间戳]])</f>
        <v>3</v>
      </c>
      <c r="K2507">
        <v>1216</v>
      </c>
      <c r="L2507">
        <v>1</v>
      </c>
      <c r="M2507">
        <f>TB[[#This Row],[售价]]*TB[[#This Row],[销量]]</f>
        <v>1216</v>
      </c>
      <c r="N2507" t="str">
        <f>IF(TB[[#This Row],[售价]]&lt;1000,"低价商品",IF(TB[[#This Row],[售价]]&lt;5000,"中价商品",IF(TB[[#This Row],[售价]]&lt;10000,"高价商品","超高价商品")))</f>
        <v>中价商品</v>
      </c>
    </row>
    <row r="2508" spans="1:14" x14ac:dyDescent="0.2">
      <c r="A2508">
        <v>368</v>
      </c>
      <c r="B2508">
        <v>5</v>
      </c>
      <c r="C2508" t="s">
        <v>14</v>
      </c>
      <c r="D2508" t="s">
        <v>385</v>
      </c>
      <c r="E2508" t="s">
        <v>12</v>
      </c>
      <c r="F2508">
        <v>2</v>
      </c>
      <c r="G2508" t="s">
        <v>13</v>
      </c>
      <c r="H2508" s="1">
        <v>45977.177777777775</v>
      </c>
      <c r="I2508" s="5">
        <f>INT(TB[[#This Row],[时间戳]])</f>
        <v>45977</v>
      </c>
      <c r="J2508" s="2">
        <f>HOUR(TB[[#This Row],[时间戳]])</f>
        <v>4</v>
      </c>
      <c r="K2508">
        <v>9440</v>
      </c>
      <c r="L2508">
        <v>3</v>
      </c>
      <c r="M2508">
        <f>TB[[#This Row],[售价]]*TB[[#This Row],[销量]]</f>
        <v>28320</v>
      </c>
      <c r="N2508" t="str">
        <f>IF(TB[[#This Row],[售价]]&lt;1000,"低价商品",IF(TB[[#This Row],[售价]]&lt;5000,"中价商品",IF(TB[[#This Row],[售价]]&lt;10000,"高价商品","超高价商品")))</f>
        <v>高价商品</v>
      </c>
    </row>
    <row r="2509" spans="1:14" x14ac:dyDescent="0.2">
      <c r="A2509">
        <v>345</v>
      </c>
      <c r="B2509">
        <v>52</v>
      </c>
      <c r="C2509" t="s">
        <v>44</v>
      </c>
      <c r="D2509" t="s">
        <v>408</v>
      </c>
      <c r="E2509" t="s">
        <v>39</v>
      </c>
      <c r="F2509">
        <v>5</v>
      </c>
      <c r="G2509" t="s">
        <v>13</v>
      </c>
      <c r="H2509" s="1">
        <v>45977.188194444447</v>
      </c>
      <c r="I2509" s="5">
        <f>INT(TB[[#This Row],[时间戳]])</f>
        <v>45977</v>
      </c>
      <c r="J2509" s="2">
        <f>HOUR(TB[[#This Row],[时间戳]])</f>
        <v>4</v>
      </c>
      <c r="K2509">
        <v>1465</v>
      </c>
      <c r="L2509">
        <v>3</v>
      </c>
      <c r="M2509">
        <f>TB[[#This Row],[售价]]*TB[[#This Row],[销量]]</f>
        <v>4395</v>
      </c>
      <c r="N2509" t="str">
        <f>IF(TB[[#This Row],[售价]]&lt;1000,"低价商品",IF(TB[[#This Row],[售价]]&lt;5000,"中价商品",IF(TB[[#This Row],[售价]]&lt;10000,"高价商品","超高价商品")))</f>
        <v>中价商品</v>
      </c>
    </row>
    <row r="2510" spans="1:14" x14ac:dyDescent="0.2">
      <c r="A2510">
        <v>479</v>
      </c>
      <c r="B2510">
        <v>280</v>
      </c>
      <c r="C2510" t="s">
        <v>36</v>
      </c>
      <c r="D2510" t="s">
        <v>318</v>
      </c>
      <c r="E2510" t="s">
        <v>16</v>
      </c>
      <c r="F2510">
        <v>6</v>
      </c>
      <c r="G2510" t="s">
        <v>13</v>
      </c>
      <c r="H2510" s="1">
        <v>45977.222916666666</v>
      </c>
      <c r="I2510" s="5">
        <f>INT(TB[[#This Row],[时间戳]])</f>
        <v>45977</v>
      </c>
      <c r="J2510" s="2">
        <f>HOUR(TB[[#This Row],[时间戳]])</f>
        <v>5</v>
      </c>
      <c r="K2510">
        <v>5048</v>
      </c>
      <c r="L2510">
        <v>3</v>
      </c>
      <c r="M2510">
        <f>TB[[#This Row],[售价]]*TB[[#This Row],[销量]]</f>
        <v>15144</v>
      </c>
      <c r="N2510" t="str">
        <f>IF(TB[[#This Row],[售价]]&lt;1000,"低价商品",IF(TB[[#This Row],[售价]]&lt;5000,"中价商品",IF(TB[[#This Row],[售价]]&lt;10000,"高价商品","超高价商品")))</f>
        <v>高价商品</v>
      </c>
    </row>
    <row r="2511" spans="1:14" x14ac:dyDescent="0.2">
      <c r="A2511">
        <v>632</v>
      </c>
      <c r="B2511">
        <v>234</v>
      </c>
      <c r="C2511" t="s">
        <v>10</v>
      </c>
      <c r="D2511" t="s">
        <v>351</v>
      </c>
      <c r="E2511" t="s">
        <v>31</v>
      </c>
      <c r="F2511">
        <v>4</v>
      </c>
      <c r="G2511" t="s">
        <v>13</v>
      </c>
      <c r="H2511" s="1">
        <v>45977.263888888891</v>
      </c>
      <c r="I2511" s="5">
        <f>INT(TB[[#This Row],[时间戳]])</f>
        <v>45977</v>
      </c>
      <c r="J2511" s="2">
        <f>HOUR(TB[[#This Row],[时间戳]])</f>
        <v>6</v>
      </c>
      <c r="K2511">
        <v>616</v>
      </c>
      <c r="L2511">
        <v>3</v>
      </c>
      <c r="M2511">
        <f>TB[[#This Row],[售价]]*TB[[#This Row],[销量]]</f>
        <v>1848</v>
      </c>
      <c r="N2511" t="str">
        <f>IF(TB[[#This Row],[售价]]&lt;1000,"低价商品",IF(TB[[#This Row],[售价]]&lt;5000,"中价商品",IF(TB[[#This Row],[售价]]&lt;10000,"高价商品","超高价商品")))</f>
        <v>低价商品</v>
      </c>
    </row>
    <row r="2512" spans="1:14" x14ac:dyDescent="0.2">
      <c r="A2512">
        <v>485</v>
      </c>
      <c r="B2512">
        <v>125</v>
      </c>
      <c r="C2512" t="s">
        <v>17</v>
      </c>
      <c r="D2512" t="s">
        <v>137</v>
      </c>
      <c r="E2512" t="s">
        <v>31</v>
      </c>
      <c r="F2512">
        <v>4</v>
      </c>
      <c r="G2512" t="s">
        <v>13</v>
      </c>
      <c r="H2512" s="1">
        <v>45977.265277777777</v>
      </c>
      <c r="I2512" s="5">
        <f>INT(TB[[#This Row],[时间戳]])</f>
        <v>45977</v>
      </c>
      <c r="J2512" s="2">
        <f>HOUR(TB[[#This Row],[时间戳]])</f>
        <v>6</v>
      </c>
      <c r="K2512">
        <v>1359</v>
      </c>
      <c r="L2512">
        <v>1</v>
      </c>
      <c r="M2512">
        <f>TB[[#This Row],[售价]]*TB[[#This Row],[销量]]</f>
        <v>1359</v>
      </c>
      <c r="N2512" t="str">
        <f>IF(TB[[#This Row],[售价]]&lt;1000,"低价商品",IF(TB[[#This Row],[售价]]&lt;5000,"中价商品",IF(TB[[#This Row],[售价]]&lt;10000,"高价商品","超高价商品")))</f>
        <v>中价商品</v>
      </c>
    </row>
    <row r="2513" spans="1:14" x14ac:dyDescent="0.2">
      <c r="A2513">
        <v>346</v>
      </c>
      <c r="B2513">
        <v>248</v>
      </c>
      <c r="C2513" t="s">
        <v>34</v>
      </c>
      <c r="D2513" t="s">
        <v>331</v>
      </c>
      <c r="E2513" t="s">
        <v>25</v>
      </c>
      <c r="F2513">
        <v>7</v>
      </c>
      <c r="G2513" t="s">
        <v>13</v>
      </c>
      <c r="H2513" s="1">
        <v>45977.304861111108</v>
      </c>
      <c r="I2513" s="5">
        <f>INT(TB[[#This Row],[时间戳]])</f>
        <v>45977</v>
      </c>
      <c r="J2513" s="2">
        <f>HOUR(TB[[#This Row],[时间戳]])</f>
        <v>7</v>
      </c>
      <c r="K2513">
        <v>3739</v>
      </c>
      <c r="L2513">
        <v>2</v>
      </c>
      <c r="M2513">
        <f>TB[[#This Row],[售价]]*TB[[#This Row],[销量]]</f>
        <v>7478</v>
      </c>
      <c r="N2513" t="str">
        <f>IF(TB[[#This Row],[售价]]&lt;1000,"低价商品",IF(TB[[#This Row],[售价]]&lt;5000,"中价商品",IF(TB[[#This Row],[售价]]&lt;10000,"高价商品","超高价商品")))</f>
        <v>中价商品</v>
      </c>
    </row>
    <row r="2514" spans="1:14" x14ac:dyDescent="0.2">
      <c r="A2514">
        <v>240</v>
      </c>
      <c r="B2514">
        <v>260</v>
      </c>
      <c r="C2514" t="s">
        <v>36</v>
      </c>
      <c r="D2514" t="s">
        <v>37</v>
      </c>
      <c r="E2514" t="s">
        <v>31</v>
      </c>
      <c r="F2514">
        <v>4</v>
      </c>
      <c r="G2514" t="s">
        <v>13</v>
      </c>
      <c r="H2514" s="1">
        <v>45977.315972222219</v>
      </c>
      <c r="I2514" s="5">
        <f>INT(TB[[#This Row],[时间戳]])</f>
        <v>45977</v>
      </c>
      <c r="J2514" s="2">
        <f>HOUR(TB[[#This Row],[时间戳]])</f>
        <v>7</v>
      </c>
      <c r="K2514">
        <v>1444</v>
      </c>
      <c r="L2514">
        <v>2</v>
      </c>
      <c r="M2514">
        <f>TB[[#This Row],[售价]]*TB[[#This Row],[销量]]</f>
        <v>2888</v>
      </c>
      <c r="N2514" t="str">
        <f>IF(TB[[#This Row],[售价]]&lt;1000,"低价商品",IF(TB[[#This Row],[售价]]&lt;5000,"中价商品",IF(TB[[#This Row],[售价]]&lt;10000,"高价商品","超高价商品")))</f>
        <v>中价商品</v>
      </c>
    </row>
    <row r="2515" spans="1:14" x14ac:dyDescent="0.2">
      <c r="A2515">
        <v>592</v>
      </c>
      <c r="B2515">
        <v>206</v>
      </c>
      <c r="C2515" t="s">
        <v>17</v>
      </c>
      <c r="D2515" t="s">
        <v>133</v>
      </c>
      <c r="E2515" t="s">
        <v>31</v>
      </c>
      <c r="F2515">
        <v>4</v>
      </c>
      <c r="G2515" t="s">
        <v>13</v>
      </c>
      <c r="H2515" s="1">
        <v>45977.32916666667</v>
      </c>
      <c r="I2515" s="5">
        <f>INT(TB[[#This Row],[时间戳]])</f>
        <v>45977</v>
      </c>
      <c r="J2515" s="2">
        <f>HOUR(TB[[#This Row],[时间戳]])</f>
        <v>7</v>
      </c>
      <c r="K2515">
        <v>285</v>
      </c>
      <c r="L2515">
        <v>2</v>
      </c>
      <c r="M2515">
        <f>TB[[#This Row],[售价]]*TB[[#This Row],[销量]]</f>
        <v>570</v>
      </c>
      <c r="N2515" t="str">
        <f>IF(TB[[#This Row],[售价]]&lt;1000,"低价商品",IF(TB[[#This Row],[售价]]&lt;5000,"中价商品",IF(TB[[#This Row],[售价]]&lt;10000,"高价商品","超高价商品")))</f>
        <v>低价商品</v>
      </c>
    </row>
    <row r="2516" spans="1:14" x14ac:dyDescent="0.2">
      <c r="A2516">
        <v>171</v>
      </c>
      <c r="B2516">
        <v>154</v>
      </c>
      <c r="C2516" t="s">
        <v>26</v>
      </c>
      <c r="D2516" t="s">
        <v>270</v>
      </c>
      <c r="E2516" t="s">
        <v>16</v>
      </c>
      <c r="F2516">
        <v>6</v>
      </c>
      <c r="G2516" t="s">
        <v>13</v>
      </c>
      <c r="H2516" s="1">
        <v>45977.347222222219</v>
      </c>
      <c r="I2516" s="5">
        <f>INT(TB[[#This Row],[时间戳]])</f>
        <v>45977</v>
      </c>
      <c r="J2516" s="2">
        <f>HOUR(TB[[#This Row],[时间戳]])</f>
        <v>8</v>
      </c>
      <c r="K2516">
        <v>11530</v>
      </c>
      <c r="L2516">
        <v>2</v>
      </c>
      <c r="M2516">
        <f>TB[[#This Row],[售价]]*TB[[#This Row],[销量]]</f>
        <v>23060</v>
      </c>
      <c r="N2516" t="str">
        <f>IF(TB[[#This Row],[售价]]&lt;1000,"低价商品",IF(TB[[#This Row],[售价]]&lt;5000,"中价商品",IF(TB[[#This Row],[售价]]&lt;10000,"高价商品","超高价商品")))</f>
        <v>超高价商品</v>
      </c>
    </row>
    <row r="2517" spans="1:14" x14ac:dyDescent="0.2">
      <c r="A2517">
        <v>582</v>
      </c>
      <c r="B2517">
        <v>72</v>
      </c>
      <c r="C2517" t="s">
        <v>20</v>
      </c>
      <c r="D2517" t="s">
        <v>120</v>
      </c>
      <c r="E2517" t="s">
        <v>22</v>
      </c>
      <c r="F2517">
        <v>1</v>
      </c>
      <c r="G2517" t="s">
        <v>13</v>
      </c>
      <c r="H2517" s="1">
        <v>45977.395138888889</v>
      </c>
      <c r="I2517" s="5">
        <f>INT(TB[[#This Row],[时间戳]])</f>
        <v>45977</v>
      </c>
      <c r="J2517" s="2">
        <f>HOUR(TB[[#This Row],[时间戳]])</f>
        <v>9</v>
      </c>
      <c r="K2517">
        <v>6046</v>
      </c>
      <c r="L2517">
        <v>3</v>
      </c>
      <c r="M2517">
        <f>TB[[#This Row],[售价]]*TB[[#This Row],[销量]]</f>
        <v>18138</v>
      </c>
      <c r="N2517" t="str">
        <f>IF(TB[[#This Row],[售价]]&lt;1000,"低价商品",IF(TB[[#This Row],[售价]]&lt;5000,"中价商品",IF(TB[[#This Row],[售价]]&lt;10000,"高价商品","超高价商品")))</f>
        <v>高价商品</v>
      </c>
    </row>
    <row r="2518" spans="1:14" x14ac:dyDescent="0.2">
      <c r="A2518">
        <v>93</v>
      </c>
      <c r="B2518">
        <v>159</v>
      </c>
      <c r="C2518" t="s">
        <v>34</v>
      </c>
      <c r="D2518" t="s">
        <v>69</v>
      </c>
      <c r="E2518" t="s">
        <v>31</v>
      </c>
      <c r="F2518">
        <v>4</v>
      </c>
      <c r="G2518" t="s">
        <v>13</v>
      </c>
      <c r="H2518" s="1">
        <v>45977.395138888889</v>
      </c>
      <c r="I2518" s="5">
        <f>INT(TB[[#This Row],[时间戳]])</f>
        <v>45977</v>
      </c>
      <c r="J2518" s="2">
        <f>HOUR(TB[[#This Row],[时间戳]])</f>
        <v>9</v>
      </c>
      <c r="K2518">
        <v>455</v>
      </c>
      <c r="L2518">
        <v>2</v>
      </c>
      <c r="M2518">
        <f>TB[[#This Row],[售价]]*TB[[#This Row],[销量]]</f>
        <v>910</v>
      </c>
      <c r="N2518" t="str">
        <f>IF(TB[[#This Row],[售价]]&lt;1000,"低价商品",IF(TB[[#This Row],[售价]]&lt;5000,"中价商品",IF(TB[[#This Row],[售价]]&lt;10000,"高价商品","超高价商品")))</f>
        <v>低价商品</v>
      </c>
    </row>
    <row r="2519" spans="1:14" x14ac:dyDescent="0.2">
      <c r="A2519">
        <v>406</v>
      </c>
      <c r="B2519">
        <v>85</v>
      </c>
      <c r="C2519" t="s">
        <v>34</v>
      </c>
      <c r="D2519" t="s">
        <v>165</v>
      </c>
      <c r="E2519" t="s">
        <v>39</v>
      </c>
      <c r="F2519">
        <v>5</v>
      </c>
      <c r="G2519" t="s">
        <v>13</v>
      </c>
      <c r="H2519" s="1">
        <v>45977.406944444447</v>
      </c>
      <c r="I2519" s="5">
        <f>INT(TB[[#This Row],[时间戳]])</f>
        <v>45977</v>
      </c>
      <c r="J2519" s="2">
        <f>HOUR(TB[[#This Row],[时间戳]])</f>
        <v>9</v>
      </c>
      <c r="K2519">
        <v>3808</v>
      </c>
      <c r="L2519">
        <v>2</v>
      </c>
      <c r="M2519">
        <f>TB[[#This Row],[售价]]*TB[[#This Row],[销量]]</f>
        <v>7616</v>
      </c>
      <c r="N2519" t="str">
        <f>IF(TB[[#This Row],[售价]]&lt;1000,"低价商品",IF(TB[[#This Row],[售价]]&lt;5000,"中价商品",IF(TB[[#This Row],[售价]]&lt;10000,"高价商品","超高价商品")))</f>
        <v>中价商品</v>
      </c>
    </row>
    <row r="2520" spans="1:14" x14ac:dyDescent="0.2">
      <c r="A2520">
        <v>177</v>
      </c>
      <c r="B2520">
        <v>155</v>
      </c>
      <c r="C2520" t="s">
        <v>26</v>
      </c>
      <c r="D2520" t="s">
        <v>396</v>
      </c>
      <c r="E2520" t="s">
        <v>25</v>
      </c>
      <c r="F2520">
        <v>7</v>
      </c>
      <c r="G2520" t="s">
        <v>13</v>
      </c>
      <c r="H2520" s="1">
        <v>45977.428472222222</v>
      </c>
      <c r="I2520" s="5">
        <f>INT(TB[[#This Row],[时间戳]])</f>
        <v>45977</v>
      </c>
      <c r="J2520" s="2">
        <f>HOUR(TB[[#This Row],[时间戳]])</f>
        <v>10</v>
      </c>
      <c r="K2520">
        <v>5073</v>
      </c>
      <c r="L2520">
        <v>2</v>
      </c>
      <c r="M2520">
        <f>TB[[#This Row],[售价]]*TB[[#This Row],[销量]]</f>
        <v>10146</v>
      </c>
      <c r="N2520" t="str">
        <f>IF(TB[[#This Row],[售价]]&lt;1000,"低价商品",IF(TB[[#This Row],[售价]]&lt;5000,"中价商品",IF(TB[[#This Row],[售价]]&lt;10000,"高价商品","超高价商品")))</f>
        <v>高价商品</v>
      </c>
    </row>
    <row r="2521" spans="1:14" x14ac:dyDescent="0.2">
      <c r="A2521">
        <v>209</v>
      </c>
      <c r="B2521">
        <v>224</v>
      </c>
      <c r="C2521" t="s">
        <v>26</v>
      </c>
      <c r="D2521" t="s">
        <v>229</v>
      </c>
      <c r="E2521" t="s">
        <v>16</v>
      </c>
      <c r="F2521">
        <v>6</v>
      </c>
      <c r="G2521" t="s">
        <v>13</v>
      </c>
      <c r="H2521" s="1">
        <v>45977.45208333333</v>
      </c>
      <c r="I2521" s="5">
        <f>INT(TB[[#This Row],[时间戳]])</f>
        <v>45977</v>
      </c>
      <c r="J2521" s="2">
        <f>HOUR(TB[[#This Row],[时间戳]])</f>
        <v>10</v>
      </c>
      <c r="K2521">
        <v>6879</v>
      </c>
      <c r="L2521">
        <v>1</v>
      </c>
      <c r="M2521">
        <f>TB[[#This Row],[售价]]*TB[[#This Row],[销量]]</f>
        <v>6879</v>
      </c>
      <c r="N2521" t="str">
        <f>IF(TB[[#This Row],[售价]]&lt;1000,"低价商品",IF(TB[[#This Row],[售价]]&lt;5000,"中价商品",IF(TB[[#This Row],[售价]]&lt;10000,"高价商品","超高价商品")))</f>
        <v>高价商品</v>
      </c>
    </row>
    <row r="2522" spans="1:14" x14ac:dyDescent="0.2">
      <c r="A2522">
        <v>702</v>
      </c>
      <c r="B2522">
        <v>285</v>
      </c>
      <c r="C2522" t="s">
        <v>32</v>
      </c>
      <c r="D2522" t="s">
        <v>208</v>
      </c>
      <c r="E2522" t="s">
        <v>12</v>
      </c>
      <c r="F2522">
        <v>2</v>
      </c>
      <c r="G2522" t="s">
        <v>13</v>
      </c>
      <c r="H2522" s="1">
        <v>45977.474305555559</v>
      </c>
      <c r="I2522" s="5">
        <f>INT(TB[[#This Row],[时间戳]])</f>
        <v>45977</v>
      </c>
      <c r="J2522" s="2">
        <f>HOUR(TB[[#This Row],[时间戳]])</f>
        <v>11</v>
      </c>
      <c r="K2522">
        <v>5647</v>
      </c>
      <c r="L2522">
        <v>2</v>
      </c>
      <c r="M2522">
        <f>TB[[#This Row],[售价]]*TB[[#This Row],[销量]]</f>
        <v>11294</v>
      </c>
      <c r="N2522" t="str">
        <f>IF(TB[[#This Row],[售价]]&lt;1000,"低价商品",IF(TB[[#This Row],[售价]]&lt;5000,"中价商品",IF(TB[[#This Row],[售价]]&lt;10000,"高价商品","超高价商品")))</f>
        <v>高价商品</v>
      </c>
    </row>
    <row r="2523" spans="1:14" x14ac:dyDescent="0.2">
      <c r="A2523">
        <v>353</v>
      </c>
      <c r="B2523">
        <v>52</v>
      </c>
      <c r="C2523" t="s">
        <v>44</v>
      </c>
      <c r="D2523" t="s">
        <v>76</v>
      </c>
      <c r="E2523" t="s">
        <v>31</v>
      </c>
      <c r="F2523">
        <v>4</v>
      </c>
      <c r="G2523" t="s">
        <v>42</v>
      </c>
      <c r="H2523" s="1">
        <v>45977.476388888892</v>
      </c>
      <c r="I2523" s="5">
        <f>INT(TB[[#This Row],[时间戳]])</f>
        <v>45977</v>
      </c>
      <c r="J2523" s="2">
        <f>HOUR(TB[[#This Row],[时间戳]])</f>
        <v>11</v>
      </c>
      <c r="K2523">
        <v>618</v>
      </c>
      <c r="L2523">
        <v>0</v>
      </c>
      <c r="M2523">
        <f>TB[[#This Row],[售价]]*TB[[#This Row],[销量]]</f>
        <v>0</v>
      </c>
      <c r="N2523" t="str">
        <f>IF(TB[[#This Row],[售价]]&lt;1000,"低价商品",IF(TB[[#This Row],[售价]]&lt;5000,"中价商品",IF(TB[[#This Row],[售价]]&lt;10000,"高价商品","超高价商品")))</f>
        <v>低价商品</v>
      </c>
    </row>
    <row r="2524" spans="1:14" x14ac:dyDescent="0.2">
      <c r="A2524">
        <v>218</v>
      </c>
      <c r="B2524">
        <v>242</v>
      </c>
      <c r="C2524" t="s">
        <v>17</v>
      </c>
      <c r="D2524" t="s">
        <v>98</v>
      </c>
      <c r="E2524" t="s">
        <v>22</v>
      </c>
      <c r="F2524">
        <v>1</v>
      </c>
      <c r="G2524" t="s">
        <v>13</v>
      </c>
      <c r="H2524" s="1">
        <v>45977.48333333333</v>
      </c>
      <c r="I2524" s="5">
        <f>INT(TB[[#This Row],[时间戳]])</f>
        <v>45977</v>
      </c>
      <c r="J2524" s="2">
        <f>HOUR(TB[[#This Row],[时间戳]])</f>
        <v>11</v>
      </c>
      <c r="K2524">
        <v>4937</v>
      </c>
      <c r="L2524">
        <v>3</v>
      </c>
      <c r="M2524">
        <f>TB[[#This Row],[售价]]*TB[[#This Row],[销量]]</f>
        <v>14811</v>
      </c>
      <c r="N2524" t="str">
        <f>IF(TB[[#This Row],[售价]]&lt;1000,"低价商品",IF(TB[[#This Row],[售价]]&lt;5000,"中价商品",IF(TB[[#This Row],[售价]]&lt;10000,"高价商品","超高价商品")))</f>
        <v>中价商品</v>
      </c>
    </row>
    <row r="2525" spans="1:14" x14ac:dyDescent="0.2">
      <c r="A2525">
        <v>782</v>
      </c>
      <c r="B2525">
        <v>50</v>
      </c>
      <c r="C2525" t="s">
        <v>44</v>
      </c>
      <c r="D2525" t="s">
        <v>76</v>
      </c>
      <c r="E2525" t="s">
        <v>31</v>
      </c>
      <c r="F2525">
        <v>4</v>
      </c>
      <c r="G2525" t="s">
        <v>13</v>
      </c>
      <c r="H2525" s="1">
        <v>45977.491666666669</v>
      </c>
      <c r="I2525" s="5">
        <f>INT(TB[[#This Row],[时间戳]])</f>
        <v>45977</v>
      </c>
      <c r="J2525" s="2">
        <f>HOUR(TB[[#This Row],[时间戳]])</f>
        <v>11</v>
      </c>
      <c r="K2525">
        <v>1410</v>
      </c>
      <c r="L2525">
        <v>1</v>
      </c>
      <c r="M2525">
        <f>TB[[#This Row],[售价]]*TB[[#This Row],[销量]]</f>
        <v>1410</v>
      </c>
      <c r="N2525" t="str">
        <f>IF(TB[[#This Row],[售价]]&lt;1000,"低价商品",IF(TB[[#This Row],[售价]]&lt;5000,"中价商品",IF(TB[[#This Row],[售价]]&lt;10000,"高价商品","超高价商品")))</f>
        <v>中价商品</v>
      </c>
    </row>
    <row r="2526" spans="1:14" x14ac:dyDescent="0.2">
      <c r="A2526">
        <v>410</v>
      </c>
      <c r="B2526">
        <v>168</v>
      </c>
      <c r="C2526" t="s">
        <v>34</v>
      </c>
      <c r="D2526" t="s">
        <v>175</v>
      </c>
      <c r="E2526" t="s">
        <v>22</v>
      </c>
      <c r="F2526">
        <v>1</v>
      </c>
      <c r="G2526" t="s">
        <v>13</v>
      </c>
      <c r="H2526" s="1">
        <v>45977.521527777775</v>
      </c>
      <c r="I2526" s="5">
        <f>INT(TB[[#This Row],[时间戳]])</f>
        <v>45977</v>
      </c>
      <c r="J2526" s="2">
        <f>HOUR(TB[[#This Row],[时间戳]])</f>
        <v>12</v>
      </c>
      <c r="K2526">
        <v>4040</v>
      </c>
      <c r="L2526">
        <v>1</v>
      </c>
      <c r="M2526">
        <f>TB[[#This Row],[售价]]*TB[[#This Row],[销量]]</f>
        <v>4040</v>
      </c>
      <c r="N2526" t="str">
        <f>IF(TB[[#This Row],[售价]]&lt;1000,"低价商品",IF(TB[[#This Row],[售价]]&lt;5000,"中价商品",IF(TB[[#This Row],[售价]]&lt;10000,"高价商品","超高价商品")))</f>
        <v>中价商品</v>
      </c>
    </row>
    <row r="2527" spans="1:14" x14ac:dyDescent="0.2">
      <c r="A2527">
        <v>404</v>
      </c>
      <c r="B2527">
        <v>274</v>
      </c>
      <c r="C2527" t="s">
        <v>17</v>
      </c>
      <c r="D2527" t="s">
        <v>255</v>
      </c>
      <c r="E2527" t="s">
        <v>31</v>
      </c>
      <c r="F2527">
        <v>4</v>
      </c>
      <c r="G2527" t="s">
        <v>13</v>
      </c>
      <c r="H2527" s="1">
        <v>45977.527083333334</v>
      </c>
      <c r="I2527" s="5">
        <f>INT(TB[[#This Row],[时间戳]])</f>
        <v>45977</v>
      </c>
      <c r="J2527" s="2">
        <f>HOUR(TB[[#This Row],[时间戳]])</f>
        <v>12</v>
      </c>
      <c r="K2527">
        <v>774</v>
      </c>
      <c r="L2527">
        <v>2</v>
      </c>
      <c r="M2527">
        <f>TB[[#This Row],[售价]]*TB[[#This Row],[销量]]</f>
        <v>1548</v>
      </c>
      <c r="N2527" t="str">
        <f>IF(TB[[#This Row],[售价]]&lt;1000,"低价商品",IF(TB[[#This Row],[售价]]&lt;5000,"中价商品",IF(TB[[#This Row],[售价]]&lt;10000,"高价商品","超高价商品")))</f>
        <v>低价商品</v>
      </c>
    </row>
    <row r="2528" spans="1:14" x14ac:dyDescent="0.2">
      <c r="A2528">
        <v>759</v>
      </c>
      <c r="B2528">
        <v>14</v>
      </c>
      <c r="C2528" t="s">
        <v>44</v>
      </c>
      <c r="D2528" t="s">
        <v>393</v>
      </c>
      <c r="E2528" t="s">
        <v>25</v>
      </c>
      <c r="F2528">
        <v>7</v>
      </c>
      <c r="G2528" t="s">
        <v>42</v>
      </c>
      <c r="H2528" s="1">
        <v>45977.531944444447</v>
      </c>
      <c r="I2528" s="5">
        <f>INT(TB[[#This Row],[时间戳]])</f>
        <v>45977</v>
      </c>
      <c r="J2528" s="2">
        <f>HOUR(TB[[#This Row],[时间戳]])</f>
        <v>12</v>
      </c>
      <c r="K2528">
        <v>2064</v>
      </c>
      <c r="L2528">
        <v>0</v>
      </c>
      <c r="M2528">
        <f>TB[[#This Row],[售价]]*TB[[#This Row],[销量]]</f>
        <v>0</v>
      </c>
      <c r="N2528" t="str">
        <f>IF(TB[[#This Row],[售价]]&lt;1000,"低价商品",IF(TB[[#This Row],[售价]]&lt;5000,"中价商品",IF(TB[[#This Row],[售价]]&lt;10000,"高价商品","超高价商品")))</f>
        <v>中价商品</v>
      </c>
    </row>
    <row r="2529" spans="1:14" x14ac:dyDescent="0.2">
      <c r="A2529">
        <v>378</v>
      </c>
      <c r="B2529">
        <v>186</v>
      </c>
      <c r="C2529" t="s">
        <v>26</v>
      </c>
      <c r="D2529" t="s">
        <v>27</v>
      </c>
      <c r="E2529" t="s">
        <v>22</v>
      </c>
      <c r="F2529">
        <v>1</v>
      </c>
      <c r="G2529" t="s">
        <v>13</v>
      </c>
      <c r="H2529" s="1">
        <v>45977.589583333334</v>
      </c>
      <c r="I2529" s="5">
        <f>INT(TB[[#This Row],[时间戳]])</f>
        <v>45977</v>
      </c>
      <c r="J2529" s="2">
        <f>HOUR(TB[[#This Row],[时间戳]])</f>
        <v>14</v>
      </c>
      <c r="K2529">
        <v>2927</v>
      </c>
      <c r="L2529">
        <v>2</v>
      </c>
      <c r="M2529">
        <f>TB[[#This Row],[售价]]*TB[[#This Row],[销量]]</f>
        <v>5854</v>
      </c>
      <c r="N2529" t="str">
        <f>IF(TB[[#This Row],[售价]]&lt;1000,"低价商品",IF(TB[[#This Row],[售价]]&lt;5000,"中价商品",IF(TB[[#This Row],[售价]]&lt;10000,"高价商品","超高价商品")))</f>
        <v>中价商品</v>
      </c>
    </row>
    <row r="2530" spans="1:14" x14ac:dyDescent="0.2">
      <c r="A2530">
        <v>614</v>
      </c>
      <c r="B2530">
        <v>204</v>
      </c>
      <c r="C2530" t="s">
        <v>10</v>
      </c>
      <c r="D2530" t="s">
        <v>352</v>
      </c>
      <c r="E2530" t="s">
        <v>12</v>
      </c>
      <c r="F2530">
        <v>2</v>
      </c>
      <c r="G2530" t="s">
        <v>13</v>
      </c>
      <c r="H2530" s="1">
        <v>45977.590277777781</v>
      </c>
      <c r="I2530" s="5">
        <f>INT(TB[[#This Row],[时间戳]])</f>
        <v>45977</v>
      </c>
      <c r="J2530" s="2">
        <f>HOUR(TB[[#This Row],[时间戳]])</f>
        <v>14</v>
      </c>
      <c r="K2530">
        <v>9624</v>
      </c>
      <c r="L2530">
        <v>4</v>
      </c>
      <c r="M2530">
        <f>TB[[#This Row],[售价]]*TB[[#This Row],[销量]]</f>
        <v>38496</v>
      </c>
      <c r="N2530" t="str">
        <f>IF(TB[[#This Row],[售价]]&lt;1000,"低价商品",IF(TB[[#This Row],[售价]]&lt;5000,"中价商品",IF(TB[[#This Row],[售价]]&lt;10000,"高价商品","超高价商品")))</f>
        <v>高价商品</v>
      </c>
    </row>
    <row r="2531" spans="1:14" x14ac:dyDescent="0.2">
      <c r="A2531">
        <v>512</v>
      </c>
      <c r="B2531">
        <v>97</v>
      </c>
      <c r="C2531" t="s">
        <v>32</v>
      </c>
      <c r="D2531" t="s">
        <v>404</v>
      </c>
      <c r="E2531" t="s">
        <v>25</v>
      </c>
      <c r="F2531">
        <v>7</v>
      </c>
      <c r="G2531" t="s">
        <v>42</v>
      </c>
      <c r="H2531" s="1">
        <v>45977.702777777777</v>
      </c>
      <c r="I2531" s="5">
        <f>INT(TB[[#This Row],[时间戳]])</f>
        <v>45977</v>
      </c>
      <c r="J2531" s="2">
        <f>HOUR(TB[[#This Row],[时间戳]])</f>
        <v>16</v>
      </c>
      <c r="K2531">
        <v>2262</v>
      </c>
      <c r="L2531">
        <v>0</v>
      </c>
      <c r="M2531">
        <f>TB[[#This Row],[售价]]*TB[[#This Row],[销量]]</f>
        <v>0</v>
      </c>
      <c r="N2531" t="str">
        <f>IF(TB[[#This Row],[售价]]&lt;1000,"低价商品",IF(TB[[#This Row],[售价]]&lt;5000,"中价商品",IF(TB[[#This Row],[售价]]&lt;10000,"高价商品","超高价商品")))</f>
        <v>中价商品</v>
      </c>
    </row>
    <row r="2532" spans="1:14" x14ac:dyDescent="0.2">
      <c r="A2532">
        <v>96</v>
      </c>
      <c r="B2532">
        <v>174</v>
      </c>
      <c r="C2532" t="s">
        <v>36</v>
      </c>
      <c r="D2532" t="s">
        <v>172</v>
      </c>
      <c r="E2532" t="s">
        <v>25</v>
      </c>
      <c r="F2532">
        <v>7</v>
      </c>
      <c r="G2532" t="s">
        <v>13</v>
      </c>
      <c r="H2532" s="1">
        <v>45977.723611111112</v>
      </c>
      <c r="I2532" s="5">
        <f>INT(TB[[#This Row],[时间戳]])</f>
        <v>45977</v>
      </c>
      <c r="J2532" s="2">
        <f>HOUR(TB[[#This Row],[时间戳]])</f>
        <v>17</v>
      </c>
      <c r="K2532">
        <v>1770</v>
      </c>
      <c r="L2532">
        <v>1</v>
      </c>
      <c r="M2532">
        <f>TB[[#This Row],[售价]]*TB[[#This Row],[销量]]</f>
        <v>1770</v>
      </c>
      <c r="N2532" t="str">
        <f>IF(TB[[#This Row],[售价]]&lt;1000,"低价商品",IF(TB[[#This Row],[售价]]&lt;5000,"中价商品",IF(TB[[#This Row],[售价]]&lt;10000,"高价商品","超高价商品")))</f>
        <v>中价商品</v>
      </c>
    </row>
    <row r="2533" spans="1:14" x14ac:dyDescent="0.2">
      <c r="A2533">
        <v>155</v>
      </c>
      <c r="B2533">
        <v>146</v>
      </c>
      <c r="C2533" t="s">
        <v>26</v>
      </c>
      <c r="D2533" t="s">
        <v>122</v>
      </c>
      <c r="E2533" t="s">
        <v>31</v>
      </c>
      <c r="F2533">
        <v>4</v>
      </c>
      <c r="G2533" t="s">
        <v>13</v>
      </c>
      <c r="H2533" s="1">
        <v>45977.756249999999</v>
      </c>
      <c r="I2533" s="5">
        <f>INT(TB[[#This Row],[时间戳]])</f>
        <v>45977</v>
      </c>
      <c r="J2533" s="2">
        <f>HOUR(TB[[#This Row],[时间戳]])</f>
        <v>18</v>
      </c>
      <c r="K2533">
        <v>970</v>
      </c>
      <c r="L2533">
        <v>1</v>
      </c>
      <c r="M2533">
        <f>TB[[#This Row],[售价]]*TB[[#This Row],[销量]]</f>
        <v>970</v>
      </c>
      <c r="N2533" t="str">
        <f>IF(TB[[#This Row],[售价]]&lt;1000,"低价商品",IF(TB[[#This Row],[售价]]&lt;5000,"中价商品",IF(TB[[#This Row],[售价]]&lt;10000,"高价商品","超高价商品")))</f>
        <v>低价商品</v>
      </c>
    </row>
    <row r="2534" spans="1:14" x14ac:dyDescent="0.2">
      <c r="A2534">
        <v>268</v>
      </c>
      <c r="B2534">
        <v>216</v>
      </c>
      <c r="C2534" t="s">
        <v>44</v>
      </c>
      <c r="D2534" t="s">
        <v>59</v>
      </c>
      <c r="E2534" t="s">
        <v>22</v>
      </c>
      <c r="F2534">
        <v>1</v>
      </c>
      <c r="G2534" t="s">
        <v>42</v>
      </c>
      <c r="H2534" s="1">
        <v>45977.762499999997</v>
      </c>
      <c r="I2534" s="5">
        <f>INT(TB[[#This Row],[时间戳]])</f>
        <v>45977</v>
      </c>
      <c r="J2534" s="2">
        <f>HOUR(TB[[#This Row],[时间戳]])</f>
        <v>18</v>
      </c>
      <c r="K2534">
        <v>3546</v>
      </c>
      <c r="L2534">
        <v>0</v>
      </c>
      <c r="M2534">
        <f>TB[[#This Row],[售价]]*TB[[#This Row],[销量]]</f>
        <v>0</v>
      </c>
      <c r="N2534" t="str">
        <f>IF(TB[[#This Row],[售价]]&lt;1000,"低价商品",IF(TB[[#This Row],[售价]]&lt;5000,"中价商品",IF(TB[[#This Row],[售价]]&lt;10000,"高价商品","超高价商品")))</f>
        <v>中价商品</v>
      </c>
    </row>
    <row r="2535" spans="1:14" x14ac:dyDescent="0.2">
      <c r="A2535">
        <v>530</v>
      </c>
      <c r="B2535">
        <v>55</v>
      </c>
      <c r="C2535" t="s">
        <v>17</v>
      </c>
      <c r="D2535" t="s">
        <v>369</v>
      </c>
      <c r="E2535" t="s">
        <v>16</v>
      </c>
      <c r="F2535">
        <v>6</v>
      </c>
      <c r="G2535" t="s">
        <v>13</v>
      </c>
      <c r="H2535" s="1">
        <v>45977.762499999997</v>
      </c>
      <c r="I2535" s="5">
        <f>INT(TB[[#This Row],[时间戳]])</f>
        <v>45977</v>
      </c>
      <c r="J2535" s="2">
        <f>HOUR(TB[[#This Row],[时间戳]])</f>
        <v>18</v>
      </c>
      <c r="K2535">
        <v>4824</v>
      </c>
      <c r="L2535">
        <v>4</v>
      </c>
      <c r="M2535">
        <f>TB[[#This Row],[售价]]*TB[[#This Row],[销量]]</f>
        <v>19296</v>
      </c>
      <c r="N2535" t="str">
        <f>IF(TB[[#This Row],[售价]]&lt;1000,"低价商品",IF(TB[[#This Row],[售价]]&lt;5000,"中价商品",IF(TB[[#This Row],[售价]]&lt;10000,"高价商品","超高价商品")))</f>
        <v>中价商品</v>
      </c>
    </row>
    <row r="2536" spans="1:14" x14ac:dyDescent="0.2">
      <c r="A2536">
        <v>751</v>
      </c>
      <c r="B2536">
        <v>52</v>
      </c>
      <c r="C2536" t="s">
        <v>34</v>
      </c>
      <c r="D2536" t="s">
        <v>232</v>
      </c>
      <c r="E2536" t="s">
        <v>22</v>
      </c>
      <c r="F2536">
        <v>1</v>
      </c>
      <c r="G2536" t="s">
        <v>13</v>
      </c>
      <c r="H2536" s="1">
        <v>45977.787499999999</v>
      </c>
      <c r="I2536" s="5">
        <f>INT(TB[[#This Row],[时间戳]])</f>
        <v>45977</v>
      </c>
      <c r="J2536" s="2">
        <f>HOUR(TB[[#This Row],[时间戳]])</f>
        <v>18</v>
      </c>
      <c r="K2536">
        <v>4650</v>
      </c>
      <c r="L2536">
        <v>2</v>
      </c>
      <c r="M2536">
        <f>TB[[#This Row],[售价]]*TB[[#This Row],[销量]]</f>
        <v>9300</v>
      </c>
      <c r="N2536" t="str">
        <f>IF(TB[[#This Row],[售价]]&lt;1000,"低价商品",IF(TB[[#This Row],[售价]]&lt;5000,"中价商品",IF(TB[[#This Row],[售价]]&lt;10000,"高价商品","超高价商品")))</f>
        <v>中价商品</v>
      </c>
    </row>
    <row r="2537" spans="1:14" x14ac:dyDescent="0.2">
      <c r="A2537">
        <v>327</v>
      </c>
      <c r="B2537">
        <v>66</v>
      </c>
      <c r="C2537" t="s">
        <v>10</v>
      </c>
      <c r="D2537" t="s">
        <v>41</v>
      </c>
      <c r="E2537" t="s">
        <v>22</v>
      </c>
      <c r="F2537">
        <v>1</v>
      </c>
      <c r="G2537" t="s">
        <v>42</v>
      </c>
      <c r="H2537" s="1">
        <v>45977.820138888892</v>
      </c>
      <c r="I2537" s="5">
        <f>INT(TB[[#This Row],[时间戳]])</f>
        <v>45977</v>
      </c>
      <c r="J2537" s="2">
        <f>HOUR(TB[[#This Row],[时间戳]])</f>
        <v>19</v>
      </c>
      <c r="K2537">
        <v>6379</v>
      </c>
      <c r="L2537">
        <v>0</v>
      </c>
      <c r="M2537">
        <f>TB[[#This Row],[售价]]*TB[[#This Row],[销量]]</f>
        <v>0</v>
      </c>
      <c r="N2537" t="str">
        <f>IF(TB[[#This Row],[售价]]&lt;1000,"低价商品",IF(TB[[#This Row],[售价]]&lt;5000,"中价商品",IF(TB[[#This Row],[售价]]&lt;10000,"高价商品","超高价商品")))</f>
        <v>高价商品</v>
      </c>
    </row>
    <row r="2538" spans="1:14" x14ac:dyDescent="0.2">
      <c r="A2538">
        <v>466</v>
      </c>
      <c r="B2538">
        <v>6</v>
      </c>
      <c r="C2538" t="s">
        <v>17</v>
      </c>
      <c r="D2538" t="s">
        <v>98</v>
      </c>
      <c r="E2538" t="s">
        <v>22</v>
      </c>
      <c r="F2538">
        <v>1</v>
      </c>
      <c r="G2538" t="s">
        <v>13</v>
      </c>
      <c r="H2538" s="1">
        <v>45977.845138888886</v>
      </c>
      <c r="I2538" s="5">
        <f>INT(TB[[#This Row],[时间戳]])</f>
        <v>45977</v>
      </c>
      <c r="J2538" s="2">
        <f>HOUR(TB[[#This Row],[时间戳]])</f>
        <v>20</v>
      </c>
      <c r="K2538">
        <v>5766</v>
      </c>
      <c r="L2538">
        <v>2</v>
      </c>
      <c r="M2538">
        <f>TB[[#This Row],[售价]]*TB[[#This Row],[销量]]</f>
        <v>11532</v>
      </c>
      <c r="N2538" t="str">
        <f>IF(TB[[#This Row],[售价]]&lt;1000,"低价商品",IF(TB[[#This Row],[售价]]&lt;5000,"中价商品",IF(TB[[#This Row],[售价]]&lt;10000,"高价商品","超高价商品")))</f>
        <v>高价商品</v>
      </c>
    </row>
    <row r="2539" spans="1:14" x14ac:dyDescent="0.2">
      <c r="A2539">
        <v>790</v>
      </c>
      <c r="B2539">
        <v>28</v>
      </c>
      <c r="C2539" t="s">
        <v>17</v>
      </c>
      <c r="D2539" t="s">
        <v>156</v>
      </c>
      <c r="E2539" t="s">
        <v>19</v>
      </c>
      <c r="F2539">
        <v>3</v>
      </c>
      <c r="G2539" t="s">
        <v>13</v>
      </c>
      <c r="H2539" s="1">
        <v>45977.847916666666</v>
      </c>
      <c r="I2539" s="5">
        <f>INT(TB[[#This Row],[时间戳]])</f>
        <v>45977</v>
      </c>
      <c r="J2539" s="2">
        <f>HOUR(TB[[#This Row],[时间戳]])</f>
        <v>20</v>
      </c>
      <c r="K2539">
        <v>5616</v>
      </c>
      <c r="L2539">
        <v>3</v>
      </c>
      <c r="M2539">
        <f>TB[[#This Row],[售价]]*TB[[#This Row],[销量]]</f>
        <v>16848</v>
      </c>
      <c r="N2539" t="str">
        <f>IF(TB[[#This Row],[售价]]&lt;1000,"低价商品",IF(TB[[#This Row],[售价]]&lt;5000,"中价商品",IF(TB[[#This Row],[售价]]&lt;10000,"高价商品","超高价商品")))</f>
        <v>高价商品</v>
      </c>
    </row>
    <row r="2540" spans="1:14" x14ac:dyDescent="0.2">
      <c r="A2540">
        <v>650</v>
      </c>
      <c r="B2540">
        <v>60</v>
      </c>
      <c r="C2540" t="s">
        <v>36</v>
      </c>
      <c r="D2540" t="s">
        <v>146</v>
      </c>
      <c r="E2540" t="s">
        <v>22</v>
      </c>
      <c r="F2540">
        <v>1</v>
      </c>
      <c r="G2540" t="s">
        <v>13</v>
      </c>
      <c r="H2540" s="1">
        <v>45977.873611111114</v>
      </c>
      <c r="I2540" s="5">
        <f>INT(TB[[#This Row],[时间戳]])</f>
        <v>45977</v>
      </c>
      <c r="J2540" s="2">
        <f>HOUR(TB[[#This Row],[时间戳]])</f>
        <v>20</v>
      </c>
      <c r="K2540">
        <v>3498</v>
      </c>
      <c r="L2540">
        <v>2</v>
      </c>
      <c r="M2540">
        <f>TB[[#This Row],[售价]]*TB[[#This Row],[销量]]</f>
        <v>6996</v>
      </c>
      <c r="N2540" t="str">
        <f>IF(TB[[#This Row],[售价]]&lt;1000,"低价商品",IF(TB[[#This Row],[售价]]&lt;5000,"中价商品",IF(TB[[#This Row],[售价]]&lt;10000,"高价商品","超高价商品")))</f>
        <v>中价商品</v>
      </c>
    </row>
    <row r="2541" spans="1:14" x14ac:dyDescent="0.2">
      <c r="A2541">
        <v>730</v>
      </c>
      <c r="B2541">
        <v>172</v>
      </c>
      <c r="C2541" t="s">
        <v>34</v>
      </c>
      <c r="D2541" t="s">
        <v>311</v>
      </c>
      <c r="E2541" t="s">
        <v>19</v>
      </c>
      <c r="F2541">
        <v>3</v>
      </c>
      <c r="G2541" t="s">
        <v>42</v>
      </c>
      <c r="H2541" s="1">
        <v>45977.900694444441</v>
      </c>
      <c r="I2541" s="5">
        <f>INT(TB[[#This Row],[时间戳]])</f>
        <v>45977</v>
      </c>
      <c r="J2541" s="2">
        <f>HOUR(TB[[#This Row],[时间戳]])</f>
        <v>21</v>
      </c>
      <c r="K2541">
        <v>5245</v>
      </c>
      <c r="L2541">
        <v>0</v>
      </c>
      <c r="M2541">
        <f>TB[[#This Row],[售价]]*TB[[#This Row],[销量]]</f>
        <v>0</v>
      </c>
      <c r="N2541" t="str">
        <f>IF(TB[[#This Row],[售价]]&lt;1000,"低价商品",IF(TB[[#This Row],[售价]]&lt;5000,"中价商品",IF(TB[[#This Row],[售价]]&lt;10000,"高价商品","超高价商品")))</f>
        <v>高价商品</v>
      </c>
    </row>
    <row r="2542" spans="1:14" x14ac:dyDescent="0.2">
      <c r="A2542">
        <v>435</v>
      </c>
      <c r="B2542">
        <v>273</v>
      </c>
      <c r="C2542" t="s">
        <v>14</v>
      </c>
      <c r="D2542" t="s">
        <v>190</v>
      </c>
      <c r="E2542" t="s">
        <v>12</v>
      </c>
      <c r="F2542">
        <v>2</v>
      </c>
      <c r="G2542" t="s">
        <v>13</v>
      </c>
      <c r="H2542" s="1">
        <v>45977.92083333333</v>
      </c>
      <c r="I2542" s="5">
        <f>INT(TB[[#This Row],[时间戳]])</f>
        <v>45977</v>
      </c>
      <c r="J2542" s="2">
        <f>HOUR(TB[[#This Row],[时间戳]])</f>
        <v>22</v>
      </c>
      <c r="K2542">
        <v>12751</v>
      </c>
      <c r="L2542">
        <v>2</v>
      </c>
      <c r="M2542">
        <f>TB[[#This Row],[售价]]*TB[[#This Row],[销量]]</f>
        <v>25502</v>
      </c>
      <c r="N2542" t="str">
        <f>IF(TB[[#This Row],[售价]]&lt;1000,"低价商品",IF(TB[[#This Row],[售价]]&lt;5000,"中价商品",IF(TB[[#This Row],[售价]]&lt;10000,"高价商品","超高价商品")))</f>
        <v>超高价商品</v>
      </c>
    </row>
    <row r="2543" spans="1:14" x14ac:dyDescent="0.2">
      <c r="A2543">
        <v>8</v>
      </c>
      <c r="B2543">
        <v>173</v>
      </c>
      <c r="C2543" t="s">
        <v>14</v>
      </c>
      <c r="D2543" t="s">
        <v>49</v>
      </c>
      <c r="E2543" t="s">
        <v>22</v>
      </c>
      <c r="F2543">
        <v>1</v>
      </c>
      <c r="G2543" t="s">
        <v>42</v>
      </c>
      <c r="H2543" s="1">
        <v>45977.947222222225</v>
      </c>
      <c r="I2543" s="5">
        <f>INT(TB[[#This Row],[时间戳]])</f>
        <v>45977</v>
      </c>
      <c r="J2543" s="2">
        <f>HOUR(TB[[#This Row],[时间戳]])</f>
        <v>22</v>
      </c>
      <c r="K2543">
        <v>7218</v>
      </c>
      <c r="L2543">
        <v>0</v>
      </c>
      <c r="M2543">
        <f>TB[[#This Row],[售价]]*TB[[#This Row],[销量]]</f>
        <v>0</v>
      </c>
      <c r="N2543" t="str">
        <f>IF(TB[[#This Row],[售价]]&lt;1000,"低价商品",IF(TB[[#This Row],[售价]]&lt;5000,"中价商品",IF(TB[[#This Row],[售价]]&lt;10000,"高价商品","超高价商品")))</f>
        <v>高价商品</v>
      </c>
    </row>
    <row r="2544" spans="1:14" x14ac:dyDescent="0.2">
      <c r="A2544">
        <v>630</v>
      </c>
      <c r="B2544">
        <v>233</v>
      </c>
      <c r="C2544" t="s">
        <v>32</v>
      </c>
      <c r="D2544" t="s">
        <v>336</v>
      </c>
      <c r="E2544" t="s">
        <v>16</v>
      </c>
      <c r="F2544">
        <v>6</v>
      </c>
      <c r="G2544" t="s">
        <v>13</v>
      </c>
      <c r="H2544" s="1">
        <v>45977.981944444444</v>
      </c>
      <c r="I2544" s="5">
        <f>INT(TB[[#This Row],[时间戳]])</f>
        <v>45977</v>
      </c>
      <c r="J2544" s="2">
        <f>HOUR(TB[[#This Row],[时间戳]])</f>
        <v>23</v>
      </c>
      <c r="K2544">
        <v>11601</v>
      </c>
      <c r="L2544">
        <v>4</v>
      </c>
      <c r="M2544">
        <f>TB[[#This Row],[售价]]*TB[[#This Row],[销量]]</f>
        <v>46404</v>
      </c>
      <c r="N2544" t="str">
        <f>IF(TB[[#This Row],[售价]]&lt;1000,"低价商品",IF(TB[[#This Row],[售价]]&lt;5000,"中价商品",IF(TB[[#This Row],[售价]]&lt;10000,"高价商品","超高价商品")))</f>
        <v>超高价商品</v>
      </c>
    </row>
    <row r="2545" spans="1:14" x14ac:dyDescent="0.2">
      <c r="A2545">
        <v>41</v>
      </c>
      <c r="B2545">
        <v>63</v>
      </c>
      <c r="C2545" t="s">
        <v>44</v>
      </c>
      <c r="D2545" t="s">
        <v>132</v>
      </c>
      <c r="E2545" t="s">
        <v>22</v>
      </c>
      <c r="F2545">
        <v>1</v>
      </c>
      <c r="G2545" t="s">
        <v>13</v>
      </c>
      <c r="H2545" s="1">
        <v>45977.999305555553</v>
      </c>
      <c r="I2545" s="5">
        <f>INT(TB[[#This Row],[时间戳]])</f>
        <v>45977</v>
      </c>
      <c r="J2545" s="2">
        <f>HOUR(TB[[#This Row],[时间戳]])</f>
        <v>23</v>
      </c>
      <c r="K2545">
        <v>4386</v>
      </c>
      <c r="L2545">
        <v>5</v>
      </c>
      <c r="M2545">
        <f>TB[[#This Row],[售价]]*TB[[#This Row],[销量]]</f>
        <v>21930</v>
      </c>
      <c r="N2545" t="str">
        <f>IF(TB[[#This Row],[售价]]&lt;1000,"低价商品",IF(TB[[#This Row],[售价]]&lt;5000,"中价商品",IF(TB[[#This Row],[售价]]&lt;10000,"高价商品","超高价商品")))</f>
        <v>中价商品</v>
      </c>
    </row>
    <row r="2546" spans="1:14" x14ac:dyDescent="0.2">
      <c r="A2546">
        <v>614</v>
      </c>
      <c r="B2546">
        <v>190</v>
      </c>
      <c r="C2546" t="s">
        <v>34</v>
      </c>
      <c r="D2546" t="s">
        <v>139</v>
      </c>
      <c r="E2546" t="s">
        <v>39</v>
      </c>
      <c r="F2546">
        <v>5</v>
      </c>
      <c r="G2546" t="s">
        <v>13</v>
      </c>
      <c r="H2546" s="1">
        <v>45978.000694444447</v>
      </c>
      <c r="I2546" s="5">
        <f>INT(TB[[#This Row],[时间戳]])</f>
        <v>45978</v>
      </c>
      <c r="J2546" s="2">
        <f>HOUR(TB[[#This Row],[时间戳]])</f>
        <v>0</v>
      </c>
      <c r="K2546">
        <v>2840</v>
      </c>
      <c r="L2546">
        <v>2</v>
      </c>
      <c r="M2546">
        <f>TB[[#This Row],[售价]]*TB[[#This Row],[销量]]</f>
        <v>5680</v>
      </c>
      <c r="N2546" t="str">
        <f>IF(TB[[#This Row],[售价]]&lt;1000,"低价商品",IF(TB[[#This Row],[售价]]&lt;5000,"中价商品",IF(TB[[#This Row],[售价]]&lt;10000,"高价商品","超高价商品")))</f>
        <v>中价商品</v>
      </c>
    </row>
    <row r="2547" spans="1:14" x14ac:dyDescent="0.2">
      <c r="A2547">
        <v>304</v>
      </c>
      <c r="B2547">
        <v>13</v>
      </c>
      <c r="C2547" t="s">
        <v>34</v>
      </c>
      <c r="D2547" t="s">
        <v>374</v>
      </c>
      <c r="E2547" t="s">
        <v>25</v>
      </c>
      <c r="F2547">
        <v>7</v>
      </c>
      <c r="G2547" t="s">
        <v>13</v>
      </c>
      <c r="H2547" s="1">
        <v>45978.013194444444</v>
      </c>
      <c r="I2547" s="5">
        <f>INT(TB[[#This Row],[时间戳]])</f>
        <v>45978</v>
      </c>
      <c r="J2547" s="2">
        <f>HOUR(TB[[#This Row],[时间戳]])</f>
        <v>0</v>
      </c>
      <c r="K2547">
        <v>3584</v>
      </c>
      <c r="L2547">
        <v>2</v>
      </c>
      <c r="M2547">
        <f>TB[[#This Row],[售价]]*TB[[#This Row],[销量]]</f>
        <v>7168</v>
      </c>
      <c r="N2547" t="str">
        <f>IF(TB[[#This Row],[售价]]&lt;1000,"低价商品",IF(TB[[#This Row],[售价]]&lt;5000,"中价商品",IF(TB[[#This Row],[售价]]&lt;10000,"高价商品","超高价商品")))</f>
        <v>中价商品</v>
      </c>
    </row>
    <row r="2548" spans="1:14" x14ac:dyDescent="0.2">
      <c r="A2548">
        <v>366</v>
      </c>
      <c r="B2548">
        <v>214</v>
      </c>
      <c r="C2548" t="s">
        <v>26</v>
      </c>
      <c r="D2548" t="s">
        <v>306</v>
      </c>
      <c r="E2548" t="s">
        <v>31</v>
      </c>
      <c r="F2548">
        <v>4</v>
      </c>
      <c r="G2548" t="s">
        <v>13</v>
      </c>
      <c r="H2548" s="1">
        <v>45978.01458333333</v>
      </c>
      <c r="I2548" s="5">
        <f>INT(TB[[#This Row],[时间戳]])</f>
        <v>45978</v>
      </c>
      <c r="J2548" s="2">
        <f>HOUR(TB[[#This Row],[时间戳]])</f>
        <v>0</v>
      </c>
      <c r="K2548">
        <v>1097</v>
      </c>
      <c r="L2548">
        <v>2</v>
      </c>
      <c r="M2548">
        <f>TB[[#This Row],[售价]]*TB[[#This Row],[销量]]</f>
        <v>2194</v>
      </c>
      <c r="N2548" t="str">
        <f>IF(TB[[#This Row],[售价]]&lt;1000,"低价商品",IF(TB[[#This Row],[售价]]&lt;5000,"中价商品",IF(TB[[#This Row],[售价]]&lt;10000,"高价商品","超高价商品")))</f>
        <v>中价商品</v>
      </c>
    </row>
    <row r="2549" spans="1:14" x14ac:dyDescent="0.2">
      <c r="A2549">
        <v>652</v>
      </c>
      <c r="B2549">
        <v>19</v>
      </c>
      <c r="C2549" t="s">
        <v>34</v>
      </c>
      <c r="D2549" t="s">
        <v>248</v>
      </c>
      <c r="E2549" t="s">
        <v>22</v>
      </c>
      <c r="F2549">
        <v>1</v>
      </c>
      <c r="G2549" t="s">
        <v>13</v>
      </c>
      <c r="H2549" s="1">
        <v>45978.024305555555</v>
      </c>
      <c r="I2549" s="5">
        <f>INT(TB[[#This Row],[时间戳]])</f>
        <v>45978</v>
      </c>
      <c r="J2549" s="2">
        <f>HOUR(TB[[#This Row],[时间戳]])</f>
        <v>0</v>
      </c>
      <c r="K2549">
        <v>1171</v>
      </c>
      <c r="L2549">
        <v>5</v>
      </c>
      <c r="M2549">
        <f>TB[[#This Row],[售价]]*TB[[#This Row],[销量]]</f>
        <v>5855</v>
      </c>
      <c r="N2549" t="str">
        <f>IF(TB[[#This Row],[售价]]&lt;1000,"低价商品",IF(TB[[#This Row],[售价]]&lt;5000,"中价商品",IF(TB[[#This Row],[售价]]&lt;10000,"高价商品","超高价商品")))</f>
        <v>中价商品</v>
      </c>
    </row>
    <row r="2550" spans="1:14" x14ac:dyDescent="0.2">
      <c r="A2550">
        <v>38</v>
      </c>
      <c r="B2550">
        <v>273</v>
      </c>
      <c r="C2550" t="s">
        <v>34</v>
      </c>
      <c r="D2550" t="s">
        <v>232</v>
      </c>
      <c r="E2550" t="s">
        <v>22</v>
      </c>
      <c r="F2550">
        <v>1</v>
      </c>
      <c r="G2550" t="s">
        <v>13</v>
      </c>
      <c r="H2550" s="1">
        <v>45978.03402777778</v>
      </c>
      <c r="I2550" s="5">
        <f>INT(TB[[#This Row],[时间戳]])</f>
        <v>45978</v>
      </c>
      <c r="J2550" s="2">
        <f>HOUR(TB[[#This Row],[时间戳]])</f>
        <v>0</v>
      </c>
      <c r="K2550">
        <v>5737</v>
      </c>
      <c r="L2550">
        <v>1</v>
      </c>
      <c r="M2550">
        <f>TB[[#This Row],[售价]]*TB[[#This Row],[销量]]</f>
        <v>5737</v>
      </c>
      <c r="N2550" t="str">
        <f>IF(TB[[#This Row],[售价]]&lt;1000,"低价商品",IF(TB[[#This Row],[售价]]&lt;5000,"中价商品",IF(TB[[#This Row],[售价]]&lt;10000,"高价商品","超高价商品")))</f>
        <v>高价商品</v>
      </c>
    </row>
    <row r="2551" spans="1:14" x14ac:dyDescent="0.2">
      <c r="A2551">
        <v>548</v>
      </c>
      <c r="B2551">
        <v>49</v>
      </c>
      <c r="C2551" t="s">
        <v>26</v>
      </c>
      <c r="D2551" t="s">
        <v>179</v>
      </c>
      <c r="E2551" t="s">
        <v>16</v>
      </c>
      <c r="F2551">
        <v>6</v>
      </c>
      <c r="G2551" t="s">
        <v>13</v>
      </c>
      <c r="H2551" s="1">
        <v>45978.035416666666</v>
      </c>
      <c r="I2551" s="5">
        <f>INT(TB[[#This Row],[时间戳]])</f>
        <v>45978</v>
      </c>
      <c r="J2551" s="2">
        <f>HOUR(TB[[#This Row],[时间戳]])</f>
        <v>0</v>
      </c>
      <c r="K2551">
        <v>8418</v>
      </c>
      <c r="L2551">
        <v>2</v>
      </c>
      <c r="M2551">
        <f>TB[[#This Row],[售价]]*TB[[#This Row],[销量]]</f>
        <v>16836</v>
      </c>
      <c r="N2551" t="str">
        <f>IF(TB[[#This Row],[售价]]&lt;1000,"低价商品",IF(TB[[#This Row],[售价]]&lt;5000,"中价商品",IF(TB[[#This Row],[售价]]&lt;10000,"高价商品","超高价商品")))</f>
        <v>高价商品</v>
      </c>
    </row>
    <row r="2552" spans="1:14" x14ac:dyDescent="0.2">
      <c r="A2552">
        <v>442</v>
      </c>
      <c r="B2552">
        <v>141</v>
      </c>
      <c r="C2552" t="s">
        <v>26</v>
      </c>
      <c r="D2552" t="s">
        <v>299</v>
      </c>
      <c r="E2552" t="s">
        <v>19</v>
      </c>
      <c r="F2552">
        <v>3</v>
      </c>
      <c r="G2552" t="s">
        <v>13</v>
      </c>
      <c r="H2552" s="1">
        <v>45978.043055555558</v>
      </c>
      <c r="I2552" s="5">
        <f>INT(TB[[#This Row],[时间戳]])</f>
        <v>45978</v>
      </c>
      <c r="J2552" s="2">
        <f>HOUR(TB[[#This Row],[时间戳]])</f>
        <v>1</v>
      </c>
      <c r="K2552">
        <v>2704</v>
      </c>
      <c r="L2552">
        <v>1</v>
      </c>
      <c r="M2552">
        <f>TB[[#This Row],[售价]]*TB[[#This Row],[销量]]</f>
        <v>2704</v>
      </c>
      <c r="N2552" t="str">
        <f>IF(TB[[#This Row],[售价]]&lt;1000,"低价商品",IF(TB[[#This Row],[售价]]&lt;5000,"中价商品",IF(TB[[#This Row],[售价]]&lt;10000,"高价商品","超高价商品")))</f>
        <v>中价商品</v>
      </c>
    </row>
    <row r="2553" spans="1:14" x14ac:dyDescent="0.2">
      <c r="A2553">
        <v>751</v>
      </c>
      <c r="B2553">
        <v>269</v>
      </c>
      <c r="C2553" t="s">
        <v>46</v>
      </c>
      <c r="D2553" t="s">
        <v>341</v>
      </c>
      <c r="E2553" t="s">
        <v>31</v>
      </c>
      <c r="F2553">
        <v>4</v>
      </c>
      <c r="G2553" t="s">
        <v>13</v>
      </c>
      <c r="H2553" s="1">
        <v>45978.045138888891</v>
      </c>
      <c r="I2553" s="5">
        <f>INT(TB[[#This Row],[时间戳]])</f>
        <v>45978</v>
      </c>
      <c r="J2553" s="2">
        <f>HOUR(TB[[#This Row],[时间戳]])</f>
        <v>1</v>
      </c>
      <c r="K2553">
        <v>791</v>
      </c>
      <c r="L2553">
        <v>2</v>
      </c>
      <c r="M2553">
        <f>TB[[#This Row],[售价]]*TB[[#This Row],[销量]]</f>
        <v>1582</v>
      </c>
      <c r="N2553" t="str">
        <f>IF(TB[[#This Row],[售价]]&lt;1000,"低价商品",IF(TB[[#This Row],[售价]]&lt;5000,"中价商品",IF(TB[[#This Row],[售价]]&lt;10000,"高价商品","超高价商品")))</f>
        <v>低价商品</v>
      </c>
    </row>
    <row r="2554" spans="1:14" x14ac:dyDescent="0.2">
      <c r="A2554">
        <v>335</v>
      </c>
      <c r="B2554">
        <v>191</v>
      </c>
      <c r="C2554" t="s">
        <v>10</v>
      </c>
      <c r="D2554" t="s">
        <v>134</v>
      </c>
      <c r="E2554" t="s">
        <v>22</v>
      </c>
      <c r="F2554">
        <v>1</v>
      </c>
      <c r="G2554" t="s">
        <v>13</v>
      </c>
      <c r="H2554" s="1">
        <v>45978.075694444444</v>
      </c>
      <c r="I2554" s="5">
        <f>INT(TB[[#This Row],[时间戳]])</f>
        <v>45978</v>
      </c>
      <c r="J2554" s="2">
        <f>HOUR(TB[[#This Row],[时间戳]])</f>
        <v>1</v>
      </c>
      <c r="K2554">
        <v>5695</v>
      </c>
      <c r="L2554">
        <v>2</v>
      </c>
      <c r="M2554">
        <f>TB[[#This Row],[售价]]*TB[[#This Row],[销量]]</f>
        <v>11390</v>
      </c>
      <c r="N2554" t="str">
        <f>IF(TB[[#This Row],[售价]]&lt;1000,"低价商品",IF(TB[[#This Row],[售价]]&lt;5000,"中价商品",IF(TB[[#This Row],[售价]]&lt;10000,"高价商品","超高价商品")))</f>
        <v>高价商品</v>
      </c>
    </row>
    <row r="2555" spans="1:14" x14ac:dyDescent="0.2">
      <c r="A2555">
        <v>654</v>
      </c>
      <c r="B2555">
        <v>52</v>
      </c>
      <c r="C2555" t="s">
        <v>46</v>
      </c>
      <c r="D2555" t="s">
        <v>266</v>
      </c>
      <c r="E2555" t="s">
        <v>12</v>
      </c>
      <c r="F2555">
        <v>2</v>
      </c>
      <c r="G2555" t="s">
        <v>13</v>
      </c>
      <c r="H2555" s="1">
        <v>45978.129861111112</v>
      </c>
      <c r="I2555" s="5">
        <f>INT(TB[[#This Row],[时间戳]])</f>
        <v>45978</v>
      </c>
      <c r="J2555" s="2">
        <f>HOUR(TB[[#This Row],[时间戳]])</f>
        <v>3</v>
      </c>
      <c r="K2555">
        <v>4502</v>
      </c>
      <c r="L2555">
        <v>2</v>
      </c>
      <c r="M2555">
        <f>TB[[#This Row],[售价]]*TB[[#This Row],[销量]]</f>
        <v>9004</v>
      </c>
      <c r="N2555" t="str">
        <f>IF(TB[[#This Row],[售价]]&lt;1000,"低价商品",IF(TB[[#This Row],[售价]]&lt;5000,"中价商品",IF(TB[[#This Row],[售价]]&lt;10000,"高价商品","超高价商品")))</f>
        <v>中价商品</v>
      </c>
    </row>
    <row r="2556" spans="1:14" x14ac:dyDescent="0.2">
      <c r="A2556">
        <v>653</v>
      </c>
      <c r="B2556">
        <v>155</v>
      </c>
      <c r="C2556" t="s">
        <v>14</v>
      </c>
      <c r="D2556" t="s">
        <v>228</v>
      </c>
      <c r="E2556" t="s">
        <v>31</v>
      </c>
      <c r="F2556">
        <v>4</v>
      </c>
      <c r="G2556" t="s">
        <v>13</v>
      </c>
      <c r="H2556" s="1">
        <v>45978.131249999999</v>
      </c>
      <c r="I2556" s="5">
        <f>INT(TB[[#This Row],[时间戳]])</f>
        <v>45978</v>
      </c>
      <c r="J2556" s="2">
        <f>HOUR(TB[[#This Row],[时间戳]])</f>
        <v>3</v>
      </c>
      <c r="K2556">
        <v>894</v>
      </c>
      <c r="L2556">
        <v>3</v>
      </c>
      <c r="M2556">
        <f>TB[[#This Row],[售价]]*TB[[#This Row],[销量]]</f>
        <v>2682</v>
      </c>
      <c r="N2556" t="str">
        <f>IF(TB[[#This Row],[售价]]&lt;1000,"低价商品",IF(TB[[#This Row],[售价]]&lt;5000,"中价商品",IF(TB[[#This Row],[售价]]&lt;10000,"高价商品","超高价商品")))</f>
        <v>低价商品</v>
      </c>
    </row>
    <row r="2557" spans="1:14" x14ac:dyDescent="0.2">
      <c r="A2557">
        <v>765</v>
      </c>
      <c r="B2557">
        <v>132</v>
      </c>
      <c r="C2557" t="s">
        <v>10</v>
      </c>
      <c r="D2557" t="s">
        <v>116</v>
      </c>
      <c r="E2557" t="s">
        <v>31</v>
      </c>
      <c r="F2557">
        <v>4</v>
      </c>
      <c r="G2557" t="s">
        <v>13</v>
      </c>
      <c r="H2557" s="1">
        <v>45978.188194444447</v>
      </c>
      <c r="I2557" s="5">
        <f>INT(TB[[#This Row],[时间戳]])</f>
        <v>45978</v>
      </c>
      <c r="J2557" s="2">
        <f>HOUR(TB[[#This Row],[时间戳]])</f>
        <v>4</v>
      </c>
      <c r="K2557">
        <v>920</v>
      </c>
      <c r="L2557">
        <v>2</v>
      </c>
      <c r="M2557">
        <f>TB[[#This Row],[售价]]*TB[[#This Row],[销量]]</f>
        <v>1840</v>
      </c>
      <c r="N2557" t="str">
        <f>IF(TB[[#This Row],[售价]]&lt;1000,"低价商品",IF(TB[[#This Row],[售价]]&lt;5000,"中价商品",IF(TB[[#This Row],[售价]]&lt;10000,"高价商品","超高价商品")))</f>
        <v>低价商品</v>
      </c>
    </row>
    <row r="2558" spans="1:14" x14ac:dyDescent="0.2">
      <c r="A2558">
        <v>585</v>
      </c>
      <c r="B2558">
        <v>134</v>
      </c>
      <c r="C2558" t="s">
        <v>14</v>
      </c>
      <c r="D2558" t="s">
        <v>144</v>
      </c>
      <c r="E2558" t="s">
        <v>19</v>
      </c>
      <c r="F2558">
        <v>3</v>
      </c>
      <c r="G2558" t="s">
        <v>13</v>
      </c>
      <c r="H2558" s="1">
        <v>45978.20208333333</v>
      </c>
      <c r="I2558" s="5">
        <f>INT(TB[[#This Row],[时间戳]])</f>
        <v>45978</v>
      </c>
      <c r="J2558" s="2">
        <f>HOUR(TB[[#This Row],[时间戳]])</f>
        <v>4</v>
      </c>
      <c r="K2558">
        <v>2170</v>
      </c>
      <c r="L2558">
        <v>2</v>
      </c>
      <c r="M2558">
        <f>TB[[#This Row],[售价]]*TB[[#This Row],[销量]]</f>
        <v>4340</v>
      </c>
      <c r="N2558" t="str">
        <f>IF(TB[[#This Row],[售价]]&lt;1000,"低价商品",IF(TB[[#This Row],[售价]]&lt;5000,"中价商品",IF(TB[[#This Row],[售价]]&lt;10000,"高价商品","超高价商品")))</f>
        <v>中价商品</v>
      </c>
    </row>
    <row r="2559" spans="1:14" x14ac:dyDescent="0.2">
      <c r="A2559">
        <v>250</v>
      </c>
      <c r="B2559">
        <v>26</v>
      </c>
      <c r="C2559" t="s">
        <v>20</v>
      </c>
      <c r="D2559" t="s">
        <v>412</v>
      </c>
      <c r="E2559" t="s">
        <v>12</v>
      </c>
      <c r="F2559">
        <v>2</v>
      </c>
      <c r="G2559" t="s">
        <v>13</v>
      </c>
      <c r="H2559" s="1">
        <v>45978.208333333336</v>
      </c>
      <c r="I2559" s="5">
        <f>INT(TB[[#This Row],[时间戳]])</f>
        <v>45978</v>
      </c>
      <c r="J2559" s="2">
        <f>HOUR(TB[[#This Row],[时间戳]])</f>
        <v>5</v>
      </c>
      <c r="K2559">
        <v>9082</v>
      </c>
      <c r="L2559">
        <v>2</v>
      </c>
      <c r="M2559">
        <f>TB[[#This Row],[售价]]*TB[[#This Row],[销量]]</f>
        <v>18164</v>
      </c>
      <c r="N2559" t="str">
        <f>IF(TB[[#This Row],[售价]]&lt;1000,"低价商品",IF(TB[[#This Row],[售价]]&lt;5000,"中价商品",IF(TB[[#This Row],[售价]]&lt;10000,"高价商品","超高价商品")))</f>
        <v>高价商品</v>
      </c>
    </row>
    <row r="2560" spans="1:14" x14ac:dyDescent="0.2">
      <c r="A2560">
        <v>779</v>
      </c>
      <c r="B2560">
        <v>224</v>
      </c>
      <c r="C2560" t="s">
        <v>44</v>
      </c>
      <c r="D2560" t="s">
        <v>76</v>
      </c>
      <c r="E2560" t="s">
        <v>31</v>
      </c>
      <c r="F2560">
        <v>4</v>
      </c>
      <c r="G2560" t="s">
        <v>13</v>
      </c>
      <c r="H2560" s="1">
        <v>45978.209722222222</v>
      </c>
      <c r="I2560" s="5">
        <f>INT(TB[[#This Row],[时间戳]])</f>
        <v>45978</v>
      </c>
      <c r="J2560" s="2">
        <f>HOUR(TB[[#This Row],[时间戳]])</f>
        <v>5</v>
      </c>
      <c r="K2560">
        <v>909</v>
      </c>
      <c r="L2560">
        <v>2</v>
      </c>
      <c r="M2560">
        <f>TB[[#This Row],[售价]]*TB[[#This Row],[销量]]</f>
        <v>1818</v>
      </c>
      <c r="N2560" t="str">
        <f>IF(TB[[#This Row],[售价]]&lt;1000,"低价商品",IF(TB[[#This Row],[售价]]&lt;5000,"中价商品",IF(TB[[#This Row],[售价]]&lt;10000,"高价商品","超高价商品")))</f>
        <v>低价商品</v>
      </c>
    </row>
    <row r="2561" spans="1:14" x14ac:dyDescent="0.2">
      <c r="A2561">
        <v>514</v>
      </c>
      <c r="B2561">
        <v>24</v>
      </c>
      <c r="C2561" t="s">
        <v>26</v>
      </c>
      <c r="D2561" t="s">
        <v>344</v>
      </c>
      <c r="E2561" t="s">
        <v>25</v>
      </c>
      <c r="F2561">
        <v>7</v>
      </c>
      <c r="G2561" t="s">
        <v>13</v>
      </c>
      <c r="H2561" s="1">
        <v>45978.222916666666</v>
      </c>
      <c r="I2561" s="5">
        <f>INT(TB[[#This Row],[时间戳]])</f>
        <v>45978</v>
      </c>
      <c r="J2561" s="2">
        <f>HOUR(TB[[#This Row],[时间戳]])</f>
        <v>5</v>
      </c>
      <c r="K2561">
        <v>3933</v>
      </c>
      <c r="L2561">
        <v>3</v>
      </c>
      <c r="M2561">
        <f>TB[[#This Row],[售价]]*TB[[#This Row],[销量]]</f>
        <v>11799</v>
      </c>
      <c r="N2561" t="str">
        <f>IF(TB[[#This Row],[售价]]&lt;1000,"低价商品",IF(TB[[#This Row],[售价]]&lt;5000,"中价商品",IF(TB[[#This Row],[售价]]&lt;10000,"高价商品","超高价商品")))</f>
        <v>中价商品</v>
      </c>
    </row>
    <row r="2562" spans="1:14" x14ac:dyDescent="0.2">
      <c r="A2562">
        <v>280</v>
      </c>
      <c r="B2562">
        <v>3</v>
      </c>
      <c r="C2562" t="s">
        <v>26</v>
      </c>
      <c r="D2562" t="s">
        <v>166</v>
      </c>
      <c r="E2562" t="s">
        <v>39</v>
      </c>
      <c r="F2562">
        <v>5</v>
      </c>
      <c r="G2562" t="s">
        <v>13</v>
      </c>
      <c r="H2562" s="1">
        <v>45978.252083333333</v>
      </c>
      <c r="I2562" s="5">
        <f>INT(TB[[#This Row],[时间戳]])</f>
        <v>45978</v>
      </c>
      <c r="J2562" s="2">
        <f>HOUR(TB[[#This Row],[时间戳]])</f>
        <v>6</v>
      </c>
      <c r="K2562">
        <v>3280</v>
      </c>
      <c r="L2562">
        <v>3</v>
      </c>
      <c r="M2562">
        <f>TB[[#This Row],[售价]]*TB[[#This Row],[销量]]</f>
        <v>9840</v>
      </c>
      <c r="N2562" t="str">
        <f>IF(TB[[#This Row],[售价]]&lt;1000,"低价商品",IF(TB[[#This Row],[售价]]&lt;5000,"中价商品",IF(TB[[#This Row],[售价]]&lt;10000,"高价商品","超高价商品")))</f>
        <v>中价商品</v>
      </c>
    </row>
    <row r="2563" spans="1:14" x14ac:dyDescent="0.2">
      <c r="A2563">
        <v>673</v>
      </c>
      <c r="B2563">
        <v>67</v>
      </c>
      <c r="C2563" t="s">
        <v>10</v>
      </c>
      <c r="D2563" t="s">
        <v>351</v>
      </c>
      <c r="E2563" t="s">
        <v>31</v>
      </c>
      <c r="F2563">
        <v>4</v>
      </c>
      <c r="G2563" t="s">
        <v>13</v>
      </c>
      <c r="H2563" s="1">
        <v>45978.274305555555</v>
      </c>
      <c r="I2563" s="5">
        <f>INT(TB[[#This Row],[时间戳]])</f>
        <v>45978</v>
      </c>
      <c r="J2563" s="2">
        <f>HOUR(TB[[#This Row],[时间戳]])</f>
        <v>6</v>
      </c>
      <c r="K2563">
        <v>789</v>
      </c>
      <c r="L2563">
        <v>2</v>
      </c>
      <c r="M2563">
        <f>TB[[#This Row],[售价]]*TB[[#This Row],[销量]]</f>
        <v>1578</v>
      </c>
      <c r="N2563" t="str">
        <f>IF(TB[[#This Row],[售价]]&lt;1000,"低价商品",IF(TB[[#This Row],[售价]]&lt;5000,"中价商品",IF(TB[[#This Row],[售价]]&lt;10000,"高价商品","超高价商品")))</f>
        <v>低价商品</v>
      </c>
    </row>
    <row r="2564" spans="1:14" x14ac:dyDescent="0.2">
      <c r="A2564">
        <v>651</v>
      </c>
      <c r="B2564">
        <v>163</v>
      </c>
      <c r="C2564" t="s">
        <v>44</v>
      </c>
      <c r="D2564" t="s">
        <v>161</v>
      </c>
      <c r="E2564" t="s">
        <v>31</v>
      </c>
      <c r="F2564">
        <v>4</v>
      </c>
      <c r="G2564" t="s">
        <v>13</v>
      </c>
      <c r="H2564" s="1">
        <v>45978.275694444441</v>
      </c>
      <c r="I2564" s="5">
        <f>INT(TB[[#This Row],[时间戳]])</f>
        <v>45978</v>
      </c>
      <c r="J2564" s="2">
        <f>HOUR(TB[[#This Row],[时间戳]])</f>
        <v>6</v>
      </c>
      <c r="K2564">
        <v>548</v>
      </c>
      <c r="L2564">
        <v>3</v>
      </c>
      <c r="M2564">
        <f>TB[[#This Row],[售价]]*TB[[#This Row],[销量]]</f>
        <v>1644</v>
      </c>
      <c r="N2564" t="str">
        <f>IF(TB[[#This Row],[售价]]&lt;1000,"低价商品",IF(TB[[#This Row],[售价]]&lt;5000,"中价商品",IF(TB[[#This Row],[售价]]&lt;10000,"高价商品","超高价商品")))</f>
        <v>低价商品</v>
      </c>
    </row>
    <row r="2565" spans="1:14" x14ac:dyDescent="0.2">
      <c r="A2565">
        <v>727</v>
      </c>
      <c r="B2565">
        <v>167</v>
      </c>
      <c r="C2565" t="s">
        <v>32</v>
      </c>
      <c r="D2565" t="s">
        <v>58</v>
      </c>
      <c r="E2565" t="s">
        <v>31</v>
      </c>
      <c r="F2565">
        <v>4</v>
      </c>
      <c r="G2565" t="s">
        <v>13</v>
      </c>
      <c r="H2565" s="1">
        <v>45978.277083333334</v>
      </c>
      <c r="I2565" s="5">
        <f>INT(TB[[#This Row],[时间戳]])</f>
        <v>45978</v>
      </c>
      <c r="J2565" s="2">
        <f>HOUR(TB[[#This Row],[时间戳]])</f>
        <v>6</v>
      </c>
      <c r="K2565">
        <v>161</v>
      </c>
      <c r="L2565">
        <v>1</v>
      </c>
      <c r="M2565">
        <f>TB[[#This Row],[售价]]*TB[[#This Row],[销量]]</f>
        <v>161</v>
      </c>
      <c r="N2565" t="str">
        <f>IF(TB[[#This Row],[售价]]&lt;1000,"低价商品",IF(TB[[#This Row],[售价]]&lt;5000,"中价商品",IF(TB[[#This Row],[售价]]&lt;10000,"高价商品","超高价商品")))</f>
        <v>低价商品</v>
      </c>
    </row>
    <row r="2566" spans="1:14" x14ac:dyDescent="0.2">
      <c r="A2566">
        <v>746</v>
      </c>
      <c r="B2566">
        <v>236</v>
      </c>
      <c r="C2566" t="s">
        <v>46</v>
      </c>
      <c r="D2566" t="s">
        <v>303</v>
      </c>
      <c r="E2566" t="s">
        <v>19</v>
      </c>
      <c r="F2566">
        <v>3</v>
      </c>
      <c r="G2566" t="s">
        <v>13</v>
      </c>
      <c r="H2566" s="1">
        <v>45978.286111111112</v>
      </c>
      <c r="I2566" s="5">
        <f>INT(TB[[#This Row],[时间戳]])</f>
        <v>45978</v>
      </c>
      <c r="J2566" s="2">
        <f>HOUR(TB[[#This Row],[时间戳]])</f>
        <v>6</v>
      </c>
      <c r="K2566">
        <v>3142</v>
      </c>
      <c r="L2566">
        <v>2</v>
      </c>
      <c r="M2566">
        <f>TB[[#This Row],[售价]]*TB[[#This Row],[销量]]</f>
        <v>6284</v>
      </c>
      <c r="N2566" t="str">
        <f>IF(TB[[#This Row],[售价]]&lt;1000,"低价商品",IF(TB[[#This Row],[售价]]&lt;5000,"中价商品",IF(TB[[#This Row],[售价]]&lt;10000,"高价商品","超高价商品")))</f>
        <v>中价商品</v>
      </c>
    </row>
    <row r="2567" spans="1:14" x14ac:dyDescent="0.2">
      <c r="A2567">
        <v>555</v>
      </c>
      <c r="B2567">
        <v>200</v>
      </c>
      <c r="C2567" t="s">
        <v>46</v>
      </c>
      <c r="D2567" t="s">
        <v>220</v>
      </c>
      <c r="E2567" t="s">
        <v>39</v>
      </c>
      <c r="F2567">
        <v>5</v>
      </c>
      <c r="G2567" t="s">
        <v>13</v>
      </c>
      <c r="H2567" s="1">
        <v>45978.293055555558</v>
      </c>
      <c r="I2567" s="5">
        <f>INT(TB[[#This Row],[时间戳]])</f>
        <v>45978</v>
      </c>
      <c r="J2567" s="2">
        <f>HOUR(TB[[#This Row],[时间戳]])</f>
        <v>7</v>
      </c>
      <c r="K2567">
        <v>3223</v>
      </c>
      <c r="L2567">
        <v>2</v>
      </c>
      <c r="M2567">
        <f>TB[[#This Row],[售价]]*TB[[#This Row],[销量]]</f>
        <v>6446</v>
      </c>
      <c r="N2567" t="str">
        <f>IF(TB[[#This Row],[售价]]&lt;1000,"低价商品",IF(TB[[#This Row],[售价]]&lt;5000,"中价商品",IF(TB[[#This Row],[售价]]&lt;10000,"高价商品","超高价商品")))</f>
        <v>中价商品</v>
      </c>
    </row>
    <row r="2568" spans="1:14" x14ac:dyDescent="0.2">
      <c r="A2568">
        <v>349</v>
      </c>
      <c r="B2568">
        <v>164</v>
      </c>
      <c r="C2568" t="s">
        <v>10</v>
      </c>
      <c r="D2568" t="s">
        <v>262</v>
      </c>
      <c r="E2568" t="s">
        <v>25</v>
      </c>
      <c r="F2568">
        <v>7</v>
      </c>
      <c r="G2568" t="s">
        <v>13</v>
      </c>
      <c r="H2568" s="1">
        <v>45978.29791666667</v>
      </c>
      <c r="I2568" s="5">
        <f>INT(TB[[#This Row],[时间戳]])</f>
        <v>45978</v>
      </c>
      <c r="J2568" s="2">
        <f>HOUR(TB[[#This Row],[时间戳]])</f>
        <v>7</v>
      </c>
      <c r="K2568">
        <v>5481</v>
      </c>
      <c r="L2568">
        <v>1</v>
      </c>
      <c r="M2568">
        <f>TB[[#This Row],[售价]]*TB[[#This Row],[销量]]</f>
        <v>5481</v>
      </c>
      <c r="N2568" t="str">
        <f>IF(TB[[#This Row],[售价]]&lt;1000,"低价商品",IF(TB[[#This Row],[售价]]&lt;5000,"中价商品",IF(TB[[#This Row],[售价]]&lt;10000,"高价商品","超高价商品")))</f>
        <v>高价商品</v>
      </c>
    </row>
    <row r="2569" spans="1:14" x14ac:dyDescent="0.2">
      <c r="A2569">
        <v>761</v>
      </c>
      <c r="B2569">
        <v>256</v>
      </c>
      <c r="C2569" t="s">
        <v>26</v>
      </c>
      <c r="D2569" t="s">
        <v>358</v>
      </c>
      <c r="E2569" t="s">
        <v>16</v>
      </c>
      <c r="F2569">
        <v>6</v>
      </c>
      <c r="G2569" t="s">
        <v>13</v>
      </c>
      <c r="H2569" s="1">
        <v>45978.303472222222</v>
      </c>
      <c r="I2569" s="5">
        <f>INT(TB[[#This Row],[时间戳]])</f>
        <v>45978</v>
      </c>
      <c r="J2569" s="2">
        <f>HOUR(TB[[#This Row],[时间戳]])</f>
        <v>7</v>
      </c>
      <c r="K2569">
        <v>7701</v>
      </c>
      <c r="L2569">
        <v>2</v>
      </c>
      <c r="M2569">
        <f>TB[[#This Row],[售价]]*TB[[#This Row],[销量]]</f>
        <v>15402</v>
      </c>
      <c r="N2569" t="str">
        <f>IF(TB[[#This Row],[售价]]&lt;1000,"低价商品",IF(TB[[#This Row],[售价]]&lt;5000,"中价商品",IF(TB[[#This Row],[售价]]&lt;10000,"高价商品","超高价商品")))</f>
        <v>高价商品</v>
      </c>
    </row>
    <row r="2570" spans="1:14" x14ac:dyDescent="0.2">
      <c r="A2570">
        <v>262</v>
      </c>
      <c r="B2570">
        <v>207</v>
      </c>
      <c r="C2570" t="s">
        <v>26</v>
      </c>
      <c r="D2570" t="s">
        <v>299</v>
      </c>
      <c r="E2570" t="s">
        <v>19</v>
      </c>
      <c r="F2570">
        <v>3</v>
      </c>
      <c r="G2570" t="s">
        <v>42</v>
      </c>
      <c r="H2570" s="1">
        <v>45978.333333333336</v>
      </c>
      <c r="I2570" s="5">
        <f>INT(TB[[#This Row],[时间戳]])</f>
        <v>45978</v>
      </c>
      <c r="J2570" s="2">
        <f>HOUR(TB[[#This Row],[时间戳]])</f>
        <v>8</v>
      </c>
      <c r="K2570">
        <v>3297</v>
      </c>
      <c r="L2570">
        <v>0</v>
      </c>
      <c r="M2570">
        <f>TB[[#This Row],[售价]]*TB[[#This Row],[销量]]</f>
        <v>0</v>
      </c>
      <c r="N2570" t="str">
        <f>IF(TB[[#This Row],[售价]]&lt;1000,"低价商品",IF(TB[[#This Row],[售价]]&lt;5000,"中价商品",IF(TB[[#This Row],[售价]]&lt;10000,"高价商品","超高价商品")))</f>
        <v>中价商品</v>
      </c>
    </row>
    <row r="2571" spans="1:14" x14ac:dyDescent="0.2">
      <c r="A2571">
        <v>647</v>
      </c>
      <c r="B2571">
        <v>250</v>
      </c>
      <c r="C2571" t="s">
        <v>46</v>
      </c>
      <c r="D2571" t="s">
        <v>332</v>
      </c>
      <c r="E2571" t="s">
        <v>19</v>
      </c>
      <c r="F2571">
        <v>3</v>
      </c>
      <c r="G2571" t="s">
        <v>13</v>
      </c>
      <c r="H2571" s="1">
        <v>45978.382638888892</v>
      </c>
      <c r="I2571" s="5">
        <f>INT(TB[[#This Row],[时间戳]])</f>
        <v>45978</v>
      </c>
      <c r="J2571" s="2">
        <f>HOUR(TB[[#This Row],[时间戳]])</f>
        <v>9</v>
      </c>
      <c r="K2571">
        <v>1902</v>
      </c>
      <c r="L2571">
        <v>4</v>
      </c>
      <c r="M2571">
        <f>TB[[#This Row],[售价]]*TB[[#This Row],[销量]]</f>
        <v>7608</v>
      </c>
      <c r="N2571" t="str">
        <f>IF(TB[[#This Row],[售价]]&lt;1000,"低价商品",IF(TB[[#This Row],[售价]]&lt;5000,"中价商品",IF(TB[[#This Row],[售价]]&lt;10000,"高价商品","超高价商品")))</f>
        <v>中价商品</v>
      </c>
    </row>
    <row r="2572" spans="1:14" x14ac:dyDescent="0.2">
      <c r="A2572">
        <v>766</v>
      </c>
      <c r="B2572">
        <v>272</v>
      </c>
      <c r="C2572" t="s">
        <v>14</v>
      </c>
      <c r="D2572" t="s">
        <v>49</v>
      </c>
      <c r="E2572" t="s">
        <v>22</v>
      </c>
      <c r="F2572">
        <v>1</v>
      </c>
      <c r="G2572" t="s">
        <v>13</v>
      </c>
      <c r="H2572" s="1">
        <v>45978.39166666667</v>
      </c>
      <c r="I2572" s="5">
        <f>INT(TB[[#This Row],[时间戳]])</f>
        <v>45978</v>
      </c>
      <c r="J2572" s="2">
        <f>HOUR(TB[[#This Row],[时间戳]])</f>
        <v>9</v>
      </c>
      <c r="K2572">
        <v>5574</v>
      </c>
      <c r="L2572">
        <v>1</v>
      </c>
      <c r="M2572">
        <f>TB[[#This Row],[售价]]*TB[[#This Row],[销量]]</f>
        <v>5574</v>
      </c>
      <c r="N2572" t="str">
        <f>IF(TB[[#This Row],[售价]]&lt;1000,"低价商品",IF(TB[[#This Row],[售价]]&lt;5000,"中价商品",IF(TB[[#This Row],[售价]]&lt;10000,"高价商品","超高价商品")))</f>
        <v>高价商品</v>
      </c>
    </row>
    <row r="2573" spans="1:14" x14ac:dyDescent="0.2">
      <c r="A2573">
        <v>463</v>
      </c>
      <c r="B2573">
        <v>240</v>
      </c>
      <c r="C2573" t="s">
        <v>36</v>
      </c>
      <c r="D2573" t="s">
        <v>112</v>
      </c>
      <c r="E2573" t="s">
        <v>22</v>
      </c>
      <c r="F2573">
        <v>1</v>
      </c>
      <c r="G2573" t="s">
        <v>13</v>
      </c>
      <c r="H2573" s="1">
        <v>45978.435416666667</v>
      </c>
      <c r="I2573" s="5">
        <f>INT(TB[[#This Row],[时间戳]])</f>
        <v>45978</v>
      </c>
      <c r="J2573" s="2">
        <f>HOUR(TB[[#This Row],[时间戳]])</f>
        <v>10</v>
      </c>
      <c r="K2573">
        <v>3979</v>
      </c>
      <c r="L2573">
        <v>1</v>
      </c>
      <c r="M2573">
        <f>TB[[#This Row],[售价]]*TB[[#This Row],[销量]]</f>
        <v>3979</v>
      </c>
      <c r="N2573" t="str">
        <f>IF(TB[[#This Row],[售价]]&lt;1000,"低价商品",IF(TB[[#This Row],[售价]]&lt;5000,"中价商品",IF(TB[[#This Row],[售价]]&lt;10000,"高价商品","超高价商品")))</f>
        <v>中价商品</v>
      </c>
    </row>
    <row r="2574" spans="1:14" x14ac:dyDescent="0.2">
      <c r="A2574">
        <v>171</v>
      </c>
      <c r="B2574">
        <v>181</v>
      </c>
      <c r="C2574" t="s">
        <v>46</v>
      </c>
      <c r="D2574" t="s">
        <v>141</v>
      </c>
      <c r="E2574" t="s">
        <v>22</v>
      </c>
      <c r="F2574">
        <v>1</v>
      </c>
      <c r="G2574" t="s">
        <v>13</v>
      </c>
      <c r="H2574" s="1">
        <v>45978.442361111112</v>
      </c>
      <c r="I2574" s="5">
        <f>INT(TB[[#This Row],[时间戳]])</f>
        <v>45978</v>
      </c>
      <c r="J2574" s="2">
        <f>HOUR(TB[[#This Row],[时间戳]])</f>
        <v>10</v>
      </c>
      <c r="K2574">
        <v>1121</v>
      </c>
      <c r="L2574">
        <v>1</v>
      </c>
      <c r="M2574">
        <f>TB[[#This Row],[售价]]*TB[[#This Row],[销量]]</f>
        <v>1121</v>
      </c>
      <c r="N2574" t="str">
        <f>IF(TB[[#This Row],[售价]]&lt;1000,"低价商品",IF(TB[[#This Row],[售价]]&lt;5000,"中价商品",IF(TB[[#This Row],[售价]]&lt;10000,"高价商品","超高价商品")))</f>
        <v>中价商品</v>
      </c>
    </row>
    <row r="2575" spans="1:14" x14ac:dyDescent="0.2">
      <c r="A2575">
        <v>770</v>
      </c>
      <c r="B2575">
        <v>146</v>
      </c>
      <c r="C2575" t="s">
        <v>17</v>
      </c>
      <c r="D2575" t="s">
        <v>74</v>
      </c>
      <c r="E2575" t="s">
        <v>22</v>
      </c>
      <c r="F2575">
        <v>1</v>
      </c>
      <c r="G2575" t="s">
        <v>13</v>
      </c>
      <c r="H2575" s="1">
        <v>45978.454861111109</v>
      </c>
      <c r="I2575" s="5">
        <f>INT(TB[[#This Row],[时间戳]])</f>
        <v>45978</v>
      </c>
      <c r="J2575" s="2">
        <f>HOUR(TB[[#This Row],[时间戳]])</f>
        <v>10</v>
      </c>
      <c r="K2575">
        <v>5647</v>
      </c>
      <c r="L2575">
        <v>1</v>
      </c>
      <c r="M2575">
        <f>TB[[#This Row],[售价]]*TB[[#This Row],[销量]]</f>
        <v>5647</v>
      </c>
      <c r="N2575" t="str">
        <f>IF(TB[[#This Row],[售价]]&lt;1000,"低价商品",IF(TB[[#This Row],[售价]]&lt;5000,"中价商品",IF(TB[[#This Row],[售价]]&lt;10000,"高价商品","超高价商品")))</f>
        <v>高价商品</v>
      </c>
    </row>
    <row r="2576" spans="1:14" x14ac:dyDescent="0.2">
      <c r="A2576">
        <v>385</v>
      </c>
      <c r="B2576">
        <v>276</v>
      </c>
      <c r="C2576" t="s">
        <v>44</v>
      </c>
      <c r="D2576" t="s">
        <v>415</v>
      </c>
      <c r="E2576" t="s">
        <v>39</v>
      </c>
      <c r="F2576">
        <v>5</v>
      </c>
      <c r="G2576" t="s">
        <v>13</v>
      </c>
      <c r="H2576" s="1">
        <v>45978.459027777775</v>
      </c>
      <c r="I2576" s="5">
        <f>INT(TB[[#This Row],[时间戳]])</f>
        <v>45978</v>
      </c>
      <c r="J2576" s="2">
        <f>HOUR(TB[[#This Row],[时间戳]])</f>
        <v>11</v>
      </c>
      <c r="K2576">
        <v>3259</v>
      </c>
      <c r="L2576">
        <v>2</v>
      </c>
      <c r="M2576">
        <f>TB[[#This Row],[售价]]*TB[[#This Row],[销量]]</f>
        <v>6518</v>
      </c>
      <c r="N2576" t="str">
        <f>IF(TB[[#This Row],[售价]]&lt;1000,"低价商品",IF(TB[[#This Row],[售价]]&lt;5000,"中价商品",IF(TB[[#This Row],[售价]]&lt;10000,"高价商品","超高价商品")))</f>
        <v>中价商品</v>
      </c>
    </row>
    <row r="2577" spans="1:14" x14ac:dyDescent="0.2">
      <c r="A2577">
        <v>100</v>
      </c>
      <c r="B2577">
        <v>203</v>
      </c>
      <c r="C2577" t="s">
        <v>46</v>
      </c>
      <c r="D2577" t="s">
        <v>80</v>
      </c>
      <c r="E2577" t="s">
        <v>22</v>
      </c>
      <c r="F2577">
        <v>1</v>
      </c>
      <c r="G2577" t="s">
        <v>13</v>
      </c>
      <c r="H2577" s="1">
        <v>45978.477777777778</v>
      </c>
      <c r="I2577" s="5">
        <f>INT(TB[[#This Row],[时间戳]])</f>
        <v>45978</v>
      </c>
      <c r="J2577" s="2">
        <f>HOUR(TB[[#This Row],[时间戳]])</f>
        <v>11</v>
      </c>
      <c r="K2577">
        <v>2071</v>
      </c>
      <c r="L2577">
        <v>1</v>
      </c>
      <c r="M2577">
        <f>TB[[#This Row],[售价]]*TB[[#This Row],[销量]]</f>
        <v>2071</v>
      </c>
      <c r="N2577" t="str">
        <f>IF(TB[[#This Row],[售价]]&lt;1000,"低价商品",IF(TB[[#This Row],[售价]]&lt;5000,"中价商品",IF(TB[[#This Row],[售价]]&lt;10000,"高价商品","超高价商品")))</f>
        <v>中价商品</v>
      </c>
    </row>
    <row r="2578" spans="1:14" x14ac:dyDescent="0.2">
      <c r="A2578">
        <v>297</v>
      </c>
      <c r="B2578">
        <v>92</v>
      </c>
      <c r="C2578" t="s">
        <v>14</v>
      </c>
      <c r="D2578" t="s">
        <v>52</v>
      </c>
      <c r="E2578" t="s">
        <v>31</v>
      </c>
      <c r="F2578">
        <v>4</v>
      </c>
      <c r="G2578" t="s">
        <v>13</v>
      </c>
      <c r="H2578" s="1">
        <v>45978.549305555556</v>
      </c>
      <c r="I2578" s="5">
        <f>INT(TB[[#This Row],[时间戳]])</f>
        <v>45978</v>
      </c>
      <c r="J2578" s="2">
        <f>HOUR(TB[[#This Row],[时间戳]])</f>
        <v>13</v>
      </c>
      <c r="K2578">
        <v>405</v>
      </c>
      <c r="L2578">
        <v>2</v>
      </c>
      <c r="M2578">
        <f>TB[[#This Row],[售价]]*TB[[#This Row],[销量]]</f>
        <v>810</v>
      </c>
      <c r="N2578" t="str">
        <f>IF(TB[[#This Row],[售价]]&lt;1000,"低价商品",IF(TB[[#This Row],[售价]]&lt;5000,"中价商品",IF(TB[[#This Row],[售价]]&lt;10000,"高价商品","超高价商品")))</f>
        <v>低价商品</v>
      </c>
    </row>
    <row r="2579" spans="1:14" x14ac:dyDescent="0.2">
      <c r="A2579">
        <v>419</v>
      </c>
      <c r="B2579">
        <v>181</v>
      </c>
      <c r="C2579" t="s">
        <v>17</v>
      </c>
      <c r="D2579" t="s">
        <v>50</v>
      </c>
      <c r="E2579" t="s">
        <v>22</v>
      </c>
      <c r="F2579">
        <v>1</v>
      </c>
      <c r="G2579" t="s">
        <v>13</v>
      </c>
      <c r="H2579" s="1">
        <v>45978.565972222219</v>
      </c>
      <c r="I2579" s="5">
        <f>INT(TB[[#This Row],[时间戳]])</f>
        <v>45978</v>
      </c>
      <c r="J2579" s="2">
        <f>HOUR(TB[[#This Row],[时间戳]])</f>
        <v>13</v>
      </c>
      <c r="K2579">
        <v>2495</v>
      </c>
      <c r="L2579">
        <v>2</v>
      </c>
      <c r="M2579">
        <f>TB[[#This Row],[售价]]*TB[[#This Row],[销量]]</f>
        <v>4990</v>
      </c>
      <c r="N2579" t="str">
        <f>IF(TB[[#This Row],[售价]]&lt;1000,"低价商品",IF(TB[[#This Row],[售价]]&lt;5000,"中价商品",IF(TB[[#This Row],[售价]]&lt;10000,"高价商品","超高价商品")))</f>
        <v>中价商品</v>
      </c>
    </row>
    <row r="2580" spans="1:14" x14ac:dyDescent="0.2">
      <c r="A2580">
        <v>328</v>
      </c>
      <c r="B2580">
        <v>186</v>
      </c>
      <c r="C2580" t="s">
        <v>46</v>
      </c>
      <c r="D2580" t="s">
        <v>142</v>
      </c>
      <c r="E2580" t="s">
        <v>31</v>
      </c>
      <c r="F2580">
        <v>4</v>
      </c>
      <c r="G2580" t="s">
        <v>13</v>
      </c>
      <c r="H2580" s="1">
        <v>45978.574305555558</v>
      </c>
      <c r="I2580" s="5">
        <f>INT(TB[[#This Row],[时间戳]])</f>
        <v>45978</v>
      </c>
      <c r="J2580" s="2">
        <f>HOUR(TB[[#This Row],[时间戳]])</f>
        <v>13</v>
      </c>
      <c r="K2580">
        <v>509</v>
      </c>
      <c r="L2580">
        <v>4</v>
      </c>
      <c r="M2580">
        <f>TB[[#This Row],[售价]]*TB[[#This Row],[销量]]</f>
        <v>2036</v>
      </c>
      <c r="N2580" t="str">
        <f>IF(TB[[#This Row],[售价]]&lt;1000,"低价商品",IF(TB[[#This Row],[售价]]&lt;5000,"中价商品",IF(TB[[#This Row],[售价]]&lt;10000,"高价商品","超高价商品")))</f>
        <v>低价商品</v>
      </c>
    </row>
    <row r="2581" spans="1:14" x14ac:dyDescent="0.2">
      <c r="A2581">
        <v>549</v>
      </c>
      <c r="B2581">
        <v>273</v>
      </c>
      <c r="C2581" t="s">
        <v>34</v>
      </c>
      <c r="D2581" t="s">
        <v>174</v>
      </c>
      <c r="E2581" t="s">
        <v>12</v>
      </c>
      <c r="F2581">
        <v>2</v>
      </c>
      <c r="G2581" t="s">
        <v>42</v>
      </c>
      <c r="H2581" s="1">
        <v>45978.59375</v>
      </c>
      <c r="I2581" s="5">
        <f>INT(TB[[#This Row],[时间戳]])</f>
        <v>45978</v>
      </c>
      <c r="J2581" s="2">
        <f>HOUR(TB[[#This Row],[时间戳]])</f>
        <v>14</v>
      </c>
      <c r="K2581">
        <v>14180</v>
      </c>
      <c r="L2581">
        <v>0</v>
      </c>
      <c r="M2581">
        <f>TB[[#This Row],[售价]]*TB[[#This Row],[销量]]</f>
        <v>0</v>
      </c>
      <c r="N2581" t="str">
        <f>IF(TB[[#This Row],[售价]]&lt;1000,"低价商品",IF(TB[[#This Row],[售价]]&lt;5000,"中价商品",IF(TB[[#This Row],[售价]]&lt;10000,"高价商品","超高价商品")))</f>
        <v>超高价商品</v>
      </c>
    </row>
    <row r="2582" spans="1:14" x14ac:dyDescent="0.2">
      <c r="A2582">
        <v>775</v>
      </c>
      <c r="B2582">
        <v>238</v>
      </c>
      <c r="C2582" t="s">
        <v>17</v>
      </c>
      <c r="D2582" t="s">
        <v>156</v>
      </c>
      <c r="E2582" t="s">
        <v>19</v>
      </c>
      <c r="F2582">
        <v>3</v>
      </c>
      <c r="G2582" t="s">
        <v>13</v>
      </c>
      <c r="H2582" s="1">
        <v>45978.595833333333</v>
      </c>
      <c r="I2582" s="5">
        <f>INT(TB[[#This Row],[时间戳]])</f>
        <v>45978</v>
      </c>
      <c r="J2582" s="2">
        <f>HOUR(TB[[#This Row],[时间戳]])</f>
        <v>14</v>
      </c>
      <c r="K2582">
        <v>4627</v>
      </c>
      <c r="L2582">
        <v>2</v>
      </c>
      <c r="M2582">
        <f>TB[[#This Row],[售价]]*TB[[#This Row],[销量]]</f>
        <v>9254</v>
      </c>
      <c r="N2582" t="str">
        <f>IF(TB[[#This Row],[售价]]&lt;1000,"低价商品",IF(TB[[#This Row],[售价]]&lt;5000,"中价商品",IF(TB[[#This Row],[售价]]&lt;10000,"高价商品","超高价商品")))</f>
        <v>中价商品</v>
      </c>
    </row>
    <row r="2583" spans="1:14" x14ac:dyDescent="0.2">
      <c r="A2583">
        <v>410</v>
      </c>
      <c r="B2583">
        <v>148</v>
      </c>
      <c r="C2583" t="s">
        <v>26</v>
      </c>
      <c r="D2583" t="s">
        <v>182</v>
      </c>
      <c r="E2583" t="s">
        <v>31</v>
      </c>
      <c r="F2583">
        <v>4</v>
      </c>
      <c r="G2583" t="s">
        <v>13</v>
      </c>
      <c r="H2583" s="1">
        <v>45978.636111111111</v>
      </c>
      <c r="I2583" s="5">
        <f>INT(TB[[#This Row],[时间戳]])</f>
        <v>45978</v>
      </c>
      <c r="J2583" s="2">
        <f>HOUR(TB[[#This Row],[时间戳]])</f>
        <v>15</v>
      </c>
      <c r="K2583">
        <v>666</v>
      </c>
      <c r="L2583">
        <v>2</v>
      </c>
      <c r="M2583">
        <f>TB[[#This Row],[售价]]*TB[[#This Row],[销量]]</f>
        <v>1332</v>
      </c>
      <c r="N2583" t="str">
        <f>IF(TB[[#This Row],[售价]]&lt;1000,"低价商品",IF(TB[[#This Row],[售价]]&lt;5000,"中价商品",IF(TB[[#This Row],[售价]]&lt;10000,"高价商品","超高价商品")))</f>
        <v>低价商品</v>
      </c>
    </row>
    <row r="2584" spans="1:14" x14ac:dyDescent="0.2">
      <c r="A2584">
        <v>672</v>
      </c>
      <c r="B2584">
        <v>89</v>
      </c>
      <c r="C2584" t="s">
        <v>34</v>
      </c>
      <c r="D2584" t="s">
        <v>253</v>
      </c>
      <c r="E2584" t="s">
        <v>25</v>
      </c>
      <c r="F2584">
        <v>7</v>
      </c>
      <c r="G2584" t="s">
        <v>13</v>
      </c>
      <c r="H2584" s="1">
        <v>45978.649305555555</v>
      </c>
      <c r="I2584" s="5">
        <f>INT(TB[[#This Row],[时间戳]])</f>
        <v>45978</v>
      </c>
      <c r="J2584" s="2">
        <f>HOUR(TB[[#This Row],[时间戳]])</f>
        <v>15</v>
      </c>
      <c r="K2584">
        <v>1599</v>
      </c>
      <c r="L2584">
        <v>3</v>
      </c>
      <c r="M2584">
        <f>TB[[#This Row],[售价]]*TB[[#This Row],[销量]]</f>
        <v>4797</v>
      </c>
      <c r="N2584" t="str">
        <f>IF(TB[[#This Row],[售价]]&lt;1000,"低价商品",IF(TB[[#This Row],[售价]]&lt;5000,"中价商品",IF(TB[[#This Row],[售价]]&lt;10000,"高价商品","超高价商品")))</f>
        <v>中价商品</v>
      </c>
    </row>
    <row r="2585" spans="1:14" x14ac:dyDescent="0.2">
      <c r="A2585">
        <v>429</v>
      </c>
      <c r="B2585">
        <v>211</v>
      </c>
      <c r="C2585" t="s">
        <v>46</v>
      </c>
      <c r="D2585" t="s">
        <v>217</v>
      </c>
      <c r="E2585" t="s">
        <v>19</v>
      </c>
      <c r="F2585">
        <v>3</v>
      </c>
      <c r="G2585" t="s">
        <v>13</v>
      </c>
      <c r="H2585" s="1">
        <v>45978.660416666666</v>
      </c>
      <c r="I2585" s="5">
        <f>INT(TB[[#This Row],[时间戳]])</f>
        <v>45978</v>
      </c>
      <c r="J2585" s="2">
        <f>HOUR(TB[[#This Row],[时间戳]])</f>
        <v>15</v>
      </c>
      <c r="K2585">
        <v>2301</v>
      </c>
      <c r="L2585">
        <v>1</v>
      </c>
      <c r="M2585">
        <f>TB[[#This Row],[售价]]*TB[[#This Row],[销量]]</f>
        <v>2301</v>
      </c>
      <c r="N2585" t="str">
        <f>IF(TB[[#This Row],[售价]]&lt;1000,"低价商品",IF(TB[[#This Row],[售价]]&lt;5000,"中价商品",IF(TB[[#This Row],[售价]]&lt;10000,"高价商品","超高价商品")))</f>
        <v>中价商品</v>
      </c>
    </row>
    <row r="2586" spans="1:14" x14ac:dyDescent="0.2">
      <c r="A2586">
        <v>230</v>
      </c>
      <c r="B2586">
        <v>71</v>
      </c>
      <c r="C2586" t="s">
        <v>10</v>
      </c>
      <c r="D2586" t="s">
        <v>352</v>
      </c>
      <c r="E2586" t="s">
        <v>12</v>
      </c>
      <c r="F2586">
        <v>2</v>
      </c>
      <c r="G2586" t="s">
        <v>13</v>
      </c>
      <c r="H2586" s="1">
        <v>45978.676388888889</v>
      </c>
      <c r="I2586" s="5">
        <f>INT(TB[[#This Row],[时间戳]])</f>
        <v>45978</v>
      </c>
      <c r="J2586" s="2">
        <f>HOUR(TB[[#This Row],[时间戳]])</f>
        <v>16</v>
      </c>
      <c r="K2586">
        <v>7219</v>
      </c>
      <c r="L2586">
        <v>2</v>
      </c>
      <c r="M2586">
        <f>TB[[#This Row],[售价]]*TB[[#This Row],[销量]]</f>
        <v>14438</v>
      </c>
      <c r="N2586" t="str">
        <f>IF(TB[[#This Row],[售价]]&lt;1000,"低价商品",IF(TB[[#This Row],[售价]]&lt;5000,"中价商品",IF(TB[[#This Row],[售价]]&lt;10000,"高价商品","超高价商品")))</f>
        <v>高价商品</v>
      </c>
    </row>
    <row r="2587" spans="1:14" x14ac:dyDescent="0.2">
      <c r="A2587">
        <v>750</v>
      </c>
      <c r="B2587">
        <v>210</v>
      </c>
      <c r="C2587" t="s">
        <v>46</v>
      </c>
      <c r="D2587" t="s">
        <v>77</v>
      </c>
      <c r="E2587" t="s">
        <v>19</v>
      </c>
      <c r="F2587">
        <v>3</v>
      </c>
      <c r="G2587" t="s">
        <v>13</v>
      </c>
      <c r="H2587" s="1">
        <v>45978.694444444445</v>
      </c>
      <c r="I2587" s="5">
        <f>INT(TB[[#This Row],[时间戳]])</f>
        <v>45978</v>
      </c>
      <c r="J2587" s="2">
        <f>HOUR(TB[[#This Row],[时间戳]])</f>
        <v>16</v>
      </c>
      <c r="K2587">
        <v>5464</v>
      </c>
      <c r="L2587">
        <v>1</v>
      </c>
      <c r="M2587">
        <f>TB[[#This Row],[售价]]*TB[[#This Row],[销量]]</f>
        <v>5464</v>
      </c>
      <c r="N2587" t="str">
        <f>IF(TB[[#This Row],[售价]]&lt;1000,"低价商品",IF(TB[[#This Row],[售价]]&lt;5000,"中价商品",IF(TB[[#This Row],[售价]]&lt;10000,"高价商品","超高价商品")))</f>
        <v>高价商品</v>
      </c>
    </row>
    <row r="2588" spans="1:14" x14ac:dyDescent="0.2">
      <c r="A2588">
        <v>171</v>
      </c>
      <c r="B2588">
        <v>292</v>
      </c>
      <c r="C2588" t="s">
        <v>46</v>
      </c>
      <c r="D2588" t="s">
        <v>341</v>
      </c>
      <c r="E2588" t="s">
        <v>31</v>
      </c>
      <c r="F2588">
        <v>4</v>
      </c>
      <c r="G2588" t="s">
        <v>13</v>
      </c>
      <c r="H2588" s="1">
        <v>45978.695833333331</v>
      </c>
      <c r="I2588" s="5">
        <f>INT(TB[[#This Row],[时间戳]])</f>
        <v>45978</v>
      </c>
      <c r="J2588" s="2">
        <f>HOUR(TB[[#This Row],[时间戳]])</f>
        <v>16</v>
      </c>
      <c r="K2588">
        <v>62</v>
      </c>
      <c r="L2588">
        <v>2</v>
      </c>
      <c r="M2588">
        <f>TB[[#This Row],[售价]]*TB[[#This Row],[销量]]</f>
        <v>124</v>
      </c>
      <c r="N2588" t="str">
        <f>IF(TB[[#This Row],[售价]]&lt;1000,"低价商品",IF(TB[[#This Row],[售价]]&lt;5000,"中价商品",IF(TB[[#This Row],[售价]]&lt;10000,"高价商品","超高价商品")))</f>
        <v>低价商品</v>
      </c>
    </row>
    <row r="2589" spans="1:14" x14ac:dyDescent="0.2">
      <c r="A2589">
        <v>24</v>
      </c>
      <c r="B2589">
        <v>200</v>
      </c>
      <c r="C2589" t="s">
        <v>14</v>
      </c>
      <c r="D2589" t="s">
        <v>228</v>
      </c>
      <c r="E2589" t="s">
        <v>31</v>
      </c>
      <c r="F2589">
        <v>4</v>
      </c>
      <c r="G2589" t="s">
        <v>13</v>
      </c>
      <c r="H2589" s="1">
        <v>45978.716666666667</v>
      </c>
      <c r="I2589" s="5">
        <f>INT(TB[[#This Row],[时间戳]])</f>
        <v>45978</v>
      </c>
      <c r="J2589" s="2">
        <f>HOUR(TB[[#This Row],[时间戳]])</f>
        <v>17</v>
      </c>
      <c r="K2589">
        <v>1372</v>
      </c>
      <c r="L2589">
        <v>4</v>
      </c>
      <c r="M2589">
        <f>TB[[#This Row],[售价]]*TB[[#This Row],[销量]]</f>
        <v>5488</v>
      </c>
      <c r="N2589" t="str">
        <f>IF(TB[[#This Row],[售价]]&lt;1000,"低价商品",IF(TB[[#This Row],[售价]]&lt;5000,"中价商品",IF(TB[[#This Row],[售价]]&lt;10000,"高价商品","超高价商品")))</f>
        <v>中价商品</v>
      </c>
    </row>
    <row r="2590" spans="1:14" x14ac:dyDescent="0.2">
      <c r="A2590">
        <v>469</v>
      </c>
      <c r="B2590">
        <v>189</v>
      </c>
      <c r="C2590" t="s">
        <v>32</v>
      </c>
      <c r="D2590" t="s">
        <v>170</v>
      </c>
      <c r="E2590" t="s">
        <v>31</v>
      </c>
      <c r="F2590">
        <v>4</v>
      </c>
      <c r="G2590" t="s">
        <v>13</v>
      </c>
      <c r="H2590" s="1">
        <v>45978.722222222219</v>
      </c>
      <c r="I2590" s="5">
        <f>INT(TB[[#This Row],[时间戳]])</f>
        <v>45978</v>
      </c>
      <c r="J2590" s="2">
        <f>HOUR(TB[[#This Row],[时间戳]])</f>
        <v>17</v>
      </c>
      <c r="K2590">
        <v>1241</v>
      </c>
      <c r="L2590">
        <v>2</v>
      </c>
      <c r="M2590">
        <f>TB[[#This Row],[售价]]*TB[[#This Row],[销量]]</f>
        <v>2482</v>
      </c>
      <c r="N2590" t="str">
        <f>IF(TB[[#This Row],[售价]]&lt;1000,"低价商品",IF(TB[[#This Row],[售价]]&lt;5000,"中价商品",IF(TB[[#This Row],[售价]]&lt;10000,"高价商品","超高价商品")))</f>
        <v>中价商品</v>
      </c>
    </row>
    <row r="2591" spans="1:14" x14ac:dyDescent="0.2">
      <c r="A2591">
        <v>205</v>
      </c>
      <c r="B2591">
        <v>166</v>
      </c>
      <c r="C2591" t="s">
        <v>44</v>
      </c>
      <c r="D2591" t="s">
        <v>236</v>
      </c>
      <c r="E2591" t="s">
        <v>12</v>
      </c>
      <c r="F2591">
        <v>2</v>
      </c>
      <c r="G2591" t="s">
        <v>13</v>
      </c>
      <c r="H2591" s="1">
        <v>45978.745138888888</v>
      </c>
      <c r="I2591" s="5">
        <f>INT(TB[[#This Row],[时间戳]])</f>
        <v>45978</v>
      </c>
      <c r="J2591" s="2">
        <f>HOUR(TB[[#This Row],[时间戳]])</f>
        <v>17</v>
      </c>
      <c r="K2591">
        <v>7809</v>
      </c>
      <c r="L2591">
        <v>2</v>
      </c>
      <c r="M2591">
        <f>TB[[#This Row],[售价]]*TB[[#This Row],[销量]]</f>
        <v>15618</v>
      </c>
      <c r="N2591" t="str">
        <f>IF(TB[[#This Row],[售价]]&lt;1000,"低价商品",IF(TB[[#This Row],[售价]]&lt;5000,"中价商品",IF(TB[[#This Row],[售价]]&lt;10000,"高价商品","超高价商品")))</f>
        <v>高价商品</v>
      </c>
    </row>
    <row r="2592" spans="1:14" x14ac:dyDescent="0.2">
      <c r="A2592">
        <v>212</v>
      </c>
      <c r="B2592">
        <v>296</v>
      </c>
      <c r="C2592" t="s">
        <v>14</v>
      </c>
      <c r="D2592" t="s">
        <v>282</v>
      </c>
      <c r="E2592" t="s">
        <v>19</v>
      </c>
      <c r="F2592">
        <v>3</v>
      </c>
      <c r="G2592" t="s">
        <v>13</v>
      </c>
      <c r="H2592" s="1">
        <v>45978.777083333334</v>
      </c>
      <c r="I2592" s="5">
        <f>INT(TB[[#This Row],[时间戳]])</f>
        <v>45978</v>
      </c>
      <c r="J2592" s="2">
        <f>HOUR(TB[[#This Row],[时间戳]])</f>
        <v>18</v>
      </c>
      <c r="K2592">
        <v>2536</v>
      </c>
      <c r="L2592">
        <v>3</v>
      </c>
      <c r="M2592">
        <f>TB[[#This Row],[售价]]*TB[[#This Row],[销量]]</f>
        <v>7608</v>
      </c>
      <c r="N2592" t="str">
        <f>IF(TB[[#This Row],[售价]]&lt;1000,"低价商品",IF(TB[[#This Row],[售价]]&lt;5000,"中价商品",IF(TB[[#This Row],[售价]]&lt;10000,"高价商品","超高价商品")))</f>
        <v>中价商品</v>
      </c>
    </row>
    <row r="2593" spans="1:14" x14ac:dyDescent="0.2">
      <c r="A2593">
        <v>618</v>
      </c>
      <c r="B2593">
        <v>228</v>
      </c>
      <c r="C2593" t="s">
        <v>32</v>
      </c>
      <c r="D2593" t="s">
        <v>193</v>
      </c>
      <c r="E2593" t="s">
        <v>22</v>
      </c>
      <c r="F2593">
        <v>1</v>
      </c>
      <c r="G2593" t="s">
        <v>13</v>
      </c>
      <c r="H2593" s="1">
        <v>45978.806944444441</v>
      </c>
      <c r="I2593" s="5">
        <f>INT(TB[[#This Row],[时间戳]])</f>
        <v>45978</v>
      </c>
      <c r="J2593" s="2">
        <f>HOUR(TB[[#This Row],[时间戳]])</f>
        <v>19</v>
      </c>
      <c r="K2593">
        <v>4812</v>
      </c>
      <c r="L2593">
        <v>3</v>
      </c>
      <c r="M2593">
        <f>TB[[#This Row],[售价]]*TB[[#This Row],[销量]]</f>
        <v>14436</v>
      </c>
      <c r="N2593" t="str">
        <f>IF(TB[[#This Row],[售价]]&lt;1000,"低价商品",IF(TB[[#This Row],[售价]]&lt;5000,"中价商品",IF(TB[[#This Row],[售价]]&lt;10000,"高价商品","超高价商品")))</f>
        <v>中价商品</v>
      </c>
    </row>
    <row r="2594" spans="1:14" x14ac:dyDescent="0.2">
      <c r="A2594">
        <v>657</v>
      </c>
      <c r="B2594">
        <v>57</v>
      </c>
      <c r="C2594" t="s">
        <v>44</v>
      </c>
      <c r="D2594" t="s">
        <v>161</v>
      </c>
      <c r="E2594" t="s">
        <v>31</v>
      </c>
      <c r="F2594">
        <v>4</v>
      </c>
      <c r="G2594" t="s">
        <v>13</v>
      </c>
      <c r="H2594" s="1">
        <v>45978.821527777778</v>
      </c>
      <c r="I2594" s="5">
        <f>INT(TB[[#This Row],[时间戳]])</f>
        <v>45978</v>
      </c>
      <c r="J2594" s="2">
        <f>HOUR(TB[[#This Row],[时间戳]])</f>
        <v>19</v>
      </c>
      <c r="K2594">
        <v>435</v>
      </c>
      <c r="L2594">
        <v>1</v>
      </c>
      <c r="M2594">
        <f>TB[[#This Row],[售价]]*TB[[#This Row],[销量]]</f>
        <v>435</v>
      </c>
      <c r="N2594" t="str">
        <f>IF(TB[[#This Row],[售价]]&lt;1000,"低价商品",IF(TB[[#This Row],[售价]]&lt;5000,"中价商品",IF(TB[[#This Row],[售价]]&lt;10000,"高价商品","超高价商品")))</f>
        <v>低价商品</v>
      </c>
    </row>
    <row r="2595" spans="1:14" x14ac:dyDescent="0.2">
      <c r="A2595">
        <v>474</v>
      </c>
      <c r="B2595">
        <v>36</v>
      </c>
      <c r="C2595" t="s">
        <v>26</v>
      </c>
      <c r="D2595" t="s">
        <v>345</v>
      </c>
      <c r="E2595" t="s">
        <v>12</v>
      </c>
      <c r="F2595">
        <v>2</v>
      </c>
      <c r="G2595" t="s">
        <v>42</v>
      </c>
      <c r="H2595" s="1">
        <v>45978.835416666669</v>
      </c>
      <c r="I2595" s="5">
        <f>INT(TB[[#This Row],[时间戳]])</f>
        <v>45978</v>
      </c>
      <c r="J2595" s="2">
        <f>HOUR(TB[[#This Row],[时间戳]])</f>
        <v>20</v>
      </c>
      <c r="K2595">
        <v>13865</v>
      </c>
      <c r="L2595">
        <v>0</v>
      </c>
      <c r="M2595">
        <f>TB[[#This Row],[售价]]*TB[[#This Row],[销量]]</f>
        <v>0</v>
      </c>
      <c r="N2595" t="str">
        <f>IF(TB[[#This Row],[售价]]&lt;1000,"低价商品",IF(TB[[#This Row],[售价]]&lt;5000,"中价商品",IF(TB[[#This Row],[售价]]&lt;10000,"高价商品","超高价商品")))</f>
        <v>超高价商品</v>
      </c>
    </row>
    <row r="2596" spans="1:14" x14ac:dyDescent="0.2">
      <c r="A2596">
        <v>694</v>
      </c>
      <c r="B2596">
        <v>209</v>
      </c>
      <c r="C2596" t="s">
        <v>10</v>
      </c>
      <c r="D2596" t="s">
        <v>11</v>
      </c>
      <c r="E2596" t="s">
        <v>12</v>
      </c>
      <c r="F2596">
        <v>2</v>
      </c>
      <c r="G2596" t="s">
        <v>13</v>
      </c>
      <c r="H2596" s="1">
        <v>45978.838194444441</v>
      </c>
      <c r="I2596" s="5">
        <f>INT(TB[[#This Row],[时间戳]])</f>
        <v>45978</v>
      </c>
      <c r="J2596" s="2">
        <f>HOUR(TB[[#This Row],[时间戳]])</f>
        <v>20</v>
      </c>
      <c r="K2596">
        <v>4295</v>
      </c>
      <c r="L2596">
        <v>3</v>
      </c>
      <c r="M2596">
        <f>TB[[#This Row],[售价]]*TB[[#This Row],[销量]]</f>
        <v>12885</v>
      </c>
      <c r="N2596" t="str">
        <f>IF(TB[[#This Row],[售价]]&lt;1000,"低价商品",IF(TB[[#This Row],[售价]]&lt;5000,"中价商品",IF(TB[[#This Row],[售价]]&lt;10000,"高价商品","超高价商品")))</f>
        <v>中价商品</v>
      </c>
    </row>
    <row r="2597" spans="1:14" x14ac:dyDescent="0.2">
      <c r="A2597">
        <v>428</v>
      </c>
      <c r="B2597">
        <v>134</v>
      </c>
      <c r="C2597" t="s">
        <v>17</v>
      </c>
      <c r="D2597" t="s">
        <v>370</v>
      </c>
      <c r="E2597" t="s">
        <v>31</v>
      </c>
      <c r="F2597">
        <v>4</v>
      </c>
      <c r="G2597" t="s">
        <v>42</v>
      </c>
      <c r="H2597" s="1">
        <v>45978.865277777775</v>
      </c>
      <c r="I2597" s="5">
        <f>INT(TB[[#This Row],[时间戳]])</f>
        <v>45978</v>
      </c>
      <c r="J2597" s="2">
        <f>HOUR(TB[[#This Row],[时间戳]])</f>
        <v>20</v>
      </c>
      <c r="K2597">
        <v>1154</v>
      </c>
      <c r="L2597">
        <v>0</v>
      </c>
      <c r="M2597">
        <f>TB[[#This Row],[售价]]*TB[[#This Row],[销量]]</f>
        <v>0</v>
      </c>
      <c r="N2597" t="str">
        <f>IF(TB[[#This Row],[售价]]&lt;1000,"低价商品",IF(TB[[#This Row],[售价]]&lt;5000,"中价商品",IF(TB[[#This Row],[售价]]&lt;10000,"高价商品","超高价商品")))</f>
        <v>中价商品</v>
      </c>
    </row>
    <row r="2598" spans="1:14" x14ac:dyDescent="0.2">
      <c r="A2598">
        <v>796</v>
      </c>
      <c r="B2598">
        <v>274</v>
      </c>
      <c r="C2598" t="s">
        <v>14</v>
      </c>
      <c r="D2598" t="s">
        <v>297</v>
      </c>
      <c r="E2598" t="s">
        <v>25</v>
      </c>
      <c r="F2598">
        <v>7</v>
      </c>
      <c r="G2598" t="s">
        <v>13</v>
      </c>
      <c r="H2598" s="1">
        <v>45978.871527777781</v>
      </c>
      <c r="I2598" s="5">
        <f>INT(TB[[#This Row],[时间戳]])</f>
        <v>45978</v>
      </c>
      <c r="J2598" s="2">
        <f>HOUR(TB[[#This Row],[时间戳]])</f>
        <v>20</v>
      </c>
      <c r="K2598">
        <v>7440</v>
      </c>
      <c r="L2598">
        <v>1</v>
      </c>
      <c r="M2598">
        <f>TB[[#This Row],[售价]]*TB[[#This Row],[销量]]</f>
        <v>7440</v>
      </c>
      <c r="N2598" t="str">
        <f>IF(TB[[#This Row],[售价]]&lt;1000,"低价商品",IF(TB[[#This Row],[售价]]&lt;5000,"中价商品",IF(TB[[#This Row],[售价]]&lt;10000,"高价商品","超高价商品")))</f>
        <v>高价商品</v>
      </c>
    </row>
    <row r="2599" spans="1:14" x14ac:dyDescent="0.2">
      <c r="A2599">
        <v>62</v>
      </c>
      <c r="B2599">
        <v>150</v>
      </c>
      <c r="C2599" t="s">
        <v>44</v>
      </c>
      <c r="D2599" t="s">
        <v>236</v>
      </c>
      <c r="E2599" t="s">
        <v>12</v>
      </c>
      <c r="F2599">
        <v>2</v>
      </c>
      <c r="G2599" t="s">
        <v>13</v>
      </c>
      <c r="H2599" s="1">
        <v>45978.884027777778</v>
      </c>
      <c r="I2599" s="5">
        <f>INT(TB[[#This Row],[时间戳]])</f>
        <v>45978</v>
      </c>
      <c r="J2599" s="2">
        <f>HOUR(TB[[#This Row],[时间戳]])</f>
        <v>21</v>
      </c>
      <c r="K2599">
        <v>4412</v>
      </c>
      <c r="L2599">
        <v>2</v>
      </c>
      <c r="M2599">
        <f>TB[[#This Row],[售价]]*TB[[#This Row],[销量]]</f>
        <v>8824</v>
      </c>
      <c r="N2599" t="str">
        <f>IF(TB[[#This Row],[售价]]&lt;1000,"低价商品",IF(TB[[#This Row],[售价]]&lt;5000,"中价商品",IF(TB[[#This Row],[售价]]&lt;10000,"高价商品","超高价商品")))</f>
        <v>中价商品</v>
      </c>
    </row>
    <row r="2600" spans="1:14" x14ac:dyDescent="0.2">
      <c r="A2600">
        <v>410</v>
      </c>
      <c r="B2600">
        <v>262</v>
      </c>
      <c r="C2600" t="s">
        <v>10</v>
      </c>
      <c r="D2600" t="s">
        <v>96</v>
      </c>
      <c r="E2600" t="s">
        <v>22</v>
      </c>
      <c r="F2600">
        <v>1</v>
      </c>
      <c r="G2600" t="s">
        <v>13</v>
      </c>
      <c r="H2600" s="1">
        <v>45978.890277777777</v>
      </c>
      <c r="I2600" s="5">
        <f>INT(TB[[#This Row],[时间戳]])</f>
        <v>45978</v>
      </c>
      <c r="J2600" s="2">
        <f>HOUR(TB[[#This Row],[时间戳]])</f>
        <v>21</v>
      </c>
      <c r="K2600">
        <v>7652</v>
      </c>
      <c r="L2600">
        <v>1</v>
      </c>
      <c r="M2600">
        <f>TB[[#This Row],[售价]]*TB[[#This Row],[销量]]</f>
        <v>7652</v>
      </c>
      <c r="N2600" t="str">
        <f>IF(TB[[#This Row],[售价]]&lt;1000,"低价商品",IF(TB[[#This Row],[售价]]&lt;5000,"中价商品",IF(TB[[#This Row],[售价]]&lt;10000,"高价商品","超高价商品")))</f>
        <v>高价商品</v>
      </c>
    </row>
    <row r="2601" spans="1:14" x14ac:dyDescent="0.2">
      <c r="A2601">
        <v>150</v>
      </c>
      <c r="B2601">
        <v>135</v>
      </c>
      <c r="C2601" t="s">
        <v>14</v>
      </c>
      <c r="D2601" t="s">
        <v>282</v>
      </c>
      <c r="E2601" t="s">
        <v>19</v>
      </c>
      <c r="F2601">
        <v>3</v>
      </c>
      <c r="G2601" t="s">
        <v>13</v>
      </c>
      <c r="H2601" s="1">
        <v>45978.892361111109</v>
      </c>
      <c r="I2601" s="5">
        <f>INT(TB[[#This Row],[时间戳]])</f>
        <v>45978</v>
      </c>
      <c r="J2601" s="2">
        <f>HOUR(TB[[#This Row],[时间戳]])</f>
        <v>21</v>
      </c>
      <c r="K2601">
        <v>5123</v>
      </c>
      <c r="L2601">
        <v>2</v>
      </c>
      <c r="M2601">
        <f>TB[[#This Row],[售价]]*TB[[#This Row],[销量]]</f>
        <v>10246</v>
      </c>
      <c r="N2601" t="str">
        <f>IF(TB[[#This Row],[售价]]&lt;1000,"低价商品",IF(TB[[#This Row],[售价]]&lt;5000,"中价商品",IF(TB[[#This Row],[售价]]&lt;10000,"高价商品","超高价商品")))</f>
        <v>高价商品</v>
      </c>
    </row>
    <row r="2602" spans="1:14" x14ac:dyDescent="0.2">
      <c r="A2602">
        <v>174</v>
      </c>
      <c r="B2602">
        <v>188</v>
      </c>
      <c r="C2602" t="s">
        <v>14</v>
      </c>
      <c r="D2602" t="s">
        <v>223</v>
      </c>
      <c r="E2602" t="s">
        <v>22</v>
      </c>
      <c r="F2602">
        <v>1</v>
      </c>
      <c r="G2602" t="s">
        <v>13</v>
      </c>
      <c r="H2602" s="1">
        <v>45978.911111111112</v>
      </c>
      <c r="I2602" s="5">
        <f>INT(TB[[#This Row],[时间戳]])</f>
        <v>45978</v>
      </c>
      <c r="J2602" s="2">
        <f>HOUR(TB[[#This Row],[时间戳]])</f>
        <v>21</v>
      </c>
      <c r="K2602">
        <v>7305</v>
      </c>
      <c r="L2602">
        <v>1</v>
      </c>
      <c r="M2602">
        <f>TB[[#This Row],[售价]]*TB[[#This Row],[销量]]</f>
        <v>7305</v>
      </c>
      <c r="N2602" t="str">
        <f>IF(TB[[#This Row],[售价]]&lt;1000,"低价商品",IF(TB[[#This Row],[售价]]&lt;5000,"中价商品",IF(TB[[#This Row],[售价]]&lt;10000,"高价商品","超高价商品")))</f>
        <v>高价商品</v>
      </c>
    </row>
    <row r="2603" spans="1:14" x14ac:dyDescent="0.2">
      <c r="A2603">
        <v>249</v>
      </c>
      <c r="B2603">
        <v>248</v>
      </c>
      <c r="C2603" t="s">
        <v>34</v>
      </c>
      <c r="D2603" t="s">
        <v>82</v>
      </c>
      <c r="E2603" t="s">
        <v>31</v>
      </c>
      <c r="F2603">
        <v>4</v>
      </c>
      <c r="G2603" t="s">
        <v>13</v>
      </c>
      <c r="H2603" s="1">
        <v>45978.911805555559</v>
      </c>
      <c r="I2603" s="5">
        <f>INT(TB[[#This Row],[时间戳]])</f>
        <v>45978</v>
      </c>
      <c r="J2603" s="2">
        <f>HOUR(TB[[#This Row],[时间戳]])</f>
        <v>21</v>
      </c>
      <c r="K2603">
        <v>1031</v>
      </c>
      <c r="L2603">
        <v>1</v>
      </c>
      <c r="M2603">
        <f>TB[[#This Row],[售价]]*TB[[#This Row],[销量]]</f>
        <v>1031</v>
      </c>
      <c r="N2603" t="str">
        <f>IF(TB[[#This Row],[售价]]&lt;1000,"低价商品",IF(TB[[#This Row],[售价]]&lt;5000,"中价商品",IF(TB[[#This Row],[售价]]&lt;10000,"高价商品","超高价商品")))</f>
        <v>中价商品</v>
      </c>
    </row>
    <row r="2604" spans="1:14" x14ac:dyDescent="0.2">
      <c r="A2604">
        <v>658</v>
      </c>
      <c r="B2604">
        <v>38</v>
      </c>
      <c r="C2604" t="s">
        <v>14</v>
      </c>
      <c r="D2604" t="s">
        <v>145</v>
      </c>
      <c r="E2604" t="s">
        <v>22</v>
      </c>
      <c r="F2604">
        <v>1</v>
      </c>
      <c r="G2604" t="s">
        <v>13</v>
      </c>
      <c r="H2604" s="1">
        <v>45978.9375</v>
      </c>
      <c r="I2604" s="5">
        <f>INT(TB[[#This Row],[时间戳]])</f>
        <v>45978</v>
      </c>
      <c r="J2604" s="2">
        <f>HOUR(TB[[#This Row],[时间戳]])</f>
        <v>22</v>
      </c>
      <c r="K2604">
        <v>2656</v>
      </c>
      <c r="L2604">
        <v>5</v>
      </c>
      <c r="M2604">
        <f>TB[[#This Row],[售价]]*TB[[#This Row],[销量]]</f>
        <v>13280</v>
      </c>
      <c r="N2604" t="str">
        <f>IF(TB[[#This Row],[售价]]&lt;1000,"低价商品",IF(TB[[#This Row],[售价]]&lt;5000,"中价商品",IF(TB[[#This Row],[售价]]&lt;10000,"高价商品","超高价商品")))</f>
        <v>中价商品</v>
      </c>
    </row>
    <row r="2605" spans="1:14" x14ac:dyDescent="0.2">
      <c r="A2605">
        <v>776</v>
      </c>
      <c r="B2605">
        <v>134</v>
      </c>
      <c r="C2605" t="s">
        <v>44</v>
      </c>
      <c r="D2605" t="s">
        <v>415</v>
      </c>
      <c r="E2605" t="s">
        <v>39</v>
      </c>
      <c r="F2605">
        <v>5</v>
      </c>
      <c r="G2605" t="s">
        <v>13</v>
      </c>
      <c r="H2605" s="1">
        <v>45978.944444444445</v>
      </c>
      <c r="I2605" s="5">
        <f>INT(TB[[#This Row],[时间戳]])</f>
        <v>45978</v>
      </c>
      <c r="J2605" s="2">
        <f>HOUR(TB[[#This Row],[时间戳]])</f>
        <v>22</v>
      </c>
      <c r="K2605">
        <v>2839</v>
      </c>
      <c r="L2605">
        <v>2</v>
      </c>
      <c r="M2605">
        <f>TB[[#This Row],[售价]]*TB[[#This Row],[销量]]</f>
        <v>5678</v>
      </c>
      <c r="N2605" t="str">
        <f>IF(TB[[#This Row],[售价]]&lt;1000,"低价商品",IF(TB[[#This Row],[售价]]&lt;5000,"中价商品",IF(TB[[#This Row],[售价]]&lt;10000,"高价商品","超高价商品")))</f>
        <v>中价商品</v>
      </c>
    </row>
    <row r="2606" spans="1:14" x14ac:dyDescent="0.2">
      <c r="A2606">
        <v>462</v>
      </c>
      <c r="B2606">
        <v>133</v>
      </c>
      <c r="C2606" t="s">
        <v>44</v>
      </c>
      <c r="D2606" t="s">
        <v>272</v>
      </c>
      <c r="E2606" t="s">
        <v>16</v>
      </c>
      <c r="F2606">
        <v>6</v>
      </c>
      <c r="G2606" t="s">
        <v>13</v>
      </c>
      <c r="H2606" s="1">
        <v>45978.944444444445</v>
      </c>
      <c r="I2606" s="5">
        <f>INT(TB[[#This Row],[时间戳]])</f>
        <v>45978</v>
      </c>
      <c r="J2606" s="2">
        <f>HOUR(TB[[#This Row],[时间戳]])</f>
        <v>22</v>
      </c>
      <c r="K2606">
        <v>7561</v>
      </c>
      <c r="L2606">
        <v>2</v>
      </c>
      <c r="M2606">
        <f>TB[[#This Row],[售价]]*TB[[#This Row],[销量]]</f>
        <v>15122</v>
      </c>
      <c r="N2606" t="str">
        <f>IF(TB[[#This Row],[售价]]&lt;1000,"低价商品",IF(TB[[#This Row],[售价]]&lt;5000,"中价商品",IF(TB[[#This Row],[售价]]&lt;10000,"高价商品","超高价商品")))</f>
        <v>高价商品</v>
      </c>
    </row>
    <row r="2607" spans="1:14" x14ac:dyDescent="0.2">
      <c r="A2607">
        <v>780</v>
      </c>
      <c r="B2607">
        <v>72</v>
      </c>
      <c r="C2607" t="s">
        <v>46</v>
      </c>
      <c r="D2607" t="s">
        <v>159</v>
      </c>
      <c r="E2607" t="s">
        <v>16</v>
      </c>
      <c r="F2607">
        <v>6</v>
      </c>
      <c r="G2607" t="s">
        <v>13</v>
      </c>
      <c r="H2607" s="1">
        <v>45978.957638888889</v>
      </c>
      <c r="I2607" s="5">
        <f>INT(TB[[#This Row],[时间戳]])</f>
        <v>45978</v>
      </c>
      <c r="J2607" s="2">
        <f>HOUR(TB[[#This Row],[时间戳]])</f>
        <v>22</v>
      </c>
      <c r="K2607">
        <v>11249</v>
      </c>
      <c r="L2607">
        <v>3</v>
      </c>
      <c r="M2607">
        <f>TB[[#This Row],[售价]]*TB[[#This Row],[销量]]</f>
        <v>33747</v>
      </c>
      <c r="N2607" t="str">
        <f>IF(TB[[#This Row],[售价]]&lt;1000,"低价商品",IF(TB[[#This Row],[售价]]&lt;5000,"中价商品",IF(TB[[#This Row],[售价]]&lt;10000,"高价商品","超高价商品")))</f>
        <v>超高价商品</v>
      </c>
    </row>
    <row r="2608" spans="1:14" x14ac:dyDescent="0.2">
      <c r="A2608">
        <v>227</v>
      </c>
      <c r="B2608">
        <v>190</v>
      </c>
      <c r="C2608" t="s">
        <v>36</v>
      </c>
      <c r="D2608" t="s">
        <v>37</v>
      </c>
      <c r="E2608" t="s">
        <v>31</v>
      </c>
      <c r="F2608">
        <v>4</v>
      </c>
      <c r="G2608" t="s">
        <v>42</v>
      </c>
      <c r="H2608" s="1">
        <v>45978.958333333336</v>
      </c>
      <c r="I2608" s="5">
        <f>INT(TB[[#This Row],[时间戳]])</f>
        <v>45978</v>
      </c>
      <c r="J2608" s="2">
        <f>HOUR(TB[[#This Row],[时间戳]])</f>
        <v>23</v>
      </c>
      <c r="K2608">
        <v>420</v>
      </c>
      <c r="L2608">
        <v>0</v>
      </c>
      <c r="M2608">
        <f>TB[[#This Row],[售价]]*TB[[#This Row],[销量]]</f>
        <v>0</v>
      </c>
      <c r="N2608" t="str">
        <f>IF(TB[[#This Row],[售价]]&lt;1000,"低价商品",IF(TB[[#This Row],[售价]]&lt;5000,"中价商品",IF(TB[[#This Row],[售价]]&lt;10000,"高价商品","超高价商品")))</f>
        <v>低价商品</v>
      </c>
    </row>
    <row r="2609" spans="1:14" x14ac:dyDescent="0.2">
      <c r="A2609">
        <v>734</v>
      </c>
      <c r="B2609">
        <v>82</v>
      </c>
      <c r="C2609" t="s">
        <v>36</v>
      </c>
      <c r="D2609" t="s">
        <v>112</v>
      </c>
      <c r="E2609" t="s">
        <v>22</v>
      </c>
      <c r="F2609">
        <v>1</v>
      </c>
      <c r="G2609" t="s">
        <v>42</v>
      </c>
      <c r="H2609" s="1">
        <v>45978.964583333334</v>
      </c>
      <c r="I2609" s="5">
        <f>INT(TB[[#This Row],[时间戳]])</f>
        <v>45978</v>
      </c>
      <c r="J2609" s="2">
        <f>HOUR(TB[[#This Row],[时间戳]])</f>
        <v>23</v>
      </c>
      <c r="K2609">
        <v>5601</v>
      </c>
      <c r="L2609">
        <v>0</v>
      </c>
      <c r="M2609">
        <f>TB[[#This Row],[售价]]*TB[[#This Row],[销量]]</f>
        <v>0</v>
      </c>
      <c r="N2609" t="str">
        <f>IF(TB[[#This Row],[售价]]&lt;1000,"低价商品",IF(TB[[#This Row],[售价]]&lt;5000,"中价商品",IF(TB[[#This Row],[售价]]&lt;10000,"高价商品","超高价商品")))</f>
        <v>高价商品</v>
      </c>
    </row>
    <row r="2610" spans="1:14" x14ac:dyDescent="0.2">
      <c r="A2610">
        <v>731</v>
      </c>
      <c r="B2610">
        <v>226</v>
      </c>
      <c r="C2610" t="s">
        <v>36</v>
      </c>
      <c r="D2610" t="s">
        <v>265</v>
      </c>
      <c r="E2610" t="s">
        <v>31</v>
      </c>
      <c r="F2610">
        <v>4</v>
      </c>
      <c r="G2610" t="s">
        <v>13</v>
      </c>
      <c r="H2610" s="1">
        <v>45978.986805555556</v>
      </c>
      <c r="I2610" s="5">
        <f>INT(TB[[#This Row],[时间戳]])</f>
        <v>45978</v>
      </c>
      <c r="J2610" s="2">
        <f>HOUR(TB[[#This Row],[时间戳]])</f>
        <v>23</v>
      </c>
      <c r="K2610">
        <v>1336</v>
      </c>
      <c r="L2610">
        <v>2</v>
      </c>
      <c r="M2610">
        <f>TB[[#This Row],[售价]]*TB[[#This Row],[销量]]</f>
        <v>2672</v>
      </c>
      <c r="N2610" t="str">
        <f>IF(TB[[#This Row],[售价]]&lt;1000,"低价商品",IF(TB[[#This Row],[售价]]&lt;5000,"中价商品",IF(TB[[#This Row],[售价]]&lt;10000,"高价商品","超高价商品")))</f>
        <v>中价商品</v>
      </c>
    </row>
    <row r="2611" spans="1:14" x14ac:dyDescent="0.2">
      <c r="A2611">
        <v>623</v>
      </c>
      <c r="B2611">
        <v>150</v>
      </c>
      <c r="C2611" t="s">
        <v>26</v>
      </c>
      <c r="D2611" t="s">
        <v>229</v>
      </c>
      <c r="E2611" t="s">
        <v>16</v>
      </c>
      <c r="F2611">
        <v>6</v>
      </c>
      <c r="G2611" t="s">
        <v>13</v>
      </c>
      <c r="H2611" s="1">
        <v>45978.988194444442</v>
      </c>
      <c r="I2611" s="5">
        <f>INT(TB[[#This Row],[时间戳]])</f>
        <v>45978</v>
      </c>
      <c r="J2611" s="2">
        <f>HOUR(TB[[#This Row],[时间戳]])</f>
        <v>23</v>
      </c>
      <c r="K2611">
        <v>6710</v>
      </c>
      <c r="L2611">
        <v>2</v>
      </c>
      <c r="M2611">
        <f>TB[[#This Row],[售价]]*TB[[#This Row],[销量]]</f>
        <v>13420</v>
      </c>
      <c r="N2611" t="str">
        <f>IF(TB[[#This Row],[售价]]&lt;1000,"低价商品",IF(TB[[#This Row],[售价]]&lt;5000,"中价商品",IF(TB[[#This Row],[售价]]&lt;10000,"高价商品","超高价商品")))</f>
        <v>高价商品</v>
      </c>
    </row>
    <row r="2612" spans="1:14" x14ac:dyDescent="0.2">
      <c r="A2612">
        <v>217</v>
      </c>
      <c r="B2612">
        <v>299</v>
      </c>
      <c r="C2612" t="s">
        <v>32</v>
      </c>
      <c r="D2612" t="s">
        <v>286</v>
      </c>
      <c r="E2612" t="s">
        <v>22</v>
      </c>
      <c r="F2612">
        <v>1</v>
      </c>
      <c r="G2612" t="s">
        <v>13</v>
      </c>
      <c r="H2612" s="1">
        <v>45979.021527777775</v>
      </c>
      <c r="I2612" s="5">
        <f>INT(TB[[#This Row],[时间戳]])</f>
        <v>45979</v>
      </c>
      <c r="J2612" s="2">
        <f>HOUR(TB[[#This Row],[时间戳]])</f>
        <v>0</v>
      </c>
      <c r="K2612">
        <v>4078</v>
      </c>
      <c r="L2612">
        <v>3</v>
      </c>
      <c r="M2612">
        <f>TB[[#This Row],[售价]]*TB[[#This Row],[销量]]</f>
        <v>12234</v>
      </c>
      <c r="N2612" t="str">
        <f>IF(TB[[#This Row],[售价]]&lt;1000,"低价商品",IF(TB[[#This Row],[售价]]&lt;5000,"中价商品",IF(TB[[#This Row],[售价]]&lt;10000,"高价商品","超高价商品")))</f>
        <v>中价商品</v>
      </c>
    </row>
    <row r="2613" spans="1:14" x14ac:dyDescent="0.2">
      <c r="A2613">
        <v>266</v>
      </c>
      <c r="B2613">
        <v>187</v>
      </c>
      <c r="C2613" t="s">
        <v>46</v>
      </c>
      <c r="D2613" t="s">
        <v>332</v>
      </c>
      <c r="E2613" t="s">
        <v>19</v>
      </c>
      <c r="F2613">
        <v>3</v>
      </c>
      <c r="G2613" t="s">
        <v>13</v>
      </c>
      <c r="H2613" s="1">
        <v>45979.022222222222</v>
      </c>
      <c r="I2613" s="5">
        <f>INT(TB[[#This Row],[时间戳]])</f>
        <v>45979</v>
      </c>
      <c r="J2613" s="2">
        <f>HOUR(TB[[#This Row],[时间戳]])</f>
        <v>0</v>
      </c>
      <c r="K2613">
        <v>3856</v>
      </c>
      <c r="L2613">
        <v>4</v>
      </c>
      <c r="M2613">
        <f>TB[[#This Row],[售价]]*TB[[#This Row],[销量]]</f>
        <v>15424</v>
      </c>
      <c r="N2613" t="str">
        <f>IF(TB[[#This Row],[售价]]&lt;1000,"低价商品",IF(TB[[#This Row],[售价]]&lt;5000,"中价商品",IF(TB[[#This Row],[售价]]&lt;10000,"高价商品","超高价商品")))</f>
        <v>中价商品</v>
      </c>
    </row>
    <row r="2614" spans="1:14" x14ac:dyDescent="0.2">
      <c r="A2614">
        <v>489</v>
      </c>
      <c r="B2614">
        <v>88</v>
      </c>
      <c r="C2614" t="s">
        <v>20</v>
      </c>
      <c r="D2614" t="s">
        <v>259</v>
      </c>
      <c r="E2614" t="s">
        <v>16</v>
      </c>
      <c r="F2614">
        <v>6</v>
      </c>
      <c r="G2614" t="s">
        <v>13</v>
      </c>
      <c r="H2614" s="1">
        <v>45979.027083333334</v>
      </c>
      <c r="I2614" s="5">
        <f>INT(TB[[#This Row],[时间戳]])</f>
        <v>45979</v>
      </c>
      <c r="J2614" s="2">
        <f>HOUR(TB[[#This Row],[时间戳]])</f>
        <v>0</v>
      </c>
      <c r="K2614">
        <v>10513</v>
      </c>
      <c r="L2614">
        <v>2</v>
      </c>
      <c r="M2614">
        <f>TB[[#This Row],[售价]]*TB[[#This Row],[销量]]</f>
        <v>21026</v>
      </c>
      <c r="N2614" t="str">
        <f>IF(TB[[#This Row],[售价]]&lt;1000,"低价商品",IF(TB[[#This Row],[售价]]&lt;5000,"中价商品",IF(TB[[#This Row],[售价]]&lt;10000,"高价商品","超高价商品")))</f>
        <v>超高价商品</v>
      </c>
    </row>
    <row r="2615" spans="1:14" x14ac:dyDescent="0.2">
      <c r="A2615">
        <v>514</v>
      </c>
      <c r="B2615">
        <v>161</v>
      </c>
      <c r="C2615" t="s">
        <v>26</v>
      </c>
      <c r="D2615" t="s">
        <v>48</v>
      </c>
      <c r="E2615" t="s">
        <v>31</v>
      </c>
      <c r="F2615">
        <v>4</v>
      </c>
      <c r="G2615" t="s">
        <v>13</v>
      </c>
      <c r="H2615" s="1">
        <v>45979.052083333336</v>
      </c>
      <c r="I2615" s="5">
        <f>INT(TB[[#This Row],[时间戳]])</f>
        <v>45979</v>
      </c>
      <c r="J2615" s="2">
        <f>HOUR(TB[[#This Row],[时间戳]])</f>
        <v>1</v>
      </c>
      <c r="K2615">
        <v>883</v>
      </c>
      <c r="L2615">
        <v>2</v>
      </c>
      <c r="M2615">
        <f>TB[[#This Row],[售价]]*TB[[#This Row],[销量]]</f>
        <v>1766</v>
      </c>
      <c r="N2615" t="str">
        <f>IF(TB[[#This Row],[售价]]&lt;1000,"低价商品",IF(TB[[#This Row],[售价]]&lt;5000,"中价商品",IF(TB[[#This Row],[售价]]&lt;10000,"高价商品","超高价商品")))</f>
        <v>低价商品</v>
      </c>
    </row>
    <row r="2616" spans="1:14" x14ac:dyDescent="0.2">
      <c r="A2616">
        <v>664</v>
      </c>
      <c r="B2616">
        <v>87</v>
      </c>
      <c r="C2616" t="s">
        <v>17</v>
      </c>
      <c r="D2616" t="s">
        <v>177</v>
      </c>
      <c r="E2616" t="s">
        <v>22</v>
      </c>
      <c r="F2616">
        <v>1</v>
      </c>
      <c r="G2616" t="s">
        <v>13</v>
      </c>
      <c r="H2616" s="1">
        <v>45979.059027777781</v>
      </c>
      <c r="I2616" s="5">
        <f>INT(TB[[#This Row],[时间戳]])</f>
        <v>45979</v>
      </c>
      <c r="J2616" s="2">
        <f>HOUR(TB[[#This Row],[时间戳]])</f>
        <v>1</v>
      </c>
      <c r="K2616">
        <v>5278</v>
      </c>
      <c r="L2616">
        <v>1</v>
      </c>
      <c r="M2616">
        <f>TB[[#This Row],[售价]]*TB[[#This Row],[销量]]</f>
        <v>5278</v>
      </c>
      <c r="N2616" t="str">
        <f>IF(TB[[#This Row],[售价]]&lt;1000,"低价商品",IF(TB[[#This Row],[售价]]&lt;5000,"中价商品",IF(TB[[#This Row],[售价]]&lt;10000,"高价商品","超高价商品")))</f>
        <v>高价商品</v>
      </c>
    </row>
    <row r="2617" spans="1:14" x14ac:dyDescent="0.2">
      <c r="A2617">
        <v>389</v>
      </c>
      <c r="B2617">
        <v>8</v>
      </c>
      <c r="C2617" t="s">
        <v>26</v>
      </c>
      <c r="D2617" t="s">
        <v>95</v>
      </c>
      <c r="E2617" t="s">
        <v>22</v>
      </c>
      <c r="F2617">
        <v>1</v>
      </c>
      <c r="G2617" t="s">
        <v>13</v>
      </c>
      <c r="H2617" s="1">
        <v>45979.061111111114</v>
      </c>
      <c r="I2617" s="5">
        <f>INT(TB[[#This Row],[时间戳]])</f>
        <v>45979</v>
      </c>
      <c r="J2617" s="2">
        <f>HOUR(TB[[#This Row],[时间戳]])</f>
        <v>1</v>
      </c>
      <c r="K2617">
        <v>5348</v>
      </c>
      <c r="L2617">
        <v>1</v>
      </c>
      <c r="M2617">
        <f>TB[[#This Row],[售价]]*TB[[#This Row],[销量]]</f>
        <v>5348</v>
      </c>
      <c r="N2617" t="str">
        <f>IF(TB[[#This Row],[售价]]&lt;1000,"低价商品",IF(TB[[#This Row],[售价]]&lt;5000,"中价商品",IF(TB[[#This Row],[售价]]&lt;10000,"高价商品","超高价商品")))</f>
        <v>高价商品</v>
      </c>
    </row>
    <row r="2618" spans="1:14" x14ac:dyDescent="0.2">
      <c r="A2618">
        <v>317</v>
      </c>
      <c r="B2618">
        <v>106</v>
      </c>
      <c r="C2618" t="s">
        <v>34</v>
      </c>
      <c r="D2618" t="s">
        <v>82</v>
      </c>
      <c r="E2618" t="s">
        <v>31</v>
      </c>
      <c r="F2618">
        <v>4</v>
      </c>
      <c r="G2618" t="s">
        <v>13</v>
      </c>
      <c r="H2618" s="1">
        <v>45979.069444444445</v>
      </c>
      <c r="I2618" s="5">
        <f>INT(TB[[#This Row],[时间戳]])</f>
        <v>45979</v>
      </c>
      <c r="J2618" s="2">
        <f>HOUR(TB[[#This Row],[时间戳]])</f>
        <v>1</v>
      </c>
      <c r="K2618">
        <v>1252</v>
      </c>
      <c r="L2618">
        <v>3</v>
      </c>
      <c r="M2618">
        <f>TB[[#This Row],[售价]]*TB[[#This Row],[销量]]</f>
        <v>3756</v>
      </c>
      <c r="N2618" t="str">
        <f>IF(TB[[#This Row],[售价]]&lt;1000,"低价商品",IF(TB[[#This Row],[售价]]&lt;5000,"中价商品",IF(TB[[#This Row],[售价]]&lt;10000,"高价商品","超高价商品")))</f>
        <v>中价商品</v>
      </c>
    </row>
    <row r="2619" spans="1:14" x14ac:dyDescent="0.2">
      <c r="A2619">
        <v>797</v>
      </c>
      <c r="B2619">
        <v>62</v>
      </c>
      <c r="C2619" t="s">
        <v>36</v>
      </c>
      <c r="D2619" t="s">
        <v>123</v>
      </c>
      <c r="E2619" t="s">
        <v>31</v>
      </c>
      <c r="F2619">
        <v>4</v>
      </c>
      <c r="G2619" t="s">
        <v>13</v>
      </c>
      <c r="H2619" s="1">
        <v>45979.074999999997</v>
      </c>
      <c r="I2619" s="5">
        <f>INT(TB[[#This Row],[时间戳]])</f>
        <v>45979</v>
      </c>
      <c r="J2619" s="2">
        <f>HOUR(TB[[#This Row],[时间戳]])</f>
        <v>1</v>
      </c>
      <c r="K2619">
        <v>385</v>
      </c>
      <c r="L2619">
        <v>3</v>
      </c>
      <c r="M2619">
        <f>TB[[#This Row],[售价]]*TB[[#This Row],[销量]]</f>
        <v>1155</v>
      </c>
      <c r="N2619" t="str">
        <f>IF(TB[[#This Row],[售价]]&lt;1000,"低价商品",IF(TB[[#This Row],[售价]]&lt;5000,"中价商品",IF(TB[[#This Row],[售价]]&lt;10000,"高价商品","超高价商品")))</f>
        <v>低价商品</v>
      </c>
    </row>
    <row r="2620" spans="1:14" x14ac:dyDescent="0.2">
      <c r="A2620">
        <v>471</v>
      </c>
      <c r="B2620">
        <v>292</v>
      </c>
      <c r="C2620" t="s">
        <v>34</v>
      </c>
      <c r="D2620" t="s">
        <v>57</v>
      </c>
      <c r="E2620" t="s">
        <v>12</v>
      </c>
      <c r="F2620">
        <v>2</v>
      </c>
      <c r="G2620" t="s">
        <v>13</v>
      </c>
      <c r="H2620" s="1">
        <v>45979.109027777777</v>
      </c>
      <c r="I2620" s="5">
        <f>INT(TB[[#This Row],[时间戳]])</f>
        <v>45979</v>
      </c>
      <c r="J2620" s="2">
        <f>HOUR(TB[[#This Row],[时间戳]])</f>
        <v>2</v>
      </c>
      <c r="K2620">
        <v>14549</v>
      </c>
      <c r="L2620">
        <v>2</v>
      </c>
      <c r="M2620">
        <f>TB[[#This Row],[售价]]*TB[[#This Row],[销量]]</f>
        <v>29098</v>
      </c>
      <c r="N2620" t="str">
        <f>IF(TB[[#This Row],[售价]]&lt;1000,"低价商品",IF(TB[[#This Row],[售价]]&lt;5000,"中价商品",IF(TB[[#This Row],[售价]]&lt;10000,"高价商品","超高价商品")))</f>
        <v>超高价商品</v>
      </c>
    </row>
    <row r="2621" spans="1:14" x14ac:dyDescent="0.2">
      <c r="A2621">
        <v>760</v>
      </c>
      <c r="B2621">
        <v>104</v>
      </c>
      <c r="C2621" t="s">
        <v>20</v>
      </c>
      <c r="D2621" t="s">
        <v>340</v>
      </c>
      <c r="E2621" t="s">
        <v>19</v>
      </c>
      <c r="F2621">
        <v>3</v>
      </c>
      <c r="G2621" t="s">
        <v>13</v>
      </c>
      <c r="H2621" s="1">
        <v>45979.115972222222</v>
      </c>
      <c r="I2621" s="5">
        <f>INT(TB[[#This Row],[时间戳]])</f>
        <v>45979</v>
      </c>
      <c r="J2621" s="2">
        <f>HOUR(TB[[#This Row],[时间戳]])</f>
        <v>2</v>
      </c>
      <c r="K2621">
        <v>1781</v>
      </c>
      <c r="L2621">
        <v>1</v>
      </c>
      <c r="M2621">
        <f>TB[[#This Row],[售价]]*TB[[#This Row],[销量]]</f>
        <v>1781</v>
      </c>
      <c r="N2621" t="str">
        <f>IF(TB[[#This Row],[售价]]&lt;1000,"低价商品",IF(TB[[#This Row],[售价]]&lt;5000,"中价商品",IF(TB[[#This Row],[售价]]&lt;10000,"高价商品","超高价商品")))</f>
        <v>中价商品</v>
      </c>
    </row>
    <row r="2622" spans="1:14" x14ac:dyDescent="0.2">
      <c r="A2622">
        <v>642</v>
      </c>
      <c r="B2622">
        <v>51</v>
      </c>
      <c r="C2622" t="s">
        <v>10</v>
      </c>
      <c r="D2622" t="s">
        <v>183</v>
      </c>
      <c r="E2622" t="s">
        <v>22</v>
      </c>
      <c r="F2622">
        <v>1</v>
      </c>
      <c r="G2622" t="s">
        <v>13</v>
      </c>
      <c r="H2622" s="1">
        <v>45979.144444444442</v>
      </c>
      <c r="I2622" s="5">
        <f>INT(TB[[#This Row],[时间戳]])</f>
        <v>45979</v>
      </c>
      <c r="J2622" s="2">
        <f>HOUR(TB[[#This Row],[时间戳]])</f>
        <v>3</v>
      </c>
      <c r="K2622">
        <v>4118</v>
      </c>
      <c r="L2622">
        <v>2</v>
      </c>
      <c r="M2622">
        <f>TB[[#This Row],[售价]]*TB[[#This Row],[销量]]</f>
        <v>8236</v>
      </c>
      <c r="N2622" t="str">
        <f>IF(TB[[#This Row],[售价]]&lt;1000,"低价商品",IF(TB[[#This Row],[售价]]&lt;5000,"中价商品",IF(TB[[#This Row],[售价]]&lt;10000,"高价商品","超高价商品")))</f>
        <v>中价商品</v>
      </c>
    </row>
    <row r="2623" spans="1:14" x14ac:dyDescent="0.2">
      <c r="A2623">
        <v>567</v>
      </c>
      <c r="B2623">
        <v>274</v>
      </c>
      <c r="C2623" t="s">
        <v>14</v>
      </c>
      <c r="D2623" t="s">
        <v>228</v>
      </c>
      <c r="E2623" t="s">
        <v>31</v>
      </c>
      <c r="F2623">
        <v>4</v>
      </c>
      <c r="G2623" t="s">
        <v>13</v>
      </c>
      <c r="H2623" s="1">
        <v>45979.185416666667</v>
      </c>
      <c r="I2623" s="5">
        <f>INT(TB[[#This Row],[时间戳]])</f>
        <v>45979</v>
      </c>
      <c r="J2623" s="2">
        <f>HOUR(TB[[#This Row],[时间戳]])</f>
        <v>4</v>
      </c>
      <c r="K2623">
        <v>783</v>
      </c>
      <c r="L2623">
        <v>1</v>
      </c>
      <c r="M2623">
        <f>TB[[#This Row],[售价]]*TB[[#This Row],[销量]]</f>
        <v>783</v>
      </c>
      <c r="N2623" t="str">
        <f>IF(TB[[#This Row],[售价]]&lt;1000,"低价商品",IF(TB[[#This Row],[售价]]&lt;5000,"中价商品",IF(TB[[#This Row],[售价]]&lt;10000,"高价商品","超高价商品")))</f>
        <v>低价商品</v>
      </c>
    </row>
    <row r="2624" spans="1:14" x14ac:dyDescent="0.2">
      <c r="A2624">
        <v>581</v>
      </c>
      <c r="B2624">
        <v>268</v>
      </c>
      <c r="C2624" t="s">
        <v>10</v>
      </c>
      <c r="D2624" t="s">
        <v>351</v>
      </c>
      <c r="E2624" t="s">
        <v>31</v>
      </c>
      <c r="F2624">
        <v>4</v>
      </c>
      <c r="G2624" t="s">
        <v>13</v>
      </c>
      <c r="H2624" s="1">
        <v>45979.195833333331</v>
      </c>
      <c r="I2624" s="5">
        <f>INT(TB[[#This Row],[时间戳]])</f>
        <v>45979</v>
      </c>
      <c r="J2624" s="2">
        <f>HOUR(TB[[#This Row],[时间戳]])</f>
        <v>4</v>
      </c>
      <c r="K2624">
        <v>991</v>
      </c>
      <c r="L2624">
        <v>2</v>
      </c>
      <c r="M2624">
        <f>TB[[#This Row],[售价]]*TB[[#This Row],[销量]]</f>
        <v>1982</v>
      </c>
      <c r="N2624" t="str">
        <f>IF(TB[[#This Row],[售价]]&lt;1000,"低价商品",IF(TB[[#This Row],[售价]]&lt;5000,"中价商品",IF(TB[[#This Row],[售价]]&lt;10000,"高价商品","超高价商品")))</f>
        <v>低价商品</v>
      </c>
    </row>
    <row r="2625" spans="1:14" x14ac:dyDescent="0.2">
      <c r="A2625">
        <v>707</v>
      </c>
      <c r="B2625">
        <v>126</v>
      </c>
      <c r="C2625" t="s">
        <v>36</v>
      </c>
      <c r="D2625" t="s">
        <v>317</v>
      </c>
      <c r="E2625" t="s">
        <v>19</v>
      </c>
      <c r="F2625">
        <v>3</v>
      </c>
      <c r="G2625" t="s">
        <v>13</v>
      </c>
      <c r="H2625" s="1">
        <v>45979.240277777775</v>
      </c>
      <c r="I2625" s="5">
        <f>INT(TB[[#This Row],[时间戳]])</f>
        <v>45979</v>
      </c>
      <c r="J2625" s="2">
        <f>HOUR(TB[[#This Row],[时间戳]])</f>
        <v>5</v>
      </c>
      <c r="K2625">
        <v>3456</v>
      </c>
      <c r="L2625">
        <v>3</v>
      </c>
      <c r="M2625">
        <f>TB[[#This Row],[售价]]*TB[[#This Row],[销量]]</f>
        <v>10368</v>
      </c>
      <c r="N2625" t="str">
        <f>IF(TB[[#This Row],[售价]]&lt;1000,"低价商品",IF(TB[[#This Row],[售价]]&lt;5000,"中价商品",IF(TB[[#This Row],[售价]]&lt;10000,"高价商品","超高价商品")))</f>
        <v>中价商品</v>
      </c>
    </row>
    <row r="2626" spans="1:14" x14ac:dyDescent="0.2">
      <c r="A2626">
        <v>42</v>
      </c>
      <c r="B2626">
        <v>137</v>
      </c>
      <c r="C2626" t="s">
        <v>44</v>
      </c>
      <c r="D2626" t="s">
        <v>143</v>
      </c>
      <c r="E2626" t="s">
        <v>19</v>
      </c>
      <c r="F2626">
        <v>3</v>
      </c>
      <c r="G2626" t="s">
        <v>13</v>
      </c>
      <c r="H2626" s="1">
        <v>45979.249305555553</v>
      </c>
      <c r="I2626" s="5">
        <f>INT(TB[[#This Row],[时间戳]])</f>
        <v>45979</v>
      </c>
      <c r="J2626" s="2">
        <f>HOUR(TB[[#This Row],[时间戳]])</f>
        <v>5</v>
      </c>
      <c r="K2626">
        <v>3523</v>
      </c>
      <c r="L2626">
        <v>1</v>
      </c>
      <c r="M2626">
        <f>TB[[#This Row],[售价]]*TB[[#This Row],[销量]]</f>
        <v>3523</v>
      </c>
      <c r="N2626" t="str">
        <f>IF(TB[[#This Row],[售价]]&lt;1000,"低价商品",IF(TB[[#This Row],[售价]]&lt;5000,"中价商品",IF(TB[[#This Row],[售价]]&lt;10000,"高价商品","超高价商品")))</f>
        <v>中价商品</v>
      </c>
    </row>
    <row r="2627" spans="1:14" x14ac:dyDescent="0.2">
      <c r="A2627">
        <v>751</v>
      </c>
      <c r="B2627">
        <v>33</v>
      </c>
      <c r="C2627" t="s">
        <v>14</v>
      </c>
      <c r="D2627" t="s">
        <v>43</v>
      </c>
      <c r="E2627" t="s">
        <v>31</v>
      </c>
      <c r="F2627">
        <v>4</v>
      </c>
      <c r="G2627" t="s">
        <v>42</v>
      </c>
      <c r="H2627" s="1">
        <v>45979.310416666667</v>
      </c>
      <c r="I2627" s="5">
        <f>INT(TB[[#This Row],[时间戳]])</f>
        <v>45979</v>
      </c>
      <c r="J2627" s="2">
        <f>HOUR(TB[[#This Row],[时间戳]])</f>
        <v>7</v>
      </c>
      <c r="K2627">
        <v>1122</v>
      </c>
      <c r="L2627">
        <v>0</v>
      </c>
      <c r="M2627">
        <f>TB[[#This Row],[售价]]*TB[[#This Row],[销量]]</f>
        <v>0</v>
      </c>
      <c r="N2627" t="str">
        <f>IF(TB[[#This Row],[售价]]&lt;1000,"低价商品",IF(TB[[#This Row],[售价]]&lt;5000,"中价商品",IF(TB[[#This Row],[售价]]&lt;10000,"高价商品","超高价商品")))</f>
        <v>中价商品</v>
      </c>
    </row>
    <row r="2628" spans="1:14" x14ac:dyDescent="0.2">
      <c r="A2628">
        <v>213</v>
      </c>
      <c r="B2628">
        <v>117</v>
      </c>
      <c r="C2628" t="s">
        <v>36</v>
      </c>
      <c r="D2628" t="s">
        <v>406</v>
      </c>
      <c r="E2628" t="s">
        <v>16</v>
      </c>
      <c r="F2628">
        <v>6</v>
      </c>
      <c r="G2628" t="s">
        <v>13</v>
      </c>
      <c r="H2628" s="1">
        <v>45979.311805555553</v>
      </c>
      <c r="I2628" s="5">
        <f>INT(TB[[#This Row],[时间戳]])</f>
        <v>45979</v>
      </c>
      <c r="J2628" s="2">
        <f>HOUR(TB[[#This Row],[时间戳]])</f>
        <v>7</v>
      </c>
      <c r="K2628">
        <v>4238</v>
      </c>
      <c r="L2628">
        <v>2</v>
      </c>
      <c r="M2628">
        <f>TB[[#This Row],[售价]]*TB[[#This Row],[销量]]</f>
        <v>8476</v>
      </c>
      <c r="N2628" t="str">
        <f>IF(TB[[#This Row],[售价]]&lt;1000,"低价商品",IF(TB[[#This Row],[售价]]&lt;5000,"中价商品",IF(TB[[#This Row],[售价]]&lt;10000,"高价商品","超高价商品")))</f>
        <v>中价商品</v>
      </c>
    </row>
    <row r="2629" spans="1:14" x14ac:dyDescent="0.2">
      <c r="A2629">
        <v>476</v>
      </c>
      <c r="B2629">
        <v>51</v>
      </c>
      <c r="C2629" t="s">
        <v>46</v>
      </c>
      <c r="D2629" t="s">
        <v>47</v>
      </c>
      <c r="E2629" t="s">
        <v>22</v>
      </c>
      <c r="F2629">
        <v>1</v>
      </c>
      <c r="G2629" t="s">
        <v>13</v>
      </c>
      <c r="H2629" s="1">
        <v>45979.333333333336</v>
      </c>
      <c r="I2629" s="5">
        <f>INT(TB[[#This Row],[时间戳]])</f>
        <v>45979</v>
      </c>
      <c r="J2629" s="2">
        <f>HOUR(TB[[#This Row],[时间戳]])</f>
        <v>8</v>
      </c>
      <c r="K2629">
        <v>3097</v>
      </c>
      <c r="L2629">
        <v>3</v>
      </c>
      <c r="M2629">
        <f>TB[[#This Row],[售价]]*TB[[#This Row],[销量]]</f>
        <v>9291</v>
      </c>
      <c r="N2629" t="str">
        <f>IF(TB[[#This Row],[售价]]&lt;1000,"低价商品",IF(TB[[#This Row],[售价]]&lt;5000,"中价商品",IF(TB[[#This Row],[售价]]&lt;10000,"高价商品","超高价商品")))</f>
        <v>中价商品</v>
      </c>
    </row>
    <row r="2630" spans="1:14" x14ac:dyDescent="0.2">
      <c r="A2630">
        <v>650</v>
      </c>
      <c r="B2630">
        <v>38</v>
      </c>
      <c r="C2630" t="s">
        <v>10</v>
      </c>
      <c r="D2630" t="s">
        <v>96</v>
      </c>
      <c r="E2630" t="s">
        <v>22</v>
      </c>
      <c r="F2630">
        <v>1</v>
      </c>
      <c r="G2630" t="s">
        <v>13</v>
      </c>
      <c r="H2630" s="1">
        <v>45979.345833333333</v>
      </c>
      <c r="I2630" s="5">
        <f>INT(TB[[#This Row],[时间戳]])</f>
        <v>45979</v>
      </c>
      <c r="J2630" s="2">
        <f>HOUR(TB[[#This Row],[时间戳]])</f>
        <v>8</v>
      </c>
      <c r="K2630">
        <v>5598</v>
      </c>
      <c r="L2630">
        <v>3</v>
      </c>
      <c r="M2630">
        <f>TB[[#This Row],[售价]]*TB[[#This Row],[销量]]</f>
        <v>16794</v>
      </c>
      <c r="N2630" t="str">
        <f>IF(TB[[#This Row],[售价]]&lt;1000,"低价商品",IF(TB[[#This Row],[售价]]&lt;5000,"中价商品",IF(TB[[#This Row],[售价]]&lt;10000,"高价商品","超高价商品")))</f>
        <v>高价商品</v>
      </c>
    </row>
    <row r="2631" spans="1:14" x14ac:dyDescent="0.2">
      <c r="A2631">
        <v>86</v>
      </c>
      <c r="B2631">
        <v>244</v>
      </c>
      <c r="C2631" t="s">
        <v>14</v>
      </c>
      <c r="D2631" t="s">
        <v>202</v>
      </c>
      <c r="E2631" t="s">
        <v>31</v>
      </c>
      <c r="F2631">
        <v>4</v>
      </c>
      <c r="G2631" t="s">
        <v>13</v>
      </c>
      <c r="H2631" s="1">
        <v>45979.354861111111</v>
      </c>
      <c r="I2631" s="5">
        <f>INT(TB[[#This Row],[时间戳]])</f>
        <v>45979</v>
      </c>
      <c r="J2631" s="2">
        <f>HOUR(TB[[#This Row],[时间戳]])</f>
        <v>8</v>
      </c>
      <c r="K2631">
        <v>496</v>
      </c>
      <c r="L2631">
        <v>1</v>
      </c>
      <c r="M2631">
        <f>TB[[#This Row],[售价]]*TB[[#This Row],[销量]]</f>
        <v>496</v>
      </c>
      <c r="N2631" t="str">
        <f>IF(TB[[#This Row],[售价]]&lt;1000,"低价商品",IF(TB[[#This Row],[售价]]&lt;5000,"中价商品",IF(TB[[#This Row],[售价]]&lt;10000,"高价商品","超高价商品")))</f>
        <v>低价商品</v>
      </c>
    </row>
    <row r="2632" spans="1:14" x14ac:dyDescent="0.2">
      <c r="A2632">
        <v>221</v>
      </c>
      <c r="B2632">
        <v>250</v>
      </c>
      <c r="C2632" t="s">
        <v>20</v>
      </c>
      <c r="D2632" t="s">
        <v>399</v>
      </c>
      <c r="E2632" t="s">
        <v>31</v>
      </c>
      <c r="F2632">
        <v>4</v>
      </c>
      <c r="G2632" t="s">
        <v>13</v>
      </c>
      <c r="H2632" s="1">
        <v>45979.372916666667</v>
      </c>
      <c r="I2632" s="5">
        <f>INT(TB[[#This Row],[时间戳]])</f>
        <v>45979</v>
      </c>
      <c r="J2632" s="2">
        <f>HOUR(TB[[#This Row],[时间戳]])</f>
        <v>8</v>
      </c>
      <c r="K2632">
        <v>305</v>
      </c>
      <c r="L2632">
        <v>1</v>
      </c>
      <c r="M2632">
        <f>TB[[#This Row],[售价]]*TB[[#This Row],[销量]]</f>
        <v>305</v>
      </c>
      <c r="N2632" t="str">
        <f>IF(TB[[#This Row],[售价]]&lt;1000,"低价商品",IF(TB[[#This Row],[售价]]&lt;5000,"中价商品",IF(TB[[#This Row],[售价]]&lt;10000,"高价商品","超高价商品")))</f>
        <v>低价商品</v>
      </c>
    </row>
    <row r="2633" spans="1:14" x14ac:dyDescent="0.2">
      <c r="A2633">
        <v>441</v>
      </c>
      <c r="B2633">
        <v>58</v>
      </c>
      <c r="C2633" t="s">
        <v>10</v>
      </c>
      <c r="D2633" t="s">
        <v>352</v>
      </c>
      <c r="E2633" t="s">
        <v>12</v>
      </c>
      <c r="F2633">
        <v>2</v>
      </c>
      <c r="G2633" t="s">
        <v>13</v>
      </c>
      <c r="H2633" s="1">
        <v>45979.395833333336</v>
      </c>
      <c r="I2633" s="5">
        <f>INT(TB[[#This Row],[时间戳]])</f>
        <v>45979</v>
      </c>
      <c r="J2633" s="2">
        <f>HOUR(TB[[#This Row],[时间戳]])</f>
        <v>9</v>
      </c>
      <c r="K2633">
        <v>9005</v>
      </c>
      <c r="L2633">
        <v>3</v>
      </c>
      <c r="M2633">
        <f>TB[[#This Row],[售价]]*TB[[#This Row],[销量]]</f>
        <v>27015</v>
      </c>
      <c r="N2633" t="str">
        <f>IF(TB[[#This Row],[售价]]&lt;1000,"低价商品",IF(TB[[#This Row],[售价]]&lt;5000,"中价商品",IF(TB[[#This Row],[售价]]&lt;10000,"高价商品","超高价商品")))</f>
        <v>高价商品</v>
      </c>
    </row>
    <row r="2634" spans="1:14" x14ac:dyDescent="0.2">
      <c r="A2634">
        <v>651</v>
      </c>
      <c r="B2634">
        <v>234</v>
      </c>
      <c r="C2634" t="s">
        <v>32</v>
      </c>
      <c r="D2634" t="s">
        <v>63</v>
      </c>
      <c r="E2634" t="s">
        <v>12</v>
      </c>
      <c r="F2634">
        <v>2</v>
      </c>
      <c r="G2634" t="s">
        <v>42</v>
      </c>
      <c r="H2634" s="1">
        <v>45979.395833333336</v>
      </c>
      <c r="I2634" s="5">
        <f>INT(TB[[#This Row],[时间戳]])</f>
        <v>45979</v>
      </c>
      <c r="J2634" s="2">
        <f>HOUR(TB[[#This Row],[时间戳]])</f>
        <v>9</v>
      </c>
      <c r="K2634">
        <v>11450</v>
      </c>
      <c r="L2634">
        <v>0</v>
      </c>
      <c r="M2634">
        <f>TB[[#This Row],[售价]]*TB[[#This Row],[销量]]</f>
        <v>0</v>
      </c>
      <c r="N2634" t="str">
        <f>IF(TB[[#This Row],[售价]]&lt;1000,"低价商品",IF(TB[[#This Row],[售价]]&lt;5000,"中价商品",IF(TB[[#This Row],[售价]]&lt;10000,"高价商品","超高价商品")))</f>
        <v>超高价商品</v>
      </c>
    </row>
    <row r="2635" spans="1:14" x14ac:dyDescent="0.2">
      <c r="A2635">
        <v>278</v>
      </c>
      <c r="B2635">
        <v>253</v>
      </c>
      <c r="C2635" t="s">
        <v>17</v>
      </c>
      <c r="D2635" t="s">
        <v>292</v>
      </c>
      <c r="E2635" t="s">
        <v>25</v>
      </c>
      <c r="F2635">
        <v>7</v>
      </c>
      <c r="G2635" t="s">
        <v>13</v>
      </c>
      <c r="H2635" s="1">
        <v>45979.399305555555</v>
      </c>
      <c r="I2635" s="5">
        <f>INT(TB[[#This Row],[时间戳]])</f>
        <v>45979</v>
      </c>
      <c r="J2635" s="2">
        <f>HOUR(TB[[#This Row],[时间戳]])</f>
        <v>9</v>
      </c>
      <c r="K2635">
        <v>1500</v>
      </c>
      <c r="L2635">
        <v>2</v>
      </c>
      <c r="M2635">
        <f>TB[[#This Row],[售价]]*TB[[#This Row],[销量]]</f>
        <v>3000</v>
      </c>
      <c r="N2635" t="str">
        <f>IF(TB[[#This Row],[售价]]&lt;1000,"低价商品",IF(TB[[#This Row],[售价]]&lt;5000,"中价商品",IF(TB[[#This Row],[售价]]&lt;10000,"高价商品","超高价商品")))</f>
        <v>中价商品</v>
      </c>
    </row>
    <row r="2636" spans="1:14" x14ac:dyDescent="0.2">
      <c r="A2636">
        <v>495</v>
      </c>
      <c r="B2636">
        <v>264</v>
      </c>
      <c r="C2636" t="s">
        <v>34</v>
      </c>
      <c r="D2636" t="s">
        <v>164</v>
      </c>
      <c r="E2636" t="s">
        <v>22</v>
      </c>
      <c r="F2636">
        <v>1</v>
      </c>
      <c r="G2636" t="s">
        <v>13</v>
      </c>
      <c r="H2636" s="1">
        <v>45979.422222222223</v>
      </c>
      <c r="I2636" s="5">
        <f>INT(TB[[#This Row],[时间戳]])</f>
        <v>45979</v>
      </c>
      <c r="J2636" s="2">
        <f>HOUR(TB[[#This Row],[时间戳]])</f>
        <v>10</v>
      </c>
      <c r="K2636">
        <v>6060</v>
      </c>
      <c r="L2636">
        <v>1</v>
      </c>
      <c r="M2636">
        <f>TB[[#This Row],[售价]]*TB[[#This Row],[销量]]</f>
        <v>6060</v>
      </c>
      <c r="N2636" t="str">
        <f>IF(TB[[#This Row],[售价]]&lt;1000,"低价商品",IF(TB[[#This Row],[售价]]&lt;5000,"中价商品",IF(TB[[#This Row],[售价]]&lt;10000,"高价商品","超高价商品")))</f>
        <v>高价商品</v>
      </c>
    </row>
    <row r="2637" spans="1:14" x14ac:dyDescent="0.2">
      <c r="A2637">
        <v>545</v>
      </c>
      <c r="B2637">
        <v>128</v>
      </c>
      <c r="C2637" t="s">
        <v>36</v>
      </c>
      <c r="D2637" t="s">
        <v>304</v>
      </c>
      <c r="E2637" t="s">
        <v>16</v>
      </c>
      <c r="F2637">
        <v>6</v>
      </c>
      <c r="G2637" t="s">
        <v>13</v>
      </c>
      <c r="H2637" s="1">
        <v>45979.442361111112</v>
      </c>
      <c r="I2637" s="5">
        <f>INT(TB[[#This Row],[时间戳]])</f>
        <v>45979</v>
      </c>
      <c r="J2637" s="2">
        <f>HOUR(TB[[#This Row],[时间戳]])</f>
        <v>10</v>
      </c>
      <c r="K2637">
        <v>6779</v>
      </c>
      <c r="L2637">
        <v>3</v>
      </c>
      <c r="M2637">
        <f>TB[[#This Row],[售价]]*TB[[#This Row],[销量]]</f>
        <v>20337</v>
      </c>
      <c r="N2637" t="str">
        <f>IF(TB[[#This Row],[售价]]&lt;1000,"低价商品",IF(TB[[#This Row],[售价]]&lt;5000,"中价商品",IF(TB[[#This Row],[售价]]&lt;10000,"高价商品","超高价商品")))</f>
        <v>高价商品</v>
      </c>
    </row>
    <row r="2638" spans="1:14" x14ac:dyDescent="0.2">
      <c r="A2638">
        <v>317</v>
      </c>
      <c r="B2638">
        <v>226</v>
      </c>
      <c r="C2638" t="s">
        <v>20</v>
      </c>
      <c r="D2638" t="s">
        <v>399</v>
      </c>
      <c r="E2638" t="s">
        <v>31</v>
      </c>
      <c r="F2638">
        <v>4</v>
      </c>
      <c r="G2638" t="s">
        <v>42</v>
      </c>
      <c r="H2638" s="1">
        <v>45979.504166666666</v>
      </c>
      <c r="I2638" s="5">
        <f>INT(TB[[#This Row],[时间戳]])</f>
        <v>45979</v>
      </c>
      <c r="J2638" s="2">
        <f>HOUR(TB[[#This Row],[时间戳]])</f>
        <v>12</v>
      </c>
      <c r="K2638">
        <v>688</v>
      </c>
      <c r="L2638">
        <v>0</v>
      </c>
      <c r="M2638">
        <f>TB[[#This Row],[售价]]*TB[[#This Row],[销量]]</f>
        <v>0</v>
      </c>
      <c r="N2638" t="str">
        <f>IF(TB[[#This Row],[售价]]&lt;1000,"低价商品",IF(TB[[#This Row],[售价]]&lt;5000,"中价商品",IF(TB[[#This Row],[售价]]&lt;10000,"高价商品","超高价商品")))</f>
        <v>低价商品</v>
      </c>
    </row>
    <row r="2639" spans="1:14" x14ac:dyDescent="0.2">
      <c r="A2639">
        <v>7</v>
      </c>
      <c r="B2639">
        <v>164</v>
      </c>
      <c r="C2639" t="s">
        <v>26</v>
      </c>
      <c r="D2639" t="s">
        <v>245</v>
      </c>
      <c r="E2639" t="s">
        <v>39</v>
      </c>
      <c r="F2639">
        <v>5</v>
      </c>
      <c r="G2639" t="s">
        <v>13</v>
      </c>
      <c r="H2639" s="1">
        <v>45979.530555555553</v>
      </c>
      <c r="I2639" s="5">
        <f>INT(TB[[#This Row],[时间戳]])</f>
        <v>45979</v>
      </c>
      <c r="J2639" s="2">
        <f>HOUR(TB[[#This Row],[时间戳]])</f>
        <v>12</v>
      </c>
      <c r="K2639">
        <v>1443</v>
      </c>
      <c r="L2639">
        <v>2</v>
      </c>
      <c r="M2639">
        <f>TB[[#This Row],[售价]]*TB[[#This Row],[销量]]</f>
        <v>2886</v>
      </c>
      <c r="N2639" t="str">
        <f>IF(TB[[#This Row],[售价]]&lt;1000,"低价商品",IF(TB[[#This Row],[售价]]&lt;5000,"中价商品",IF(TB[[#This Row],[售价]]&lt;10000,"高价商品","超高价商品")))</f>
        <v>中价商品</v>
      </c>
    </row>
    <row r="2640" spans="1:14" x14ac:dyDescent="0.2">
      <c r="A2640">
        <v>184</v>
      </c>
      <c r="B2640">
        <v>34</v>
      </c>
      <c r="C2640" t="s">
        <v>44</v>
      </c>
      <c r="D2640" t="s">
        <v>415</v>
      </c>
      <c r="E2640" t="s">
        <v>39</v>
      </c>
      <c r="F2640">
        <v>5</v>
      </c>
      <c r="G2640" t="s">
        <v>42</v>
      </c>
      <c r="H2640" s="1">
        <v>45979.586111111108</v>
      </c>
      <c r="I2640" s="5">
        <f>INT(TB[[#This Row],[时间戳]])</f>
        <v>45979</v>
      </c>
      <c r="J2640" s="2">
        <f>HOUR(TB[[#This Row],[时间戳]])</f>
        <v>14</v>
      </c>
      <c r="K2640">
        <v>2927</v>
      </c>
      <c r="L2640">
        <v>0</v>
      </c>
      <c r="M2640">
        <f>TB[[#This Row],[售价]]*TB[[#This Row],[销量]]</f>
        <v>0</v>
      </c>
      <c r="N2640" t="str">
        <f>IF(TB[[#This Row],[售价]]&lt;1000,"低价商品",IF(TB[[#This Row],[售价]]&lt;5000,"中价商品",IF(TB[[#This Row],[售价]]&lt;10000,"高价商品","超高价商品")))</f>
        <v>中价商品</v>
      </c>
    </row>
    <row r="2641" spans="1:14" x14ac:dyDescent="0.2">
      <c r="A2641">
        <v>454</v>
      </c>
      <c r="B2641">
        <v>176</v>
      </c>
      <c r="C2641" t="s">
        <v>36</v>
      </c>
      <c r="D2641" t="s">
        <v>181</v>
      </c>
      <c r="E2641" t="s">
        <v>25</v>
      </c>
      <c r="F2641">
        <v>7</v>
      </c>
      <c r="G2641" t="s">
        <v>13</v>
      </c>
      <c r="H2641" s="1">
        <v>45979.60833333333</v>
      </c>
      <c r="I2641" s="5">
        <f>INT(TB[[#This Row],[时间戳]])</f>
        <v>45979</v>
      </c>
      <c r="J2641" s="2">
        <f>HOUR(TB[[#This Row],[时间戳]])</f>
        <v>14</v>
      </c>
      <c r="K2641">
        <v>7750</v>
      </c>
      <c r="L2641">
        <v>3</v>
      </c>
      <c r="M2641">
        <f>TB[[#This Row],[售价]]*TB[[#This Row],[销量]]</f>
        <v>23250</v>
      </c>
      <c r="N2641" t="str">
        <f>IF(TB[[#This Row],[售价]]&lt;1000,"低价商品",IF(TB[[#This Row],[售价]]&lt;5000,"中价商品",IF(TB[[#This Row],[售价]]&lt;10000,"高价商品","超高价商品")))</f>
        <v>高价商品</v>
      </c>
    </row>
    <row r="2642" spans="1:14" x14ac:dyDescent="0.2">
      <c r="A2642">
        <v>199</v>
      </c>
      <c r="B2642">
        <v>56</v>
      </c>
      <c r="C2642" t="s">
        <v>20</v>
      </c>
      <c r="D2642" t="s">
        <v>64</v>
      </c>
      <c r="E2642" t="s">
        <v>31</v>
      </c>
      <c r="F2642">
        <v>4</v>
      </c>
      <c r="G2642" t="s">
        <v>13</v>
      </c>
      <c r="H2642" s="1">
        <v>45979.615277777775</v>
      </c>
      <c r="I2642" s="5">
        <f>INT(TB[[#This Row],[时间戳]])</f>
        <v>45979</v>
      </c>
      <c r="J2642" s="2">
        <f>HOUR(TB[[#This Row],[时间戳]])</f>
        <v>14</v>
      </c>
      <c r="K2642">
        <v>1500</v>
      </c>
      <c r="L2642">
        <v>2</v>
      </c>
      <c r="M2642">
        <f>TB[[#This Row],[售价]]*TB[[#This Row],[销量]]</f>
        <v>3000</v>
      </c>
      <c r="N2642" t="str">
        <f>IF(TB[[#This Row],[售价]]&lt;1000,"低价商品",IF(TB[[#This Row],[售价]]&lt;5000,"中价商品",IF(TB[[#This Row],[售价]]&lt;10000,"高价商品","超高价商品")))</f>
        <v>中价商品</v>
      </c>
    </row>
    <row r="2643" spans="1:14" x14ac:dyDescent="0.2">
      <c r="A2643">
        <v>313</v>
      </c>
      <c r="B2643">
        <v>164</v>
      </c>
      <c r="C2643" t="s">
        <v>36</v>
      </c>
      <c r="D2643" t="s">
        <v>123</v>
      </c>
      <c r="E2643" t="s">
        <v>31</v>
      </c>
      <c r="F2643">
        <v>4</v>
      </c>
      <c r="G2643" t="s">
        <v>13</v>
      </c>
      <c r="H2643" s="1">
        <v>45979.617361111108</v>
      </c>
      <c r="I2643" s="5">
        <f>INT(TB[[#This Row],[时间戳]])</f>
        <v>45979</v>
      </c>
      <c r="J2643" s="2">
        <f>HOUR(TB[[#This Row],[时间戳]])</f>
        <v>14</v>
      </c>
      <c r="K2643">
        <v>433</v>
      </c>
      <c r="L2643">
        <v>2</v>
      </c>
      <c r="M2643">
        <f>TB[[#This Row],[售价]]*TB[[#This Row],[销量]]</f>
        <v>866</v>
      </c>
      <c r="N2643" t="str">
        <f>IF(TB[[#This Row],[售价]]&lt;1000,"低价商品",IF(TB[[#This Row],[售价]]&lt;5000,"中价商品",IF(TB[[#This Row],[售价]]&lt;10000,"高价商品","超高价商品")))</f>
        <v>低价商品</v>
      </c>
    </row>
    <row r="2644" spans="1:14" x14ac:dyDescent="0.2">
      <c r="A2644">
        <v>702</v>
      </c>
      <c r="B2644">
        <v>154</v>
      </c>
      <c r="C2644" t="s">
        <v>44</v>
      </c>
      <c r="D2644" t="s">
        <v>59</v>
      </c>
      <c r="E2644" t="s">
        <v>22</v>
      </c>
      <c r="F2644">
        <v>1</v>
      </c>
      <c r="G2644" t="s">
        <v>13</v>
      </c>
      <c r="H2644" s="1">
        <v>45979.645138888889</v>
      </c>
      <c r="I2644" s="5">
        <f>INT(TB[[#This Row],[时间戳]])</f>
        <v>45979</v>
      </c>
      <c r="J2644" s="2">
        <f>HOUR(TB[[#This Row],[时间戳]])</f>
        <v>15</v>
      </c>
      <c r="K2644">
        <v>7349</v>
      </c>
      <c r="L2644">
        <v>1</v>
      </c>
      <c r="M2644">
        <f>TB[[#This Row],[售价]]*TB[[#This Row],[销量]]</f>
        <v>7349</v>
      </c>
      <c r="N2644" t="str">
        <f>IF(TB[[#This Row],[售价]]&lt;1000,"低价商品",IF(TB[[#This Row],[售价]]&lt;5000,"中价商品",IF(TB[[#This Row],[售价]]&lt;10000,"高价商品","超高价商品")))</f>
        <v>高价商品</v>
      </c>
    </row>
    <row r="2645" spans="1:14" x14ac:dyDescent="0.2">
      <c r="A2645">
        <v>332</v>
      </c>
      <c r="B2645">
        <v>81</v>
      </c>
      <c r="C2645" t="s">
        <v>46</v>
      </c>
      <c r="D2645" t="s">
        <v>341</v>
      </c>
      <c r="E2645" t="s">
        <v>31</v>
      </c>
      <c r="F2645">
        <v>4</v>
      </c>
      <c r="G2645" t="s">
        <v>13</v>
      </c>
      <c r="H2645" s="1">
        <v>45979.663888888892</v>
      </c>
      <c r="I2645" s="5">
        <f>INT(TB[[#This Row],[时间戳]])</f>
        <v>45979</v>
      </c>
      <c r="J2645" s="2">
        <f>HOUR(TB[[#This Row],[时间戳]])</f>
        <v>15</v>
      </c>
      <c r="K2645">
        <v>1205</v>
      </c>
      <c r="L2645">
        <v>1</v>
      </c>
      <c r="M2645">
        <f>TB[[#This Row],[售价]]*TB[[#This Row],[销量]]</f>
        <v>1205</v>
      </c>
      <c r="N2645" t="str">
        <f>IF(TB[[#This Row],[售价]]&lt;1000,"低价商品",IF(TB[[#This Row],[售价]]&lt;5000,"中价商品",IF(TB[[#This Row],[售价]]&lt;10000,"高价商品","超高价商品")))</f>
        <v>中价商品</v>
      </c>
    </row>
    <row r="2646" spans="1:14" x14ac:dyDescent="0.2">
      <c r="A2646">
        <v>162</v>
      </c>
      <c r="B2646">
        <v>81</v>
      </c>
      <c r="C2646" t="s">
        <v>17</v>
      </c>
      <c r="D2646" t="s">
        <v>214</v>
      </c>
      <c r="E2646" t="s">
        <v>22</v>
      </c>
      <c r="F2646">
        <v>1</v>
      </c>
      <c r="G2646" t="s">
        <v>13</v>
      </c>
      <c r="H2646" s="1">
        <v>45979.665277777778</v>
      </c>
      <c r="I2646" s="5">
        <f>INT(TB[[#This Row],[时间戳]])</f>
        <v>45979</v>
      </c>
      <c r="J2646" s="2">
        <f>HOUR(TB[[#This Row],[时间戳]])</f>
        <v>15</v>
      </c>
      <c r="K2646">
        <v>2764</v>
      </c>
      <c r="L2646">
        <v>2</v>
      </c>
      <c r="M2646">
        <f>TB[[#This Row],[售价]]*TB[[#This Row],[销量]]</f>
        <v>5528</v>
      </c>
      <c r="N2646" t="str">
        <f>IF(TB[[#This Row],[售价]]&lt;1000,"低价商品",IF(TB[[#This Row],[售价]]&lt;5000,"中价商品",IF(TB[[#This Row],[售价]]&lt;10000,"高价商品","超高价商品")))</f>
        <v>中价商品</v>
      </c>
    </row>
    <row r="2647" spans="1:14" x14ac:dyDescent="0.2">
      <c r="A2647">
        <v>427</v>
      </c>
      <c r="B2647">
        <v>138</v>
      </c>
      <c r="C2647" t="s">
        <v>44</v>
      </c>
      <c r="D2647" t="s">
        <v>239</v>
      </c>
      <c r="E2647" t="s">
        <v>39</v>
      </c>
      <c r="F2647">
        <v>5</v>
      </c>
      <c r="G2647" t="s">
        <v>13</v>
      </c>
      <c r="H2647" s="1">
        <v>45979.67291666667</v>
      </c>
      <c r="I2647" s="5">
        <f>INT(TB[[#This Row],[时间戳]])</f>
        <v>45979</v>
      </c>
      <c r="J2647" s="2">
        <f>HOUR(TB[[#This Row],[时间戳]])</f>
        <v>16</v>
      </c>
      <c r="K2647">
        <v>2197</v>
      </c>
      <c r="L2647">
        <v>1</v>
      </c>
      <c r="M2647">
        <f>TB[[#This Row],[售价]]*TB[[#This Row],[销量]]</f>
        <v>2197</v>
      </c>
      <c r="N2647" t="str">
        <f>IF(TB[[#This Row],[售价]]&lt;1000,"低价商品",IF(TB[[#This Row],[售价]]&lt;5000,"中价商品",IF(TB[[#This Row],[售价]]&lt;10000,"高价商品","超高价商品")))</f>
        <v>中价商品</v>
      </c>
    </row>
    <row r="2648" spans="1:14" x14ac:dyDescent="0.2">
      <c r="A2648">
        <v>380</v>
      </c>
      <c r="B2648">
        <v>75</v>
      </c>
      <c r="C2648" t="s">
        <v>44</v>
      </c>
      <c r="D2648" t="s">
        <v>158</v>
      </c>
      <c r="E2648" t="s">
        <v>31</v>
      </c>
      <c r="F2648">
        <v>4</v>
      </c>
      <c r="G2648" t="s">
        <v>13</v>
      </c>
      <c r="H2648" s="1">
        <v>45979.731249999997</v>
      </c>
      <c r="I2648" s="5">
        <f>INT(TB[[#This Row],[时间戳]])</f>
        <v>45979</v>
      </c>
      <c r="J2648" s="2">
        <f>HOUR(TB[[#This Row],[时间戳]])</f>
        <v>17</v>
      </c>
      <c r="K2648">
        <v>452</v>
      </c>
      <c r="L2648">
        <v>1</v>
      </c>
      <c r="M2648">
        <f>TB[[#This Row],[售价]]*TB[[#This Row],[销量]]</f>
        <v>452</v>
      </c>
      <c r="N2648" t="str">
        <f>IF(TB[[#This Row],[售价]]&lt;1000,"低价商品",IF(TB[[#This Row],[售价]]&lt;5000,"中价商品",IF(TB[[#This Row],[售价]]&lt;10000,"高价商品","超高价商品")))</f>
        <v>低价商品</v>
      </c>
    </row>
    <row r="2649" spans="1:14" x14ac:dyDescent="0.2">
      <c r="A2649">
        <v>323</v>
      </c>
      <c r="B2649">
        <v>231</v>
      </c>
      <c r="C2649" t="s">
        <v>34</v>
      </c>
      <c r="D2649" t="s">
        <v>232</v>
      </c>
      <c r="E2649" t="s">
        <v>22</v>
      </c>
      <c r="F2649">
        <v>1</v>
      </c>
      <c r="G2649" t="s">
        <v>13</v>
      </c>
      <c r="H2649" s="1">
        <v>45979.743750000001</v>
      </c>
      <c r="I2649" s="5">
        <f>INT(TB[[#This Row],[时间戳]])</f>
        <v>45979</v>
      </c>
      <c r="J2649" s="2">
        <f>HOUR(TB[[#This Row],[时间戳]])</f>
        <v>17</v>
      </c>
      <c r="K2649">
        <v>3478</v>
      </c>
      <c r="L2649">
        <v>2</v>
      </c>
      <c r="M2649">
        <f>TB[[#This Row],[售价]]*TB[[#This Row],[销量]]</f>
        <v>6956</v>
      </c>
      <c r="N2649" t="str">
        <f>IF(TB[[#This Row],[售价]]&lt;1000,"低价商品",IF(TB[[#This Row],[售价]]&lt;5000,"中价商品",IF(TB[[#This Row],[售价]]&lt;10000,"高价商品","超高价商品")))</f>
        <v>中价商品</v>
      </c>
    </row>
    <row r="2650" spans="1:14" x14ac:dyDescent="0.2">
      <c r="A2650">
        <v>781</v>
      </c>
      <c r="B2650">
        <v>214</v>
      </c>
      <c r="C2650" t="s">
        <v>46</v>
      </c>
      <c r="D2650" t="s">
        <v>211</v>
      </c>
      <c r="E2650" t="s">
        <v>31</v>
      </c>
      <c r="F2650">
        <v>4</v>
      </c>
      <c r="G2650" t="s">
        <v>13</v>
      </c>
      <c r="H2650" s="1">
        <v>45979.754166666666</v>
      </c>
      <c r="I2650" s="5">
        <f>INT(TB[[#This Row],[时间戳]])</f>
        <v>45979</v>
      </c>
      <c r="J2650" s="2">
        <f>HOUR(TB[[#This Row],[时间戳]])</f>
        <v>18</v>
      </c>
      <c r="K2650">
        <v>697</v>
      </c>
      <c r="L2650">
        <v>2</v>
      </c>
      <c r="M2650">
        <f>TB[[#This Row],[售价]]*TB[[#This Row],[销量]]</f>
        <v>1394</v>
      </c>
      <c r="N2650" t="str">
        <f>IF(TB[[#This Row],[售价]]&lt;1000,"低价商品",IF(TB[[#This Row],[售价]]&lt;5000,"中价商品",IF(TB[[#This Row],[售价]]&lt;10000,"高价商品","超高价商品")))</f>
        <v>低价商品</v>
      </c>
    </row>
    <row r="2651" spans="1:14" x14ac:dyDescent="0.2">
      <c r="A2651">
        <v>419</v>
      </c>
      <c r="B2651">
        <v>182</v>
      </c>
      <c r="C2651" t="s">
        <v>17</v>
      </c>
      <c r="D2651" t="s">
        <v>370</v>
      </c>
      <c r="E2651" t="s">
        <v>31</v>
      </c>
      <c r="F2651">
        <v>4</v>
      </c>
      <c r="G2651" t="s">
        <v>42</v>
      </c>
      <c r="H2651" s="1">
        <v>45979.765277777777</v>
      </c>
      <c r="I2651" s="5">
        <f>INT(TB[[#This Row],[时间戳]])</f>
        <v>45979</v>
      </c>
      <c r="J2651" s="2">
        <f>HOUR(TB[[#This Row],[时间戳]])</f>
        <v>18</v>
      </c>
      <c r="K2651">
        <v>251</v>
      </c>
      <c r="L2651">
        <v>0</v>
      </c>
      <c r="M2651">
        <f>TB[[#This Row],[售价]]*TB[[#This Row],[销量]]</f>
        <v>0</v>
      </c>
      <c r="N2651" t="str">
        <f>IF(TB[[#This Row],[售价]]&lt;1000,"低价商品",IF(TB[[#This Row],[售价]]&lt;5000,"中价商品",IF(TB[[#This Row],[售价]]&lt;10000,"高价商品","超高价商品")))</f>
        <v>低价商品</v>
      </c>
    </row>
    <row r="2652" spans="1:14" x14ac:dyDescent="0.2">
      <c r="A2652">
        <v>20</v>
      </c>
      <c r="B2652">
        <v>104</v>
      </c>
      <c r="C2652" t="s">
        <v>44</v>
      </c>
      <c r="D2652" t="s">
        <v>132</v>
      </c>
      <c r="E2652" t="s">
        <v>22</v>
      </c>
      <c r="F2652">
        <v>1</v>
      </c>
      <c r="G2652" t="s">
        <v>13</v>
      </c>
      <c r="H2652" s="1">
        <v>45979.770138888889</v>
      </c>
      <c r="I2652" s="5">
        <f>INT(TB[[#This Row],[时间戳]])</f>
        <v>45979</v>
      </c>
      <c r="J2652" s="2">
        <f>HOUR(TB[[#This Row],[时间戳]])</f>
        <v>18</v>
      </c>
      <c r="K2652">
        <v>6161</v>
      </c>
      <c r="L2652">
        <v>1</v>
      </c>
      <c r="M2652">
        <f>TB[[#This Row],[售价]]*TB[[#This Row],[销量]]</f>
        <v>6161</v>
      </c>
      <c r="N2652" t="str">
        <f>IF(TB[[#This Row],[售价]]&lt;1000,"低价商品",IF(TB[[#This Row],[售价]]&lt;5000,"中价商品",IF(TB[[#This Row],[售价]]&lt;10000,"高价商品","超高价商品")))</f>
        <v>高价商品</v>
      </c>
    </row>
    <row r="2653" spans="1:14" x14ac:dyDescent="0.2">
      <c r="A2653">
        <v>383</v>
      </c>
      <c r="B2653">
        <v>13</v>
      </c>
      <c r="C2653" t="s">
        <v>36</v>
      </c>
      <c r="D2653" t="s">
        <v>112</v>
      </c>
      <c r="E2653" t="s">
        <v>22</v>
      </c>
      <c r="F2653">
        <v>1</v>
      </c>
      <c r="G2653" t="s">
        <v>13</v>
      </c>
      <c r="H2653" s="1">
        <v>45979.77847222222</v>
      </c>
      <c r="I2653" s="5">
        <f>INT(TB[[#This Row],[时间戳]])</f>
        <v>45979</v>
      </c>
      <c r="J2653" s="2">
        <f>HOUR(TB[[#This Row],[时间戳]])</f>
        <v>18</v>
      </c>
      <c r="K2653">
        <v>2846</v>
      </c>
      <c r="L2653">
        <v>3</v>
      </c>
      <c r="M2653">
        <f>TB[[#This Row],[售价]]*TB[[#This Row],[销量]]</f>
        <v>8538</v>
      </c>
      <c r="N2653" t="str">
        <f>IF(TB[[#This Row],[售价]]&lt;1000,"低价商品",IF(TB[[#This Row],[售价]]&lt;5000,"中价商品",IF(TB[[#This Row],[售价]]&lt;10000,"高价商品","超高价商品")))</f>
        <v>中价商品</v>
      </c>
    </row>
    <row r="2654" spans="1:14" x14ac:dyDescent="0.2">
      <c r="A2654">
        <v>572</v>
      </c>
      <c r="B2654">
        <v>287</v>
      </c>
      <c r="C2654" t="s">
        <v>17</v>
      </c>
      <c r="D2654" t="s">
        <v>133</v>
      </c>
      <c r="E2654" t="s">
        <v>31</v>
      </c>
      <c r="F2654">
        <v>4</v>
      </c>
      <c r="G2654" t="s">
        <v>13</v>
      </c>
      <c r="H2654" s="1">
        <v>45979.786805555559</v>
      </c>
      <c r="I2654" s="5">
        <f>INT(TB[[#This Row],[时间戳]])</f>
        <v>45979</v>
      </c>
      <c r="J2654" s="2">
        <f>HOUR(TB[[#This Row],[时间戳]])</f>
        <v>18</v>
      </c>
      <c r="K2654">
        <v>727</v>
      </c>
      <c r="L2654">
        <v>2</v>
      </c>
      <c r="M2654">
        <f>TB[[#This Row],[售价]]*TB[[#This Row],[销量]]</f>
        <v>1454</v>
      </c>
      <c r="N2654" t="str">
        <f>IF(TB[[#This Row],[售价]]&lt;1000,"低价商品",IF(TB[[#This Row],[售价]]&lt;5000,"中价商品",IF(TB[[#This Row],[售价]]&lt;10000,"高价商品","超高价商品")))</f>
        <v>低价商品</v>
      </c>
    </row>
    <row r="2655" spans="1:14" x14ac:dyDescent="0.2">
      <c r="A2655">
        <v>516</v>
      </c>
      <c r="B2655">
        <v>226</v>
      </c>
      <c r="C2655" t="s">
        <v>32</v>
      </c>
      <c r="D2655" t="s">
        <v>212</v>
      </c>
      <c r="E2655" t="s">
        <v>22</v>
      </c>
      <c r="F2655">
        <v>1</v>
      </c>
      <c r="G2655" t="s">
        <v>13</v>
      </c>
      <c r="H2655" s="1">
        <v>45979.787499999999</v>
      </c>
      <c r="I2655" s="5">
        <f>INT(TB[[#This Row],[时间戳]])</f>
        <v>45979</v>
      </c>
      <c r="J2655" s="2">
        <f>HOUR(TB[[#This Row],[时间戳]])</f>
        <v>18</v>
      </c>
      <c r="K2655">
        <v>6956</v>
      </c>
      <c r="L2655">
        <v>3</v>
      </c>
      <c r="M2655">
        <f>TB[[#This Row],[售价]]*TB[[#This Row],[销量]]</f>
        <v>20868</v>
      </c>
      <c r="N2655" t="str">
        <f>IF(TB[[#This Row],[售价]]&lt;1000,"低价商品",IF(TB[[#This Row],[售价]]&lt;5000,"中价商品",IF(TB[[#This Row],[售价]]&lt;10000,"高价商品","超高价商品")))</f>
        <v>高价商品</v>
      </c>
    </row>
    <row r="2656" spans="1:14" x14ac:dyDescent="0.2">
      <c r="A2656">
        <v>165</v>
      </c>
      <c r="B2656">
        <v>167</v>
      </c>
      <c r="C2656" t="s">
        <v>14</v>
      </c>
      <c r="D2656" t="s">
        <v>49</v>
      </c>
      <c r="E2656" t="s">
        <v>22</v>
      </c>
      <c r="F2656">
        <v>1</v>
      </c>
      <c r="G2656" t="s">
        <v>13</v>
      </c>
      <c r="H2656" s="1">
        <v>45979.814583333333</v>
      </c>
      <c r="I2656" s="5">
        <f>INT(TB[[#This Row],[时间戳]])</f>
        <v>45979</v>
      </c>
      <c r="J2656" s="2">
        <f>HOUR(TB[[#This Row],[时间戳]])</f>
        <v>19</v>
      </c>
      <c r="K2656">
        <v>3098</v>
      </c>
      <c r="L2656">
        <v>4</v>
      </c>
      <c r="M2656">
        <f>TB[[#This Row],[售价]]*TB[[#This Row],[销量]]</f>
        <v>12392</v>
      </c>
      <c r="N2656" t="str">
        <f>IF(TB[[#This Row],[售价]]&lt;1000,"低价商品",IF(TB[[#This Row],[售价]]&lt;5000,"中价商品",IF(TB[[#This Row],[售价]]&lt;10000,"高价商品","超高价商品")))</f>
        <v>中价商品</v>
      </c>
    </row>
    <row r="2657" spans="1:14" x14ac:dyDescent="0.2">
      <c r="A2657">
        <v>48</v>
      </c>
      <c r="B2657">
        <v>200</v>
      </c>
      <c r="C2657" t="s">
        <v>46</v>
      </c>
      <c r="D2657" t="s">
        <v>211</v>
      </c>
      <c r="E2657" t="s">
        <v>31</v>
      </c>
      <c r="F2657">
        <v>4</v>
      </c>
      <c r="G2657" t="s">
        <v>13</v>
      </c>
      <c r="H2657" s="1">
        <v>45979.824305555558</v>
      </c>
      <c r="I2657" s="5">
        <f>INT(TB[[#This Row],[时间戳]])</f>
        <v>45979</v>
      </c>
      <c r="J2657" s="2">
        <f>HOUR(TB[[#This Row],[时间戳]])</f>
        <v>19</v>
      </c>
      <c r="K2657">
        <v>1201</v>
      </c>
      <c r="L2657">
        <v>2</v>
      </c>
      <c r="M2657">
        <f>TB[[#This Row],[售价]]*TB[[#This Row],[销量]]</f>
        <v>2402</v>
      </c>
      <c r="N2657" t="str">
        <f>IF(TB[[#This Row],[售价]]&lt;1000,"低价商品",IF(TB[[#This Row],[售价]]&lt;5000,"中价商品",IF(TB[[#This Row],[售价]]&lt;10000,"高价商品","超高价商品")))</f>
        <v>中价商品</v>
      </c>
    </row>
    <row r="2658" spans="1:14" x14ac:dyDescent="0.2">
      <c r="A2658">
        <v>287</v>
      </c>
      <c r="B2658">
        <v>193</v>
      </c>
      <c r="C2658" t="s">
        <v>44</v>
      </c>
      <c r="D2658" t="s">
        <v>195</v>
      </c>
      <c r="E2658" t="s">
        <v>22</v>
      </c>
      <c r="F2658">
        <v>1</v>
      </c>
      <c r="G2658" t="s">
        <v>13</v>
      </c>
      <c r="H2658" s="1">
        <v>45979.856249999997</v>
      </c>
      <c r="I2658" s="5">
        <f>INT(TB[[#This Row],[时间戳]])</f>
        <v>45979</v>
      </c>
      <c r="J2658" s="2">
        <f>HOUR(TB[[#This Row],[时间戳]])</f>
        <v>20</v>
      </c>
      <c r="K2658">
        <v>6795</v>
      </c>
      <c r="L2658">
        <v>5</v>
      </c>
      <c r="M2658">
        <f>TB[[#This Row],[售价]]*TB[[#This Row],[销量]]</f>
        <v>33975</v>
      </c>
      <c r="N2658" t="str">
        <f>IF(TB[[#This Row],[售价]]&lt;1000,"低价商品",IF(TB[[#This Row],[售价]]&lt;5000,"中价商品",IF(TB[[#This Row],[售价]]&lt;10000,"高价商品","超高价商品")))</f>
        <v>高价商品</v>
      </c>
    </row>
    <row r="2659" spans="1:14" x14ac:dyDescent="0.2">
      <c r="A2659">
        <v>351</v>
      </c>
      <c r="B2659">
        <v>142</v>
      </c>
      <c r="C2659" t="s">
        <v>10</v>
      </c>
      <c r="D2659" t="s">
        <v>68</v>
      </c>
      <c r="E2659" t="s">
        <v>22</v>
      </c>
      <c r="F2659">
        <v>1</v>
      </c>
      <c r="G2659" t="s">
        <v>13</v>
      </c>
      <c r="H2659" s="1">
        <v>45979.890972222223</v>
      </c>
      <c r="I2659" s="5">
        <f>INT(TB[[#This Row],[时间戳]])</f>
        <v>45979</v>
      </c>
      <c r="J2659" s="2">
        <f>HOUR(TB[[#This Row],[时间戳]])</f>
        <v>21</v>
      </c>
      <c r="K2659">
        <v>1336</v>
      </c>
      <c r="L2659">
        <v>2</v>
      </c>
      <c r="M2659">
        <f>TB[[#This Row],[售价]]*TB[[#This Row],[销量]]</f>
        <v>2672</v>
      </c>
      <c r="N2659" t="str">
        <f>IF(TB[[#This Row],[售价]]&lt;1000,"低价商品",IF(TB[[#This Row],[售价]]&lt;5000,"中价商品",IF(TB[[#This Row],[售价]]&lt;10000,"高价商品","超高价商品")))</f>
        <v>中价商品</v>
      </c>
    </row>
    <row r="2660" spans="1:14" x14ac:dyDescent="0.2">
      <c r="A2660">
        <v>114</v>
      </c>
      <c r="B2660">
        <v>242</v>
      </c>
      <c r="C2660" t="s">
        <v>44</v>
      </c>
      <c r="D2660" t="s">
        <v>272</v>
      </c>
      <c r="E2660" t="s">
        <v>16</v>
      </c>
      <c r="F2660">
        <v>6</v>
      </c>
      <c r="G2660" t="s">
        <v>13</v>
      </c>
      <c r="H2660" s="1">
        <v>45979.895833333336</v>
      </c>
      <c r="I2660" s="5">
        <f>INT(TB[[#This Row],[时间戳]])</f>
        <v>45979</v>
      </c>
      <c r="J2660" s="2">
        <f>HOUR(TB[[#This Row],[时间戳]])</f>
        <v>21</v>
      </c>
      <c r="K2660">
        <v>10801</v>
      </c>
      <c r="L2660">
        <v>3</v>
      </c>
      <c r="M2660">
        <f>TB[[#This Row],[售价]]*TB[[#This Row],[销量]]</f>
        <v>32403</v>
      </c>
      <c r="N2660" t="str">
        <f>IF(TB[[#This Row],[售价]]&lt;1000,"低价商品",IF(TB[[#This Row],[售价]]&lt;5000,"中价商品",IF(TB[[#This Row],[售价]]&lt;10000,"高价商品","超高价商品")))</f>
        <v>超高价商品</v>
      </c>
    </row>
    <row r="2661" spans="1:14" x14ac:dyDescent="0.2">
      <c r="A2661">
        <v>794</v>
      </c>
      <c r="B2661">
        <v>212</v>
      </c>
      <c r="C2661" t="s">
        <v>14</v>
      </c>
      <c r="D2661" t="s">
        <v>145</v>
      </c>
      <c r="E2661" t="s">
        <v>22</v>
      </c>
      <c r="F2661">
        <v>1</v>
      </c>
      <c r="G2661" t="s">
        <v>13</v>
      </c>
      <c r="H2661" s="1">
        <v>45979.915277777778</v>
      </c>
      <c r="I2661" s="5">
        <f>INT(TB[[#This Row],[时间戳]])</f>
        <v>45979</v>
      </c>
      <c r="J2661" s="2">
        <f>HOUR(TB[[#This Row],[时间戳]])</f>
        <v>21</v>
      </c>
      <c r="K2661">
        <v>2283</v>
      </c>
      <c r="L2661">
        <v>2</v>
      </c>
      <c r="M2661">
        <f>TB[[#This Row],[售价]]*TB[[#This Row],[销量]]</f>
        <v>4566</v>
      </c>
      <c r="N2661" t="str">
        <f>IF(TB[[#This Row],[售价]]&lt;1000,"低价商品",IF(TB[[#This Row],[售价]]&lt;5000,"中价商品",IF(TB[[#This Row],[售价]]&lt;10000,"高价商品","超高价商品")))</f>
        <v>中价商品</v>
      </c>
    </row>
    <row r="2662" spans="1:14" x14ac:dyDescent="0.2">
      <c r="A2662">
        <v>588</v>
      </c>
      <c r="B2662">
        <v>103</v>
      </c>
      <c r="C2662" t="s">
        <v>46</v>
      </c>
      <c r="D2662" t="s">
        <v>303</v>
      </c>
      <c r="E2662" t="s">
        <v>19</v>
      </c>
      <c r="F2662">
        <v>3</v>
      </c>
      <c r="G2662" t="s">
        <v>13</v>
      </c>
      <c r="H2662" s="1">
        <v>45979.927083333336</v>
      </c>
      <c r="I2662" s="5">
        <f>INT(TB[[#This Row],[时间戳]])</f>
        <v>45979</v>
      </c>
      <c r="J2662" s="2">
        <f>HOUR(TB[[#This Row],[时间戳]])</f>
        <v>22</v>
      </c>
      <c r="K2662">
        <v>2620</v>
      </c>
      <c r="L2662">
        <v>3</v>
      </c>
      <c r="M2662">
        <f>TB[[#This Row],[售价]]*TB[[#This Row],[销量]]</f>
        <v>7860</v>
      </c>
      <c r="N2662" t="str">
        <f>IF(TB[[#This Row],[售价]]&lt;1000,"低价商品",IF(TB[[#This Row],[售价]]&lt;5000,"中价商品",IF(TB[[#This Row],[售价]]&lt;10000,"高价商品","超高价商品")))</f>
        <v>中价商品</v>
      </c>
    </row>
    <row r="2663" spans="1:14" x14ac:dyDescent="0.2">
      <c r="A2663">
        <v>336</v>
      </c>
      <c r="B2663">
        <v>294</v>
      </c>
      <c r="C2663" t="s">
        <v>44</v>
      </c>
      <c r="D2663" t="s">
        <v>416</v>
      </c>
      <c r="E2663" t="s">
        <v>25</v>
      </c>
      <c r="F2663">
        <v>7</v>
      </c>
      <c r="G2663" t="s">
        <v>13</v>
      </c>
      <c r="H2663" s="1">
        <v>45979.96597222222</v>
      </c>
      <c r="I2663" s="5">
        <f>INT(TB[[#This Row],[时间戳]])</f>
        <v>45979</v>
      </c>
      <c r="J2663" s="2">
        <f>HOUR(TB[[#This Row],[时间戳]])</f>
        <v>23</v>
      </c>
      <c r="K2663">
        <v>5947</v>
      </c>
      <c r="L2663">
        <v>1</v>
      </c>
      <c r="M2663">
        <f>TB[[#This Row],[售价]]*TB[[#This Row],[销量]]</f>
        <v>5947</v>
      </c>
      <c r="N2663" t="str">
        <f>IF(TB[[#This Row],[售价]]&lt;1000,"低价商品",IF(TB[[#This Row],[售价]]&lt;5000,"中价商品",IF(TB[[#This Row],[售价]]&lt;10000,"高价商品","超高价商品")))</f>
        <v>高价商品</v>
      </c>
    </row>
    <row r="2664" spans="1:14" x14ac:dyDescent="0.2">
      <c r="A2664">
        <v>544</v>
      </c>
      <c r="B2664">
        <v>150</v>
      </c>
      <c r="C2664" t="s">
        <v>36</v>
      </c>
      <c r="D2664" t="s">
        <v>90</v>
      </c>
      <c r="E2664" t="s">
        <v>16</v>
      </c>
      <c r="F2664">
        <v>6</v>
      </c>
      <c r="G2664" t="s">
        <v>13</v>
      </c>
      <c r="H2664" s="1">
        <v>45979.970833333333</v>
      </c>
      <c r="I2664" s="5">
        <f>INT(TB[[#This Row],[时间戳]])</f>
        <v>45979</v>
      </c>
      <c r="J2664" s="2">
        <f>HOUR(TB[[#This Row],[时间戳]])</f>
        <v>23</v>
      </c>
      <c r="K2664">
        <v>11145</v>
      </c>
      <c r="L2664">
        <v>2</v>
      </c>
      <c r="M2664">
        <f>TB[[#This Row],[售价]]*TB[[#This Row],[销量]]</f>
        <v>22290</v>
      </c>
      <c r="N2664" t="str">
        <f>IF(TB[[#This Row],[售价]]&lt;1000,"低价商品",IF(TB[[#This Row],[售价]]&lt;5000,"中价商品",IF(TB[[#This Row],[售价]]&lt;10000,"高价商品","超高价商品")))</f>
        <v>超高价商品</v>
      </c>
    </row>
    <row r="2665" spans="1:14" x14ac:dyDescent="0.2">
      <c r="A2665">
        <v>717</v>
      </c>
      <c r="B2665">
        <v>161</v>
      </c>
      <c r="C2665" t="s">
        <v>26</v>
      </c>
      <c r="D2665" t="s">
        <v>131</v>
      </c>
      <c r="E2665" t="s">
        <v>22</v>
      </c>
      <c r="F2665">
        <v>1</v>
      </c>
      <c r="G2665" t="s">
        <v>13</v>
      </c>
      <c r="H2665" s="1">
        <v>45979.991666666669</v>
      </c>
      <c r="I2665" s="5">
        <f>INT(TB[[#This Row],[时间戳]])</f>
        <v>45979</v>
      </c>
      <c r="J2665" s="2">
        <f>HOUR(TB[[#This Row],[时间戳]])</f>
        <v>23</v>
      </c>
      <c r="K2665">
        <v>6459</v>
      </c>
      <c r="L2665">
        <v>1</v>
      </c>
      <c r="M2665">
        <f>TB[[#This Row],[售价]]*TB[[#This Row],[销量]]</f>
        <v>6459</v>
      </c>
      <c r="N2665" t="str">
        <f>IF(TB[[#This Row],[售价]]&lt;1000,"低价商品",IF(TB[[#This Row],[售价]]&lt;5000,"中价商品",IF(TB[[#This Row],[售价]]&lt;10000,"高价商品","超高价商品")))</f>
        <v>高价商品</v>
      </c>
    </row>
    <row r="2666" spans="1:14" x14ac:dyDescent="0.2">
      <c r="A2666">
        <v>189</v>
      </c>
      <c r="B2666">
        <v>165</v>
      </c>
      <c r="C2666" t="s">
        <v>44</v>
      </c>
      <c r="D2666" t="s">
        <v>415</v>
      </c>
      <c r="E2666" t="s">
        <v>39</v>
      </c>
      <c r="F2666">
        <v>5</v>
      </c>
      <c r="G2666" t="s">
        <v>13</v>
      </c>
      <c r="H2666" s="1">
        <v>45980.009027777778</v>
      </c>
      <c r="I2666" s="5">
        <f>INT(TB[[#This Row],[时间戳]])</f>
        <v>45980</v>
      </c>
      <c r="J2666" s="2">
        <f>HOUR(TB[[#This Row],[时间戳]])</f>
        <v>0</v>
      </c>
      <c r="K2666">
        <v>2474</v>
      </c>
      <c r="L2666">
        <v>3</v>
      </c>
      <c r="M2666">
        <f>TB[[#This Row],[售价]]*TB[[#This Row],[销量]]</f>
        <v>7422</v>
      </c>
      <c r="N2666" t="str">
        <f>IF(TB[[#This Row],[售价]]&lt;1000,"低价商品",IF(TB[[#This Row],[售价]]&lt;5000,"中价商品",IF(TB[[#This Row],[售价]]&lt;10000,"高价商品","超高价商品")))</f>
        <v>中价商品</v>
      </c>
    </row>
    <row r="2667" spans="1:14" x14ac:dyDescent="0.2">
      <c r="A2667">
        <v>342</v>
      </c>
      <c r="B2667">
        <v>102</v>
      </c>
      <c r="C2667" t="s">
        <v>44</v>
      </c>
      <c r="D2667" t="s">
        <v>272</v>
      </c>
      <c r="E2667" t="s">
        <v>16</v>
      </c>
      <c r="F2667">
        <v>6</v>
      </c>
      <c r="G2667" t="s">
        <v>13</v>
      </c>
      <c r="H2667" s="1">
        <v>45980.015277777777</v>
      </c>
      <c r="I2667" s="5">
        <f>INT(TB[[#This Row],[时间戳]])</f>
        <v>45980</v>
      </c>
      <c r="J2667" s="2">
        <f>HOUR(TB[[#This Row],[时间戳]])</f>
        <v>0</v>
      </c>
      <c r="K2667">
        <v>9589</v>
      </c>
      <c r="L2667">
        <v>4</v>
      </c>
      <c r="M2667">
        <f>TB[[#This Row],[售价]]*TB[[#This Row],[销量]]</f>
        <v>38356</v>
      </c>
      <c r="N2667" t="str">
        <f>IF(TB[[#This Row],[售价]]&lt;1000,"低价商品",IF(TB[[#This Row],[售价]]&lt;5000,"中价商品",IF(TB[[#This Row],[售价]]&lt;10000,"高价商品","超高价商品")))</f>
        <v>高价商品</v>
      </c>
    </row>
    <row r="2668" spans="1:14" x14ac:dyDescent="0.2">
      <c r="A2668">
        <v>619</v>
      </c>
      <c r="B2668">
        <v>12</v>
      </c>
      <c r="C2668" t="s">
        <v>36</v>
      </c>
      <c r="D2668" t="s">
        <v>210</v>
      </c>
      <c r="E2668" t="s">
        <v>31</v>
      </c>
      <c r="F2668">
        <v>4</v>
      </c>
      <c r="G2668" t="s">
        <v>13</v>
      </c>
      <c r="H2668" s="1">
        <v>45980.018055555556</v>
      </c>
      <c r="I2668" s="5">
        <f>INT(TB[[#This Row],[时间戳]])</f>
        <v>45980</v>
      </c>
      <c r="J2668" s="2">
        <f>HOUR(TB[[#This Row],[时间戳]])</f>
        <v>0</v>
      </c>
      <c r="K2668">
        <v>1500</v>
      </c>
      <c r="L2668">
        <v>1</v>
      </c>
      <c r="M2668">
        <f>TB[[#This Row],[售价]]*TB[[#This Row],[销量]]</f>
        <v>1500</v>
      </c>
      <c r="N2668" t="str">
        <f>IF(TB[[#This Row],[售价]]&lt;1000,"低价商品",IF(TB[[#This Row],[售价]]&lt;5000,"中价商品",IF(TB[[#This Row],[售价]]&lt;10000,"高价商品","超高价商品")))</f>
        <v>中价商品</v>
      </c>
    </row>
    <row r="2669" spans="1:14" x14ac:dyDescent="0.2">
      <c r="A2669">
        <v>406</v>
      </c>
      <c r="B2669">
        <v>250</v>
      </c>
      <c r="C2669" t="s">
        <v>17</v>
      </c>
      <c r="D2669" t="s">
        <v>137</v>
      </c>
      <c r="E2669" t="s">
        <v>31</v>
      </c>
      <c r="F2669">
        <v>4</v>
      </c>
      <c r="G2669" t="s">
        <v>13</v>
      </c>
      <c r="H2669" s="1">
        <v>45980.037499999999</v>
      </c>
      <c r="I2669" s="5">
        <f>INT(TB[[#This Row],[时间戳]])</f>
        <v>45980</v>
      </c>
      <c r="J2669" s="2">
        <f>HOUR(TB[[#This Row],[时间戳]])</f>
        <v>0</v>
      </c>
      <c r="K2669">
        <v>198</v>
      </c>
      <c r="L2669">
        <v>1</v>
      </c>
      <c r="M2669">
        <f>TB[[#This Row],[售价]]*TB[[#This Row],[销量]]</f>
        <v>198</v>
      </c>
      <c r="N2669" t="str">
        <f>IF(TB[[#This Row],[售价]]&lt;1000,"低价商品",IF(TB[[#This Row],[售价]]&lt;5000,"中价商品",IF(TB[[#This Row],[售价]]&lt;10000,"高价商品","超高价商品")))</f>
        <v>低价商品</v>
      </c>
    </row>
    <row r="2670" spans="1:14" x14ac:dyDescent="0.2">
      <c r="A2670">
        <v>525</v>
      </c>
      <c r="B2670">
        <v>192</v>
      </c>
      <c r="C2670" t="s">
        <v>20</v>
      </c>
      <c r="D2670" t="s">
        <v>78</v>
      </c>
      <c r="E2670" t="s">
        <v>22</v>
      </c>
      <c r="F2670">
        <v>1</v>
      </c>
      <c r="G2670" t="s">
        <v>13</v>
      </c>
      <c r="H2670" s="1">
        <v>45980.061805555553</v>
      </c>
      <c r="I2670" s="5">
        <f>INT(TB[[#This Row],[时间戳]])</f>
        <v>45980</v>
      </c>
      <c r="J2670" s="2">
        <f>HOUR(TB[[#This Row],[时间戳]])</f>
        <v>1</v>
      </c>
      <c r="K2670">
        <v>7362</v>
      </c>
      <c r="L2670">
        <v>2</v>
      </c>
      <c r="M2670">
        <f>TB[[#This Row],[售价]]*TB[[#This Row],[销量]]</f>
        <v>14724</v>
      </c>
      <c r="N2670" t="str">
        <f>IF(TB[[#This Row],[售价]]&lt;1000,"低价商品",IF(TB[[#This Row],[售价]]&lt;5000,"中价商品",IF(TB[[#This Row],[售价]]&lt;10000,"高价商品","超高价商品")))</f>
        <v>高价商品</v>
      </c>
    </row>
    <row r="2671" spans="1:14" x14ac:dyDescent="0.2">
      <c r="A2671">
        <v>517</v>
      </c>
      <c r="B2671">
        <v>168</v>
      </c>
      <c r="C2671" t="s">
        <v>17</v>
      </c>
      <c r="D2671" t="s">
        <v>28</v>
      </c>
      <c r="E2671" t="s">
        <v>12</v>
      </c>
      <c r="F2671">
        <v>2</v>
      </c>
      <c r="G2671" t="s">
        <v>13</v>
      </c>
      <c r="H2671" s="1">
        <v>45980.068749999999</v>
      </c>
      <c r="I2671" s="5">
        <f>INT(TB[[#This Row],[时间戳]])</f>
        <v>45980</v>
      </c>
      <c r="J2671" s="2">
        <f>HOUR(TB[[#This Row],[时间戳]])</f>
        <v>1</v>
      </c>
      <c r="K2671">
        <v>4354</v>
      </c>
      <c r="L2671">
        <v>2</v>
      </c>
      <c r="M2671">
        <f>TB[[#This Row],[售价]]*TB[[#This Row],[销量]]</f>
        <v>8708</v>
      </c>
      <c r="N2671" t="str">
        <f>IF(TB[[#This Row],[售价]]&lt;1000,"低价商品",IF(TB[[#This Row],[售价]]&lt;5000,"中价商品",IF(TB[[#This Row],[售价]]&lt;10000,"高价商品","超高价商品")))</f>
        <v>中价商品</v>
      </c>
    </row>
    <row r="2672" spans="1:14" x14ac:dyDescent="0.2">
      <c r="A2672">
        <v>342</v>
      </c>
      <c r="B2672">
        <v>35</v>
      </c>
      <c r="C2672" t="s">
        <v>36</v>
      </c>
      <c r="D2672" t="s">
        <v>54</v>
      </c>
      <c r="E2672" t="s">
        <v>12</v>
      </c>
      <c r="F2672">
        <v>2</v>
      </c>
      <c r="G2672" t="s">
        <v>42</v>
      </c>
      <c r="H2672" s="1">
        <v>45980.088194444441</v>
      </c>
      <c r="I2672" s="5">
        <f>INT(TB[[#This Row],[时间戳]])</f>
        <v>45980</v>
      </c>
      <c r="J2672" s="2">
        <f>HOUR(TB[[#This Row],[时间戳]])</f>
        <v>2</v>
      </c>
      <c r="K2672">
        <v>12878</v>
      </c>
      <c r="L2672">
        <v>0</v>
      </c>
      <c r="M2672">
        <f>TB[[#This Row],[售价]]*TB[[#This Row],[销量]]</f>
        <v>0</v>
      </c>
      <c r="N2672" t="str">
        <f>IF(TB[[#This Row],[售价]]&lt;1000,"低价商品",IF(TB[[#This Row],[售价]]&lt;5000,"中价商品",IF(TB[[#This Row],[售价]]&lt;10000,"高价商品","超高价商品")))</f>
        <v>超高价商品</v>
      </c>
    </row>
    <row r="2673" spans="1:14" x14ac:dyDescent="0.2">
      <c r="A2673">
        <v>572</v>
      </c>
      <c r="B2673">
        <v>58</v>
      </c>
      <c r="C2673" t="s">
        <v>46</v>
      </c>
      <c r="D2673" t="s">
        <v>359</v>
      </c>
      <c r="E2673" t="s">
        <v>25</v>
      </c>
      <c r="F2673">
        <v>7</v>
      </c>
      <c r="G2673" t="s">
        <v>13</v>
      </c>
      <c r="H2673" s="1">
        <v>45980.097222222219</v>
      </c>
      <c r="I2673" s="5">
        <f>INT(TB[[#This Row],[时间戳]])</f>
        <v>45980</v>
      </c>
      <c r="J2673" s="2">
        <f>HOUR(TB[[#This Row],[时间戳]])</f>
        <v>2</v>
      </c>
      <c r="K2673">
        <v>7354</v>
      </c>
      <c r="L2673">
        <v>3</v>
      </c>
      <c r="M2673">
        <f>TB[[#This Row],[售价]]*TB[[#This Row],[销量]]</f>
        <v>22062</v>
      </c>
      <c r="N2673" t="str">
        <f>IF(TB[[#This Row],[售价]]&lt;1000,"低价商品",IF(TB[[#This Row],[售价]]&lt;5000,"中价商品",IF(TB[[#This Row],[售价]]&lt;10000,"高价商品","超高价商品")))</f>
        <v>高价商品</v>
      </c>
    </row>
    <row r="2674" spans="1:14" x14ac:dyDescent="0.2">
      <c r="A2674">
        <v>588</v>
      </c>
      <c r="B2674">
        <v>240</v>
      </c>
      <c r="C2674" t="s">
        <v>20</v>
      </c>
      <c r="D2674" t="s">
        <v>394</v>
      </c>
      <c r="E2674" t="s">
        <v>39</v>
      </c>
      <c r="F2674">
        <v>5</v>
      </c>
      <c r="G2674" t="s">
        <v>13</v>
      </c>
      <c r="H2674" s="1">
        <v>45980.120138888888</v>
      </c>
      <c r="I2674" s="5">
        <f>INT(TB[[#This Row],[时间戳]])</f>
        <v>45980</v>
      </c>
      <c r="J2674" s="2">
        <f>HOUR(TB[[#This Row],[时间戳]])</f>
        <v>2</v>
      </c>
      <c r="K2674">
        <v>2859</v>
      </c>
      <c r="L2674">
        <v>4</v>
      </c>
      <c r="M2674">
        <f>TB[[#This Row],[售价]]*TB[[#This Row],[销量]]</f>
        <v>11436</v>
      </c>
      <c r="N2674" t="str">
        <f>IF(TB[[#This Row],[售价]]&lt;1000,"低价商品",IF(TB[[#This Row],[售价]]&lt;5000,"中价商品",IF(TB[[#This Row],[售价]]&lt;10000,"高价商品","超高价商品")))</f>
        <v>中价商品</v>
      </c>
    </row>
    <row r="2675" spans="1:14" x14ac:dyDescent="0.2">
      <c r="A2675">
        <v>786</v>
      </c>
      <c r="B2675">
        <v>221</v>
      </c>
      <c r="C2675" t="s">
        <v>32</v>
      </c>
      <c r="D2675" t="s">
        <v>33</v>
      </c>
      <c r="E2675" t="s">
        <v>16</v>
      </c>
      <c r="F2675">
        <v>6</v>
      </c>
      <c r="G2675" t="s">
        <v>13</v>
      </c>
      <c r="H2675" s="1">
        <v>45980.124305555553</v>
      </c>
      <c r="I2675" s="5">
        <f>INT(TB[[#This Row],[时间戳]])</f>
        <v>45980</v>
      </c>
      <c r="J2675" s="2">
        <f>HOUR(TB[[#This Row],[时间戳]])</f>
        <v>2</v>
      </c>
      <c r="K2675">
        <v>12000</v>
      </c>
      <c r="L2675">
        <v>2</v>
      </c>
      <c r="M2675">
        <f>TB[[#This Row],[售价]]*TB[[#This Row],[销量]]</f>
        <v>24000</v>
      </c>
      <c r="N2675" t="str">
        <f>IF(TB[[#This Row],[售价]]&lt;1000,"低价商品",IF(TB[[#This Row],[售价]]&lt;5000,"中价商品",IF(TB[[#This Row],[售价]]&lt;10000,"高价商品","超高价商品")))</f>
        <v>超高价商品</v>
      </c>
    </row>
    <row r="2676" spans="1:14" x14ac:dyDescent="0.2">
      <c r="A2676">
        <v>667</v>
      </c>
      <c r="B2676">
        <v>170</v>
      </c>
      <c r="C2676" t="s">
        <v>44</v>
      </c>
      <c r="D2676" t="s">
        <v>415</v>
      </c>
      <c r="E2676" t="s">
        <v>39</v>
      </c>
      <c r="F2676">
        <v>5</v>
      </c>
      <c r="G2676" t="s">
        <v>42</v>
      </c>
      <c r="H2676" s="1">
        <v>45980.164583333331</v>
      </c>
      <c r="I2676" s="5">
        <f>INT(TB[[#This Row],[时间戳]])</f>
        <v>45980</v>
      </c>
      <c r="J2676" s="2">
        <f>HOUR(TB[[#This Row],[时间戳]])</f>
        <v>3</v>
      </c>
      <c r="K2676">
        <v>1972</v>
      </c>
      <c r="L2676">
        <v>0</v>
      </c>
      <c r="M2676">
        <f>TB[[#This Row],[售价]]*TB[[#This Row],[销量]]</f>
        <v>0</v>
      </c>
      <c r="N2676" t="str">
        <f>IF(TB[[#This Row],[售价]]&lt;1000,"低价商品",IF(TB[[#This Row],[售价]]&lt;5000,"中价商品",IF(TB[[#This Row],[售价]]&lt;10000,"高价商品","超高价商品")))</f>
        <v>中价商品</v>
      </c>
    </row>
    <row r="2677" spans="1:14" x14ac:dyDescent="0.2">
      <c r="A2677">
        <v>465</v>
      </c>
      <c r="B2677">
        <v>271</v>
      </c>
      <c r="C2677" t="s">
        <v>46</v>
      </c>
      <c r="D2677" t="s">
        <v>260</v>
      </c>
      <c r="E2677" t="s">
        <v>22</v>
      </c>
      <c r="F2677">
        <v>1</v>
      </c>
      <c r="G2677" t="s">
        <v>13</v>
      </c>
      <c r="H2677" s="1">
        <v>45980.17083333333</v>
      </c>
      <c r="I2677" s="5">
        <f>INT(TB[[#This Row],[时间戳]])</f>
        <v>45980</v>
      </c>
      <c r="J2677" s="2">
        <f>HOUR(TB[[#This Row],[时间戳]])</f>
        <v>4</v>
      </c>
      <c r="K2677">
        <v>1491</v>
      </c>
      <c r="L2677">
        <v>3</v>
      </c>
      <c r="M2677">
        <f>TB[[#This Row],[售价]]*TB[[#This Row],[销量]]</f>
        <v>4473</v>
      </c>
      <c r="N2677" t="str">
        <f>IF(TB[[#This Row],[售价]]&lt;1000,"低价商品",IF(TB[[#This Row],[售价]]&lt;5000,"中价商品",IF(TB[[#This Row],[售价]]&lt;10000,"高价商品","超高价商品")))</f>
        <v>中价商品</v>
      </c>
    </row>
    <row r="2678" spans="1:14" x14ac:dyDescent="0.2">
      <c r="A2678">
        <v>412</v>
      </c>
      <c r="B2678">
        <v>295</v>
      </c>
      <c r="C2678" t="s">
        <v>17</v>
      </c>
      <c r="D2678" t="s">
        <v>74</v>
      </c>
      <c r="E2678" t="s">
        <v>22</v>
      </c>
      <c r="F2678">
        <v>1</v>
      </c>
      <c r="G2678" t="s">
        <v>13</v>
      </c>
      <c r="H2678" s="1">
        <v>45980.179861111108</v>
      </c>
      <c r="I2678" s="5">
        <f>INT(TB[[#This Row],[时间戳]])</f>
        <v>45980</v>
      </c>
      <c r="J2678" s="2">
        <f>HOUR(TB[[#This Row],[时间戳]])</f>
        <v>4</v>
      </c>
      <c r="K2678">
        <v>7552</v>
      </c>
      <c r="L2678">
        <v>2</v>
      </c>
      <c r="M2678">
        <f>TB[[#This Row],[售价]]*TB[[#This Row],[销量]]</f>
        <v>15104</v>
      </c>
      <c r="N2678" t="str">
        <f>IF(TB[[#This Row],[售价]]&lt;1000,"低价商品",IF(TB[[#This Row],[售价]]&lt;5000,"中价商品",IF(TB[[#This Row],[售价]]&lt;10000,"高价商品","超高价商品")))</f>
        <v>高价商品</v>
      </c>
    </row>
    <row r="2679" spans="1:14" x14ac:dyDescent="0.2">
      <c r="A2679">
        <v>20</v>
      </c>
      <c r="B2679">
        <v>5</v>
      </c>
      <c r="C2679" t="s">
        <v>46</v>
      </c>
      <c r="D2679" t="s">
        <v>211</v>
      </c>
      <c r="E2679" t="s">
        <v>31</v>
      </c>
      <c r="F2679">
        <v>4</v>
      </c>
      <c r="G2679" t="s">
        <v>42</v>
      </c>
      <c r="H2679" s="1">
        <v>45980.180555555555</v>
      </c>
      <c r="I2679" s="5">
        <f>INT(TB[[#This Row],[时间戳]])</f>
        <v>45980</v>
      </c>
      <c r="J2679" s="2">
        <f>HOUR(TB[[#This Row],[时间戳]])</f>
        <v>4</v>
      </c>
      <c r="K2679">
        <v>454</v>
      </c>
      <c r="L2679">
        <v>0</v>
      </c>
      <c r="M2679">
        <f>TB[[#This Row],[售价]]*TB[[#This Row],[销量]]</f>
        <v>0</v>
      </c>
      <c r="N2679" t="str">
        <f>IF(TB[[#This Row],[售价]]&lt;1000,"低价商品",IF(TB[[#This Row],[售价]]&lt;5000,"中价商品",IF(TB[[#This Row],[售价]]&lt;10000,"高价商品","超高价商品")))</f>
        <v>低价商品</v>
      </c>
    </row>
    <row r="2680" spans="1:14" x14ac:dyDescent="0.2">
      <c r="A2680">
        <v>266</v>
      </c>
      <c r="B2680">
        <v>115</v>
      </c>
      <c r="C2680" t="s">
        <v>17</v>
      </c>
      <c r="D2680" t="s">
        <v>320</v>
      </c>
      <c r="E2680" t="s">
        <v>16</v>
      </c>
      <c r="F2680">
        <v>6</v>
      </c>
      <c r="G2680" t="s">
        <v>13</v>
      </c>
      <c r="H2680" s="1">
        <v>45980.182638888888</v>
      </c>
      <c r="I2680" s="5">
        <f>INT(TB[[#This Row],[时间戳]])</f>
        <v>45980</v>
      </c>
      <c r="J2680" s="2">
        <f>HOUR(TB[[#This Row],[时间戳]])</f>
        <v>4</v>
      </c>
      <c r="K2680">
        <v>5655</v>
      </c>
      <c r="L2680">
        <v>3</v>
      </c>
      <c r="M2680">
        <f>TB[[#This Row],[售价]]*TB[[#This Row],[销量]]</f>
        <v>16965</v>
      </c>
      <c r="N2680" t="str">
        <f>IF(TB[[#This Row],[售价]]&lt;1000,"低价商品",IF(TB[[#This Row],[售价]]&lt;5000,"中价商品",IF(TB[[#This Row],[售价]]&lt;10000,"高价商品","超高价商品")))</f>
        <v>高价商品</v>
      </c>
    </row>
    <row r="2681" spans="1:14" x14ac:dyDescent="0.2">
      <c r="A2681">
        <v>469</v>
      </c>
      <c r="B2681">
        <v>103</v>
      </c>
      <c r="C2681" t="s">
        <v>34</v>
      </c>
      <c r="D2681" t="s">
        <v>164</v>
      </c>
      <c r="E2681" t="s">
        <v>22</v>
      </c>
      <c r="F2681">
        <v>1</v>
      </c>
      <c r="G2681" t="s">
        <v>13</v>
      </c>
      <c r="H2681" s="1">
        <v>45980.196527777778</v>
      </c>
      <c r="I2681" s="5">
        <f>INT(TB[[#This Row],[时间戳]])</f>
        <v>45980</v>
      </c>
      <c r="J2681" s="2">
        <f>HOUR(TB[[#This Row],[时间戳]])</f>
        <v>4</v>
      </c>
      <c r="K2681">
        <v>5932</v>
      </c>
      <c r="L2681">
        <v>2</v>
      </c>
      <c r="M2681">
        <f>TB[[#This Row],[售价]]*TB[[#This Row],[销量]]</f>
        <v>11864</v>
      </c>
      <c r="N2681" t="str">
        <f>IF(TB[[#This Row],[售价]]&lt;1000,"低价商品",IF(TB[[#This Row],[售价]]&lt;5000,"中价商品",IF(TB[[#This Row],[售价]]&lt;10000,"高价商品","超高价商品")))</f>
        <v>高价商品</v>
      </c>
    </row>
    <row r="2682" spans="1:14" x14ac:dyDescent="0.2">
      <c r="A2682">
        <v>591</v>
      </c>
      <c r="B2682">
        <v>79</v>
      </c>
      <c r="C2682" t="s">
        <v>34</v>
      </c>
      <c r="D2682" t="s">
        <v>232</v>
      </c>
      <c r="E2682" t="s">
        <v>22</v>
      </c>
      <c r="F2682">
        <v>1</v>
      </c>
      <c r="G2682" t="s">
        <v>13</v>
      </c>
      <c r="H2682" s="1">
        <v>45980.20208333333</v>
      </c>
      <c r="I2682" s="5">
        <f>INT(TB[[#This Row],[时间戳]])</f>
        <v>45980</v>
      </c>
      <c r="J2682" s="2">
        <f>HOUR(TB[[#This Row],[时间戳]])</f>
        <v>4</v>
      </c>
      <c r="K2682">
        <v>7401</v>
      </c>
      <c r="L2682">
        <v>4</v>
      </c>
      <c r="M2682">
        <f>TB[[#This Row],[售价]]*TB[[#This Row],[销量]]</f>
        <v>29604</v>
      </c>
      <c r="N2682" t="str">
        <f>IF(TB[[#This Row],[售价]]&lt;1000,"低价商品",IF(TB[[#This Row],[售价]]&lt;5000,"中价商品",IF(TB[[#This Row],[售价]]&lt;10000,"高价商品","超高价商品")))</f>
        <v>高价商品</v>
      </c>
    </row>
    <row r="2683" spans="1:14" x14ac:dyDescent="0.2">
      <c r="A2683">
        <v>316</v>
      </c>
      <c r="B2683">
        <v>93</v>
      </c>
      <c r="C2683" t="s">
        <v>26</v>
      </c>
      <c r="D2683" t="s">
        <v>229</v>
      </c>
      <c r="E2683" t="s">
        <v>16</v>
      </c>
      <c r="F2683">
        <v>6</v>
      </c>
      <c r="G2683" t="s">
        <v>13</v>
      </c>
      <c r="H2683" s="1">
        <v>45980.23541666667</v>
      </c>
      <c r="I2683" s="5">
        <f>INT(TB[[#This Row],[时间戳]])</f>
        <v>45980</v>
      </c>
      <c r="J2683" s="2">
        <f>HOUR(TB[[#This Row],[时间戳]])</f>
        <v>5</v>
      </c>
      <c r="K2683">
        <v>5289</v>
      </c>
      <c r="L2683">
        <v>3</v>
      </c>
      <c r="M2683">
        <f>TB[[#This Row],[售价]]*TB[[#This Row],[销量]]</f>
        <v>15867</v>
      </c>
      <c r="N2683" t="str">
        <f>IF(TB[[#This Row],[售价]]&lt;1000,"低价商品",IF(TB[[#This Row],[售价]]&lt;5000,"中价商品",IF(TB[[#This Row],[售价]]&lt;10000,"高价商品","超高价商品")))</f>
        <v>高价商品</v>
      </c>
    </row>
    <row r="2684" spans="1:14" x14ac:dyDescent="0.2">
      <c r="A2684">
        <v>41</v>
      </c>
      <c r="B2684">
        <v>66</v>
      </c>
      <c r="C2684" t="s">
        <v>20</v>
      </c>
      <c r="D2684" t="s">
        <v>367</v>
      </c>
      <c r="E2684" t="s">
        <v>25</v>
      </c>
      <c r="F2684">
        <v>7</v>
      </c>
      <c r="G2684" t="s">
        <v>13</v>
      </c>
      <c r="H2684" s="1">
        <v>45980.23541666667</v>
      </c>
      <c r="I2684" s="5">
        <f>INT(TB[[#This Row],[时间戳]])</f>
        <v>45980</v>
      </c>
      <c r="J2684" s="2">
        <f>HOUR(TB[[#This Row],[时间戳]])</f>
        <v>5</v>
      </c>
      <c r="K2684">
        <v>2139</v>
      </c>
      <c r="L2684">
        <v>1</v>
      </c>
      <c r="M2684">
        <f>TB[[#This Row],[售价]]*TB[[#This Row],[销量]]</f>
        <v>2139</v>
      </c>
      <c r="N2684" t="str">
        <f>IF(TB[[#This Row],[售价]]&lt;1000,"低价商品",IF(TB[[#This Row],[售价]]&lt;5000,"中价商品",IF(TB[[#This Row],[售价]]&lt;10000,"高价商品","超高价商品")))</f>
        <v>中价商品</v>
      </c>
    </row>
    <row r="2685" spans="1:14" x14ac:dyDescent="0.2">
      <c r="A2685">
        <v>323</v>
      </c>
      <c r="B2685">
        <v>118</v>
      </c>
      <c r="C2685" t="s">
        <v>14</v>
      </c>
      <c r="D2685" t="s">
        <v>305</v>
      </c>
      <c r="E2685" t="s">
        <v>25</v>
      </c>
      <c r="F2685">
        <v>7</v>
      </c>
      <c r="G2685" t="s">
        <v>13</v>
      </c>
      <c r="H2685" s="1">
        <v>45980.244444444441</v>
      </c>
      <c r="I2685" s="5">
        <f>INT(TB[[#This Row],[时间戳]])</f>
        <v>45980</v>
      </c>
      <c r="J2685" s="2">
        <f>HOUR(TB[[#This Row],[时间戳]])</f>
        <v>5</v>
      </c>
      <c r="K2685">
        <v>5902</v>
      </c>
      <c r="L2685">
        <v>4</v>
      </c>
      <c r="M2685">
        <f>TB[[#This Row],[售价]]*TB[[#This Row],[销量]]</f>
        <v>23608</v>
      </c>
      <c r="N2685" t="str">
        <f>IF(TB[[#This Row],[售价]]&lt;1000,"低价商品",IF(TB[[#This Row],[售价]]&lt;5000,"中价商品",IF(TB[[#This Row],[售价]]&lt;10000,"高价商品","超高价商品")))</f>
        <v>高价商品</v>
      </c>
    </row>
    <row r="2686" spans="1:14" x14ac:dyDescent="0.2">
      <c r="A2686">
        <v>168</v>
      </c>
      <c r="B2686">
        <v>218</v>
      </c>
      <c r="C2686" t="s">
        <v>32</v>
      </c>
      <c r="D2686" t="s">
        <v>218</v>
      </c>
      <c r="E2686" t="s">
        <v>12</v>
      </c>
      <c r="F2686">
        <v>2</v>
      </c>
      <c r="G2686" t="s">
        <v>13</v>
      </c>
      <c r="H2686" s="1">
        <v>45980.252083333333</v>
      </c>
      <c r="I2686" s="5">
        <f>INT(TB[[#This Row],[时间戳]])</f>
        <v>45980</v>
      </c>
      <c r="J2686" s="2">
        <f>HOUR(TB[[#This Row],[时间戳]])</f>
        <v>6</v>
      </c>
      <c r="K2686">
        <v>14689</v>
      </c>
      <c r="L2686">
        <v>1</v>
      </c>
      <c r="M2686">
        <f>TB[[#This Row],[售价]]*TB[[#This Row],[销量]]</f>
        <v>14689</v>
      </c>
      <c r="N2686" t="str">
        <f>IF(TB[[#This Row],[售价]]&lt;1000,"低价商品",IF(TB[[#This Row],[售价]]&lt;5000,"中价商品",IF(TB[[#This Row],[售价]]&lt;10000,"高价商品","超高价商品")))</f>
        <v>超高价商品</v>
      </c>
    </row>
    <row r="2687" spans="1:14" x14ac:dyDescent="0.2">
      <c r="A2687">
        <v>28</v>
      </c>
      <c r="B2687">
        <v>71</v>
      </c>
      <c r="C2687" t="s">
        <v>32</v>
      </c>
      <c r="D2687" t="s">
        <v>342</v>
      </c>
      <c r="E2687" t="s">
        <v>39</v>
      </c>
      <c r="F2687">
        <v>5</v>
      </c>
      <c r="G2687" t="s">
        <v>13</v>
      </c>
      <c r="H2687" s="1">
        <v>45980.252083333333</v>
      </c>
      <c r="I2687" s="5">
        <f>INT(TB[[#This Row],[时间戳]])</f>
        <v>45980</v>
      </c>
      <c r="J2687" s="2">
        <f>HOUR(TB[[#This Row],[时间戳]])</f>
        <v>6</v>
      </c>
      <c r="K2687">
        <v>1829</v>
      </c>
      <c r="L2687">
        <v>1</v>
      </c>
      <c r="M2687">
        <f>TB[[#This Row],[售价]]*TB[[#This Row],[销量]]</f>
        <v>1829</v>
      </c>
      <c r="N2687" t="str">
        <f>IF(TB[[#This Row],[售价]]&lt;1000,"低价商品",IF(TB[[#This Row],[售价]]&lt;5000,"中价商品",IF(TB[[#This Row],[售价]]&lt;10000,"高价商品","超高价商品")))</f>
        <v>中价商品</v>
      </c>
    </row>
    <row r="2688" spans="1:14" x14ac:dyDescent="0.2">
      <c r="A2688">
        <v>455</v>
      </c>
      <c r="B2688">
        <v>107</v>
      </c>
      <c r="C2688" t="s">
        <v>17</v>
      </c>
      <c r="D2688" t="s">
        <v>74</v>
      </c>
      <c r="E2688" t="s">
        <v>22</v>
      </c>
      <c r="F2688">
        <v>1</v>
      </c>
      <c r="G2688" t="s">
        <v>13</v>
      </c>
      <c r="H2688" s="1">
        <v>45980.254861111112</v>
      </c>
      <c r="I2688" s="5">
        <f>INT(TB[[#This Row],[时间戳]])</f>
        <v>45980</v>
      </c>
      <c r="J2688" s="2">
        <f>HOUR(TB[[#This Row],[时间戳]])</f>
        <v>6</v>
      </c>
      <c r="K2688">
        <v>4464</v>
      </c>
      <c r="L2688">
        <v>3</v>
      </c>
      <c r="M2688">
        <f>TB[[#This Row],[售价]]*TB[[#This Row],[销量]]</f>
        <v>13392</v>
      </c>
      <c r="N2688" t="str">
        <f>IF(TB[[#This Row],[售价]]&lt;1000,"低价商品",IF(TB[[#This Row],[售价]]&lt;5000,"中价商品",IF(TB[[#This Row],[售价]]&lt;10000,"高价商品","超高价商品")))</f>
        <v>中价商品</v>
      </c>
    </row>
    <row r="2689" spans="1:14" x14ac:dyDescent="0.2">
      <c r="A2689">
        <v>409</v>
      </c>
      <c r="B2689">
        <v>102</v>
      </c>
      <c r="C2689" t="s">
        <v>44</v>
      </c>
      <c r="D2689" t="s">
        <v>66</v>
      </c>
      <c r="E2689" t="s">
        <v>22</v>
      </c>
      <c r="F2689">
        <v>1</v>
      </c>
      <c r="G2689" t="s">
        <v>13</v>
      </c>
      <c r="H2689" s="1">
        <v>45980.26458333333</v>
      </c>
      <c r="I2689" s="5">
        <f>INT(TB[[#This Row],[时间戳]])</f>
        <v>45980</v>
      </c>
      <c r="J2689" s="2">
        <f>HOUR(TB[[#This Row],[时间戳]])</f>
        <v>6</v>
      </c>
      <c r="K2689">
        <v>3941</v>
      </c>
      <c r="L2689">
        <v>1</v>
      </c>
      <c r="M2689">
        <f>TB[[#This Row],[售价]]*TB[[#This Row],[销量]]</f>
        <v>3941</v>
      </c>
      <c r="N2689" t="str">
        <f>IF(TB[[#This Row],[售价]]&lt;1000,"低价商品",IF(TB[[#This Row],[售价]]&lt;5000,"中价商品",IF(TB[[#This Row],[售价]]&lt;10000,"高价商品","超高价商品")))</f>
        <v>中价商品</v>
      </c>
    </row>
    <row r="2690" spans="1:14" x14ac:dyDescent="0.2">
      <c r="A2690">
        <v>128</v>
      </c>
      <c r="B2690">
        <v>48</v>
      </c>
      <c r="C2690" t="s">
        <v>17</v>
      </c>
      <c r="D2690" t="s">
        <v>198</v>
      </c>
      <c r="E2690" t="s">
        <v>19</v>
      </c>
      <c r="F2690">
        <v>3</v>
      </c>
      <c r="G2690" t="s">
        <v>13</v>
      </c>
      <c r="H2690" s="1">
        <v>45980.277083333334</v>
      </c>
      <c r="I2690" s="5">
        <f>INT(TB[[#This Row],[时间戳]])</f>
        <v>45980</v>
      </c>
      <c r="J2690" s="2">
        <f>HOUR(TB[[#This Row],[时间戳]])</f>
        <v>6</v>
      </c>
      <c r="K2690">
        <v>3378</v>
      </c>
      <c r="L2690">
        <v>3</v>
      </c>
      <c r="M2690">
        <f>TB[[#This Row],[售价]]*TB[[#This Row],[销量]]</f>
        <v>10134</v>
      </c>
      <c r="N2690" t="str">
        <f>IF(TB[[#This Row],[售价]]&lt;1000,"低价商品",IF(TB[[#This Row],[售价]]&lt;5000,"中价商品",IF(TB[[#This Row],[售价]]&lt;10000,"高价商品","超高价商品")))</f>
        <v>中价商品</v>
      </c>
    </row>
    <row r="2691" spans="1:14" x14ac:dyDescent="0.2">
      <c r="A2691">
        <v>125</v>
      </c>
      <c r="B2691">
        <v>84</v>
      </c>
      <c r="C2691" t="s">
        <v>46</v>
      </c>
      <c r="D2691" t="s">
        <v>129</v>
      </c>
      <c r="E2691" t="s">
        <v>31</v>
      </c>
      <c r="F2691">
        <v>4</v>
      </c>
      <c r="G2691" t="s">
        <v>42</v>
      </c>
      <c r="H2691" s="1">
        <v>45980.286111111112</v>
      </c>
      <c r="I2691" s="5">
        <f>INT(TB[[#This Row],[时间戳]])</f>
        <v>45980</v>
      </c>
      <c r="J2691" s="2">
        <f>HOUR(TB[[#This Row],[时间戳]])</f>
        <v>6</v>
      </c>
      <c r="K2691">
        <v>467</v>
      </c>
      <c r="L2691">
        <v>0</v>
      </c>
      <c r="M2691">
        <f>TB[[#This Row],[售价]]*TB[[#This Row],[销量]]</f>
        <v>0</v>
      </c>
      <c r="N2691" t="str">
        <f>IF(TB[[#This Row],[售价]]&lt;1000,"低价商品",IF(TB[[#This Row],[售价]]&lt;5000,"中价商品",IF(TB[[#This Row],[售价]]&lt;10000,"高价商品","超高价商品")))</f>
        <v>低价商品</v>
      </c>
    </row>
    <row r="2692" spans="1:14" x14ac:dyDescent="0.2">
      <c r="A2692">
        <v>620</v>
      </c>
      <c r="B2692">
        <v>184</v>
      </c>
      <c r="C2692" t="s">
        <v>44</v>
      </c>
      <c r="D2692" t="s">
        <v>236</v>
      </c>
      <c r="E2692" t="s">
        <v>12</v>
      </c>
      <c r="F2692">
        <v>2</v>
      </c>
      <c r="G2692" t="s">
        <v>13</v>
      </c>
      <c r="H2692" s="1">
        <v>45980.300694444442</v>
      </c>
      <c r="I2692" s="5">
        <f>INT(TB[[#This Row],[时间戳]])</f>
        <v>45980</v>
      </c>
      <c r="J2692" s="2">
        <f>HOUR(TB[[#This Row],[时间戳]])</f>
        <v>7</v>
      </c>
      <c r="K2692">
        <v>7295</v>
      </c>
      <c r="L2692">
        <v>2</v>
      </c>
      <c r="M2692">
        <f>TB[[#This Row],[售价]]*TB[[#This Row],[销量]]</f>
        <v>14590</v>
      </c>
      <c r="N2692" t="str">
        <f>IF(TB[[#This Row],[售价]]&lt;1000,"低价商品",IF(TB[[#This Row],[售价]]&lt;5000,"中价商品",IF(TB[[#This Row],[售价]]&lt;10000,"高价商品","超高价商品")))</f>
        <v>高价商品</v>
      </c>
    </row>
    <row r="2693" spans="1:14" x14ac:dyDescent="0.2">
      <c r="A2693">
        <v>216</v>
      </c>
      <c r="B2693">
        <v>47</v>
      </c>
      <c r="C2693" t="s">
        <v>17</v>
      </c>
      <c r="D2693" t="s">
        <v>214</v>
      </c>
      <c r="E2693" t="s">
        <v>22</v>
      </c>
      <c r="F2693">
        <v>1</v>
      </c>
      <c r="G2693" t="s">
        <v>13</v>
      </c>
      <c r="H2693" s="1">
        <v>45980.316666666666</v>
      </c>
      <c r="I2693" s="5">
        <f>INT(TB[[#This Row],[时间戳]])</f>
        <v>45980</v>
      </c>
      <c r="J2693" s="2">
        <f>HOUR(TB[[#This Row],[时间戳]])</f>
        <v>7</v>
      </c>
      <c r="K2693">
        <v>7103</v>
      </c>
      <c r="L2693">
        <v>2</v>
      </c>
      <c r="M2693">
        <f>TB[[#This Row],[售价]]*TB[[#This Row],[销量]]</f>
        <v>14206</v>
      </c>
      <c r="N2693" t="str">
        <f>IF(TB[[#This Row],[售价]]&lt;1000,"低价商品",IF(TB[[#This Row],[售价]]&lt;5000,"中价商品",IF(TB[[#This Row],[售价]]&lt;10000,"高价商品","超高价商品")))</f>
        <v>高价商品</v>
      </c>
    </row>
    <row r="2694" spans="1:14" x14ac:dyDescent="0.2">
      <c r="A2694">
        <v>521</v>
      </c>
      <c r="B2694">
        <v>58</v>
      </c>
      <c r="C2694" t="s">
        <v>44</v>
      </c>
      <c r="D2694" t="s">
        <v>272</v>
      </c>
      <c r="E2694" t="s">
        <v>16</v>
      </c>
      <c r="F2694">
        <v>6</v>
      </c>
      <c r="G2694" t="s">
        <v>13</v>
      </c>
      <c r="H2694" s="1">
        <v>45980.317361111112</v>
      </c>
      <c r="I2694" s="5">
        <f>INT(TB[[#This Row],[时间戳]])</f>
        <v>45980</v>
      </c>
      <c r="J2694" s="2">
        <f>HOUR(TB[[#This Row],[时间戳]])</f>
        <v>7</v>
      </c>
      <c r="K2694">
        <v>10289</v>
      </c>
      <c r="L2694">
        <v>1</v>
      </c>
      <c r="M2694">
        <f>TB[[#This Row],[售价]]*TB[[#This Row],[销量]]</f>
        <v>10289</v>
      </c>
      <c r="N2694" t="str">
        <f>IF(TB[[#This Row],[售价]]&lt;1000,"低价商品",IF(TB[[#This Row],[售价]]&lt;5000,"中价商品",IF(TB[[#This Row],[售价]]&lt;10000,"高价商品","超高价商品")))</f>
        <v>超高价商品</v>
      </c>
    </row>
    <row r="2695" spans="1:14" x14ac:dyDescent="0.2">
      <c r="A2695">
        <v>431</v>
      </c>
      <c r="B2695">
        <v>205</v>
      </c>
      <c r="C2695" t="s">
        <v>10</v>
      </c>
      <c r="D2695" t="s">
        <v>256</v>
      </c>
      <c r="E2695" t="s">
        <v>19</v>
      </c>
      <c r="F2695">
        <v>3</v>
      </c>
      <c r="G2695" t="s">
        <v>13</v>
      </c>
      <c r="H2695" s="1">
        <v>45980.328472222223</v>
      </c>
      <c r="I2695" s="5">
        <f>INT(TB[[#This Row],[时间戳]])</f>
        <v>45980</v>
      </c>
      <c r="J2695" s="2">
        <f>HOUR(TB[[#This Row],[时间戳]])</f>
        <v>7</v>
      </c>
      <c r="K2695">
        <v>5051</v>
      </c>
      <c r="L2695">
        <v>3</v>
      </c>
      <c r="M2695">
        <f>TB[[#This Row],[售价]]*TB[[#This Row],[销量]]</f>
        <v>15153</v>
      </c>
      <c r="N2695" t="str">
        <f>IF(TB[[#This Row],[售价]]&lt;1000,"低价商品",IF(TB[[#This Row],[售价]]&lt;5000,"中价商品",IF(TB[[#This Row],[售价]]&lt;10000,"高价商品","超高价商品")))</f>
        <v>高价商品</v>
      </c>
    </row>
    <row r="2696" spans="1:14" x14ac:dyDescent="0.2">
      <c r="A2696">
        <v>67</v>
      </c>
      <c r="B2696">
        <v>223</v>
      </c>
      <c r="C2696" t="s">
        <v>34</v>
      </c>
      <c r="D2696" t="s">
        <v>248</v>
      </c>
      <c r="E2696" t="s">
        <v>22</v>
      </c>
      <c r="F2696">
        <v>1</v>
      </c>
      <c r="G2696" t="s">
        <v>13</v>
      </c>
      <c r="H2696" s="1">
        <v>45980.38958333333</v>
      </c>
      <c r="I2696" s="5">
        <f>INT(TB[[#This Row],[时间戳]])</f>
        <v>45980</v>
      </c>
      <c r="J2696" s="2">
        <f>HOUR(TB[[#This Row],[时间戳]])</f>
        <v>9</v>
      </c>
      <c r="K2696">
        <v>1800</v>
      </c>
      <c r="L2696">
        <v>4</v>
      </c>
      <c r="M2696">
        <f>TB[[#This Row],[售价]]*TB[[#This Row],[销量]]</f>
        <v>7200</v>
      </c>
      <c r="N2696" t="str">
        <f>IF(TB[[#This Row],[售价]]&lt;1000,"低价商品",IF(TB[[#This Row],[售价]]&lt;5000,"中价商品",IF(TB[[#This Row],[售价]]&lt;10000,"高价商品","超高价商品")))</f>
        <v>中价商品</v>
      </c>
    </row>
    <row r="2697" spans="1:14" x14ac:dyDescent="0.2">
      <c r="A2697">
        <v>660</v>
      </c>
      <c r="B2697">
        <v>200</v>
      </c>
      <c r="C2697" t="s">
        <v>14</v>
      </c>
      <c r="D2697" t="s">
        <v>15</v>
      </c>
      <c r="E2697" t="s">
        <v>16</v>
      </c>
      <c r="F2697">
        <v>6</v>
      </c>
      <c r="G2697" t="s">
        <v>13</v>
      </c>
      <c r="H2697" s="1">
        <v>45980.402777777781</v>
      </c>
      <c r="I2697" s="5">
        <f>INT(TB[[#This Row],[时间戳]])</f>
        <v>45980</v>
      </c>
      <c r="J2697" s="2">
        <f>HOUR(TB[[#This Row],[时间戳]])</f>
        <v>9</v>
      </c>
      <c r="K2697">
        <v>6843</v>
      </c>
      <c r="L2697">
        <v>1</v>
      </c>
      <c r="M2697">
        <f>TB[[#This Row],[售价]]*TB[[#This Row],[销量]]</f>
        <v>6843</v>
      </c>
      <c r="N2697" t="str">
        <f>IF(TB[[#This Row],[售价]]&lt;1000,"低价商品",IF(TB[[#This Row],[售价]]&lt;5000,"中价商品",IF(TB[[#This Row],[售价]]&lt;10000,"高价商品","超高价商品")))</f>
        <v>高价商品</v>
      </c>
    </row>
    <row r="2698" spans="1:14" x14ac:dyDescent="0.2">
      <c r="A2698">
        <v>663</v>
      </c>
      <c r="B2698">
        <v>166</v>
      </c>
      <c r="C2698" t="s">
        <v>36</v>
      </c>
      <c r="D2698" t="s">
        <v>274</v>
      </c>
      <c r="E2698" t="s">
        <v>16</v>
      </c>
      <c r="F2698">
        <v>6</v>
      </c>
      <c r="G2698" t="s">
        <v>42</v>
      </c>
      <c r="H2698" s="1">
        <v>45980.423611111109</v>
      </c>
      <c r="I2698" s="5">
        <f>INT(TB[[#This Row],[时间戳]])</f>
        <v>45980</v>
      </c>
      <c r="J2698" s="2">
        <f>HOUR(TB[[#This Row],[时间戳]])</f>
        <v>10</v>
      </c>
      <c r="K2698">
        <v>9530</v>
      </c>
      <c r="L2698">
        <v>0</v>
      </c>
      <c r="M2698">
        <f>TB[[#This Row],[售价]]*TB[[#This Row],[销量]]</f>
        <v>0</v>
      </c>
      <c r="N2698" t="str">
        <f>IF(TB[[#This Row],[售价]]&lt;1000,"低价商品",IF(TB[[#This Row],[售价]]&lt;5000,"中价商品",IF(TB[[#This Row],[售价]]&lt;10000,"高价商品","超高价商品")))</f>
        <v>高价商品</v>
      </c>
    </row>
    <row r="2699" spans="1:14" x14ac:dyDescent="0.2">
      <c r="A2699">
        <v>579</v>
      </c>
      <c r="B2699">
        <v>5</v>
      </c>
      <c r="C2699" t="s">
        <v>32</v>
      </c>
      <c r="D2699" t="s">
        <v>170</v>
      </c>
      <c r="E2699" t="s">
        <v>31</v>
      </c>
      <c r="F2699">
        <v>4</v>
      </c>
      <c r="G2699" t="s">
        <v>13</v>
      </c>
      <c r="H2699" s="1">
        <v>45980.430555555555</v>
      </c>
      <c r="I2699" s="5">
        <f>INT(TB[[#This Row],[时间戳]])</f>
        <v>45980</v>
      </c>
      <c r="J2699" s="2">
        <f>HOUR(TB[[#This Row],[时间戳]])</f>
        <v>10</v>
      </c>
      <c r="K2699">
        <v>50</v>
      </c>
      <c r="L2699">
        <v>1</v>
      </c>
      <c r="M2699">
        <f>TB[[#This Row],[售价]]*TB[[#This Row],[销量]]</f>
        <v>50</v>
      </c>
      <c r="N2699" t="str">
        <f>IF(TB[[#This Row],[售价]]&lt;1000,"低价商品",IF(TB[[#This Row],[售价]]&lt;5000,"中价商品",IF(TB[[#This Row],[售价]]&lt;10000,"高价商品","超高价商品")))</f>
        <v>低价商品</v>
      </c>
    </row>
    <row r="2700" spans="1:14" x14ac:dyDescent="0.2">
      <c r="A2700">
        <v>712</v>
      </c>
      <c r="B2700">
        <v>241</v>
      </c>
      <c r="C2700" t="s">
        <v>26</v>
      </c>
      <c r="D2700" t="s">
        <v>360</v>
      </c>
      <c r="E2700" t="s">
        <v>19</v>
      </c>
      <c r="F2700">
        <v>3</v>
      </c>
      <c r="G2700" t="s">
        <v>42</v>
      </c>
      <c r="H2700" s="1">
        <v>45980.458333333336</v>
      </c>
      <c r="I2700" s="5">
        <f>INT(TB[[#This Row],[时间戳]])</f>
        <v>45980</v>
      </c>
      <c r="J2700" s="2">
        <f>HOUR(TB[[#This Row],[时间戳]])</f>
        <v>11</v>
      </c>
      <c r="K2700">
        <v>2613</v>
      </c>
      <c r="L2700">
        <v>0</v>
      </c>
      <c r="M2700">
        <f>TB[[#This Row],[售价]]*TB[[#This Row],[销量]]</f>
        <v>0</v>
      </c>
      <c r="N2700" t="str">
        <f>IF(TB[[#This Row],[售价]]&lt;1000,"低价商品",IF(TB[[#This Row],[售价]]&lt;5000,"中价商品",IF(TB[[#This Row],[售价]]&lt;10000,"高价商品","超高价商品")))</f>
        <v>中价商品</v>
      </c>
    </row>
    <row r="2701" spans="1:14" x14ac:dyDescent="0.2">
      <c r="A2701">
        <v>215</v>
      </c>
      <c r="B2701">
        <v>151</v>
      </c>
      <c r="C2701" t="s">
        <v>10</v>
      </c>
      <c r="D2701" t="s">
        <v>189</v>
      </c>
      <c r="E2701" t="s">
        <v>22</v>
      </c>
      <c r="F2701">
        <v>1</v>
      </c>
      <c r="G2701" t="s">
        <v>13</v>
      </c>
      <c r="H2701" s="1">
        <v>45980.48541666667</v>
      </c>
      <c r="I2701" s="5">
        <f>INT(TB[[#This Row],[时间戳]])</f>
        <v>45980</v>
      </c>
      <c r="J2701" s="2">
        <f>HOUR(TB[[#This Row],[时间戳]])</f>
        <v>11</v>
      </c>
      <c r="K2701">
        <v>7063</v>
      </c>
      <c r="L2701">
        <v>1</v>
      </c>
      <c r="M2701">
        <f>TB[[#This Row],[售价]]*TB[[#This Row],[销量]]</f>
        <v>7063</v>
      </c>
      <c r="N2701" t="str">
        <f>IF(TB[[#This Row],[售价]]&lt;1000,"低价商品",IF(TB[[#This Row],[售价]]&lt;5000,"中价商品",IF(TB[[#This Row],[售价]]&lt;10000,"高价商品","超高价商品")))</f>
        <v>高价商品</v>
      </c>
    </row>
    <row r="2702" spans="1:14" x14ac:dyDescent="0.2">
      <c r="A2702">
        <v>430</v>
      </c>
      <c r="B2702">
        <v>89</v>
      </c>
      <c r="C2702" t="s">
        <v>17</v>
      </c>
      <c r="D2702" t="s">
        <v>320</v>
      </c>
      <c r="E2702" t="s">
        <v>16</v>
      </c>
      <c r="F2702">
        <v>6</v>
      </c>
      <c r="G2702" t="s">
        <v>42</v>
      </c>
      <c r="H2702" s="1">
        <v>45980.498611111114</v>
      </c>
      <c r="I2702" s="5">
        <f>INT(TB[[#This Row],[时间戳]])</f>
        <v>45980</v>
      </c>
      <c r="J2702" s="2">
        <f>HOUR(TB[[#This Row],[时间戳]])</f>
        <v>11</v>
      </c>
      <c r="K2702">
        <v>8205</v>
      </c>
      <c r="L2702">
        <v>0</v>
      </c>
      <c r="M2702">
        <f>TB[[#This Row],[售价]]*TB[[#This Row],[销量]]</f>
        <v>0</v>
      </c>
      <c r="N2702" t="str">
        <f>IF(TB[[#This Row],[售价]]&lt;1000,"低价商品",IF(TB[[#This Row],[售价]]&lt;5000,"中价商品",IF(TB[[#This Row],[售价]]&lt;10000,"高价商品","超高价商品")))</f>
        <v>高价商品</v>
      </c>
    </row>
    <row r="2703" spans="1:14" x14ac:dyDescent="0.2">
      <c r="A2703">
        <v>374</v>
      </c>
      <c r="B2703">
        <v>57</v>
      </c>
      <c r="C2703" t="s">
        <v>26</v>
      </c>
      <c r="D2703" t="s">
        <v>360</v>
      </c>
      <c r="E2703" t="s">
        <v>19</v>
      </c>
      <c r="F2703">
        <v>3</v>
      </c>
      <c r="G2703" t="s">
        <v>13</v>
      </c>
      <c r="H2703" s="1">
        <v>45980.567361111112</v>
      </c>
      <c r="I2703" s="5">
        <f>INT(TB[[#This Row],[时间戳]])</f>
        <v>45980</v>
      </c>
      <c r="J2703" s="2">
        <f>HOUR(TB[[#This Row],[时间戳]])</f>
        <v>13</v>
      </c>
      <c r="K2703">
        <v>2995</v>
      </c>
      <c r="L2703">
        <v>3</v>
      </c>
      <c r="M2703">
        <f>TB[[#This Row],[售价]]*TB[[#This Row],[销量]]</f>
        <v>8985</v>
      </c>
      <c r="N2703" t="str">
        <f>IF(TB[[#This Row],[售价]]&lt;1000,"低价商品",IF(TB[[#This Row],[售价]]&lt;5000,"中价商品",IF(TB[[#This Row],[售价]]&lt;10000,"高价商品","超高价商品")))</f>
        <v>中价商品</v>
      </c>
    </row>
    <row r="2704" spans="1:14" x14ac:dyDescent="0.2">
      <c r="A2704">
        <v>314</v>
      </c>
      <c r="B2704">
        <v>207</v>
      </c>
      <c r="C2704" t="s">
        <v>44</v>
      </c>
      <c r="D2704" t="s">
        <v>76</v>
      </c>
      <c r="E2704" t="s">
        <v>31</v>
      </c>
      <c r="F2704">
        <v>4</v>
      </c>
      <c r="G2704" t="s">
        <v>13</v>
      </c>
      <c r="H2704" s="1">
        <v>45980.570138888892</v>
      </c>
      <c r="I2704" s="5">
        <f>INT(TB[[#This Row],[时间戳]])</f>
        <v>45980</v>
      </c>
      <c r="J2704" s="2">
        <f>HOUR(TB[[#This Row],[时间戳]])</f>
        <v>13</v>
      </c>
      <c r="K2704">
        <v>197</v>
      </c>
      <c r="L2704">
        <v>2</v>
      </c>
      <c r="M2704">
        <f>TB[[#This Row],[售价]]*TB[[#This Row],[销量]]</f>
        <v>394</v>
      </c>
      <c r="N2704" t="str">
        <f>IF(TB[[#This Row],[售价]]&lt;1000,"低价商品",IF(TB[[#This Row],[售价]]&lt;5000,"中价商品",IF(TB[[#This Row],[售价]]&lt;10000,"高价商品","超高价商品")))</f>
        <v>低价商品</v>
      </c>
    </row>
    <row r="2705" spans="1:14" x14ac:dyDescent="0.2">
      <c r="A2705">
        <v>329</v>
      </c>
      <c r="B2705">
        <v>15</v>
      </c>
      <c r="C2705" t="s">
        <v>36</v>
      </c>
      <c r="D2705" t="s">
        <v>114</v>
      </c>
      <c r="E2705" t="s">
        <v>25</v>
      </c>
      <c r="F2705">
        <v>7</v>
      </c>
      <c r="G2705" t="s">
        <v>13</v>
      </c>
      <c r="H2705" s="1">
        <v>45980.570138888892</v>
      </c>
      <c r="I2705" s="5">
        <f>INT(TB[[#This Row],[时间戳]])</f>
        <v>45980</v>
      </c>
      <c r="J2705" s="2">
        <f>HOUR(TB[[#This Row],[时间戳]])</f>
        <v>13</v>
      </c>
      <c r="K2705">
        <v>6613</v>
      </c>
      <c r="L2705">
        <v>2</v>
      </c>
      <c r="M2705">
        <f>TB[[#This Row],[售价]]*TB[[#This Row],[销量]]</f>
        <v>13226</v>
      </c>
      <c r="N2705" t="str">
        <f>IF(TB[[#This Row],[售价]]&lt;1000,"低价商品",IF(TB[[#This Row],[售价]]&lt;5000,"中价商品",IF(TB[[#This Row],[售价]]&lt;10000,"高价商品","超高价商品")))</f>
        <v>高价商品</v>
      </c>
    </row>
    <row r="2706" spans="1:14" x14ac:dyDescent="0.2">
      <c r="A2706">
        <v>36</v>
      </c>
      <c r="B2706">
        <v>74</v>
      </c>
      <c r="C2706" t="s">
        <v>10</v>
      </c>
      <c r="D2706" t="s">
        <v>312</v>
      </c>
      <c r="E2706" t="s">
        <v>12</v>
      </c>
      <c r="F2706">
        <v>2</v>
      </c>
      <c r="G2706" t="s">
        <v>13</v>
      </c>
      <c r="H2706" s="1">
        <v>45980.597222222219</v>
      </c>
      <c r="I2706" s="5">
        <f>INT(TB[[#This Row],[时间戳]])</f>
        <v>45980</v>
      </c>
      <c r="J2706" s="2">
        <f>HOUR(TB[[#This Row],[时间戳]])</f>
        <v>14</v>
      </c>
      <c r="K2706">
        <v>4392</v>
      </c>
      <c r="L2706">
        <v>4</v>
      </c>
      <c r="M2706">
        <f>TB[[#This Row],[售价]]*TB[[#This Row],[销量]]</f>
        <v>17568</v>
      </c>
      <c r="N2706" t="str">
        <f>IF(TB[[#This Row],[售价]]&lt;1000,"低价商品",IF(TB[[#This Row],[售价]]&lt;5000,"中价商品",IF(TB[[#This Row],[售价]]&lt;10000,"高价商品","超高价商品")))</f>
        <v>中价商品</v>
      </c>
    </row>
    <row r="2707" spans="1:14" x14ac:dyDescent="0.2">
      <c r="A2707">
        <v>781</v>
      </c>
      <c r="B2707">
        <v>269</v>
      </c>
      <c r="C2707" t="s">
        <v>20</v>
      </c>
      <c r="D2707" t="s">
        <v>113</v>
      </c>
      <c r="E2707" t="s">
        <v>31</v>
      </c>
      <c r="F2707">
        <v>4</v>
      </c>
      <c r="G2707" t="s">
        <v>13</v>
      </c>
      <c r="H2707" s="1">
        <v>45980.62777777778</v>
      </c>
      <c r="I2707" s="5">
        <f>INT(TB[[#This Row],[时间戳]])</f>
        <v>45980</v>
      </c>
      <c r="J2707" s="2">
        <f>HOUR(TB[[#This Row],[时间戳]])</f>
        <v>15</v>
      </c>
      <c r="K2707">
        <v>707</v>
      </c>
      <c r="L2707">
        <v>1</v>
      </c>
      <c r="M2707">
        <f>TB[[#This Row],[售价]]*TB[[#This Row],[销量]]</f>
        <v>707</v>
      </c>
      <c r="N2707" t="str">
        <f>IF(TB[[#This Row],[售价]]&lt;1000,"低价商品",IF(TB[[#This Row],[售价]]&lt;5000,"中价商品",IF(TB[[#This Row],[售价]]&lt;10000,"高价商品","超高价商品")))</f>
        <v>低价商品</v>
      </c>
    </row>
    <row r="2708" spans="1:14" x14ac:dyDescent="0.2">
      <c r="A2708">
        <v>358</v>
      </c>
      <c r="B2708">
        <v>115</v>
      </c>
      <c r="C2708" t="s">
        <v>14</v>
      </c>
      <c r="D2708" t="s">
        <v>282</v>
      </c>
      <c r="E2708" t="s">
        <v>19</v>
      </c>
      <c r="F2708">
        <v>3</v>
      </c>
      <c r="G2708" t="s">
        <v>13</v>
      </c>
      <c r="H2708" s="1">
        <v>45980.629861111112</v>
      </c>
      <c r="I2708" s="5">
        <f>INT(TB[[#This Row],[时间戳]])</f>
        <v>45980</v>
      </c>
      <c r="J2708" s="2">
        <f>HOUR(TB[[#This Row],[时间戳]])</f>
        <v>15</v>
      </c>
      <c r="K2708">
        <v>2770</v>
      </c>
      <c r="L2708">
        <v>2</v>
      </c>
      <c r="M2708">
        <f>TB[[#This Row],[售价]]*TB[[#This Row],[销量]]</f>
        <v>5540</v>
      </c>
      <c r="N2708" t="str">
        <f>IF(TB[[#This Row],[售价]]&lt;1000,"低价商品",IF(TB[[#This Row],[售价]]&lt;5000,"中价商品",IF(TB[[#This Row],[售价]]&lt;10000,"高价商品","超高价商品")))</f>
        <v>中价商品</v>
      </c>
    </row>
    <row r="2709" spans="1:14" x14ac:dyDescent="0.2">
      <c r="A2709">
        <v>488</v>
      </c>
      <c r="B2709">
        <v>238</v>
      </c>
      <c r="C2709" t="s">
        <v>14</v>
      </c>
      <c r="D2709" t="s">
        <v>30</v>
      </c>
      <c r="E2709" t="s">
        <v>31</v>
      </c>
      <c r="F2709">
        <v>4</v>
      </c>
      <c r="G2709" t="s">
        <v>13</v>
      </c>
      <c r="H2709" s="1">
        <v>45980.635416666664</v>
      </c>
      <c r="I2709" s="5">
        <f>INT(TB[[#This Row],[时间戳]])</f>
        <v>45980</v>
      </c>
      <c r="J2709" s="2">
        <f>HOUR(TB[[#This Row],[时间戳]])</f>
        <v>15</v>
      </c>
      <c r="K2709">
        <v>252</v>
      </c>
      <c r="L2709">
        <v>4</v>
      </c>
      <c r="M2709">
        <f>TB[[#This Row],[售价]]*TB[[#This Row],[销量]]</f>
        <v>1008</v>
      </c>
      <c r="N2709" t="str">
        <f>IF(TB[[#This Row],[售价]]&lt;1000,"低价商品",IF(TB[[#This Row],[售价]]&lt;5000,"中价商品",IF(TB[[#This Row],[售价]]&lt;10000,"高价商品","超高价商品")))</f>
        <v>低价商品</v>
      </c>
    </row>
    <row r="2710" spans="1:14" x14ac:dyDescent="0.2">
      <c r="A2710">
        <v>618</v>
      </c>
      <c r="B2710">
        <v>1</v>
      </c>
      <c r="C2710" t="s">
        <v>44</v>
      </c>
      <c r="D2710" t="s">
        <v>195</v>
      </c>
      <c r="E2710" t="s">
        <v>22</v>
      </c>
      <c r="F2710">
        <v>1</v>
      </c>
      <c r="G2710" t="s">
        <v>42</v>
      </c>
      <c r="H2710" s="1">
        <v>45980.636111111111</v>
      </c>
      <c r="I2710" s="5">
        <f>INT(TB[[#This Row],[时间戳]])</f>
        <v>45980</v>
      </c>
      <c r="J2710" s="2">
        <f>HOUR(TB[[#This Row],[时间戳]])</f>
        <v>15</v>
      </c>
      <c r="K2710">
        <v>4474</v>
      </c>
      <c r="L2710">
        <v>0</v>
      </c>
      <c r="M2710">
        <f>TB[[#This Row],[售价]]*TB[[#This Row],[销量]]</f>
        <v>0</v>
      </c>
      <c r="N2710" t="str">
        <f>IF(TB[[#This Row],[售价]]&lt;1000,"低价商品",IF(TB[[#This Row],[售价]]&lt;5000,"中价商品",IF(TB[[#This Row],[售价]]&lt;10000,"高价商品","超高价商品")))</f>
        <v>中价商品</v>
      </c>
    </row>
    <row r="2711" spans="1:14" x14ac:dyDescent="0.2">
      <c r="A2711">
        <v>132</v>
      </c>
      <c r="B2711">
        <v>166</v>
      </c>
      <c r="C2711" t="s">
        <v>44</v>
      </c>
      <c r="D2711" t="s">
        <v>184</v>
      </c>
      <c r="E2711" t="s">
        <v>12</v>
      </c>
      <c r="F2711">
        <v>2</v>
      </c>
      <c r="G2711" t="s">
        <v>13</v>
      </c>
      <c r="H2711" s="1">
        <v>45980.642361111109</v>
      </c>
      <c r="I2711" s="5">
        <f>INT(TB[[#This Row],[时间戳]])</f>
        <v>45980</v>
      </c>
      <c r="J2711" s="2">
        <f>HOUR(TB[[#This Row],[时间戳]])</f>
        <v>15</v>
      </c>
      <c r="K2711">
        <v>9145</v>
      </c>
      <c r="L2711">
        <v>4</v>
      </c>
      <c r="M2711">
        <f>TB[[#This Row],[售价]]*TB[[#This Row],[销量]]</f>
        <v>36580</v>
      </c>
      <c r="N2711" t="str">
        <f>IF(TB[[#This Row],[售价]]&lt;1000,"低价商品",IF(TB[[#This Row],[售价]]&lt;5000,"中价商品",IF(TB[[#This Row],[售价]]&lt;10000,"高价商品","超高价商品")))</f>
        <v>高价商品</v>
      </c>
    </row>
    <row r="2712" spans="1:14" x14ac:dyDescent="0.2">
      <c r="A2712">
        <v>685</v>
      </c>
      <c r="B2712">
        <v>50</v>
      </c>
      <c r="C2712" t="s">
        <v>34</v>
      </c>
      <c r="D2712" t="s">
        <v>164</v>
      </c>
      <c r="E2712" t="s">
        <v>22</v>
      </c>
      <c r="F2712">
        <v>1</v>
      </c>
      <c r="G2712" t="s">
        <v>13</v>
      </c>
      <c r="H2712" s="1">
        <v>45980.669444444444</v>
      </c>
      <c r="I2712" s="5">
        <f>INT(TB[[#This Row],[时间戳]])</f>
        <v>45980</v>
      </c>
      <c r="J2712" s="2">
        <f>HOUR(TB[[#This Row],[时间戳]])</f>
        <v>16</v>
      </c>
      <c r="K2712">
        <v>6453</v>
      </c>
      <c r="L2712">
        <v>1</v>
      </c>
      <c r="M2712">
        <f>TB[[#This Row],[售价]]*TB[[#This Row],[销量]]</f>
        <v>6453</v>
      </c>
      <c r="N2712" t="str">
        <f>IF(TB[[#This Row],[售价]]&lt;1000,"低价商品",IF(TB[[#This Row],[售价]]&lt;5000,"中价商品",IF(TB[[#This Row],[售价]]&lt;10000,"高价商品","超高价商品")))</f>
        <v>高价商品</v>
      </c>
    </row>
    <row r="2713" spans="1:14" x14ac:dyDescent="0.2">
      <c r="A2713">
        <v>129</v>
      </c>
      <c r="B2713">
        <v>113</v>
      </c>
      <c r="C2713" t="s">
        <v>46</v>
      </c>
      <c r="D2713" t="s">
        <v>117</v>
      </c>
      <c r="E2713" t="s">
        <v>39</v>
      </c>
      <c r="F2713">
        <v>5</v>
      </c>
      <c r="G2713" t="s">
        <v>13</v>
      </c>
      <c r="H2713" s="1">
        <v>45980.683333333334</v>
      </c>
      <c r="I2713" s="5">
        <f>INT(TB[[#This Row],[时间戳]])</f>
        <v>45980</v>
      </c>
      <c r="J2713" s="2">
        <f>HOUR(TB[[#This Row],[时间戳]])</f>
        <v>16</v>
      </c>
      <c r="K2713">
        <v>2809</v>
      </c>
      <c r="L2713">
        <v>2</v>
      </c>
      <c r="M2713">
        <f>TB[[#This Row],[售价]]*TB[[#This Row],[销量]]</f>
        <v>5618</v>
      </c>
      <c r="N2713" t="str">
        <f>IF(TB[[#This Row],[售价]]&lt;1000,"低价商品",IF(TB[[#This Row],[售价]]&lt;5000,"中价商品",IF(TB[[#This Row],[售价]]&lt;10000,"高价商品","超高价商品")))</f>
        <v>中价商品</v>
      </c>
    </row>
    <row r="2714" spans="1:14" x14ac:dyDescent="0.2">
      <c r="A2714">
        <v>676</v>
      </c>
      <c r="B2714">
        <v>43</v>
      </c>
      <c r="C2714" t="s">
        <v>26</v>
      </c>
      <c r="D2714" t="s">
        <v>182</v>
      </c>
      <c r="E2714" t="s">
        <v>31</v>
      </c>
      <c r="F2714">
        <v>4</v>
      </c>
      <c r="G2714" t="s">
        <v>13</v>
      </c>
      <c r="H2714" s="1">
        <v>45980.690972222219</v>
      </c>
      <c r="I2714" s="5">
        <f>INT(TB[[#This Row],[时间戳]])</f>
        <v>45980</v>
      </c>
      <c r="J2714" s="2">
        <f>HOUR(TB[[#This Row],[时间戳]])</f>
        <v>16</v>
      </c>
      <c r="K2714">
        <v>970</v>
      </c>
      <c r="L2714">
        <v>2</v>
      </c>
      <c r="M2714">
        <f>TB[[#This Row],[售价]]*TB[[#This Row],[销量]]</f>
        <v>1940</v>
      </c>
      <c r="N2714" t="str">
        <f>IF(TB[[#This Row],[售价]]&lt;1000,"低价商品",IF(TB[[#This Row],[售价]]&lt;5000,"中价商品",IF(TB[[#This Row],[售价]]&lt;10000,"高价商品","超高价商品")))</f>
        <v>低价商品</v>
      </c>
    </row>
    <row r="2715" spans="1:14" x14ac:dyDescent="0.2">
      <c r="A2715">
        <v>630</v>
      </c>
      <c r="B2715">
        <v>54</v>
      </c>
      <c r="C2715" t="s">
        <v>17</v>
      </c>
      <c r="D2715" t="s">
        <v>257</v>
      </c>
      <c r="E2715" t="s">
        <v>19</v>
      </c>
      <c r="F2715">
        <v>3</v>
      </c>
      <c r="G2715" t="s">
        <v>13</v>
      </c>
      <c r="H2715" s="1">
        <v>45980.699305555558</v>
      </c>
      <c r="I2715" s="5">
        <f>INT(TB[[#This Row],[时间戳]])</f>
        <v>45980</v>
      </c>
      <c r="J2715" s="2">
        <f>HOUR(TB[[#This Row],[时间戳]])</f>
        <v>16</v>
      </c>
      <c r="K2715">
        <v>2443</v>
      </c>
      <c r="L2715">
        <v>2</v>
      </c>
      <c r="M2715">
        <f>TB[[#This Row],[售价]]*TB[[#This Row],[销量]]</f>
        <v>4886</v>
      </c>
      <c r="N2715" t="str">
        <f>IF(TB[[#This Row],[售价]]&lt;1000,"低价商品",IF(TB[[#This Row],[售价]]&lt;5000,"中价商品",IF(TB[[#This Row],[售价]]&lt;10000,"高价商品","超高价商品")))</f>
        <v>中价商品</v>
      </c>
    </row>
    <row r="2716" spans="1:14" x14ac:dyDescent="0.2">
      <c r="A2716">
        <v>748</v>
      </c>
      <c r="B2716">
        <v>155</v>
      </c>
      <c r="C2716" t="s">
        <v>36</v>
      </c>
      <c r="D2716" t="s">
        <v>153</v>
      </c>
      <c r="E2716" t="s">
        <v>31</v>
      </c>
      <c r="F2716">
        <v>4</v>
      </c>
      <c r="G2716" t="s">
        <v>13</v>
      </c>
      <c r="H2716" s="1">
        <v>45980.699305555558</v>
      </c>
      <c r="I2716" s="5">
        <f>INT(TB[[#This Row],[时间戳]])</f>
        <v>45980</v>
      </c>
      <c r="J2716" s="2">
        <f>HOUR(TB[[#This Row],[时间戳]])</f>
        <v>16</v>
      </c>
      <c r="K2716">
        <v>476</v>
      </c>
      <c r="L2716">
        <v>3</v>
      </c>
      <c r="M2716">
        <f>TB[[#This Row],[售价]]*TB[[#This Row],[销量]]</f>
        <v>1428</v>
      </c>
      <c r="N2716" t="str">
        <f>IF(TB[[#This Row],[售价]]&lt;1000,"低价商品",IF(TB[[#This Row],[售价]]&lt;5000,"中价商品",IF(TB[[#This Row],[售价]]&lt;10000,"高价商品","超高价商品")))</f>
        <v>低价商品</v>
      </c>
    </row>
    <row r="2717" spans="1:14" x14ac:dyDescent="0.2">
      <c r="A2717">
        <v>533</v>
      </c>
      <c r="B2717">
        <v>265</v>
      </c>
      <c r="C2717" t="s">
        <v>44</v>
      </c>
      <c r="D2717" t="s">
        <v>51</v>
      </c>
      <c r="E2717" t="s">
        <v>19</v>
      </c>
      <c r="F2717">
        <v>3</v>
      </c>
      <c r="G2717" t="s">
        <v>42</v>
      </c>
      <c r="H2717" s="1">
        <v>45980.706250000003</v>
      </c>
      <c r="I2717" s="5">
        <f>INT(TB[[#This Row],[时间戳]])</f>
        <v>45980</v>
      </c>
      <c r="J2717" s="2">
        <f>HOUR(TB[[#This Row],[时间戳]])</f>
        <v>16</v>
      </c>
      <c r="K2717">
        <v>4355</v>
      </c>
      <c r="L2717">
        <v>0</v>
      </c>
      <c r="M2717">
        <f>TB[[#This Row],[售价]]*TB[[#This Row],[销量]]</f>
        <v>0</v>
      </c>
      <c r="N2717" t="str">
        <f>IF(TB[[#This Row],[售价]]&lt;1000,"低价商品",IF(TB[[#This Row],[售价]]&lt;5000,"中价商品",IF(TB[[#This Row],[售价]]&lt;10000,"高价商品","超高价商品")))</f>
        <v>中价商品</v>
      </c>
    </row>
    <row r="2718" spans="1:14" x14ac:dyDescent="0.2">
      <c r="A2718">
        <v>433</v>
      </c>
      <c r="B2718">
        <v>192</v>
      </c>
      <c r="C2718" t="s">
        <v>26</v>
      </c>
      <c r="D2718" t="s">
        <v>219</v>
      </c>
      <c r="E2718" t="s">
        <v>22</v>
      </c>
      <c r="F2718">
        <v>1</v>
      </c>
      <c r="G2718" t="s">
        <v>13</v>
      </c>
      <c r="H2718" s="1">
        <v>45980.724999999999</v>
      </c>
      <c r="I2718" s="5">
        <f>INT(TB[[#This Row],[时间戳]])</f>
        <v>45980</v>
      </c>
      <c r="J2718" s="2">
        <f>HOUR(TB[[#This Row],[时间戳]])</f>
        <v>17</v>
      </c>
      <c r="K2718">
        <v>5664</v>
      </c>
      <c r="L2718">
        <v>2</v>
      </c>
      <c r="M2718">
        <f>TB[[#This Row],[售价]]*TB[[#This Row],[销量]]</f>
        <v>11328</v>
      </c>
      <c r="N2718" t="str">
        <f>IF(TB[[#This Row],[售价]]&lt;1000,"低价商品",IF(TB[[#This Row],[售价]]&lt;5000,"中价商品",IF(TB[[#This Row],[售价]]&lt;10000,"高价商品","超高价商品")))</f>
        <v>高价商品</v>
      </c>
    </row>
    <row r="2719" spans="1:14" x14ac:dyDescent="0.2">
      <c r="A2719">
        <v>395</v>
      </c>
      <c r="B2719">
        <v>25</v>
      </c>
      <c r="C2719" t="s">
        <v>10</v>
      </c>
      <c r="D2719" t="s">
        <v>240</v>
      </c>
      <c r="E2719" t="s">
        <v>16</v>
      </c>
      <c r="F2719">
        <v>6</v>
      </c>
      <c r="G2719" t="s">
        <v>13</v>
      </c>
      <c r="H2719" s="1">
        <v>45980.792361111111</v>
      </c>
      <c r="I2719" s="5">
        <f>INT(TB[[#This Row],[时间戳]])</f>
        <v>45980</v>
      </c>
      <c r="J2719" s="2">
        <f>HOUR(TB[[#This Row],[时间戳]])</f>
        <v>19</v>
      </c>
      <c r="K2719">
        <v>4475</v>
      </c>
      <c r="L2719">
        <v>1</v>
      </c>
      <c r="M2719">
        <f>TB[[#This Row],[售价]]*TB[[#This Row],[销量]]</f>
        <v>4475</v>
      </c>
      <c r="N2719" t="str">
        <f>IF(TB[[#This Row],[售价]]&lt;1000,"低价商品",IF(TB[[#This Row],[售价]]&lt;5000,"中价商品",IF(TB[[#This Row],[售价]]&lt;10000,"高价商品","超高价商品")))</f>
        <v>中价商品</v>
      </c>
    </row>
    <row r="2720" spans="1:14" x14ac:dyDescent="0.2">
      <c r="A2720">
        <v>650</v>
      </c>
      <c r="B2720">
        <v>18</v>
      </c>
      <c r="C2720" t="s">
        <v>10</v>
      </c>
      <c r="D2720" t="s">
        <v>382</v>
      </c>
      <c r="E2720" t="s">
        <v>16</v>
      </c>
      <c r="F2720">
        <v>6</v>
      </c>
      <c r="G2720" t="s">
        <v>13</v>
      </c>
      <c r="H2720" s="1">
        <v>45980.82708333333</v>
      </c>
      <c r="I2720" s="5">
        <f>INT(TB[[#This Row],[时间戳]])</f>
        <v>45980</v>
      </c>
      <c r="J2720" s="2">
        <f>HOUR(TB[[#This Row],[时间戳]])</f>
        <v>19</v>
      </c>
      <c r="K2720">
        <v>5135</v>
      </c>
      <c r="L2720">
        <v>5</v>
      </c>
      <c r="M2720">
        <f>TB[[#This Row],[售价]]*TB[[#This Row],[销量]]</f>
        <v>25675</v>
      </c>
      <c r="N2720" t="str">
        <f>IF(TB[[#This Row],[售价]]&lt;1000,"低价商品",IF(TB[[#This Row],[售价]]&lt;5000,"中价商品",IF(TB[[#This Row],[售价]]&lt;10000,"高价商品","超高价商品")))</f>
        <v>高价商品</v>
      </c>
    </row>
    <row r="2721" spans="1:14" x14ac:dyDescent="0.2">
      <c r="A2721">
        <v>12</v>
      </c>
      <c r="B2721">
        <v>293</v>
      </c>
      <c r="C2721" t="s">
        <v>17</v>
      </c>
      <c r="D2721" t="s">
        <v>67</v>
      </c>
      <c r="E2721" t="s">
        <v>39</v>
      </c>
      <c r="F2721">
        <v>5</v>
      </c>
      <c r="G2721" t="s">
        <v>13</v>
      </c>
      <c r="H2721" s="1">
        <v>45980.827777777777</v>
      </c>
      <c r="I2721" s="5">
        <f>INT(TB[[#This Row],[时间戳]])</f>
        <v>45980</v>
      </c>
      <c r="J2721" s="2">
        <f>HOUR(TB[[#This Row],[时间戳]])</f>
        <v>19</v>
      </c>
      <c r="K2721">
        <v>1656</v>
      </c>
      <c r="L2721">
        <v>1</v>
      </c>
      <c r="M2721">
        <f>TB[[#This Row],[售价]]*TB[[#This Row],[销量]]</f>
        <v>1656</v>
      </c>
      <c r="N2721" t="str">
        <f>IF(TB[[#This Row],[售价]]&lt;1000,"低价商品",IF(TB[[#This Row],[售价]]&lt;5000,"中价商品",IF(TB[[#This Row],[售价]]&lt;10000,"高价商品","超高价商品")))</f>
        <v>中价商品</v>
      </c>
    </row>
    <row r="2722" spans="1:14" x14ac:dyDescent="0.2">
      <c r="A2722">
        <v>644</v>
      </c>
      <c r="B2722">
        <v>296</v>
      </c>
      <c r="C2722" t="s">
        <v>34</v>
      </c>
      <c r="D2722" t="s">
        <v>82</v>
      </c>
      <c r="E2722" t="s">
        <v>31</v>
      </c>
      <c r="F2722">
        <v>4</v>
      </c>
      <c r="G2722" t="s">
        <v>13</v>
      </c>
      <c r="H2722" s="1">
        <v>45980.869444444441</v>
      </c>
      <c r="I2722" s="5">
        <f>INT(TB[[#This Row],[时间戳]])</f>
        <v>45980</v>
      </c>
      <c r="J2722" s="2">
        <f>HOUR(TB[[#This Row],[时间戳]])</f>
        <v>20</v>
      </c>
      <c r="K2722">
        <v>1081</v>
      </c>
      <c r="L2722">
        <v>4</v>
      </c>
      <c r="M2722">
        <f>TB[[#This Row],[售价]]*TB[[#This Row],[销量]]</f>
        <v>4324</v>
      </c>
      <c r="N2722" t="str">
        <f>IF(TB[[#This Row],[售价]]&lt;1000,"低价商品",IF(TB[[#This Row],[售价]]&lt;5000,"中价商品",IF(TB[[#This Row],[售价]]&lt;10000,"高价商品","超高价商品")))</f>
        <v>中价商品</v>
      </c>
    </row>
    <row r="2723" spans="1:14" x14ac:dyDescent="0.2">
      <c r="A2723">
        <v>637</v>
      </c>
      <c r="B2723">
        <v>135</v>
      </c>
      <c r="C2723" t="s">
        <v>32</v>
      </c>
      <c r="D2723" t="s">
        <v>79</v>
      </c>
      <c r="E2723" t="s">
        <v>31</v>
      </c>
      <c r="F2723">
        <v>4</v>
      </c>
      <c r="G2723" t="s">
        <v>13</v>
      </c>
      <c r="H2723" s="1">
        <v>45980.897916666669</v>
      </c>
      <c r="I2723" s="5">
        <f>INT(TB[[#This Row],[时间戳]])</f>
        <v>45980</v>
      </c>
      <c r="J2723" s="2">
        <f>HOUR(TB[[#This Row],[时间戳]])</f>
        <v>21</v>
      </c>
      <c r="K2723">
        <v>911</v>
      </c>
      <c r="L2723">
        <v>4</v>
      </c>
      <c r="M2723">
        <f>TB[[#This Row],[售价]]*TB[[#This Row],[销量]]</f>
        <v>3644</v>
      </c>
      <c r="N2723" t="str">
        <f>IF(TB[[#This Row],[售价]]&lt;1000,"低价商品",IF(TB[[#This Row],[售价]]&lt;5000,"中价商品",IF(TB[[#This Row],[售价]]&lt;10000,"高价商品","超高价商品")))</f>
        <v>低价商品</v>
      </c>
    </row>
    <row r="2724" spans="1:14" x14ac:dyDescent="0.2">
      <c r="A2724">
        <v>287</v>
      </c>
      <c r="B2724">
        <v>264</v>
      </c>
      <c r="C2724" t="s">
        <v>14</v>
      </c>
      <c r="D2724" t="s">
        <v>15</v>
      </c>
      <c r="E2724" t="s">
        <v>16</v>
      </c>
      <c r="F2724">
        <v>6</v>
      </c>
      <c r="G2724" t="s">
        <v>13</v>
      </c>
      <c r="H2724" s="1">
        <v>45980.925694444442</v>
      </c>
      <c r="I2724" s="5">
        <f>INT(TB[[#This Row],[时间戳]])</f>
        <v>45980</v>
      </c>
      <c r="J2724" s="2">
        <f>HOUR(TB[[#This Row],[时间戳]])</f>
        <v>22</v>
      </c>
      <c r="K2724">
        <v>10968</v>
      </c>
      <c r="L2724">
        <v>2</v>
      </c>
      <c r="M2724">
        <f>TB[[#This Row],[售价]]*TB[[#This Row],[销量]]</f>
        <v>21936</v>
      </c>
      <c r="N2724" t="str">
        <f>IF(TB[[#This Row],[售价]]&lt;1000,"低价商品",IF(TB[[#This Row],[售价]]&lt;5000,"中价商品",IF(TB[[#This Row],[售价]]&lt;10000,"高价商品","超高价商品")))</f>
        <v>超高价商品</v>
      </c>
    </row>
    <row r="2725" spans="1:14" x14ac:dyDescent="0.2">
      <c r="A2725">
        <v>350</v>
      </c>
      <c r="B2725">
        <v>250</v>
      </c>
      <c r="C2725" t="s">
        <v>26</v>
      </c>
      <c r="D2725" t="s">
        <v>92</v>
      </c>
      <c r="E2725" t="s">
        <v>19</v>
      </c>
      <c r="F2725">
        <v>3</v>
      </c>
      <c r="G2725" t="s">
        <v>13</v>
      </c>
      <c r="H2725" s="1">
        <v>45980.936805555553</v>
      </c>
      <c r="I2725" s="5">
        <f>INT(TB[[#This Row],[时间戳]])</f>
        <v>45980</v>
      </c>
      <c r="J2725" s="2">
        <f>HOUR(TB[[#This Row],[时间戳]])</f>
        <v>22</v>
      </c>
      <c r="K2725">
        <v>4235</v>
      </c>
      <c r="L2725">
        <v>2</v>
      </c>
      <c r="M2725">
        <f>TB[[#This Row],[售价]]*TB[[#This Row],[销量]]</f>
        <v>8470</v>
      </c>
      <c r="N2725" t="str">
        <f>IF(TB[[#This Row],[售价]]&lt;1000,"低价商品",IF(TB[[#This Row],[售价]]&lt;5000,"中价商品",IF(TB[[#This Row],[售价]]&lt;10000,"高价商品","超高价商品")))</f>
        <v>中价商品</v>
      </c>
    </row>
    <row r="2726" spans="1:14" x14ac:dyDescent="0.2">
      <c r="A2726">
        <v>351</v>
      </c>
      <c r="B2726">
        <v>266</v>
      </c>
      <c r="C2726" t="s">
        <v>14</v>
      </c>
      <c r="D2726" t="s">
        <v>385</v>
      </c>
      <c r="E2726" t="s">
        <v>12</v>
      </c>
      <c r="F2726">
        <v>2</v>
      </c>
      <c r="G2726" t="s">
        <v>13</v>
      </c>
      <c r="H2726" s="1">
        <v>45980.946527777778</v>
      </c>
      <c r="I2726" s="5">
        <f>INT(TB[[#This Row],[时间戳]])</f>
        <v>45980</v>
      </c>
      <c r="J2726" s="2">
        <f>HOUR(TB[[#This Row],[时间戳]])</f>
        <v>22</v>
      </c>
      <c r="K2726">
        <v>13026</v>
      </c>
      <c r="L2726">
        <v>2</v>
      </c>
      <c r="M2726">
        <f>TB[[#This Row],[售价]]*TB[[#This Row],[销量]]</f>
        <v>26052</v>
      </c>
      <c r="N2726" t="str">
        <f>IF(TB[[#This Row],[售价]]&lt;1000,"低价商品",IF(TB[[#This Row],[售价]]&lt;5000,"中价商品",IF(TB[[#This Row],[售价]]&lt;10000,"高价商品","超高价商品")))</f>
        <v>超高价商品</v>
      </c>
    </row>
    <row r="2727" spans="1:14" x14ac:dyDescent="0.2">
      <c r="A2727">
        <v>658</v>
      </c>
      <c r="B2727">
        <v>14</v>
      </c>
      <c r="C2727" t="s">
        <v>34</v>
      </c>
      <c r="D2727" t="s">
        <v>346</v>
      </c>
      <c r="E2727" t="s">
        <v>22</v>
      </c>
      <c r="F2727">
        <v>1</v>
      </c>
      <c r="G2727" t="s">
        <v>42</v>
      </c>
      <c r="H2727" s="1">
        <v>45980.952777777777</v>
      </c>
      <c r="I2727" s="5">
        <f>INT(TB[[#This Row],[时间戳]])</f>
        <v>45980</v>
      </c>
      <c r="J2727" s="2">
        <f>HOUR(TB[[#This Row],[时间戳]])</f>
        <v>22</v>
      </c>
      <c r="K2727">
        <v>2985</v>
      </c>
      <c r="L2727">
        <v>0</v>
      </c>
      <c r="M2727">
        <f>TB[[#This Row],[售价]]*TB[[#This Row],[销量]]</f>
        <v>0</v>
      </c>
      <c r="N2727" t="str">
        <f>IF(TB[[#This Row],[售价]]&lt;1000,"低价商品",IF(TB[[#This Row],[售价]]&lt;5000,"中价商品",IF(TB[[#This Row],[售价]]&lt;10000,"高价商品","超高价商品")))</f>
        <v>中价商品</v>
      </c>
    </row>
    <row r="2728" spans="1:14" x14ac:dyDescent="0.2">
      <c r="A2728">
        <v>469</v>
      </c>
      <c r="B2728">
        <v>57</v>
      </c>
      <c r="C2728" t="s">
        <v>14</v>
      </c>
      <c r="D2728" t="s">
        <v>186</v>
      </c>
      <c r="E2728" t="s">
        <v>25</v>
      </c>
      <c r="F2728">
        <v>7</v>
      </c>
      <c r="G2728" t="s">
        <v>13</v>
      </c>
      <c r="H2728" s="1">
        <v>45980.95416666667</v>
      </c>
      <c r="I2728" s="5">
        <f>INT(TB[[#This Row],[时间戳]])</f>
        <v>45980</v>
      </c>
      <c r="J2728" s="2">
        <f>HOUR(TB[[#This Row],[时间戳]])</f>
        <v>22</v>
      </c>
      <c r="K2728">
        <v>5814</v>
      </c>
      <c r="L2728">
        <v>3</v>
      </c>
      <c r="M2728">
        <f>TB[[#This Row],[售价]]*TB[[#This Row],[销量]]</f>
        <v>17442</v>
      </c>
      <c r="N2728" t="str">
        <f>IF(TB[[#This Row],[售价]]&lt;1000,"低价商品",IF(TB[[#This Row],[售价]]&lt;5000,"中价商品",IF(TB[[#This Row],[售价]]&lt;10000,"高价商品","超高价商品")))</f>
        <v>高价商品</v>
      </c>
    </row>
    <row r="2729" spans="1:14" x14ac:dyDescent="0.2">
      <c r="A2729">
        <v>356</v>
      </c>
      <c r="B2729">
        <v>158</v>
      </c>
      <c r="C2729" t="s">
        <v>36</v>
      </c>
      <c r="D2729" t="s">
        <v>318</v>
      </c>
      <c r="E2729" t="s">
        <v>16</v>
      </c>
      <c r="F2729">
        <v>6</v>
      </c>
      <c r="G2729" t="s">
        <v>13</v>
      </c>
      <c r="H2729" s="1">
        <v>45980.959027777775</v>
      </c>
      <c r="I2729" s="5">
        <f>INT(TB[[#This Row],[时间戳]])</f>
        <v>45980</v>
      </c>
      <c r="J2729" s="2">
        <f>HOUR(TB[[#This Row],[时间戳]])</f>
        <v>23</v>
      </c>
      <c r="K2729">
        <v>4051</v>
      </c>
      <c r="L2729">
        <v>2</v>
      </c>
      <c r="M2729">
        <f>TB[[#This Row],[售价]]*TB[[#This Row],[销量]]</f>
        <v>8102</v>
      </c>
      <c r="N2729" t="str">
        <f>IF(TB[[#This Row],[售价]]&lt;1000,"低价商品",IF(TB[[#This Row],[售价]]&lt;5000,"中价商品",IF(TB[[#This Row],[售价]]&lt;10000,"高价商品","超高价商品")))</f>
        <v>中价商品</v>
      </c>
    </row>
    <row r="2730" spans="1:14" x14ac:dyDescent="0.2">
      <c r="A2730">
        <v>517</v>
      </c>
      <c r="B2730">
        <v>94</v>
      </c>
      <c r="C2730" t="s">
        <v>20</v>
      </c>
      <c r="D2730" t="s">
        <v>78</v>
      </c>
      <c r="E2730" t="s">
        <v>22</v>
      </c>
      <c r="F2730">
        <v>1</v>
      </c>
      <c r="G2730" t="s">
        <v>13</v>
      </c>
      <c r="H2730" s="1">
        <v>45980.963888888888</v>
      </c>
      <c r="I2730" s="5">
        <f>INT(TB[[#This Row],[时间戳]])</f>
        <v>45980</v>
      </c>
      <c r="J2730" s="2">
        <f>HOUR(TB[[#This Row],[时间戳]])</f>
        <v>23</v>
      </c>
      <c r="K2730">
        <v>4730</v>
      </c>
      <c r="L2730">
        <v>4</v>
      </c>
      <c r="M2730">
        <f>TB[[#This Row],[售价]]*TB[[#This Row],[销量]]</f>
        <v>18920</v>
      </c>
      <c r="N2730" t="str">
        <f>IF(TB[[#This Row],[售价]]&lt;1000,"低价商品",IF(TB[[#This Row],[售价]]&lt;5000,"中价商品",IF(TB[[#This Row],[售价]]&lt;10000,"高价商品","超高价商品")))</f>
        <v>中价商品</v>
      </c>
    </row>
    <row r="2731" spans="1:14" x14ac:dyDescent="0.2">
      <c r="A2731">
        <v>697</v>
      </c>
      <c r="B2731">
        <v>114</v>
      </c>
      <c r="C2731" t="s">
        <v>32</v>
      </c>
      <c r="D2731" t="s">
        <v>275</v>
      </c>
      <c r="E2731" t="s">
        <v>22</v>
      </c>
      <c r="F2731">
        <v>1</v>
      </c>
      <c r="G2731" t="s">
        <v>13</v>
      </c>
      <c r="H2731" s="1">
        <v>45980.976388888892</v>
      </c>
      <c r="I2731" s="5">
        <f>INT(TB[[#This Row],[时间戳]])</f>
        <v>45980</v>
      </c>
      <c r="J2731" s="2">
        <f>HOUR(TB[[#This Row],[时间戳]])</f>
        <v>23</v>
      </c>
      <c r="K2731">
        <v>4317</v>
      </c>
      <c r="L2731">
        <v>2</v>
      </c>
      <c r="M2731">
        <f>TB[[#This Row],[售价]]*TB[[#This Row],[销量]]</f>
        <v>8634</v>
      </c>
      <c r="N2731" t="str">
        <f>IF(TB[[#This Row],[售价]]&lt;1000,"低价商品",IF(TB[[#This Row],[售价]]&lt;5000,"中价商品",IF(TB[[#This Row],[售价]]&lt;10000,"高价商品","超高价商品")))</f>
        <v>中价商品</v>
      </c>
    </row>
    <row r="2732" spans="1:14" x14ac:dyDescent="0.2">
      <c r="A2732">
        <v>616</v>
      </c>
      <c r="B2732">
        <v>78</v>
      </c>
      <c r="C2732" t="s">
        <v>34</v>
      </c>
      <c r="D2732" t="s">
        <v>125</v>
      </c>
      <c r="E2732" t="s">
        <v>31</v>
      </c>
      <c r="F2732">
        <v>4</v>
      </c>
      <c r="G2732" t="s">
        <v>13</v>
      </c>
      <c r="H2732" s="1">
        <v>45981.001388888886</v>
      </c>
      <c r="I2732" s="5">
        <f>INT(TB[[#This Row],[时间戳]])</f>
        <v>45981</v>
      </c>
      <c r="J2732" s="2">
        <f>HOUR(TB[[#This Row],[时间戳]])</f>
        <v>0</v>
      </c>
      <c r="K2732">
        <v>50</v>
      </c>
      <c r="L2732">
        <v>4</v>
      </c>
      <c r="M2732">
        <f>TB[[#This Row],[售价]]*TB[[#This Row],[销量]]</f>
        <v>200</v>
      </c>
      <c r="N2732" t="str">
        <f>IF(TB[[#This Row],[售价]]&lt;1000,"低价商品",IF(TB[[#This Row],[售价]]&lt;5000,"中价商品",IF(TB[[#This Row],[售价]]&lt;10000,"高价商品","超高价商品")))</f>
        <v>低价商品</v>
      </c>
    </row>
    <row r="2733" spans="1:14" x14ac:dyDescent="0.2">
      <c r="A2733">
        <v>546</v>
      </c>
      <c r="B2733">
        <v>186</v>
      </c>
      <c r="C2733" t="s">
        <v>20</v>
      </c>
      <c r="D2733" t="s">
        <v>78</v>
      </c>
      <c r="E2733" t="s">
        <v>22</v>
      </c>
      <c r="F2733">
        <v>1</v>
      </c>
      <c r="G2733" t="s">
        <v>13</v>
      </c>
      <c r="H2733" s="1">
        <v>45981.013194444444</v>
      </c>
      <c r="I2733" s="5">
        <f>INT(TB[[#This Row],[时间戳]])</f>
        <v>45981</v>
      </c>
      <c r="J2733" s="2">
        <f>HOUR(TB[[#This Row],[时间戳]])</f>
        <v>0</v>
      </c>
      <c r="K2733">
        <v>5682</v>
      </c>
      <c r="L2733">
        <v>3</v>
      </c>
      <c r="M2733">
        <f>TB[[#This Row],[售价]]*TB[[#This Row],[销量]]</f>
        <v>17046</v>
      </c>
      <c r="N2733" t="str">
        <f>IF(TB[[#This Row],[售价]]&lt;1000,"低价商品",IF(TB[[#This Row],[售价]]&lt;5000,"中价商品",IF(TB[[#This Row],[售价]]&lt;10000,"高价商品","超高价商品")))</f>
        <v>高价商品</v>
      </c>
    </row>
    <row r="2734" spans="1:14" x14ac:dyDescent="0.2">
      <c r="A2734">
        <v>384</v>
      </c>
      <c r="B2734">
        <v>82</v>
      </c>
      <c r="C2734" t="s">
        <v>20</v>
      </c>
      <c r="D2734" t="s">
        <v>120</v>
      </c>
      <c r="E2734" t="s">
        <v>22</v>
      </c>
      <c r="F2734">
        <v>1</v>
      </c>
      <c r="G2734" t="s">
        <v>13</v>
      </c>
      <c r="H2734" s="1">
        <v>45981.01458333333</v>
      </c>
      <c r="I2734" s="5">
        <f>INT(TB[[#This Row],[时间戳]])</f>
        <v>45981</v>
      </c>
      <c r="J2734" s="2">
        <f>HOUR(TB[[#This Row],[时间戳]])</f>
        <v>0</v>
      </c>
      <c r="K2734">
        <v>5336</v>
      </c>
      <c r="L2734">
        <v>2</v>
      </c>
      <c r="M2734">
        <f>TB[[#This Row],[售价]]*TB[[#This Row],[销量]]</f>
        <v>10672</v>
      </c>
      <c r="N2734" t="str">
        <f>IF(TB[[#This Row],[售价]]&lt;1000,"低价商品",IF(TB[[#This Row],[售价]]&lt;5000,"中价商品",IF(TB[[#This Row],[售价]]&lt;10000,"高价商品","超高价商品")))</f>
        <v>高价商品</v>
      </c>
    </row>
    <row r="2735" spans="1:14" x14ac:dyDescent="0.2">
      <c r="A2735">
        <v>650</v>
      </c>
      <c r="B2735">
        <v>116</v>
      </c>
      <c r="C2735" t="s">
        <v>26</v>
      </c>
      <c r="D2735" t="s">
        <v>409</v>
      </c>
      <c r="E2735" t="s">
        <v>12</v>
      </c>
      <c r="F2735">
        <v>2</v>
      </c>
      <c r="G2735" t="s">
        <v>42</v>
      </c>
      <c r="H2735" s="1">
        <v>45981.072916666664</v>
      </c>
      <c r="I2735" s="5">
        <f>INT(TB[[#This Row],[时间戳]])</f>
        <v>45981</v>
      </c>
      <c r="J2735" s="2">
        <f>HOUR(TB[[#This Row],[时间戳]])</f>
        <v>1</v>
      </c>
      <c r="K2735">
        <v>5788</v>
      </c>
      <c r="L2735">
        <v>0</v>
      </c>
      <c r="M2735">
        <f>TB[[#This Row],[售价]]*TB[[#This Row],[销量]]</f>
        <v>0</v>
      </c>
      <c r="N2735" t="str">
        <f>IF(TB[[#This Row],[售价]]&lt;1000,"低价商品",IF(TB[[#This Row],[售价]]&lt;5000,"中价商品",IF(TB[[#This Row],[售价]]&lt;10000,"高价商品","超高价商品")))</f>
        <v>高价商品</v>
      </c>
    </row>
    <row r="2736" spans="1:14" x14ac:dyDescent="0.2">
      <c r="A2736">
        <v>208</v>
      </c>
      <c r="B2736">
        <v>143</v>
      </c>
      <c r="C2736" t="s">
        <v>46</v>
      </c>
      <c r="D2736" t="s">
        <v>127</v>
      </c>
      <c r="E2736" t="s">
        <v>12</v>
      </c>
      <c r="F2736">
        <v>2</v>
      </c>
      <c r="G2736" t="s">
        <v>13</v>
      </c>
      <c r="H2736" s="1">
        <v>45981.125694444447</v>
      </c>
      <c r="I2736" s="5">
        <f>INT(TB[[#This Row],[时间戳]])</f>
        <v>45981</v>
      </c>
      <c r="J2736" s="2">
        <f>HOUR(TB[[#This Row],[时间戳]])</f>
        <v>3</v>
      </c>
      <c r="K2736">
        <v>6567</v>
      </c>
      <c r="L2736">
        <v>3</v>
      </c>
      <c r="M2736">
        <f>TB[[#This Row],[售价]]*TB[[#This Row],[销量]]</f>
        <v>19701</v>
      </c>
      <c r="N2736" t="str">
        <f>IF(TB[[#This Row],[售价]]&lt;1000,"低价商品",IF(TB[[#This Row],[售价]]&lt;5000,"中价商品",IF(TB[[#This Row],[售价]]&lt;10000,"高价商品","超高价商品")))</f>
        <v>高价商品</v>
      </c>
    </row>
    <row r="2737" spans="1:14" x14ac:dyDescent="0.2">
      <c r="A2737">
        <v>535</v>
      </c>
      <c r="B2737">
        <v>216</v>
      </c>
      <c r="C2737" t="s">
        <v>36</v>
      </c>
      <c r="D2737" t="s">
        <v>185</v>
      </c>
      <c r="E2737" t="s">
        <v>12</v>
      </c>
      <c r="F2737">
        <v>2</v>
      </c>
      <c r="G2737" t="s">
        <v>13</v>
      </c>
      <c r="H2737" s="1">
        <v>45981.15347222222</v>
      </c>
      <c r="I2737" s="5">
        <f>INT(TB[[#This Row],[时间戳]])</f>
        <v>45981</v>
      </c>
      <c r="J2737" s="2">
        <f>HOUR(TB[[#This Row],[时间戳]])</f>
        <v>3</v>
      </c>
      <c r="K2737">
        <v>4806</v>
      </c>
      <c r="L2737">
        <v>4</v>
      </c>
      <c r="M2737">
        <f>TB[[#This Row],[售价]]*TB[[#This Row],[销量]]</f>
        <v>19224</v>
      </c>
      <c r="N2737" t="str">
        <f>IF(TB[[#This Row],[售价]]&lt;1000,"低价商品",IF(TB[[#This Row],[售价]]&lt;5000,"中价商品",IF(TB[[#This Row],[售价]]&lt;10000,"高价商品","超高价商品")))</f>
        <v>中价商品</v>
      </c>
    </row>
    <row r="2738" spans="1:14" x14ac:dyDescent="0.2">
      <c r="A2738">
        <v>739</v>
      </c>
      <c r="B2738">
        <v>154</v>
      </c>
      <c r="C2738" t="s">
        <v>34</v>
      </c>
      <c r="D2738" t="s">
        <v>175</v>
      </c>
      <c r="E2738" t="s">
        <v>22</v>
      </c>
      <c r="F2738">
        <v>1</v>
      </c>
      <c r="G2738" t="s">
        <v>13</v>
      </c>
      <c r="H2738" s="1">
        <v>45981.240972222222</v>
      </c>
      <c r="I2738" s="5">
        <f>INT(TB[[#This Row],[时间戳]])</f>
        <v>45981</v>
      </c>
      <c r="J2738" s="2">
        <f>HOUR(TB[[#This Row],[时间戳]])</f>
        <v>5</v>
      </c>
      <c r="K2738">
        <v>4942</v>
      </c>
      <c r="L2738">
        <v>3</v>
      </c>
      <c r="M2738">
        <f>TB[[#This Row],[售价]]*TB[[#This Row],[销量]]</f>
        <v>14826</v>
      </c>
      <c r="N2738" t="str">
        <f>IF(TB[[#This Row],[售价]]&lt;1000,"低价商品",IF(TB[[#This Row],[售价]]&lt;5000,"中价商品",IF(TB[[#This Row],[售价]]&lt;10000,"高价商品","超高价商品")))</f>
        <v>中价商品</v>
      </c>
    </row>
    <row r="2739" spans="1:14" x14ac:dyDescent="0.2">
      <c r="A2739">
        <v>570</v>
      </c>
      <c r="B2739">
        <v>160</v>
      </c>
      <c r="C2739" t="s">
        <v>36</v>
      </c>
      <c r="D2739" t="s">
        <v>146</v>
      </c>
      <c r="E2739" t="s">
        <v>22</v>
      </c>
      <c r="F2739">
        <v>1</v>
      </c>
      <c r="G2739" t="s">
        <v>13</v>
      </c>
      <c r="H2739" s="1">
        <v>45981.255555555559</v>
      </c>
      <c r="I2739" s="5">
        <f>INT(TB[[#This Row],[时间戳]])</f>
        <v>45981</v>
      </c>
      <c r="J2739" s="2">
        <f>HOUR(TB[[#This Row],[时间戳]])</f>
        <v>6</v>
      </c>
      <c r="K2739">
        <v>1000</v>
      </c>
      <c r="L2739">
        <v>2</v>
      </c>
      <c r="M2739">
        <f>TB[[#This Row],[售价]]*TB[[#This Row],[销量]]</f>
        <v>2000</v>
      </c>
      <c r="N2739" t="str">
        <f>IF(TB[[#This Row],[售价]]&lt;1000,"低价商品",IF(TB[[#This Row],[售价]]&lt;5000,"中价商品",IF(TB[[#This Row],[售价]]&lt;10000,"高价商品","超高价商品")))</f>
        <v>中价商品</v>
      </c>
    </row>
    <row r="2740" spans="1:14" x14ac:dyDescent="0.2">
      <c r="A2740">
        <v>69</v>
      </c>
      <c r="B2740">
        <v>31</v>
      </c>
      <c r="C2740" t="s">
        <v>46</v>
      </c>
      <c r="D2740" t="s">
        <v>150</v>
      </c>
      <c r="E2740" t="s">
        <v>25</v>
      </c>
      <c r="F2740">
        <v>7</v>
      </c>
      <c r="G2740" t="s">
        <v>42</v>
      </c>
      <c r="H2740" s="1">
        <v>45981.315972222219</v>
      </c>
      <c r="I2740" s="5">
        <f>INT(TB[[#This Row],[时间戳]])</f>
        <v>45981</v>
      </c>
      <c r="J2740" s="2">
        <f>HOUR(TB[[#This Row],[时间戳]])</f>
        <v>7</v>
      </c>
      <c r="K2740">
        <v>3385</v>
      </c>
      <c r="L2740">
        <v>0</v>
      </c>
      <c r="M2740">
        <f>TB[[#This Row],[售价]]*TB[[#This Row],[销量]]</f>
        <v>0</v>
      </c>
      <c r="N2740" t="str">
        <f>IF(TB[[#This Row],[售价]]&lt;1000,"低价商品",IF(TB[[#This Row],[售价]]&lt;5000,"中价商品",IF(TB[[#This Row],[售价]]&lt;10000,"高价商品","超高价商品")))</f>
        <v>中价商品</v>
      </c>
    </row>
    <row r="2741" spans="1:14" x14ac:dyDescent="0.2">
      <c r="A2741">
        <v>493</v>
      </c>
      <c r="B2741">
        <v>83</v>
      </c>
      <c r="C2741" t="s">
        <v>26</v>
      </c>
      <c r="D2741" t="s">
        <v>396</v>
      </c>
      <c r="E2741" t="s">
        <v>25</v>
      </c>
      <c r="F2741">
        <v>7</v>
      </c>
      <c r="G2741" t="s">
        <v>42</v>
      </c>
      <c r="H2741" s="1">
        <v>45981.317361111112</v>
      </c>
      <c r="I2741" s="5">
        <f>INT(TB[[#This Row],[时间戳]])</f>
        <v>45981</v>
      </c>
      <c r="J2741" s="2">
        <f>HOUR(TB[[#This Row],[时间戳]])</f>
        <v>7</v>
      </c>
      <c r="K2741">
        <v>7696</v>
      </c>
      <c r="L2741">
        <v>0</v>
      </c>
      <c r="M2741">
        <f>TB[[#This Row],[售价]]*TB[[#This Row],[销量]]</f>
        <v>0</v>
      </c>
      <c r="N2741" t="str">
        <f>IF(TB[[#This Row],[售价]]&lt;1000,"低价商品",IF(TB[[#This Row],[售价]]&lt;5000,"中价商品",IF(TB[[#This Row],[售价]]&lt;10000,"高价商品","超高价商品")))</f>
        <v>高价商品</v>
      </c>
    </row>
    <row r="2742" spans="1:14" x14ac:dyDescent="0.2">
      <c r="A2742">
        <v>401</v>
      </c>
      <c r="B2742">
        <v>100</v>
      </c>
      <c r="C2742" t="s">
        <v>26</v>
      </c>
      <c r="D2742" t="s">
        <v>122</v>
      </c>
      <c r="E2742" t="s">
        <v>31</v>
      </c>
      <c r="F2742">
        <v>4</v>
      </c>
      <c r="G2742" t="s">
        <v>13</v>
      </c>
      <c r="H2742" s="1">
        <v>45981.325694444444</v>
      </c>
      <c r="I2742" s="5">
        <f>INT(TB[[#This Row],[时间戳]])</f>
        <v>45981</v>
      </c>
      <c r="J2742" s="2">
        <f>HOUR(TB[[#This Row],[时间戳]])</f>
        <v>7</v>
      </c>
      <c r="K2742">
        <v>546</v>
      </c>
      <c r="L2742">
        <v>2</v>
      </c>
      <c r="M2742">
        <f>TB[[#This Row],[售价]]*TB[[#This Row],[销量]]</f>
        <v>1092</v>
      </c>
      <c r="N2742" t="str">
        <f>IF(TB[[#This Row],[售价]]&lt;1000,"低价商品",IF(TB[[#This Row],[售价]]&lt;5000,"中价商品",IF(TB[[#This Row],[售价]]&lt;10000,"高价商品","超高价商品")))</f>
        <v>低价商品</v>
      </c>
    </row>
    <row r="2743" spans="1:14" x14ac:dyDescent="0.2">
      <c r="A2743">
        <v>283</v>
      </c>
      <c r="B2743">
        <v>72</v>
      </c>
      <c r="C2743" t="s">
        <v>14</v>
      </c>
      <c r="D2743" t="s">
        <v>190</v>
      </c>
      <c r="E2743" t="s">
        <v>12</v>
      </c>
      <c r="F2743">
        <v>2</v>
      </c>
      <c r="G2743" t="s">
        <v>13</v>
      </c>
      <c r="H2743" s="1">
        <v>45981.330555555556</v>
      </c>
      <c r="I2743" s="5">
        <f>INT(TB[[#This Row],[时间戳]])</f>
        <v>45981</v>
      </c>
      <c r="J2743" s="2">
        <f>HOUR(TB[[#This Row],[时间戳]])</f>
        <v>7</v>
      </c>
      <c r="K2743">
        <v>8051</v>
      </c>
      <c r="L2743">
        <v>2</v>
      </c>
      <c r="M2743">
        <f>TB[[#This Row],[售价]]*TB[[#This Row],[销量]]</f>
        <v>16102</v>
      </c>
      <c r="N2743" t="str">
        <f>IF(TB[[#This Row],[售价]]&lt;1000,"低价商品",IF(TB[[#This Row],[售价]]&lt;5000,"中价商品",IF(TB[[#This Row],[售价]]&lt;10000,"高价商品","超高价商品")))</f>
        <v>高价商品</v>
      </c>
    </row>
    <row r="2744" spans="1:14" x14ac:dyDescent="0.2">
      <c r="A2744">
        <v>156</v>
      </c>
      <c r="B2744">
        <v>106</v>
      </c>
      <c r="C2744" t="s">
        <v>46</v>
      </c>
      <c r="D2744" t="s">
        <v>209</v>
      </c>
      <c r="E2744" t="s">
        <v>22</v>
      </c>
      <c r="F2744">
        <v>1</v>
      </c>
      <c r="G2744" t="s">
        <v>13</v>
      </c>
      <c r="H2744" s="1">
        <v>45981.334722222222</v>
      </c>
      <c r="I2744" s="5">
        <f>INT(TB[[#This Row],[时间戳]])</f>
        <v>45981</v>
      </c>
      <c r="J2744" s="2">
        <f>HOUR(TB[[#This Row],[时间戳]])</f>
        <v>8</v>
      </c>
      <c r="K2744">
        <v>4151</v>
      </c>
      <c r="L2744">
        <v>4</v>
      </c>
      <c r="M2744">
        <f>TB[[#This Row],[售价]]*TB[[#This Row],[销量]]</f>
        <v>16604</v>
      </c>
      <c r="N2744" t="str">
        <f>IF(TB[[#This Row],[售价]]&lt;1000,"低价商品",IF(TB[[#This Row],[售价]]&lt;5000,"中价商品",IF(TB[[#This Row],[售价]]&lt;10000,"高价商品","超高价商品")))</f>
        <v>中价商品</v>
      </c>
    </row>
    <row r="2745" spans="1:14" x14ac:dyDescent="0.2">
      <c r="A2745">
        <v>12</v>
      </c>
      <c r="B2745">
        <v>61</v>
      </c>
      <c r="C2745" t="s">
        <v>36</v>
      </c>
      <c r="D2745" t="s">
        <v>112</v>
      </c>
      <c r="E2745" t="s">
        <v>22</v>
      </c>
      <c r="F2745">
        <v>1</v>
      </c>
      <c r="G2745" t="s">
        <v>13</v>
      </c>
      <c r="H2745" s="1">
        <v>45981.337500000001</v>
      </c>
      <c r="I2745" s="5">
        <f>INT(TB[[#This Row],[时间戳]])</f>
        <v>45981</v>
      </c>
      <c r="J2745" s="2">
        <f>HOUR(TB[[#This Row],[时间戳]])</f>
        <v>8</v>
      </c>
      <c r="K2745">
        <v>4504</v>
      </c>
      <c r="L2745">
        <v>3</v>
      </c>
      <c r="M2745">
        <f>TB[[#This Row],[售价]]*TB[[#This Row],[销量]]</f>
        <v>13512</v>
      </c>
      <c r="N2745" t="str">
        <f>IF(TB[[#This Row],[售价]]&lt;1000,"低价商品",IF(TB[[#This Row],[售价]]&lt;5000,"中价商品",IF(TB[[#This Row],[售价]]&lt;10000,"高价商品","超高价商品")))</f>
        <v>中价商品</v>
      </c>
    </row>
    <row r="2746" spans="1:14" x14ac:dyDescent="0.2">
      <c r="A2746">
        <v>791</v>
      </c>
      <c r="B2746">
        <v>242</v>
      </c>
      <c r="C2746" t="s">
        <v>20</v>
      </c>
      <c r="D2746" t="s">
        <v>394</v>
      </c>
      <c r="E2746" t="s">
        <v>39</v>
      </c>
      <c r="F2746">
        <v>5</v>
      </c>
      <c r="G2746" t="s">
        <v>42</v>
      </c>
      <c r="H2746" s="1">
        <v>45981.355555555558</v>
      </c>
      <c r="I2746" s="5">
        <f>INT(TB[[#This Row],[时间戳]])</f>
        <v>45981</v>
      </c>
      <c r="J2746" s="2">
        <f>HOUR(TB[[#This Row],[时间戳]])</f>
        <v>8</v>
      </c>
      <c r="K2746">
        <v>2891</v>
      </c>
      <c r="L2746">
        <v>0</v>
      </c>
      <c r="M2746">
        <f>TB[[#This Row],[售价]]*TB[[#This Row],[销量]]</f>
        <v>0</v>
      </c>
      <c r="N2746" t="str">
        <f>IF(TB[[#This Row],[售价]]&lt;1000,"低价商品",IF(TB[[#This Row],[售价]]&lt;5000,"中价商品",IF(TB[[#This Row],[售价]]&lt;10000,"高价商品","超高价商品")))</f>
        <v>中价商品</v>
      </c>
    </row>
    <row r="2747" spans="1:14" x14ac:dyDescent="0.2">
      <c r="A2747">
        <v>128</v>
      </c>
      <c r="B2747">
        <v>278</v>
      </c>
      <c r="C2747" t="s">
        <v>44</v>
      </c>
      <c r="D2747" t="s">
        <v>184</v>
      </c>
      <c r="E2747" t="s">
        <v>12</v>
      </c>
      <c r="F2747">
        <v>2</v>
      </c>
      <c r="G2747" t="s">
        <v>13</v>
      </c>
      <c r="H2747" s="1">
        <v>45981.383333333331</v>
      </c>
      <c r="I2747" s="5">
        <f>INT(TB[[#This Row],[时间戳]])</f>
        <v>45981</v>
      </c>
      <c r="J2747" s="2">
        <f>HOUR(TB[[#This Row],[时间戳]])</f>
        <v>9</v>
      </c>
      <c r="K2747">
        <v>7942</v>
      </c>
      <c r="L2747">
        <v>2</v>
      </c>
      <c r="M2747">
        <f>TB[[#This Row],[售价]]*TB[[#This Row],[销量]]</f>
        <v>15884</v>
      </c>
      <c r="N2747" t="str">
        <f>IF(TB[[#This Row],[售价]]&lt;1000,"低价商品",IF(TB[[#This Row],[售价]]&lt;5000,"中价商品",IF(TB[[#This Row],[售价]]&lt;10000,"高价商品","超高价商品")))</f>
        <v>高价商品</v>
      </c>
    </row>
    <row r="2748" spans="1:14" x14ac:dyDescent="0.2">
      <c r="A2748">
        <v>773</v>
      </c>
      <c r="B2748">
        <v>175</v>
      </c>
      <c r="C2748" t="s">
        <v>26</v>
      </c>
      <c r="D2748" t="s">
        <v>155</v>
      </c>
      <c r="E2748" t="s">
        <v>12</v>
      </c>
      <c r="F2748">
        <v>2</v>
      </c>
      <c r="G2748" t="s">
        <v>13</v>
      </c>
      <c r="H2748" s="1">
        <v>45981.399305555555</v>
      </c>
      <c r="I2748" s="5">
        <f>INT(TB[[#This Row],[时间戳]])</f>
        <v>45981</v>
      </c>
      <c r="J2748" s="2">
        <f>HOUR(TB[[#This Row],[时间戳]])</f>
        <v>9</v>
      </c>
      <c r="K2748">
        <v>14026</v>
      </c>
      <c r="L2748">
        <v>2</v>
      </c>
      <c r="M2748">
        <f>TB[[#This Row],[售价]]*TB[[#This Row],[销量]]</f>
        <v>28052</v>
      </c>
      <c r="N2748" t="str">
        <f>IF(TB[[#This Row],[售价]]&lt;1000,"低价商品",IF(TB[[#This Row],[售价]]&lt;5000,"中价商品",IF(TB[[#This Row],[售价]]&lt;10000,"高价商品","超高价商品")))</f>
        <v>超高价商品</v>
      </c>
    </row>
    <row r="2749" spans="1:14" x14ac:dyDescent="0.2">
      <c r="A2749">
        <v>116</v>
      </c>
      <c r="B2749">
        <v>239</v>
      </c>
      <c r="C2749" t="s">
        <v>17</v>
      </c>
      <c r="D2749" t="s">
        <v>279</v>
      </c>
      <c r="E2749" t="s">
        <v>22</v>
      </c>
      <c r="F2749">
        <v>1</v>
      </c>
      <c r="G2749" t="s">
        <v>13</v>
      </c>
      <c r="H2749" s="1">
        <v>45981.402083333334</v>
      </c>
      <c r="I2749" s="5">
        <f>INT(TB[[#This Row],[时间戳]])</f>
        <v>45981</v>
      </c>
      <c r="J2749" s="2">
        <f>HOUR(TB[[#This Row],[时间戳]])</f>
        <v>9</v>
      </c>
      <c r="K2749">
        <v>3049</v>
      </c>
      <c r="L2749">
        <v>3</v>
      </c>
      <c r="M2749">
        <f>TB[[#This Row],[售价]]*TB[[#This Row],[销量]]</f>
        <v>9147</v>
      </c>
      <c r="N2749" t="str">
        <f>IF(TB[[#This Row],[售价]]&lt;1000,"低价商品",IF(TB[[#This Row],[售价]]&lt;5000,"中价商品",IF(TB[[#This Row],[售价]]&lt;10000,"高价商品","超高价商品")))</f>
        <v>中价商品</v>
      </c>
    </row>
    <row r="2750" spans="1:14" x14ac:dyDescent="0.2">
      <c r="A2750">
        <v>709</v>
      </c>
      <c r="B2750">
        <v>250</v>
      </c>
      <c r="C2750" t="s">
        <v>26</v>
      </c>
      <c r="D2750" t="s">
        <v>65</v>
      </c>
      <c r="E2750" t="s">
        <v>22</v>
      </c>
      <c r="F2750">
        <v>1</v>
      </c>
      <c r="G2750" t="s">
        <v>13</v>
      </c>
      <c r="H2750" s="1">
        <v>45981.432638888888</v>
      </c>
      <c r="I2750" s="5">
        <f>INT(TB[[#This Row],[时间戳]])</f>
        <v>45981</v>
      </c>
      <c r="J2750" s="2">
        <f>HOUR(TB[[#This Row],[时间戳]])</f>
        <v>10</v>
      </c>
      <c r="K2750">
        <v>4588</v>
      </c>
      <c r="L2750">
        <v>1</v>
      </c>
      <c r="M2750">
        <f>TB[[#This Row],[售价]]*TB[[#This Row],[销量]]</f>
        <v>4588</v>
      </c>
      <c r="N2750" t="str">
        <f>IF(TB[[#This Row],[售价]]&lt;1000,"低价商品",IF(TB[[#This Row],[售价]]&lt;5000,"中价商品",IF(TB[[#This Row],[售价]]&lt;10000,"高价商品","超高价商品")))</f>
        <v>中价商品</v>
      </c>
    </row>
    <row r="2751" spans="1:14" x14ac:dyDescent="0.2">
      <c r="A2751">
        <v>91</v>
      </c>
      <c r="B2751">
        <v>186</v>
      </c>
      <c r="C2751" t="s">
        <v>20</v>
      </c>
      <c r="D2751" t="s">
        <v>333</v>
      </c>
      <c r="E2751" t="s">
        <v>16</v>
      </c>
      <c r="F2751">
        <v>6</v>
      </c>
      <c r="G2751" t="s">
        <v>13</v>
      </c>
      <c r="H2751" s="1">
        <v>45981.451388888891</v>
      </c>
      <c r="I2751" s="5">
        <f>INT(TB[[#This Row],[时间戳]])</f>
        <v>45981</v>
      </c>
      <c r="J2751" s="2">
        <f>HOUR(TB[[#This Row],[时间戳]])</f>
        <v>10</v>
      </c>
      <c r="K2751">
        <v>6684</v>
      </c>
      <c r="L2751">
        <v>1</v>
      </c>
      <c r="M2751">
        <f>TB[[#This Row],[售价]]*TB[[#This Row],[销量]]</f>
        <v>6684</v>
      </c>
      <c r="N2751" t="str">
        <f>IF(TB[[#This Row],[售价]]&lt;1000,"低价商品",IF(TB[[#This Row],[售价]]&lt;5000,"中价商品",IF(TB[[#This Row],[售价]]&lt;10000,"高价商品","超高价商品")))</f>
        <v>高价商品</v>
      </c>
    </row>
    <row r="2752" spans="1:14" x14ac:dyDescent="0.2">
      <c r="A2752">
        <v>443</v>
      </c>
      <c r="B2752">
        <v>216</v>
      </c>
      <c r="C2752" t="s">
        <v>44</v>
      </c>
      <c r="D2752" t="s">
        <v>236</v>
      </c>
      <c r="E2752" t="s">
        <v>12</v>
      </c>
      <c r="F2752">
        <v>2</v>
      </c>
      <c r="G2752" t="s">
        <v>42</v>
      </c>
      <c r="H2752" s="1">
        <v>45981.460416666669</v>
      </c>
      <c r="I2752" s="5">
        <f>INT(TB[[#This Row],[时间戳]])</f>
        <v>45981</v>
      </c>
      <c r="J2752" s="2">
        <f>HOUR(TB[[#This Row],[时间戳]])</f>
        <v>11</v>
      </c>
      <c r="K2752">
        <v>8093</v>
      </c>
      <c r="L2752">
        <v>0</v>
      </c>
      <c r="M2752">
        <f>TB[[#This Row],[售价]]*TB[[#This Row],[销量]]</f>
        <v>0</v>
      </c>
      <c r="N2752" t="str">
        <f>IF(TB[[#This Row],[售价]]&lt;1000,"低价商品",IF(TB[[#This Row],[售价]]&lt;5000,"中价商品",IF(TB[[#This Row],[售价]]&lt;10000,"高价商品","超高价商品")))</f>
        <v>高价商品</v>
      </c>
    </row>
    <row r="2753" spans="1:14" x14ac:dyDescent="0.2">
      <c r="A2753">
        <v>742</v>
      </c>
      <c r="B2753">
        <v>142</v>
      </c>
      <c r="C2753" t="s">
        <v>14</v>
      </c>
      <c r="D2753" t="s">
        <v>228</v>
      </c>
      <c r="E2753" t="s">
        <v>31</v>
      </c>
      <c r="F2753">
        <v>4</v>
      </c>
      <c r="G2753" t="s">
        <v>13</v>
      </c>
      <c r="H2753" s="1">
        <v>45981.481249999997</v>
      </c>
      <c r="I2753" s="5">
        <f>INT(TB[[#This Row],[时间戳]])</f>
        <v>45981</v>
      </c>
      <c r="J2753" s="2">
        <f>HOUR(TB[[#This Row],[时间戳]])</f>
        <v>11</v>
      </c>
      <c r="K2753">
        <v>292</v>
      </c>
      <c r="L2753">
        <v>1</v>
      </c>
      <c r="M2753">
        <f>TB[[#This Row],[售价]]*TB[[#This Row],[销量]]</f>
        <v>292</v>
      </c>
      <c r="N2753" t="str">
        <f>IF(TB[[#This Row],[售价]]&lt;1000,"低价商品",IF(TB[[#This Row],[售价]]&lt;5000,"中价商品",IF(TB[[#This Row],[售价]]&lt;10000,"高价商品","超高价商品")))</f>
        <v>低价商品</v>
      </c>
    </row>
    <row r="2754" spans="1:14" x14ac:dyDescent="0.2">
      <c r="A2754">
        <v>430</v>
      </c>
      <c r="B2754">
        <v>129</v>
      </c>
      <c r="C2754" t="s">
        <v>20</v>
      </c>
      <c r="D2754" t="s">
        <v>147</v>
      </c>
      <c r="E2754" t="s">
        <v>22</v>
      </c>
      <c r="F2754">
        <v>1</v>
      </c>
      <c r="G2754" t="s">
        <v>13</v>
      </c>
      <c r="H2754" s="1">
        <v>45981.486805555556</v>
      </c>
      <c r="I2754" s="5">
        <f>INT(TB[[#This Row],[时间戳]])</f>
        <v>45981</v>
      </c>
      <c r="J2754" s="2">
        <f>HOUR(TB[[#This Row],[时间戳]])</f>
        <v>11</v>
      </c>
      <c r="K2754">
        <v>3188</v>
      </c>
      <c r="L2754">
        <v>3</v>
      </c>
      <c r="M2754">
        <f>TB[[#This Row],[售价]]*TB[[#This Row],[销量]]</f>
        <v>9564</v>
      </c>
      <c r="N2754" t="str">
        <f>IF(TB[[#This Row],[售价]]&lt;1000,"低价商品",IF(TB[[#This Row],[售价]]&lt;5000,"中价商品",IF(TB[[#This Row],[售价]]&lt;10000,"高价商品","超高价商品")))</f>
        <v>中价商品</v>
      </c>
    </row>
    <row r="2755" spans="1:14" x14ac:dyDescent="0.2">
      <c r="A2755">
        <v>731</v>
      </c>
      <c r="B2755">
        <v>249</v>
      </c>
      <c r="C2755" t="s">
        <v>10</v>
      </c>
      <c r="D2755" t="s">
        <v>201</v>
      </c>
      <c r="E2755" t="s">
        <v>31</v>
      </c>
      <c r="F2755">
        <v>4</v>
      </c>
      <c r="G2755" t="s">
        <v>13</v>
      </c>
      <c r="H2755" s="1">
        <v>45981.494444444441</v>
      </c>
      <c r="I2755" s="5">
        <f>INT(TB[[#This Row],[时间戳]])</f>
        <v>45981</v>
      </c>
      <c r="J2755" s="2">
        <f>HOUR(TB[[#This Row],[时间戳]])</f>
        <v>11</v>
      </c>
      <c r="K2755">
        <v>622</v>
      </c>
      <c r="L2755">
        <v>1</v>
      </c>
      <c r="M2755">
        <f>TB[[#This Row],[售价]]*TB[[#This Row],[销量]]</f>
        <v>622</v>
      </c>
      <c r="N2755" t="str">
        <f>IF(TB[[#This Row],[售价]]&lt;1000,"低价商品",IF(TB[[#This Row],[售价]]&lt;5000,"中价商品",IF(TB[[#This Row],[售价]]&lt;10000,"高价商品","超高价商品")))</f>
        <v>低价商品</v>
      </c>
    </row>
    <row r="2756" spans="1:14" x14ac:dyDescent="0.2">
      <c r="A2756">
        <v>606</v>
      </c>
      <c r="B2756">
        <v>223</v>
      </c>
      <c r="C2756" t="s">
        <v>44</v>
      </c>
      <c r="D2756" t="s">
        <v>70</v>
      </c>
      <c r="E2756" t="s">
        <v>12</v>
      </c>
      <c r="F2756">
        <v>2</v>
      </c>
      <c r="G2756" t="s">
        <v>42</v>
      </c>
      <c r="H2756" s="1">
        <v>45981.540277777778</v>
      </c>
      <c r="I2756" s="5">
        <f>INT(TB[[#This Row],[时间戳]])</f>
        <v>45981</v>
      </c>
      <c r="J2756" s="2">
        <f>HOUR(TB[[#This Row],[时间戳]])</f>
        <v>12</v>
      </c>
      <c r="K2756">
        <v>8076</v>
      </c>
      <c r="L2756">
        <v>0</v>
      </c>
      <c r="M2756">
        <f>TB[[#This Row],[售价]]*TB[[#This Row],[销量]]</f>
        <v>0</v>
      </c>
      <c r="N2756" t="str">
        <f>IF(TB[[#This Row],[售价]]&lt;1000,"低价商品",IF(TB[[#This Row],[售价]]&lt;5000,"中价商品",IF(TB[[#This Row],[售价]]&lt;10000,"高价商品","超高价商品")))</f>
        <v>高价商品</v>
      </c>
    </row>
    <row r="2757" spans="1:14" x14ac:dyDescent="0.2">
      <c r="A2757">
        <v>500</v>
      </c>
      <c r="B2757">
        <v>288</v>
      </c>
      <c r="C2757" t="s">
        <v>14</v>
      </c>
      <c r="D2757" t="s">
        <v>385</v>
      </c>
      <c r="E2757" t="s">
        <v>12</v>
      </c>
      <c r="F2757">
        <v>2</v>
      </c>
      <c r="G2757" t="s">
        <v>13</v>
      </c>
      <c r="H2757" s="1">
        <v>45981.546527777777</v>
      </c>
      <c r="I2757" s="5">
        <f>INT(TB[[#This Row],[时间戳]])</f>
        <v>45981</v>
      </c>
      <c r="J2757" s="2">
        <f>HOUR(TB[[#This Row],[时间戳]])</f>
        <v>13</v>
      </c>
      <c r="K2757">
        <v>14841</v>
      </c>
      <c r="L2757">
        <v>4</v>
      </c>
      <c r="M2757">
        <f>TB[[#This Row],[售价]]*TB[[#This Row],[销量]]</f>
        <v>59364</v>
      </c>
      <c r="N2757" t="str">
        <f>IF(TB[[#This Row],[售价]]&lt;1000,"低价商品",IF(TB[[#This Row],[售价]]&lt;5000,"中价商品",IF(TB[[#This Row],[售价]]&lt;10000,"高价商品","超高价商品")))</f>
        <v>超高价商品</v>
      </c>
    </row>
    <row r="2758" spans="1:14" x14ac:dyDescent="0.2">
      <c r="A2758">
        <v>532</v>
      </c>
      <c r="B2758">
        <v>196</v>
      </c>
      <c r="C2758" t="s">
        <v>17</v>
      </c>
      <c r="D2758" t="s">
        <v>354</v>
      </c>
      <c r="E2758" t="s">
        <v>16</v>
      </c>
      <c r="F2758">
        <v>6</v>
      </c>
      <c r="G2758" t="s">
        <v>13</v>
      </c>
      <c r="H2758" s="1">
        <v>45981.558333333334</v>
      </c>
      <c r="I2758" s="5">
        <f>INT(TB[[#This Row],[时间戳]])</f>
        <v>45981</v>
      </c>
      <c r="J2758" s="2">
        <f>HOUR(TB[[#This Row],[时间戳]])</f>
        <v>13</v>
      </c>
      <c r="K2758">
        <v>12000</v>
      </c>
      <c r="L2758">
        <v>3</v>
      </c>
      <c r="M2758">
        <f>TB[[#This Row],[售价]]*TB[[#This Row],[销量]]</f>
        <v>36000</v>
      </c>
      <c r="N2758" t="str">
        <f>IF(TB[[#This Row],[售价]]&lt;1000,"低价商品",IF(TB[[#This Row],[售价]]&lt;5000,"中价商品",IF(TB[[#This Row],[售价]]&lt;10000,"高价商品","超高价商品")))</f>
        <v>超高价商品</v>
      </c>
    </row>
    <row r="2759" spans="1:14" x14ac:dyDescent="0.2">
      <c r="A2759">
        <v>659</v>
      </c>
      <c r="B2759">
        <v>51</v>
      </c>
      <c r="C2759" t="s">
        <v>14</v>
      </c>
      <c r="D2759" t="s">
        <v>52</v>
      </c>
      <c r="E2759" t="s">
        <v>31</v>
      </c>
      <c r="F2759">
        <v>4</v>
      </c>
      <c r="G2759" t="s">
        <v>42</v>
      </c>
      <c r="H2759" s="1">
        <v>45981.598611111112</v>
      </c>
      <c r="I2759" s="5">
        <f>INT(TB[[#This Row],[时间戳]])</f>
        <v>45981</v>
      </c>
      <c r="J2759" s="2">
        <f>HOUR(TB[[#This Row],[时间戳]])</f>
        <v>14</v>
      </c>
      <c r="K2759">
        <v>244</v>
      </c>
      <c r="L2759">
        <v>0</v>
      </c>
      <c r="M2759">
        <f>TB[[#This Row],[售价]]*TB[[#This Row],[销量]]</f>
        <v>0</v>
      </c>
      <c r="N2759" t="str">
        <f>IF(TB[[#This Row],[售价]]&lt;1000,"低价商品",IF(TB[[#This Row],[售价]]&lt;5000,"中价商品",IF(TB[[#This Row],[售价]]&lt;10000,"高价商品","超高价商品")))</f>
        <v>低价商品</v>
      </c>
    </row>
    <row r="2760" spans="1:14" x14ac:dyDescent="0.2">
      <c r="A2760">
        <v>370</v>
      </c>
      <c r="B2760">
        <v>298</v>
      </c>
      <c r="C2760" t="s">
        <v>14</v>
      </c>
      <c r="D2760" t="s">
        <v>356</v>
      </c>
      <c r="E2760" t="s">
        <v>16</v>
      </c>
      <c r="F2760">
        <v>6</v>
      </c>
      <c r="G2760" t="s">
        <v>13</v>
      </c>
      <c r="H2760" s="1">
        <v>45981.621527777781</v>
      </c>
      <c r="I2760" s="5">
        <f>INT(TB[[#This Row],[时间戳]])</f>
        <v>45981</v>
      </c>
      <c r="J2760" s="2">
        <f>HOUR(TB[[#This Row],[时间戳]])</f>
        <v>14</v>
      </c>
      <c r="K2760">
        <v>11279</v>
      </c>
      <c r="L2760">
        <v>2</v>
      </c>
      <c r="M2760">
        <f>TB[[#This Row],[售价]]*TB[[#This Row],[销量]]</f>
        <v>22558</v>
      </c>
      <c r="N2760" t="str">
        <f>IF(TB[[#This Row],[售价]]&lt;1000,"低价商品",IF(TB[[#This Row],[售价]]&lt;5000,"中价商品",IF(TB[[#This Row],[售价]]&lt;10000,"高价商品","超高价商品")))</f>
        <v>超高价商品</v>
      </c>
    </row>
    <row r="2761" spans="1:14" x14ac:dyDescent="0.2">
      <c r="A2761">
        <v>404</v>
      </c>
      <c r="B2761">
        <v>21</v>
      </c>
      <c r="C2761" t="s">
        <v>46</v>
      </c>
      <c r="D2761" t="s">
        <v>316</v>
      </c>
      <c r="E2761" t="s">
        <v>25</v>
      </c>
      <c r="F2761">
        <v>7</v>
      </c>
      <c r="G2761" t="s">
        <v>13</v>
      </c>
      <c r="H2761" s="1">
        <v>45981.622916666667</v>
      </c>
      <c r="I2761" s="5">
        <f>INT(TB[[#This Row],[时间戳]])</f>
        <v>45981</v>
      </c>
      <c r="J2761" s="2">
        <f>HOUR(TB[[#This Row],[时间戳]])</f>
        <v>14</v>
      </c>
      <c r="K2761">
        <v>7173</v>
      </c>
      <c r="L2761">
        <v>2</v>
      </c>
      <c r="M2761">
        <f>TB[[#This Row],[售价]]*TB[[#This Row],[销量]]</f>
        <v>14346</v>
      </c>
      <c r="N2761" t="str">
        <f>IF(TB[[#This Row],[售价]]&lt;1000,"低价商品",IF(TB[[#This Row],[售价]]&lt;5000,"中价商品",IF(TB[[#This Row],[售价]]&lt;10000,"高价商品","超高价商品")))</f>
        <v>高价商品</v>
      </c>
    </row>
    <row r="2762" spans="1:14" x14ac:dyDescent="0.2">
      <c r="A2762">
        <v>588</v>
      </c>
      <c r="B2762">
        <v>268</v>
      </c>
      <c r="C2762" t="s">
        <v>44</v>
      </c>
      <c r="D2762" t="s">
        <v>169</v>
      </c>
      <c r="E2762" t="s">
        <v>31</v>
      </c>
      <c r="F2762">
        <v>4</v>
      </c>
      <c r="G2762" t="s">
        <v>13</v>
      </c>
      <c r="H2762" s="1">
        <v>45981.625694444447</v>
      </c>
      <c r="I2762" s="5">
        <f>INT(TB[[#This Row],[时间戳]])</f>
        <v>45981</v>
      </c>
      <c r="J2762" s="2">
        <f>HOUR(TB[[#This Row],[时间戳]])</f>
        <v>15</v>
      </c>
      <c r="K2762">
        <v>892</v>
      </c>
      <c r="L2762">
        <v>3</v>
      </c>
      <c r="M2762">
        <f>TB[[#This Row],[售价]]*TB[[#This Row],[销量]]</f>
        <v>2676</v>
      </c>
      <c r="N2762" t="str">
        <f>IF(TB[[#This Row],[售价]]&lt;1000,"低价商品",IF(TB[[#This Row],[售价]]&lt;5000,"中价商品",IF(TB[[#This Row],[售价]]&lt;10000,"高价商品","超高价商品")))</f>
        <v>低价商品</v>
      </c>
    </row>
    <row r="2763" spans="1:14" x14ac:dyDescent="0.2">
      <c r="A2763">
        <v>222</v>
      </c>
      <c r="B2763">
        <v>291</v>
      </c>
      <c r="C2763" t="s">
        <v>17</v>
      </c>
      <c r="D2763" t="s">
        <v>18</v>
      </c>
      <c r="E2763" t="s">
        <v>19</v>
      </c>
      <c r="F2763">
        <v>3</v>
      </c>
      <c r="G2763" t="s">
        <v>42</v>
      </c>
      <c r="H2763" s="1">
        <v>45981.625694444447</v>
      </c>
      <c r="I2763" s="5">
        <f>INT(TB[[#This Row],[时间戳]])</f>
        <v>45981</v>
      </c>
      <c r="J2763" s="2">
        <f>HOUR(TB[[#This Row],[时间戳]])</f>
        <v>15</v>
      </c>
      <c r="K2763">
        <v>1809</v>
      </c>
      <c r="L2763">
        <v>0</v>
      </c>
      <c r="M2763">
        <f>TB[[#This Row],[售价]]*TB[[#This Row],[销量]]</f>
        <v>0</v>
      </c>
      <c r="N2763" t="str">
        <f>IF(TB[[#This Row],[售价]]&lt;1000,"低价商品",IF(TB[[#This Row],[售价]]&lt;5000,"中价商品",IF(TB[[#This Row],[售价]]&lt;10000,"高价商品","超高价商品")))</f>
        <v>中价商品</v>
      </c>
    </row>
    <row r="2764" spans="1:14" x14ac:dyDescent="0.2">
      <c r="A2764">
        <v>300</v>
      </c>
      <c r="B2764">
        <v>212</v>
      </c>
      <c r="C2764" t="s">
        <v>34</v>
      </c>
      <c r="D2764" t="s">
        <v>414</v>
      </c>
      <c r="E2764" t="s">
        <v>12</v>
      </c>
      <c r="F2764">
        <v>2</v>
      </c>
      <c r="G2764" t="s">
        <v>13</v>
      </c>
      <c r="H2764" s="1">
        <v>45981.644444444442</v>
      </c>
      <c r="I2764" s="5">
        <f>INT(TB[[#This Row],[时间戳]])</f>
        <v>45981</v>
      </c>
      <c r="J2764" s="2">
        <f>HOUR(TB[[#This Row],[时间戳]])</f>
        <v>15</v>
      </c>
      <c r="K2764">
        <v>6773</v>
      </c>
      <c r="L2764">
        <v>4</v>
      </c>
      <c r="M2764">
        <f>TB[[#This Row],[售价]]*TB[[#This Row],[销量]]</f>
        <v>27092</v>
      </c>
      <c r="N2764" t="str">
        <f>IF(TB[[#This Row],[售价]]&lt;1000,"低价商品",IF(TB[[#This Row],[售价]]&lt;5000,"中价商品",IF(TB[[#This Row],[售价]]&lt;10000,"高价商品","超高价商品")))</f>
        <v>高价商品</v>
      </c>
    </row>
    <row r="2765" spans="1:14" x14ac:dyDescent="0.2">
      <c r="A2765">
        <v>368</v>
      </c>
      <c r="B2765">
        <v>177</v>
      </c>
      <c r="C2765" t="s">
        <v>44</v>
      </c>
      <c r="D2765" t="s">
        <v>132</v>
      </c>
      <c r="E2765" t="s">
        <v>22</v>
      </c>
      <c r="F2765">
        <v>1</v>
      </c>
      <c r="G2765" t="s">
        <v>13</v>
      </c>
      <c r="H2765" s="1">
        <v>45981.654861111114</v>
      </c>
      <c r="I2765" s="5">
        <f>INT(TB[[#This Row],[时间戳]])</f>
        <v>45981</v>
      </c>
      <c r="J2765" s="2">
        <f>HOUR(TB[[#This Row],[时间戳]])</f>
        <v>15</v>
      </c>
      <c r="K2765">
        <v>7383</v>
      </c>
      <c r="L2765">
        <v>1</v>
      </c>
      <c r="M2765">
        <f>TB[[#This Row],[售价]]*TB[[#This Row],[销量]]</f>
        <v>7383</v>
      </c>
      <c r="N2765" t="str">
        <f>IF(TB[[#This Row],[售价]]&lt;1000,"低价商品",IF(TB[[#This Row],[售价]]&lt;5000,"中价商品",IF(TB[[#This Row],[售价]]&lt;10000,"高价商品","超高价商品")))</f>
        <v>高价商品</v>
      </c>
    </row>
    <row r="2766" spans="1:14" x14ac:dyDescent="0.2">
      <c r="A2766">
        <v>49</v>
      </c>
      <c r="B2766">
        <v>167</v>
      </c>
      <c r="C2766" t="s">
        <v>36</v>
      </c>
      <c r="D2766" t="s">
        <v>284</v>
      </c>
      <c r="E2766" t="s">
        <v>39</v>
      </c>
      <c r="F2766">
        <v>5</v>
      </c>
      <c r="G2766" t="s">
        <v>13</v>
      </c>
      <c r="H2766" s="1">
        <v>45981.657638888886</v>
      </c>
      <c r="I2766" s="5">
        <f>INT(TB[[#This Row],[时间戳]])</f>
        <v>45981</v>
      </c>
      <c r="J2766" s="2">
        <f>HOUR(TB[[#This Row],[时间戳]])</f>
        <v>15</v>
      </c>
      <c r="K2766">
        <v>2170</v>
      </c>
      <c r="L2766">
        <v>2</v>
      </c>
      <c r="M2766">
        <f>TB[[#This Row],[售价]]*TB[[#This Row],[销量]]</f>
        <v>4340</v>
      </c>
      <c r="N2766" t="str">
        <f>IF(TB[[#This Row],[售价]]&lt;1000,"低价商品",IF(TB[[#This Row],[售价]]&lt;5000,"中价商品",IF(TB[[#This Row],[售价]]&lt;10000,"高价商品","超高价商品")))</f>
        <v>中价商品</v>
      </c>
    </row>
    <row r="2767" spans="1:14" x14ac:dyDescent="0.2">
      <c r="A2767">
        <v>215</v>
      </c>
      <c r="B2767">
        <v>286</v>
      </c>
      <c r="C2767" t="s">
        <v>36</v>
      </c>
      <c r="D2767" t="s">
        <v>238</v>
      </c>
      <c r="E2767" t="s">
        <v>12</v>
      </c>
      <c r="F2767">
        <v>2</v>
      </c>
      <c r="G2767" t="s">
        <v>42</v>
      </c>
      <c r="H2767" s="1">
        <v>45981.71597222222</v>
      </c>
      <c r="I2767" s="5">
        <f>INT(TB[[#This Row],[时间戳]])</f>
        <v>45981</v>
      </c>
      <c r="J2767" s="2">
        <f>HOUR(TB[[#This Row],[时间戳]])</f>
        <v>17</v>
      </c>
      <c r="K2767">
        <v>11664</v>
      </c>
      <c r="L2767">
        <v>0</v>
      </c>
      <c r="M2767">
        <f>TB[[#This Row],[售价]]*TB[[#This Row],[销量]]</f>
        <v>0</v>
      </c>
      <c r="N2767" t="str">
        <f>IF(TB[[#This Row],[售价]]&lt;1000,"低价商品",IF(TB[[#This Row],[售价]]&lt;5000,"中价商品",IF(TB[[#This Row],[售价]]&lt;10000,"高价商品","超高价商品")))</f>
        <v>超高价商品</v>
      </c>
    </row>
    <row r="2768" spans="1:14" x14ac:dyDescent="0.2">
      <c r="A2768">
        <v>411</v>
      </c>
      <c r="B2768">
        <v>179</v>
      </c>
      <c r="C2768" t="s">
        <v>34</v>
      </c>
      <c r="D2768" t="s">
        <v>232</v>
      </c>
      <c r="E2768" t="s">
        <v>22</v>
      </c>
      <c r="F2768">
        <v>1</v>
      </c>
      <c r="G2768" t="s">
        <v>13</v>
      </c>
      <c r="H2768" s="1">
        <v>45981.729861111111</v>
      </c>
      <c r="I2768" s="5">
        <f>INT(TB[[#This Row],[时间戳]])</f>
        <v>45981</v>
      </c>
      <c r="J2768" s="2">
        <f>HOUR(TB[[#This Row],[时间戳]])</f>
        <v>17</v>
      </c>
      <c r="K2768">
        <v>7394</v>
      </c>
      <c r="L2768">
        <v>1</v>
      </c>
      <c r="M2768">
        <f>TB[[#This Row],[售价]]*TB[[#This Row],[销量]]</f>
        <v>7394</v>
      </c>
      <c r="N2768" t="str">
        <f>IF(TB[[#This Row],[售价]]&lt;1000,"低价商品",IF(TB[[#This Row],[售价]]&lt;5000,"中价商品",IF(TB[[#This Row],[售价]]&lt;10000,"高价商品","超高价商品")))</f>
        <v>高价商品</v>
      </c>
    </row>
    <row r="2769" spans="1:14" x14ac:dyDescent="0.2">
      <c r="A2769">
        <v>342</v>
      </c>
      <c r="B2769">
        <v>181</v>
      </c>
      <c r="C2769" t="s">
        <v>44</v>
      </c>
      <c r="D2769" t="s">
        <v>59</v>
      </c>
      <c r="E2769" t="s">
        <v>22</v>
      </c>
      <c r="F2769">
        <v>1</v>
      </c>
      <c r="G2769" t="s">
        <v>13</v>
      </c>
      <c r="H2769" s="1">
        <v>45981.734722222223</v>
      </c>
      <c r="I2769" s="5">
        <f>INT(TB[[#This Row],[时间戳]])</f>
        <v>45981</v>
      </c>
      <c r="J2769" s="2">
        <f>HOUR(TB[[#This Row],[时间戳]])</f>
        <v>17</v>
      </c>
      <c r="K2769">
        <v>7285</v>
      </c>
      <c r="L2769">
        <v>2</v>
      </c>
      <c r="M2769">
        <f>TB[[#This Row],[售价]]*TB[[#This Row],[销量]]</f>
        <v>14570</v>
      </c>
      <c r="N2769" t="str">
        <f>IF(TB[[#This Row],[售价]]&lt;1000,"低价商品",IF(TB[[#This Row],[售价]]&lt;5000,"中价商品",IF(TB[[#This Row],[售价]]&lt;10000,"高价商品","超高价商品")))</f>
        <v>高价商品</v>
      </c>
    </row>
    <row r="2770" spans="1:14" x14ac:dyDescent="0.2">
      <c r="A2770">
        <v>314</v>
      </c>
      <c r="B2770">
        <v>52</v>
      </c>
      <c r="C2770" t="s">
        <v>32</v>
      </c>
      <c r="D2770" t="s">
        <v>148</v>
      </c>
      <c r="E2770" t="s">
        <v>16</v>
      </c>
      <c r="F2770">
        <v>6</v>
      </c>
      <c r="G2770" t="s">
        <v>13</v>
      </c>
      <c r="H2770" s="1">
        <v>45981.747916666667</v>
      </c>
      <c r="I2770" s="5">
        <f>INT(TB[[#This Row],[时间戳]])</f>
        <v>45981</v>
      </c>
      <c r="J2770" s="2">
        <f>HOUR(TB[[#This Row],[时间戳]])</f>
        <v>17</v>
      </c>
      <c r="K2770">
        <v>10996</v>
      </c>
      <c r="L2770">
        <v>1</v>
      </c>
      <c r="M2770">
        <f>TB[[#This Row],[售价]]*TB[[#This Row],[销量]]</f>
        <v>10996</v>
      </c>
      <c r="N2770" t="str">
        <f>IF(TB[[#This Row],[售价]]&lt;1000,"低价商品",IF(TB[[#This Row],[售价]]&lt;5000,"中价商品",IF(TB[[#This Row],[售价]]&lt;10000,"高价商品","超高价商品")))</f>
        <v>超高价商品</v>
      </c>
    </row>
    <row r="2771" spans="1:14" x14ac:dyDescent="0.2">
      <c r="A2771">
        <v>637</v>
      </c>
      <c r="B2771">
        <v>255</v>
      </c>
      <c r="C2771" t="s">
        <v>17</v>
      </c>
      <c r="D2771" t="s">
        <v>133</v>
      </c>
      <c r="E2771" t="s">
        <v>31</v>
      </c>
      <c r="F2771">
        <v>4</v>
      </c>
      <c r="G2771" t="s">
        <v>13</v>
      </c>
      <c r="H2771" s="1">
        <v>45981.768750000003</v>
      </c>
      <c r="I2771" s="5">
        <f>INT(TB[[#This Row],[时间戳]])</f>
        <v>45981</v>
      </c>
      <c r="J2771" s="2">
        <f>HOUR(TB[[#This Row],[时间戳]])</f>
        <v>18</v>
      </c>
      <c r="K2771">
        <v>362</v>
      </c>
      <c r="L2771">
        <v>3</v>
      </c>
      <c r="M2771">
        <f>TB[[#This Row],[售价]]*TB[[#This Row],[销量]]</f>
        <v>1086</v>
      </c>
      <c r="N2771" t="str">
        <f>IF(TB[[#This Row],[售价]]&lt;1000,"低价商品",IF(TB[[#This Row],[售价]]&lt;5000,"中价商品",IF(TB[[#This Row],[售价]]&lt;10000,"高价商品","超高价商品")))</f>
        <v>低价商品</v>
      </c>
    </row>
    <row r="2772" spans="1:14" x14ac:dyDescent="0.2">
      <c r="A2772">
        <v>272</v>
      </c>
      <c r="B2772">
        <v>249</v>
      </c>
      <c r="C2772" t="s">
        <v>17</v>
      </c>
      <c r="D2772" t="s">
        <v>320</v>
      </c>
      <c r="E2772" t="s">
        <v>16</v>
      </c>
      <c r="F2772">
        <v>6</v>
      </c>
      <c r="G2772" t="s">
        <v>42</v>
      </c>
      <c r="H2772" s="1">
        <v>45981.770138888889</v>
      </c>
      <c r="I2772" s="5">
        <f>INT(TB[[#This Row],[时间戳]])</f>
        <v>45981</v>
      </c>
      <c r="J2772" s="2">
        <f>HOUR(TB[[#This Row],[时间戳]])</f>
        <v>18</v>
      </c>
      <c r="K2772">
        <v>5237</v>
      </c>
      <c r="L2772">
        <v>0</v>
      </c>
      <c r="M2772">
        <f>TB[[#This Row],[售价]]*TB[[#This Row],[销量]]</f>
        <v>0</v>
      </c>
      <c r="N2772" t="str">
        <f>IF(TB[[#This Row],[售价]]&lt;1000,"低价商品",IF(TB[[#This Row],[售价]]&lt;5000,"中价商品",IF(TB[[#This Row],[售价]]&lt;10000,"高价商品","超高价商品")))</f>
        <v>高价商品</v>
      </c>
    </row>
    <row r="2773" spans="1:14" x14ac:dyDescent="0.2">
      <c r="A2773">
        <v>773</v>
      </c>
      <c r="B2773">
        <v>82</v>
      </c>
      <c r="C2773" t="s">
        <v>44</v>
      </c>
      <c r="D2773" t="s">
        <v>272</v>
      </c>
      <c r="E2773" t="s">
        <v>16</v>
      </c>
      <c r="F2773">
        <v>6</v>
      </c>
      <c r="G2773" t="s">
        <v>13</v>
      </c>
      <c r="H2773" s="1">
        <v>45981.776388888888</v>
      </c>
      <c r="I2773" s="5">
        <f>INT(TB[[#This Row],[时间戳]])</f>
        <v>45981</v>
      </c>
      <c r="J2773" s="2">
        <f>HOUR(TB[[#This Row],[时间戳]])</f>
        <v>18</v>
      </c>
      <c r="K2773">
        <v>7716</v>
      </c>
      <c r="L2773">
        <v>3</v>
      </c>
      <c r="M2773">
        <f>TB[[#This Row],[售价]]*TB[[#This Row],[销量]]</f>
        <v>23148</v>
      </c>
      <c r="N2773" t="str">
        <f>IF(TB[[#This Row],[售价]]&lt;1000,"低价商品",IF(TB[[#This Row],[售价]]&lt;5000,"中价商品",IF(TB[[#This Row],[售价]]&lt;10000,"高价商品","超高价商品")))</f>
        <v>高价商品</v>
      </c>
    </row>
    <row r="2774" spans="1:14" x14ac:dyDescent="0.2">
      <c r="A2774">
        <v>195</v>
      </c>
      <c r="B2774">
        <v>298</v>
      </c>
      <c r="C2774" t="s">
        <v>10</v>
      </c>
      <c r="D2774" t="s">
        <v>130</v>
      </c>
      <c r="E2774" t="s">
        <v>16</v>
      </c>
      <c r="F2774">
        <v>6</v>
      </c>
      <c r="G2774" t="s">
        <v>13</v>
      </c>
      <c r="H2774" s="1">
        <v>45981.806250000001</v>
      </c>
      <c r="I2774" s="5">
        <f>INT(TB[[#This Row],[时间戳]])</f>
        <v>45981</v>
      </c>
      <c r="J2774" s="2">
        <f>HOUR(TB[[#This Row],[时间戳]])</f>
        <v>19</v>
      </c>
      <c r="K2774">
        <v>4726</v>
      </c>
      <c r="L2774">
        <v>1</v>
      </c>
      <c r="M2774">
        <f>TB[[#This Row],[售价]]*TB[[#This Row],[销量]]</f>
        <v>4726</v>
      </c>
      <c r="N2774" t="str">
        <f>IF(TB[[#This Row],[售价]]&lt;1000,"低价商品",IF(TB[[#This Row],[售价]]&lt;5000,"中价商品",IF(TB[[#This Row],[售价]]&lt;10000,"高价商品","超高价商品")))</f>
        <v>中价商品</v>
      </c>
    </row>
    <row r="2775" spans="1:14" x14ac:dyDescent="0.2">
      <c r="A2775">
        <v>775</v>
      </c>
      <c r="B2775">
        <v>287</v>
      </c>
      <c r="C2775" t="s">
        <v>20</v>
      </c>
      <c r="D2775" t="s">
        <v>263</v>
      </c>
      <c r="E2775" t="s">
        <v>39</v>
      </c>
      <c r="F2775">
        <v>5</v>
      </c>
      <c r="G2775" t="s">
        <v>13</v>
      </c>
      <c r="H2775" s="1">
        <v>45981.817361111112</v>
      </c>
      <c r="I2775" s="5">
        <f>INT(TB[[#This Row],[时间戳]])</f>
        <v>45981</v>
      </c>
      <c r="J2775" s="2">
        <f>HOUR(TB[[#This Row],[时间戳]])</f>
        <v>19</v>
      </c>
      <c r="K2775">
        <v>2130</v>
      </c>
      <c r="L2775">
        <v>3</v>
      </c>
      <c r="M2775">
        <f>TB[[#This Row],[售价]]*TB[[#This Row],[销量]]</f>
        <v>6390</v>
      </c>
      <c r="N2775" t="str">
        <f>IF(TB[[#This Row],[售价]]&lt;1000,"低价商品",IF(TB[[#This Row],[售价]]&lt;5000,"中价商品",IF(TB[[#This Row],[售价]]&lt;10000,"高价商品","超高价商品")))</f>
        <v>中价商品</v>
      </c>
    </row>
    <row r="2776" spans="1:14" x14ac:dyDescent="0.2">
      <c r="A2776">
        <v>713</v>
      </c>
      <c r="B2776">
        <v>39</v>
      </c>
      <c r="C2776" t="s">
        <v>17</v>
      </c>
      <c r="D2776" t="s">
        <v>50</v>
      </c>
      <c r="E2776" t="s">
        <v>22</v>
      </c>
      <c r="F2776">
        <v>1</v>
      </c>
      <c r="G2776" t="s">
        <v>42</v>
      </c>
      <c r="H2776" s="1">
        <v>45981.831944444442</v>
      </c>
      <c r="I2776" s="5">
        <f>INT(TB[[#This Row],[时间戳]])</f>
        <v>45981</v>
      </c>
      <c r="J2776" s="2">
        <f>HOUR(TB[[#This Row],[时间戳]])</f>
        <v>19</v>
      </c>
      <c r="K2776">
        <v>5300</v>
      </c>
      <c r="L2776">
        <v>0</v>
      </c>
      <c r="M2776">
        <f>TB[[#This Row],[售价]]*TB[[#This Row],[销量]]</f>
        <v>0</v>
      </c>
      <c r="N2776" t="str">
        <f>IF(TB[[#This Row],[售价]]&lt;1000,"低价商品",IF(TB[[#This Row],[售价]]&lt;5000,"中价商品",IF(TB[[#This Row],[售价]]&lt;10000,"高价商品","超高价商品")))</f>
        <v>高价商品</v>
      </c>
    </row>
    <row r="2777" spans="1:14" x14ac:dyDescent="0.2">
      <c r="A2777">
        <v>613</v>
      </c>
      <c r="B2777">
        <v>208</v>
      </c>
      <c r="C2777" t="s">
        <v>14</v>
      </c>
      <c r="D2777" t="s">
        <v>223</v>
      </c>
      <c r="E2777" t="s">
        <v>22</v>
      </c>
      <c r="F2777">
        <v>1</v>
      </c>
      <c r="G2777" t="s">
        <v>13</v>
      </c>
      <c r="H2777" s="1">
        <v>45981.842361111114</v>
      </c>
      <c r="I2777" s="5">
        <f>INT(TB[[#This Row],[时间戳]])</f>
        <v>45981</v>
      </c>
      <c r="J2777" s="2">
        <f>HOUR(TB[[#This Row],[时间戳]])</f>
        <v>20</v>
      </c>
      <c r="K2777">
        <v>2474</v>
      </c>
      <c r="L2777">
        <v>2</v>
      </c>
      <c r="M2777">
        <f>TB[[#This Row],[售价]]*TB[[#This Row],[销量]]</f>
        <v>4948</v>
      </c>
      <c r="N2777" t="str">
        <f>IF(TB[[#This Row],[售价]]&lt;1000,"低价商品",IF(TB[[#This Row],[售价]]&lt;5000,"中价商品",IF(TB[[#This Row],[售价]]&lt;10000,"高价商品","超高价商品")))</f>
        <v>中价商品</v>
      </c>
    </row>
    <row r="2778" spans="1:14" x14ac:dyDescent="0.2">
      <c r="A2778">
        <v>363</v>
      </c>
      <c r="B2778">
        <v>204</v>
      </c>
      <c r="C2778" t="s">
        <v>34</v>
      </c>
      <c r="D2778" t="s">
        <v>174</v>
      </c>
      <c r="E2778" t="s">
        <v>12</v>
      </c>
      <c r="F2778">
        <v>2</v>
      </c>
      <c r="G2778" t="s">
        <v>13</v>
      </c>
      <c r="H2778" s="1">
        <v>45981.84375</v>
      </c>
      <c r="I2778" s="5">
        <f>INT(TB[[#This Row],[时间戳]])</f>
        <v>45981</v>
      </c>
      <c r="J2778" s="2">
        <f>HOUR(TB[[#This Row],[时间戳]])</f>
        <v>20</v>
      </c>
      <c r="K2778">
        <v>8189</v>
      </c>
      <c r="L2778">
        <v>4</v>
      </c>
      <c r="M2778">
        <f>TB[[#This Row],[售价]]*TB[[#This Row],[销量]]</f>
        <v>32756</v>
      </c>
      <c r="N2778" t="str">
        <f>IF(TB[[#This Row],[售价]]&lt;1000,"低价商品",IF(TB[[#This Row],[售价]]&lt;5000,"中价商品",IF(TB[[#This Row],[售价]]&lt;10000,"高价商品","超高价商品")))</f>
        <v>高价商品</v>
      </c>
    </row>
    <row r="2779" spans="1:14" x14ac:dyDescent="0.2">
      <c r="A2779">
        <v>301</v>
      </c>
      <c r="B2779">
        <v>292</v>
      </c>
      <c r="C2779" t="s">
        <v>14</v>
      </c>
      <c r="D2779" t="s">
        <v>385</v>
      </c>
      <c r="E2779" t="s">
        <v>12</v>
      </c>
      <c r="F2779">
        <v>2</v>
      </c>
      <c r="G2779" t="s">
        <v>13</v>
      </c>
      <c r="H2779" s="1">
        <v>45981.84652777778</v>
      </c>
      <c r="I2779" s="5">
        <f>INT(TB[[#This Row],[时间戳]])</f>
        <v>45981</v>
      </c>
      <c r="J2779" s="2">
        <f>HOUR(TB[[#This Row],[时间戳]])</f>
        <v>20</v>
      </c>
      <c r="K2779">
        <v>6176</v>
      </c>
      <c r="L2779">
        <v>2</v>
      </c>
      <c r="M2779">
        <f>TB[[#This Row],[售价]]*TB[[#This Row],[销量]]</f>
        <v>12352</v>
      </c>
      <c r="N2779" t="str">
        <f>IF(TB[[#This Row],[售价]]&lt;1000,"低价商品",IF(TB[[#This Row],[售价]]&lt;5000,"中价商品",IF(TB[[#This Row],[售价]]&lt;10000,"高价商品","超高价商品")))</f>
        <v>高价商品</v>
      </c>
    </row>
    <row r="2780" spans="1:14" x14ac:dyDescent="0.2">
      <c r="A2780">
        <v>42</v>
      </c>
      <c r="B2780">
        <v>126</v>
      </c>
      <c r="C2780" t="s">
        <v>32</v>
      </c>
      <c r="D2780" t="s">
        <v>176</v>
      </c>
      <c r="E2780" t="s">
        <v>22</v>
      </c>
      <c r="F2780">
        <v>1</v>
      </c>
      <c r="G2780" t="s">
        <v>13</v>
      </c>
      <c r="H2780" s="1">
        <v>45981.857638888891</v>
      </c>
      <c r="I2780" s="5">
        <f>INT(TB[[#This Row],[时间戳]])</f>
        <v>45981</v>
      </c>
      <c r="J2780" s="2">
        <f>HOUR(TB[[#This Row],[时间戳]])</f>
        <v>20</v>
      </c>
      <c r="K2780">
        <v>1638</v>
      </c>
      <c r="L2780">
        <v>2</v>
      </c>
      <c r="M2780">
        <f>TB[[#This Row],[售价]]*TB[[#This Row],[销量]]</f>
        <v>3276</v>
      </c>
      <c r="N2780" t="str">
        <f>IF(TB[[#This Row],[售价]]&lt;1000,"低价商品",IF(TB[[#This Row],[售价]]&lt;5000,"中价商品",IF(TB[[#This Row],[售价]]&lt;10000,"高价商品","超高价商品")))</f>
        <v>中价商品</v>
      </c>
    </row>
    <row r="2781" spans="1:14" x14ac:dyDescent="0.2">
      <c r="A2781">
        <v>507</v>
      </c>
      <c r="B2781">
        <v>115</v>
      </c>
      <c r="C2781" t="s">
        <v>36</v>
      </c>
      <c r="D2781" t="s">
        <v>37</v>
      </c>
      <c r="E2781" t="s">
        <v>31</v>
      </c>
      <c r="F2781">
        <v>4</v>
      </c>
      <c r="G2781" t="s">
        <v>13</v>
      </c>
      <c r="H2781" s="1">
        <v>45981.861805555556</v>
      </c>
      <c r="I2781" s="5">
        <f>INT(TB[[#This Row],[时间戳]])</f>
        <v>45981</v>
      </c>
      <c r="J2781" s="2">
        <f>HOUR(TB[[#This Row],[时间戳]])</f>
        <v>20</v>
      </c>
      <c r="K2781">
        <v>1051</v>
      </c>
      <c r="L2781">
        <v>1</v>
      </c>
      <c r="M2781">
        <f>TB[[#This Row],[售价]]*TB[[#This Row],[销量]]</f>
        <v>1051</v>
      </c>
      <c r="N2781" t="str">
        <f>IF(TB[[#This Row],[售价]]&lt;1000,"低价商品",IF(TB[[#This Row],[售价]]&lt;5000,"中价商品",IF(TB[[#This Row],[售价]]&lt;10000,"高价商品","超高价商品")))</f>
        <v>中价商品</v>
      </c>
    </row>
    <row r="2782" spans="1:14" x14ac:dyDescent="0.2">
      <c r="A2782">
        <v>451</v>
      </c>
      <c r="B2782">
        <v>111</v>
      </c>
      <c r="C2782" t="s">
        <v>32</v>
      </c>
      <c r="D2782" t="s">
        <v>404</v>
      </c>
      <c r="E2782" t="s">
        <v>25</v>
      </c>
      <c r="F2782">
        <v>7</v>
      </c>
      <c r="G2782" t="s">
        <v>13</v>
      </c>
      <c r="H2782" s="1">
        <v>45981.863194444442</v>
      </c>
      <c r="I2782" s="5">
        <f>INT(TB[[#This Row],[时间戳]])</f>
        <v>45981</v>
      </c>
      <c r="J2782" s="2">
        <f>HOUR(TB[[#This Row],[时间戳]])</f>
        <v>20</v>
      </c>
      <c r="K2782">
        <v>7106</v>
      </c>
      <c r="L2782">
        <v>2</v>
      </c>
      <c r="M2782">
        <f>TB[[#This Row],[售价]]*TB[[#This Row],[销量]]</f>
        <v>14212</v>
      </c>
      <c r="N2782" t="str">
        <f>IF(TB[[#This Row],[售价]]&lt;1000,"低价商品",IF(TB[[#This Row],[售价]]&lt;5000,"中价商品",IF(TB[[#This Row],[售价]]&lt;10000,"高价商品","超高价商品")))</f>
        <v>高价商品</v>
      </c>
    </row>
    <row r="2783" spans="1:14" x14ac:dyDescent="0.2">
      <c r="A2783">
        <v>22</v>
      </c>
      <c r="B2783">
        <v>248</v>
      </c>
      <c r="C2783" t="s">
        <v>36</v>
      </c>
      <c r="D2783" t="s">
        <v>318</v>
      </c>
      <c r="E2783" t="s">
        <v>16</v>
      </c>
      <c r="F2783">
        <v>6</v>
      </c>
      <c r="G2783" t="s">
        <v>13</v>
      </c>
      <c r="H2783" s="1">
        <v>45981.897222222222</v>
      </c>
      <c r="I2783" s="5">
        <f>INT(TB[[#This Row],[时间戳]])</f>
        <v>45981</v>
      </c>
      <c r="J2783" s="2">
        <f>HOUR(TB[[#This Row],[时间戳]])</f>
        <v>21</v>
      </c>
      <c r="K2783">
        <v>4187</v>
      </c>
      <c r="L2783">
        <v>2</v>
      </c>
      <c r="M2783">
        <f>TB[[#This Row],[售价]]*TB[[#This Row],[销量]]</f>
        <v>8374</v>
      </c>
      <c r="N2783" t="str">
        <f>IF(TB[[#This Row],[售价]]&lt;1000,"低价商品",IF(TB[[#This Row],[售价]]&lt;5000,"中价商品",IF(TB[[#This Row],[售价]]&lt;10000,"高价商品","超高价商品")))</f>
        <v>中价商品</v>
      </c>
    </row>
    <row r="2784" spans="1:14" x14ac:dyDescent="0.2">
      <c r="A2784">
        <v>582</v>
      </c>
      <c r="B2784">
        <v>99</v>
      </c>
      <c r="C2784" t="s">
        <v>20</v>
      </c>
      <c r="D2784" t="s">
        <v>355</v>
      </c>
      <c r="E2784" t="s">
        <v>39</v>
      </c>
      <c r="F2784">
        <v>5</v>
      </c>
      <c r="G2784" t="s">
        <v>13</v>
      </c>
      <c r="H2784" s="1">
        <v>45981.970138888886</v>
      </c>
      <c r="I2784" s="5">
        <f>INT(TB[[#This Row],[时间戳]])</f>
        <v>45981</v>
      </c>
      <c r="J2784" s="2">
        <f>HOUR(TB[[#This Row],[时间戳]])</f>
        <v>23</v>
      </c>
      <c r="K2784">
        <v>2609</v>
      </c>
      <c r="L2784">
        <v>1</v>
      </c>
      <c r="M2784">
        <f>TB[[#This Row],[售价]]*TB[[#This Row],[销量]]</f>
        <v>2609</v>
      </c>
      <c r="N2784" t="str">
        <f>IF(TB[[#This Row],[售价]]&lt;1000,"低价商品",IF(TB[[#This Row],[售价]]&lt;5000,"中价商品",IF(TB[[#This Row],[售价]]&lt;10000,"高价商品","超高价商品")))</f>
        <v>中价商品</v>
      </c>
    </row>
    <row r="2785" spans="1:14" x14ac:dyDescent="0.2">
      <c r="A2785">
        <v>410</v>
      </c>
      <c r="B2785">
        <v>295</v>
      </c>
      <c r="C2785" t="s">
        <v>20</v>
      </c>
      <c r="D2785" t="s">
        <v>355</v>
      </c>
      <c r="E2785" t="s">
        <v>39</v>
      </c>
      <c r="F2785">
        <v>5</v>
      </c>
      <c r="G2785" t="s">
        <v>13</v>
      </c>
      <c r="H2785" s="1">
        <v>45981.999305555553</v>
      </c>
      <c r="I2785" s="5">
        <f>INT(TB[[#This Row],[时间戳]])</f>
        <v>45981</v>
      </c>
      <c r="J2785" s="2">
        <f>HOUR(TB[[#This Row],[时间戳]])</f>
        <v>23</v>
      </c>
      <c r="K2785">
        <v>2383</v>
      </c>
      <c r="L2785">
        <v>2</v>
      </c>
      <c r="M2785">
        <f>TB[[#This Row],[售价]]*TB[[#This Row],[销量]]</f>
        <v>4766</v>
      </c>
      <c r="N2785" t="str">
        <f>IF(TB[[#This Row],[售价]]&lt;1000,"低价商品",IF(TB[[#This Row],[售价]]&lt;5000,"中价商品",IF(TB[[#This Row],[售价]]&lt;10000,"高价商品","超高价商品")))</f>
        <v>中价商品</v>
      </c>
    </row>
    <row r="2786" spans="1:14" x14ac:dyDescent="0.2">
      <c r="A2786">
        <v>270</v>
      </c>
      <c r="B2786">
        <v>221</v>
      </c>
      <c r="C2786" t="s">
        <v>36</v>
      </c>
      <c r="D2786" t="s">
        <v>102</v>
      </c>
      <c r="E2786" t="s">
        <v>19</v>
      </c>
      <c r="F2786">
        <v>3</v>
      </c>
      <c r="G2786" t="s">
        <v>13</v>
      </c>
      <c r="H2786" s="1">
        <v>45982.034722222219</v>
      </c>
      <c r="I2786" s="5">
        <f>INT(TB[[#This Row],[时间戳]])</f>
        <v>45982</v>
      </c>
      <c r="J2786" s="2">
        <f>HOUR(TB[[#This Row],[时间戳]])</f>
        <v>0</v>
      </c>
      <c r="K2786">
        <v>4853</v>
      </c>
      <c r="L2786">
        <v>2</v>
      </c>
      <c r="M2786">
        <f>TB[[#This Row],[售价]]*TB[[#This Row],[销量]]</f>
        <v>9706</v>
      </c>
      <c r="N2786" t="str">
        <f>IF(TB[[#This Row],[售价]]&lt;1000,"低价商品",IF(TB[[#This Row],[售价]]&lt;5000,"中价商品",IF(TB[[#This Row],[售价]]&lt;10000,"高价商品","超高价商品")))</f>
        <v>中价商品</v>
      </c>
    </row>
    <row r="2787" spans="1:14" x14ac:dyDescent="0.2">
      <c r="A2787">
        <v>554</v>
      </c>
      <c r="B2787">
        <v>183</v>
      </c>
      <c r="C2787" t="s">
        <v>32</v>
      </c>
      <c r="D2787" t="s">
        <v>342</v>
      </c>
      <c r="E2787" t="s">
        <v>39</v>
      </c>
      <c r="F2787">
        <v>5</v>
      </c>
      <c r="G2787" t="s">
        <v>13</v>
      </c>
      <c r="H2787" s="1">
        <v>45982.039583333331</v>
      </c>
      <c r="I2787" s="5">
        <f>INT(TB[[#This Row],[时间戳]])</f>
        <v>45982</v>
      </c>
      <c r="J2787" s="2">
        <f>HOUR(TB[[#This Row],[时间戳]])</f>
        <v>0</v>
      </c>
      <c r="K2787">
        <v>2302</v>
      </c>
      <c r="L2787">
        <v>3</v>
      </c>
      <c r="M2787">
        <f>TB[[#This Row],[售价]]*TB[[#This Row],[销量]]</f>
        <v>6906</v>
      </c>
      <c r="N2787" t="str">
        <f>IF(TB[[#This Row],[售价]]&lt;1000,"低价商品",IF(TB[[#This Row],[售价]]&lt;5000,"中价商品",IF(TB[[#This Row],[售价]]&lt;10000,"高价商品","超高价商品")))</f>
        <v>中价商品</v>
      </c>
    </row>
    <row r="2788" spans="1:14" x14ac:dyDescent="0.2">
      <c r="A2788">
        <v>720</v>
      </c>
      <c r="B2788">
        <v>127</v>
      </c>
      <c r="C2788" t="s">
        <v>26</v>
      </c>
      <c r="D2788" t="s">
        <v>227</v>
      </c>
      <c r="E2788" t="s">
        <v>12</v>
      </c>
      <c r="F2788">
        <v>2</v>
      </c>
      <c r="G2788" t="s">
        <v>13</v>
      </c>
      <c r="H2788" s="1">
        <v>45982.099305555559</v>
      </c>
      <c r="I2788" s="5">
        <f>INT(TB[[#This Row],[时间戳]])</f>
        <v>45982</v>
      </c>
      <c r="J2788" s="2">
        <f>HOUR(TB[[#This Row],[时间戳]])</f>
        <v>2</v>
      </c>
      <c r="K2788">
        <v>5416</v>
      </c>
      <c r="L2788">
        <v>2</v>
      </c>
      <c r="M2788">
        <f>TB[[#This Row],[售价]]*TB[[#This Row],[销量]]</f>
        <v>10832</v>
      </c>
      <c r="N2788" t="str">
        <f>IF(TB[[#This Row],[售价]]&lt;1000,"低价商品",IF(TB[[#This Row],[售价]]&lt;5000,"中价商品",IF(TB[[#This Row],[售价]]&lt;10000,"高价商品","超高价商品")))</f>
        <v>高价商品</v>
      </c>
    </row>
    <row r="2789" spans="1:14" x14ac:dyDescent="0.2">
      <c r="A2789">
        <v>520</v>
      </c>
      <c r="B2789">
        <v>244</v>
      </c>
      <c r="C2789" t="s">
        <v>26</v>
      </c>
      <c r="D2789" t="s">
        <v>300</v>
      </c>
      <c r="E2789" t="s">
        <v>19</v>
      </c>
      <c r="F2789">
        <v>3</v>
      </c>
      <c r="G2789" t="s">
        <v>13</v>
      </c>
      <c r="H2789" s="1">
        <v>45982.103472222225</v>
      </c>
      <c r="I2789" s="5">
        <f>INT(TB[[#This Row],[时间戳]])</f>
        <v>45982</v>
      </c>
      <c r="J2789" s="2">
        <f>HOUR(TB[[#This Row],[时间戳]])</f>
        <v>2</v>
      </c>
      <c r="K2789">
        <v>6000</v>
      </c>
      <c r="L2789">
        <v>4</v>
      </c>
      <c r="M2789">
        <f>TB[[#This Row],[售价]]*TB[[#This Row],[销量]]</f>
        <v>24000</v>
      </c>
      <c r="N2789" t="str">
        <f>IF(TB[[#This Row],[售价]]&lt;1000,"低价商品",IF(TB[[#This Row],[售价]]&lt;5000,"中价商品",IF(TB[[#This Row],[售价]]&lt;10000,"高价商品","超高价商品")))</f>
        <v>高价商品</v>
      </c>
    </row>
    <row r="2790" spans="1:14" x14ac:dyDescent="0.2">
      <c r="A2790">
        <v>234</v>
      </c>
      <c r="B2790">
        <v>179</v>
      </c>
      <c r="C2790" t="s">
        <v>14</v>
      </c>
      <c r="D2790" t="s">
        <v>295</v>
      </c>
      <c r="E2790" t="s">
        <v>39</v>
      </c>
      <c r="F2790">
        <v>5</v>
      </c>
      <c r="G2790" t="s">
        <v>13</v>
      </c>
      <c r="H2790" s="1">
        <v>45982.15902777778</v>
      </c>
      <c r="I2790" s="5">
        <f>INT(TB[[#This Row],[时间戳]])</f>
        <v>45982</v>
      </c>
      <c r="J2790" s="2">
        <f>HOUR(TB[[#This Row],[时间戳]])</f>
        <v>3</v>
      </c>
      <c r="K2790">
        <v>2952</v>
      </c>
      <c r="L2790">
        <v>1</v>
      </c>
      <c r="M2790">
        <f>TB[[#This Row],[售价]]*TB[[#This Row],[销量]]</f>
        <v>2952</v>
      </c>
      <c r="N2790" t="str">
        <f>IF(TB[[#This Row],[售价]]&lt;1000,"低价商品",IF(TB[[#This Row],[售价]]&lt;5000,"中价商品",IF(TB[[#This Row],[售价]]&lt;10000,"高价商品","超高价商品")))</f>
        <v>中价商品</v>
      </c>
    </row>
    <row r="2791" spans="1:14" x14ac:dyDescent="0.2">
      <c r="A2791">
        <v>477</v>
      </c>
      <c r="B2791">
        <v>138</v>
      </c>
      <c r="C2791" t="s">
        <v>20</v>
      </c>
      <c r="D2791" t="s">
        <v>120</v>
      </c>
      <c r="E2791" t="s">
        <v>22</v>
      </c>
      <c r="F2791">
        <v>1</v>
      </c>
      <c r="G2791" t="s">
        <v>13</v>
      </c>
      <c r="H2791" s="1">
        <v>45982.255555555559</v>
      </c>
      <c r="I2791" s="5">
        <f>INT(TB[[#This Row],[时间戳]])</f>
        <v>45982</v>
      </c>
      <c r="J2791" s="2">
        <f>HOUR(TB[[#This Row],[时间戳]])</f>
        <v>6</v>
      </c>
      <c r="K2791">
        <v>7037</v>
      </c>
      <c r="L2791">
        <v>3</v>
      </c>
      <c r="M2791">
        <f>TB[[#This Row],[售价]]*TB[[#This Row],[销量]]</f>
        <v>21111</v>
      </c>
      <c r="N2791" t="str">
        <f>IF(TB[[#This Row],[售价]]&lt;1000,"低价商品",IF(TB[[#This Row],[售价]]&lt;5000,"中价商品",IF(TB[[#This Row],[售价]]&lt;10000,"高价商品","超高价商品")))</f>
        <v>高价商品</v>
      </c>
    </row>
    <row r="2792" spans="1:14" x14ac:dyDescent="0.2">
      <c r="A2792">
        <v>449</v>
      </c>
      <c r="B2792">
        <v>255</v>
      </c>
      <c r="C2792" t="s">
        <v>44</v>
      </c>
      <c r="D2792" t="s">
        <v>60</v>
      </c>
      <c r="E2792" t="s">
        <v>12</v>
      </c>
      <c r="F2792">
        <v>2</v>
      </c>
      <c r="G2792" t="s">
        <v>42</v>
      </c>
      <c r="H2792" s="1">
        <v>45982.27847222222</v>
      </c>
      <c r="I2792" s="5">
        <f>INT(TB[[#This Row],[时间戳]])</f>
        <v>45982</v>
      </c>
      <c r="J2792" s="2">
        <f>HOUR(TB[[#This Row],[时间戳]])</f>
        <v>6</v>
      </c>
      <c r="K2792">
        <v>13235</v>
      </c>
      <c r="L2792">
        <v>0</v>
      </c>
      <c r="M2792">
        <f>TB[[#This Row],[售价]]*TB[[#This Row],[销量]]</f>
        <v>0</v>
      </c>
      <c r="N2792" t="str">
        <f>IF(TB[[#This Row],[售价]]&lt;1000,"低价商品",IF(TB[[#This Row],[售价]]&lt;5000,"中价商品",IF(TB[[#This Row],[售价]]&lt;10000,"高价商品","超高价商品")))</f>
        <v>超高价商品</v>
      </c>
    </row>
    <row r="2793" spans="1:14" x14ac:dyDescent="0.2">
      <c r="A2793">
        <v>23</v>
      </c>
      <c r="B2793">
        <v>287</v>
      </c>
      <c r="C2793" t="s">
        <v>14</v>
      </c>
      <c r="D2793" t="s">
        <v>356</v>
      </c>
      <c r="E2793" t="s">
        <v>16</v>
      </c>
      <c r="F2793">
        <v>6</v>
      </c>
      <c r="G2793" t="s">
        <v>13</v>
      </c>
      <c r="H2793" s="1">
        <v>45982.351388888892</v>
      </c>
      <c r="I2793" s="5">
        <f>INT(TB[[#This Row],[时间戳]])</f>
        <v>45982</v>
      </c>
      <c r="J2793" s="2">
        <f>HOUR(TB[[#This Row],[时间戳]])</f>
        <v>8</v>
      </c>
      <c r="K2793">
        <v>11706</v>
      </c>
      <c r="L2793">
        <v>1</v>
      </c>
      <c r="M2793">
        <f>TB[[#This Row],[售价]]*TB[[#This Row],[销量]]</f>
        <v>11706</v>
      </c>
      <c r="N2793" t="str">
        <f>IF(TB[[#This Row],[售价]]&lt;1000,"低价商品",IF(TB[[#This Row],[售价]]&lt;5000,"中价商品",IF(TB[[#This Row],[售价]]&lt;10000,"高价商品","超高价商品")))</f>
        <v>超高价商品</v>
      </c>
    </row>
    <row r="2794" spans="1:14" x14ac:dyDescent="0.2">
      <c r="A2794">
        <v>489</v>
      </c>
      <c r="B2794">
        <v>76</v>
      </c>
      <c r="C2794" t="s">
        <v>10</v>
      </c>
      <c r="D2794" t="s">
        <v>96</v>
      </c>
      <c r="E2794" t="s">
        <v>22</v>
      </c>
      <c r="F2794">
        <v>1</v>
      </c>
      <c r="G2794" t="s">
        <v>13</v>
      </c>
      <c r="H2794" s="1">
        <v>45982.367361111108</v>
      </c>
      <c r="I2794" s="5">
        <f>INT(TB[[#This Row],[时间戳]])</f>
        <v>45982</v>
      </c>
      <c r="J2794" s="2">
        <f>HOUR(TB[[#This Row],[时间戳]])</f>
        <v>8</v>
      </c>
      <c r="K2794">
        <v>4759</v>
      </c>
      <c r="L2794">
        <v>1</v>
      </c>
      <c r="M2794">
        <f>TB[[#This Row],[售价]]*TB[[#This Row],[销量]]</f>
        <v>4759</v>
      </c>
      <c r="N2794" t="str">
        <f>IF(TB[[#This Row],[售价]]&lt;1000,"低价商品",IF(TB[[#This Row],[售价]]&lt;5000,"中价商品",IF(TB[[#This Row],[售价]]&lt;10000,"高价商品","超高价商品")))</f>
        <v>中价商品</v>
      </c>
    </row>
    <row r="2795" spans="1:14" x14ac:dyDescent="0.2">
      <c r="A2795">
        <v>737</v>
      </c>
      <c r="B2795">
        <v>142</v>
      </c>
      <c r="C2795" t="s">
        <v>34</v>
      </c>
      <c r="D2795" t="s">
        <v>414</v>
      </c>
      <c r="E2795" t="s">
        <v>12</v>
      </c>
      <c r="F2795">
        <v>2</v>
      </c>
      <c r="G2795" t="s">
        <v>13</v>
      </c>
      <c r="H2795" s="1">
        <v>45982.372916666667</v>
      </c>
      <c r="I2795" s="5">
        <f>INT(TB[[#This Row],[时间戳]])</f>
        <v>45982</v>
      </c>
      <c r="J2795" s="2">
        <f>HOUR(TB[[#This Row],[时间戳]])</f>
        <v>8</v>
      </c>
      <c r="K2795">
        <v>5193</v>
      </c>
      <c r="L2795">
        <v>1</v>
      </c>
      <c r="M2795">
        <f>TB[[#This Row],[售价]]*TB[[#This Row],[销量]]</f>
        <v>5193</v>
      </c>
      <c r="N2795" t="str">
        <f>IF(TB[[#This Row],[售价]]&lt;1000,"低价商品",IF(TB[[#This Row],[售价]]&lt;5000,"中价商品",IF(TB[[#This Row],[售价]]&lt;10000,"高价商品","超高价商品")))</f>
        <v>高价商品</v>
      </c>
    </row>
    <row r="2796" spans="1:14" x14ac:dyDescent="0.2">
      <c r="A2796">
        <v>613</v>
      </c>
      <c r="B2796">
        <v>252</v>
      </c>
      <c r="C2796" t="s">
        <v>10</v>
      </c>
      <c r="D2796" t="s">
        <v>68</v>
      </c>
      <c r="E2796" t="s">
        <v>22</v>
      </c>
      <c r="F2796">
        <v>1</v>
      </c>
      <c r="G2796" t="s">
        <v>13</v>
      </c>
      <c r="H2796" s="1">
        <v>45982.383333333331</v>
      </c>
      <c r="I2796" s="5">
        <f>INT(TB[[#This Row],[时间戳]])</f>
        <v>45982</v>
      </c>
      <c r="J2796" s="2">
        <f>HOUR(TB[[#This Row],[时间戳]])</f>
        <v>9</v>
      </c>
      <c r="K2796">
        <v>5596</v>
      </c>
      <c r="L2796">
        <v>3</v>
      </c>
      <c r="M2796">
        <f>TB[[#This Row],[售价]]*TB[[#This Row],[销量]]</f>
        <v>16788</v>
      </c>
      <c r="N2796" t="str">
        <f>IF(TB[[#This Row],[售价]]&lt;1000,"低价商品",IF(TB[[#This Row],[售价]]&lt;5000,"中价商品",IF(TB[[#This Row],[售价]]&lt;10000,"高价商品","超高价商品")))</f>
        <v>高价商品</v>
      </c>
    </row>
    <row r="2797" spans="1:14" x14ac:dyDescent="0.2">
      <c r="A2797">
        <v>221</v>
      </c>
      <c r="B2797">
        <v>232</v>
      </c>
      <c r="C2797" t="s">
        <v>26</v>
      </c>
      <c r="D2797" t="s">
        <v>171</v>
      </c>
      <c r="E2797" t="s">
        <v>12</v>
      </c>
      <c r="F2797">
        <v>2</v>
      </c>
      <c r="G2797" t="s">
        <v>13</v>
      </c>
      <c r="H2797" s="1">
        <v>45982.400000000001</v>
      </c>
      <c r="I2797" s="5">
        <f>INT(TB[[#This Row],[时间戳]])</f>
        <v>45982</v>
      </c>
      <c r="J2797" s="2">
        <f>HOUR(TB[[#This Row],[时间戳]])</f>
        <v>9</v>
      </c>
      <c r="K2797">
        <v>11218</v>
      </c>
      <c r="L2797">
        <v>1</v>
      </c>
      <c r="M2797">
        <f>TB[[#This Row],[售价]]*TB[[#This Row],[销量]]</f>
        <v>11218</v>
      </c>
      <c r="N2797" t="str">
        <f>IF(TB[[#This Row],[售价]]&lt;1000,"低价商品",IF(TB[[#This Row],[售价]]&lt;5000,"中价商品",IF(TB[[#This Row],[售价]]&lt;10000,"高价商品","超高价商品")))</f>
        <v>超高价商品</v>
      </c>
    </row>
    <row r="2798" spans="1:14" x14ac:dyDescent="0.2">
      <c r="A2798">
        <v>239</v>
      </c>
      <c r="B2798">
        <v>292</v>
      </c>
      <c r="C2798" t="s">
        <v>36</v>
      </c>
      <c r="D2798" t="s">
        <v>112</v>
      </c>
      <c r="E2798" t="s">
        <v>22</v>
      </c>
      <c r="F2798">
        <v>1</v>
      </c>
      <c r="G2798" t="s">
        <v>42</v>
      </c>
      <c r="H2798" s="1">
        <v>45982.401388888888</v>
      </c>
      <c r="I2798" s="5">
        <f>INT(TB[[#This Row],[时间戳]])</f>
        <v>45982</v>
      </c>
      <c r="J2798" s="2">
        <f>HOUR(TB[[#This Row],[时间戳]])</f>
        <v>9</v>
      </c>
      <c r="K2798">
        <v>3613</v>
      </c>
      <c r="L2798">
        <v>0</v>
      </c>
      <c r="M2798">
        <f>TB[[#This Row],[售价]]*TB[[#This Row],[销量]]</f>
        <v>0</v>
      </c>
      <c r="N2798" t="str">
        <f>IF(TB[[#This Row],[售价]]&lt;1000,"低价商品",IF(TB[[#This Row],[售价]]&lt;5000,"中价商品",IF(TB[[#This Row],[售价]]&lt;10000,"高价商品","超高价商品")))</f>
        <v>中价商品</v>
      </c>
    </row>
    <row r="2799" spans="1:14" x14ac:dyDescent="0.2">
      <c r="A2799">
        <v>698</v>
      </c>
      <c r="B2799">
        <v>162</v>
      </c>
      <c r="C2799" t="s">
        <v>26</v>
      </c>
      <c r="D2799" t="s">
        <v>252</v>
      </c>
      <c r="E2799" t="s">
        <v>25</v>
      </c>
      <c r="F2799">
        <v>7</v>
      </c>
      <c r="G2799" t="s">
        <v>13</v>
      </c>
      <c r="H2799" s="1">
        <v>45982.419444444444</v>
      </c>
      <c r="I2799" s="5">
        <f>INT(TB[[#This Row],[时间戳]])</f>
        <v>45982</v>
      </c>
      <c r="J2799" s="2">
        <f>HOUR(TB[[#This Row],[时间戳]])</f>
        <v>10</v>
      </c>
      <c r="K2799">
        <v>5669</v>
      </c>
      <c r="L2799">
        <v>3</v>
      </c>
      <c r="M2799">
        <f>TB[[#This Row],[售价]]*TB[[#This Row],[销量]]</f>
        <v>17007</v>
      </c>
      <c r="N2799" t="str">
        <f>IF(TB[[#This Row],[售价]]&lt;1000,"低价商品",IF(TB[[#This Row],[售价]]&lt;5000,"中价商品",IF(TB[[#This Row],[售价]]&lt;10000,"高价商品","超高价商品")))</f>
        <v>高价商品</v>
      </c>
    </row>
    <row r="2800" spans="1:14" x14ac:dyDescent="0.2">
      <c r="A2800">
        <v>773</v>
      </c>
      <c r="B2800">
        <v>184</v>
      </c>
      <c r="C2800" t="s">
        <v>10</v>
      </c>
      <c r="D2800" t="s">
        <v>373</v>
      </c>
      <c r="E2800" t="s">
        <v>25</v>
      </c>
      <c r="F2800">
        <v>7</v>
      </c>
      <c r="G2800" t="s">
        <v>13</v>
      </c>
      <c r="H2800" s="1">
        <v>45982.492361111108</v>
      </c>
      <c r="I2800" s="5">
        <f>INT(TB[[#This Row],[时间戳]])</f>
        <v>45982</v>
      </c>
      <c r="J2800" s="2">
        <f>HOUR(TB[[#This Row],[时间戳]])</f>
        <v>11</v>
      </c>
      <c r="K2800">
        <v>1667</v>
      </c>
      <c r="L2800">
        <v>2</v>
      </c>
      <c r="M2800">
        <f>TB[[#This Row],[售价]]*TB[[#This Row],[销量]]</f>
        <v>3334</v>
      </c>
      <c r="N2800" t="str">
        <f>IF(TB[[#This Row],[售价]]&lt;1000,"低价商品",IF(TB[[#This Row],[售价]]&lt;5000,"中价商品",IF(TB[[#This Row],[售价]]&lt;10000,"高价商品","超高价商品")))</f>
        <v>中价商品</v>
      </c>
    </row>
    <row r="2801" spans="1:14" x14ac:dyDescent="0.2">
      <c r="A2801">
        <v>66</v>
      </c>
      <c r="B2801">
        <v>272</v>
      </c>
      <c r="C2801" t="s">
        <v>14</v>
      </c>
      <c r="D2801" t="s">
        <v>178</v>
      </c>
      <c r="E2801" t="s">
        <v>12</v>
      </c>
      <c r="F2801">
        <v>2</v>
      </c>
      <c r="G2801" t="s">
        <v>13</v>
      </c>
      <c r="H2801" s="1">
        <v>45982.495833333334</v>
      </c>
      <c r="I2801" s="5">
        <f>INT(TB[[#This Row],[时间戳]])</f>
        <v>45982</v>
      </c>
      <c r="J2801" s="2">
        <f>HOUR(TB[[#This Row],[时间戳]])</f>
        <v>11</v>
      </c>
      <c r="K2801">
        <v>13485</v>
      </c>
      <c r="L2801">
        <v>2</v>
      </c>
      <c r="M2801">
        <f>TB[[#This Row],[售价]]*TB[[#This Row],[销量]]</f>
        <v>26970</v>
      </c>
      <c r="N2801" t="str">
        <f>IF(TB[[#This Row],[售价]]&lt;1000,"低价商品",IF(TB[[#This Row],[售价]]&lt;5000,"中价商品",IF(TB[[#This Row],[售价]]&lt;10000,"高价商品","超高价商品")))</f>
        <v>超高价商品</v>
      </c>
    </row>
    <row r="2802" spans="1:14" x14ac:dyDescent="0.2">
      <c r="A2802">
        <v>200</v>
      </c>
      <c r="B2802">
        <v>128</v>
      </c>
      <c r="C2802" t="s">
        <v>26</v>
      </c>
      <c r="D2802" t="s">
        <v>409</v>
      </c>
      <c r="E2802" t="s">
        <v>12</v>
      </c>
      <c r="F2802">
        <v>2</v>
      </c>
      <c r="G2802" t="s">
        <v>13</v>
      </c>
      <c r="H2802" s="1">
        <v>45982.525000000001</v>
      </c>
      <c r="I2802" s="5">
        <f>INT(TB[[#This Row],[时间戳]])</f>
        <v>45982</v>
      </c>
      <c r="J2802" s="2">
        <f>HOUR(TB[[#This Row],[时间戳]])</f>
        <v>12</v>
      </c>
      <c r="K2802">
        <v>10951</v>
      </c>
      <c r="L2802">
        <v>4</v>
      </c>
      <c r="M2802">
        <f>TB[[#This Row],[售价]]*TB[[#This Row],[销量]]</f>
        <v>43804</v>
      </c>
      <c r="N2802" t="str">
        <f>IF(TB[[#This Row],[售价]]&lt;1000,"低价商品",IF(TB[[#This Row],[售价]]&lt;5000,"中价商品",IF(TB[[#This Row],[售价]]&lt;10000,"高价商品","超高价商品")))</f>
        <v>超高价商品</v>
      </c>
    </row>
    <row r="2803" spans="1:14" x14ac:dyDescent="0.2">
      <c r="A2803">
        <v>31</v>
      </c>
      <c r="B2803">
        <v>254</v>
      </c>
      <c r="C2803" t="s">
        <v>26</v>
      </c>
      <c r="D2803" t="s">
        <v>229</v>
      </c>
      <c r="E2803" t="s">
        <v>16</v>
      </c>
      <c r="F2803">
        <v>6</v>
      </c>
      <c r="G2803" t="s">
        <v>13</v>
      </c>
      <c r="H2803" s="1">
        <v>45982.568749999999</v>
      </c>
      <c r="I2803" s="5">
        <f>INT(TB[[#This Row],[时间戳]])</f>
        <v>45982</v>
      </c>
      <c r="J2803" s="2">
        <f>HOUR(TB[[#This Row],[时间戳]])</f>
        <v>13</v>
      </c>
      <c r="K2803">
        <v>12000</v>
      </c>
      <c r="L2803">
        <v>1</v>
      </c>
      <c r="M2803">
        <f>TB[[#This Row],[售价]]*TB[[#This Row],[销量]]</f>
        <v>12000</v>
      </c>
      <c r="N2803" t="str">
        <f>IF(TB[[#This Row],[售价]]&lt;1000,"低价商品",IF(TB[[#This Row],[售价]]&lt;5000,"中价商品",IF(TB[[#This Row],[售价]]&lt;10000,"高价商品","超高价商品")))</f>
        <v>超高价商品</v>
      </c>
    </row>
    <row r="2804" spans="1:14" x14ac:dyDescent="0.2">
      <c r="A2804">
        <v>414</v>
      </c>
      <c r="B2804">
        <v>294</v>
      </c>
      <c r="C2804" t="s">
        <v>14</v>
      </c>
      <c r="D2804" t="s">
        <v>395</v>
      </c>
      <c r="E2804" t="s">
        <v>12</v>
      </c>
      <c r="F2804">
        <v>2</v>
      </c>
      <c r="G2804" t="s">
        <v>42</v>
      </c>
      <c r="H2804" s="1">
        <v>45982.62222222222</v>
      </c>
      <c r="I2804" s="5">
        <f>INT(TB[[#This Row],[时间戳]])</f>
        <v>45982</v>
      </c>
      <c r="J2804" s="2">
        <f>HOUR(TB[[#This Row],[时间戳]])</f>
        <v>14</v>
      </c>
      <c r="K2804">
        <v>5926</v>
      </c>
      <c r="L2804">
        <v>0</v>
      </c>
      <c r="M2804">
        <f>TB[[#This Row],[售价]]*TB[[#This Row],[销量]]</f>
        <v>0</v>
      </c>
      <c r="N2804" t="str">
        <f>IF(TB[[#This Row],[售价]]&lt;1000,"低价商品",IF(TB[[#This Row],[售价]]&lt;5000,"中价商品",IF(TB[[#This Row],[售价]]&lt;10000,"高价商品","超高价商品")))</f>
        <v>高价商品</v>
      </c>
    </row>
    <row r="2805" spans="1:14" x14ac:dyDescent="0.2">
      <c r="A2805">
        <v>391</v>
      </c>
      <c r="B2805">
        <v>243</v>
      </c>
      <c r="C2805" t="s">
        <v>17</v>
      </c>
      <c r="D2805" t="s">
        <v>177</v>
      </c>
      <c r="E2805" t="s">
        <v>22</v>
      </c>
      <c r="F2805">
        <v>1</v>
      </c>
      <c r="G2805" t="s">
        <v>13</v>
      </c>
      <c r="H2805" s="1">
        <v>45982.681250000001</v>
      </c>
      <c r="I2805" s="5">
        <f>INT(TB[[#This Row],[时间戳]])</f>
        <v>45982</v>
      </c>
      <c r="J2805" s="2">
        <f>HOUR(TB[[#This Row],[时间戳]])</f>
        <v>16</v>
      </c>
      <c r="K2805">
        <v>6892</v>
      </c>
      <c r="L2805">
        <v>2</v>
      </c>
      <c r="M2805">
        <f>TB[[#This Row],[售价]]*TB[[#This Row],[销量]]</f>
        <v>13784</v>
      </c>
      <c r="N2805" t="str">
        <f>IF(TB[[#This Row],[售价]]&lt;1000,"低价商品",IF(TB[[#This Row],[售价]]&lt;5000,"中价商品",IF(TB[[#This Row],[售价]]&lt;10000,"高价商品","超高价商品")))</f>
        <v>高价商品</v>
      </c>
    </row>
    <row r="2806" spans="1:14" x14ac:dyDescent="0.2">
      <c r="A2806">
        <v>319</v>
      </c>
      <c r="B2806">
        <v>182</v>
      </c>
      <c r="C2806" t="s">
        <v>26</v>
      </c>
      <c r="D2806" t="s">
        <v>225</v>
      </c>
      <c r="E2806" t="s">
        <v>31</v>
      </c>
      <c r="F2806">
        <v>4</v>
      </c>
      <c r="G2806" t="s">
        <v>13</v>
      </c>
      <c r="H2806" s="1">
        <v>45982.694444444445</v>
      </c>
      <c r="I2806" s="5">
        <f>INT(TB[[#This Row],[时间戳]])</f>
        <v>45982</v>
      </c>
      <c r="J2806" s="2">
        <f>HOUR(TB[[#This Row],[时间戳]])</f>
        <v>16</v>
      </c>
      <c r="K2806">
        <v>308</v>
      </c>
      <c r="L2806">
        <v>2</v>
      </c>
      <c r="M2806">
        <f>TB[[#This Row],[售价]]*TB[[#This Row],[销量]]</f>
        <v>616</v>
      </c>
      <c r="N2806" t="str">
        <f>IF(TB[[#This Row],[售价]]&lt;1000,"低价商品",IF(TB[[#This Row],[售价]]&lt;5000,"中价商品",IF(TB[[#This Row],[售价]]&lt;10000,"高价商品","超高价商品")))</f>
        <v>低价商品</v>
      </c>
    </row>
    <row r="2807" spans="1:14" x14ac:dyDescent="0.2">
      <c r="A2807">
        <v>512</v>
      </c>
      <c r="B2807">
        <v>47</v>
      </c>
      <c r="C2807" t="s">
        <v>17</v>
      </c>
      <c r="D2807" t="s">
        <v>279</v>
      </c>
      <c r="E2807" t="s">
        <v>22</v>
      </c>
      <c r="F2807">
        <v>1</v>
      </c>
      <c r="G2807" t="s">
        <v>13</v>
      </c>
      <c r="H2807" s="1">
        <v>45982.76458333333</v>
      </c>
      <c r="I2807" s="5">
        <f>INT(TB[[#This Row],[时间戳]])</f>
        <v>45982</v>
      </c>
      <c r="J2807" s="2">
        <f>HOUR(TB[[#This Row],[时间戳]])</f>
        <v>18</v>
      </c>
      <c r="K2807">
        <v>2615</v>
      </c>
      <c r="L2807">
        <v>2</v>
      </c>
      <c r="M2807">
        <f>TB[[#This Row],[售价]]*TB[[#This Row],[销量]]</f>
        <v>5230</v>
      </c>
      <c r="N2807" t="str">
        <f>IF(TB[[#This Row],[售价]]&lt;1000,"低价商品",IF(TB[[#This Row],[售价]]&lt;5000,"中价商品",IF(TB[[#This Row],[售价]]&lt;10000,"高价商品","超高价商品")))</f>
        <v>中价商品</v>
      </c>
    </row>
    <row r="2808" spans="1:14" x14ac:dyDescent="0.2">
      <c r="A2808">
        <v>233</v>
      </c>
      <c r="B2808">
        <v>180</v>
      </c>
      <c r="C2808" t="s">
        <v>17</v>
      </c>
      <c r="D2808" t="s">
        <v>214</v>
      </c>
      <c r="E2808" t="s">
        <v>22</v>
      </c>
      <c r="F2808">
        <v>1</v>
      </c>
      <c r="G2808" t="s">
        <v>13</v>
      </c>
      <c r="H2808" s="1">
        <v>45982.790277777778</v>
      </c>
      <c r="I2808" s="5">
        <f>INT(TB[[#This Row],[时间戳]])</f>
        <v>45982</v>
      </c>
      <c r="J2808" s="2">
        <f>HOUR(TB[[#This Row],[时间戳]])</f>
        <v>18</v>
      </c>
      <c r="K2808">
        <v>2444</v>
      </c>
      <c r="L2808">
        <v>3</v>
      </c>
      <c r="M2808">
        <f>TB[[#This Row],[售价]]*TB[[#This Row],[销量]]</f>
        <v>7332</v>
      </c>
      <c r="N2808" t="str">
        <f>IF(TB[[#This Row],[售价]]&lt;1000,"低价商品",IF(TB[[#This Row],[售价]]&lt;5000,"中价商品",IF(TB[[#This Row],[售价]]&lt;10000,"高价商品","超高价商品")))</f>
        <v>中价商品</v>
      </c>
    </row>
    <row r="2809" spans="1:14" x14ac:dyDescent="0.2">
      <c r="A2809">
        <v>463</v>
      </c>
      <c r="B2809">
        <v>49</v>
      </c>
      <c r="C2809" t="s">
        <v>14</v>
      </c>
      <c r="D2809" t="s">
        <v>228</v>
      </c>
      <c r="E2809" t="s">
        <v>31</v>
      </c>
      <c r="F2809">
        <v>4</v>
      </c>
      <c r="G2809" t="s">
        <v>13</v>
      </c>
      <c r="H2809" s="1">
        <v>45982.793749999997</v>
      </c>
      <c r="I2809" s="5">
        <f>INT(TB[[#This Row],[时间戳]])</f>
        <v>45982</v>
      </c>
      <c r="J2809" s="2">
        <f>HOUR(TB[[#This Row],[时间戳]])</f>
        <v>19</v>
      </c>
      <c r="K2809">
        <v>1499</v>
      </c>
      <c r="L2809">
        <v>2</v>
      </c>
      <c r="M2809">
        <f>TB[[#This Row],[售价]]*TB[[#This Row],[销量]]</f>
        <v>2998</v>
      </c>
      <c r="N2809" t="str">
        <f>IF(TB[[#This Row],[售价]]&lt;1000,"低价商品",IF(TB[[#This Row],[售价]]&lt;5000,"中价商品",IF(TB[[#This Row],[售价]]&lt;10000,"高价商品","超高价商品")))</f>
        <v>中价商品</v>
      </c>
    </row>
    <row r="2810" spans="1:14" x14ac:dyDescent="0.2">
      <c r="A2810">
        <v>63</v>
      </c>
      <c r="B2810">
        <v>286</v>
      </c>
      <c r="C2810" t="s">
        <v>10</v>
      </c>
      <c r="D2810" t="s">
        <v>189</v>
      </c>
      <c r="E2810" t="s">
        <v>22</v>
      </c>
      <c r="F2810">
        <v>1</v>
      </c>
      <c r="G2810" t="s">
        <v>13</v>
      </c>
      <c r="H2810" s="1">
        <v>45982.805555555555</v>
      </c>
      <c r="I2810" s="5">
        <f>INT(TB[[#This Row],[时间戳]])</f>
        <v>45982</v>
      </c>
      <c r="J2810" s="2">
        <f>HOUR(TB[[#This Row],[时间戳]])</f>
        <v>19</v>
      </c>
      <c r="K2810">
        <v>5222</v>
      </c>
      <c r="L2810">
        <v>4</v>
      </c>
      <c r="M2810">
        <f>TB[[#This Row],[售价]]*TB[[#This Row],[销量]]</f>
        <v>20888</v>
      </c>
      <c r="N2810" t="str">
        <f>IF(TB[[#This Row],[售价]]&lt;1000,"低价商品",IF(TB[[#This Row],[售价]]&lt;5000,"中价商品",IF(TB[[#This Row],[售价]]&lt;10000,"高价商品","超高价商品")))</f>
        <v>高价商品</v>
      </c>
    </row>
    <row r="2811" spans="1:14" x14ac:dyDescent="0.2">
      <c r="A2811">
        <v>173</v>
      </c>
      <c r="B2811">
        <v>1</v>
      </c>
      <c r="C2811" t="s">
        <v>34</v>
      </c>
      <c r="D2811" t="s">
        <v>414</v>
      </c>
      <c r="E2811" t="s">
        <v>12</v>
      </c>
      <c r="F2811">
        <v>2</v>
      </c>
      <c r="G2811" t="s">
        <v>13</v>
      </c>
      <c r="H2811" s="1">
        <v>45982.82916666667</v>
      </c>
      <c r="I2811" s="5">
        <f>INT(TB[[#This Row],[时间戳]])</f>
        <v>45982</v>
      </c>
      <c r="J2811" s="2">
        <f>HOUR(TB[[#This Row],[时间戳]])</f>
        <v>19</v>
      </c>
      <c r="K2811">
        <v>5118</v>
      </c>
      <c r="L2811">
        <v>2</v>
      </c>
      <c r="M2811">
        <f>TB[[#This Row],[售价]]*TB[[#This Row],[销量]]</f>
        <v>10236</v>
      </c>
      <c r="N2811" t="str">
        <f>IF(TB[[#This Row],[售价]]&lt;1000,"低价商品",IF(TB[[#This Row],[售价]]&lt;5000,"中价商品",IF(TB[[#This Row],[售价]]&lt;10000,"高价商品","超高价商品")))</f>
        <v>高价商品</v>
      </c>
    </row>
    <row r="2812" spans="1:14" x14ac:dyDescent="0.2">
      <c r="A2812">
        <v>394</v>
      </c>
      <c r="B2812">
        <v>157</v>
      </c>
      <c r="C2812" t="s">
        <v>10</v>
      </c>
      <c r="D2812" t="s">
        <v>96</v>
      </c>
      <c r="E2812" t="s">
        <v>22</v>
      </c>
      <c r="F2812">
        <v>1</v>
      </c>
      <c r="G2812" t="s">
        <v>13</v>
      </c>
      <c r="H2812" s="1">
        <v>45982.834027777775</v>
      </c>
      <c r="I2812" s="5">
        <f>INT(TB[[#This Row],[时间戳]])</f>
        <v>45982</v>
      </c>
      <c r="J2812" s="2">
        <f>HOUR(TB[[#This Row],[时间戳]])</f>
        <v>20</v>
      </c>
      <c r="K2812">
        <v>5140</v>
      </c>
      <c r="L2812">
        <v>1</v>
      </c>
      <c r="M2812">
        <f>TB[[#This Row],[售价]]*TB[[#This Row],[销量]]</f>
        <v>5140</v>
      </c>
      <c r="N2812" t="str">
        <f>IF(TB[[#This Row],[售价]]&lt;1000,"低价商品",IF(TB[[#This Row],[售价]]&lt;5000,"中价商品",IF(TB[[#This Row],[售价]]&lt;10000,"高价商品","超高价商品")))</f>
        <v>高价商品</v>
      </c>
    </row>
    <row r="2813" spans="1:14" x14ac:dyDescent="0.2">
      <c r="A2813">
        <v>72</v>
      </c>
      <c r="B2813">
        <v>89</v>
      </c>
      <c r="C2813" t="s">
        <v>46</v>
      </c>
      <c r="D2813" t="s">
        <v>303</v>
      </c>
      <c r="E2813" t="s">
        <v>19</v>
      </c>
      <c r="F2813">
        <v>3</v>
      </c>
      <c r="G2813" t="s">
        <v>13</v>
      </c>
      <c r="H2813" s="1">
        <v>45982.852777777778</v>
      </c>
      <c r="I2813" s="5">
        <f>INT(TB[[#This Row],[时间戳]])</f>
        <v>45982</v>
      </c>
      <c r="J2813" s="2">
        <f>HOUR(TB[[#This Row],[时间戳]])</f>
        <v>20</v>
      </c>
      <c r="K2813">
        <v>1816</v>
      </c>
      <c r="L2813">
        <v>4</v>
      </c>
      <c r="M2813">
        <f>TB[[#This Row],[售价]]*TB[[#This Row],[销量]]</f>
        <v>7264</v>
      </c>
      <c r="N2813" t="str">
        <f>IF(TB[[#This Row],[售价]]&lt;1000,"低价商品",IF(TB[[#This Row],[售价]]&lt;5000,"中价商品",IF(TB[[#This Row],[售价]]&lt;10000,"高价商品","超高价商品")))</f>
        <v>中价商品</v>
      </c>
    </row>
    <row r="2814" spans="1:14" x14ac:dyDescent="0.2">
      <c r="A2814">
        <v>187</v>
      </c>
      <c r="B2814">
        <v>275</v>
      </c>
      <c r="C2814" t="s">
        <v>46</v>
      </c>
      <c r="D2814" t="s">
        <v>316</v>
      </c>
      <c r="E2814" t="s">
        <v>25</v>
      </c>
      <c r="F2814">
        <v>7</v>
      </c>
      <c r="G2814" t="s">
        <v>42</v>
      </c>
      <c r="H2814" s="1">
        <v>45982.872916666667</v>
      </c>
      <c r="I2814" s="5">
        <f>INT(TB[[#This Row],[时间戳]])</f>
        <v>45982</v>
      </c>
      <c r="J2814" s="2">
        <f>HOUR(TB[[#This Row],[时间戳]])</f>
        <v>20</v>
      </c>
      <c r="K2814">
        <v>3169</v>
      </c>
      <c r="L2814">
        <v>0</v>
      </c>
      <c r="M2814">
        <f>TB[[#This Row],[售价]]*TB[[#This Row],[销量]]</f>
        <v>0</v>
      </c>
      <c r="N2814" t="str">
        <f>IF(TB[[#This Row],[售价]]&lt;1000,"低价商品",IF(TB[[#This Row],[售价]]&lt;5000,"中价商品",IF(TB[[#This Row],[售价]]&lt;10000,"高价商品","超高价商品")))</f>
        <v>中价商品</v>
      </c>
    </row>
    <row r="2815" spans="1:14" x14ac:dyDescent="0.2">
      <c r="A2815">
        <v>615</v>
      </c>
      <c r="B2815">
        <v>192</v>
      </c>
      <c r="C2815" t="s">
        <v>14</v>
      </c>
      <c r="D2815" t="s">
        <v>43</v>
      </c>
      <c r="E2815" t="s">
        <v>31</v>
      </c>
      <c r="F2815">
        <v>4</v>
      </c>
      <c r="G2815" t="s">
        <v>42</v>
      </c>
      <c r="H2815" s="1">
        <v>45982.876388888886</v>
      </c>
      <c r="I2815" s="5">
        <f>INT(TB[[#This Row],[时间戳]])</f>
        <v>45982</v>
      </c>
      <c r="J2815" s="2">
        <f>HOUR(TB[[#This Row],[时间戳]])</f>
        <v>21</v>
      </c>
      <c r="K2815">
        <v>473</v>
      </c>
      <c r="L2815">
        <v>0</v>
      </c>
      <c r="M2815">
        <f>TB[[#This Row],[售价]]*TB[[#This Row],[销量]]</f>
        <v>0</v>
      </c>
      <c r="N2815" t="str">
        <f>IF(TB[[#This Row],[售价]]&lt;1000,"低价商品",IF(TB[[#This Row],[售价]]&lt;5000,"中价商品",IF(TB[[#This Row],[售价]]&lt;10000,"高价商品","超高价商品")))</f>
        <v>低价商品</v>
      </c>
    </row>
    <row r="2816" spans="1:14" x14ac:dyDescent="0.2">
      <c r="A2816">
        <v>791</v>
      </c>
      <c r="B2816">
        <v>91</v>
      </c>
      <c r="C2816" t="s">
        <v>44</v>
      </c>
      <c r="D2816" t="s">
        <v>236</v>
      </c>
      <c r="E2816" t="s">
        <v>12</v>
      </c>
      <c r="F2816">
        <v>2</v>
      </c>
      <c r="G2816" t="s">
        <v>13</v>
      </c>
      <c r="H2816" s="1">
        <v>45982.89166666667</v>
      </c>
      <c r="I2816" s="5">
        <f>INT(TB[[#This Row],[时间戳]])</f>
        <v>45982</v>
      </c>
      <c r="J2816" s="2">
        <f>HOUR(TB[[#This Row],[时间戳]])</f>
        <v>21</v>
      </c>
      <c r="K2816">
        <v>13294</v>
      </c>
      <c r="L2816">
        <v>1</v>
      </c>
      <c r="M2816">
        <f>TB[[#This Row],[售价]]*TB[[#This Row],[销量]]</f>
        <v>13294</v>
      </c>
      <c r="N2816" t="str">
        <f>IF(TB[[#This Row],[售价]]&lt;1000,"低价商品",IF(TB[[#This Row],[售价]]&lt;5000,"中价商品",IF(TB[[#This Row],[售价]]&lt;10000,"高价商品","超高价商品")))</f>
        <v>超高价商品</v>
      </c>
    </row>
    <row r="2817" spans="1:14" x14ac:dyDescent="0.2">
      <c r="A2817">
        <v>638</v>
      </c>
      <c r="B2817">
        <v>20</v>
      </c>
      <c r="C2817" t="s">
        <v>44</v>
      </c>
      <c r="D2817" t="s">
        <v>243</v>
      </c>
      <c r="E2817" t="s">
        <v>31</v>
      </c>
      <c r="F2817">
        <v>4</v>
      </c>
      <c r="G2817" t="s">
        <v>13</v>
      </c>
      <c r="H2817" s="1">
        <v>45982.918749999997</v>
      </c>
      <c r="I2817" s="5">
        <f>INT(TB[[#This Row],[时间戳]])</f>
        <v>45982</v>
      </c>
      <c r="J2817" s="2">
        <f>HOUR(TB[[#This Row],[时间戳]])</f>
        <v>22</v>
      </c>
      <c r="K2817">
        <v>965</v>
      </c>
      <c r="L2817">
        <v>2</v>
      </c>
      <c r="M2817">
        <f>TB[[#This Row],[售价]]*TB[[#This Row],[销量]]</f>
        <v>1930</v>
      </c>
      <c r="N2817" t="str">
        <f>IF(TB[[#This Row],[售价]]&lt;1000,"低价商品",IF(TB[[#This Row],[售价]]&lt;5000,"中价商品",IF(TB[[#This Row],[售价]]&lt;10000,"高价商品","超高价商品")))</f>
        <v>低价商品</v>
      </c>
    </row>
    <row r="2818" spans="1:14" x14ac:dyDescent="0.2">
      <c r="A2818">
        <v>111</v>
      </c>
      <c r="B2818">
        <v>179</v>
      </c>
      <c r="C2818" t="s">
        <v>36</v>
      </c>
      <c r="D2818" t="s">
        <v>102</v>
      </c>
      <c r="E2818" t="s">
        <v>19</v>
      </c>
      <c r="F2818">
        <v>3</v>
      </c>
      <c r="G2818" t="s">
        <v>13</v>
      </c>
      <c r="H2818" s="1">
        <v>45982.931944444441</v>
      </c>
      <c r="I2818" s="5">
        <f>INT(TB[[#This Row],[时间戳]])</f>
        <v>45982</v>
      </c>
      <c r="J2818" s="2">
        <f>HOUR(TB[[#This Row],[时间戳]])</f>
        <v>22</v>
      </c>
      <c r="K2818">
        <v>5764</v>
      </c>
      <c r="L2818">
        <v>2</v>
      </c>
      <c r="M2818">
        <f>TB[[#This Row],[售价]]*TB[[#This Row],[销量]]</f>
        <v>11528</v>
      </c>
      <c r="N2818" t="str">
        <f>IF(TB[[#This Row],[售价]]&lt;1000,"低价商品",IF(TB[[#This Row],[售价]]&lt;5000,"中价商品",IF(TB[[#This Row],[售价]]&lt;10000,"高价商品","超高价商品")))</f>
        <v>高价商品</v>
      </c>
    </row>
    <row r="2819" spans="1:14" x14ac:dyDescent="0.2">
      <c r="A2819">
        <v>172</v>
      </c>
      <c r="B2819">
        <v>52</v>
      </c>
      <c r="C2819" t="s">
        <v>46</v>
      </c>
      <c r="D2819" t="s">
        <v>150</v>
      </c>
      <c r="E2819" t="s">
        <v>25</v>
      </c>
      <c r="F2819">
        <v>7</v>
      </c>
      <c r="G2819" t="s">
        <v>13</v>
      </c>
      <c r="H2819" s="1">
        <v>45982.931944444441</v>
      </c>
      <c r="I2819" s="5">
        <f>INT(TB[[#This Row],[时间戳]])</f>
        <v>45982</v>
      </c>
      <c r="J2819" s="2">
        <f>HOUR(TB[[#This Row],[时间戳]])</f>
        <v>22</v>
      </c>
      <c r="K2819">
        <v>6987</v>
      </c>
      <c r="L2819">
        <v>1</v>
      </c>
      <c r="M2819">
        <f>TB[[#This Row],[售价]]*TB[[#This Row],[销量]]</f>
        <v>6987</v>
      </c>
      <c r="N2819" t="str">
        <f>IF(TB[[#This Row],[售价]]&lt;1000,"低价商品",IF(TB[[#This Row],[售价]]&lt;5000,"中价商品",IF(TB[[#This Row],[售价]]&lt;10000,"高价商品","超高价商品")))</f>
        <v>高价商品</v>
      </c>
    </row>
    <row r="2820" spans="1:14" x14ac:dyDescent="0.2">
      <c r="A2820">
        <v>628</v>
      </c>
      <c r="B2820">
        <v>173</v>
      </c>
      <c r="C2820" t="s">
        <v>46</v>
      </c>
      <c r="D2820" t="s">
        <v>231</v>
      </c>
      <c r="E2820" t="s">
        <v>16</v>
      </c>
      <c r="F2820">
        <v>6</v>
      </c>
      <c r="G2820" t="s">
        <v>13</v>
      </c>
      <c r="H2820" s="1">
        <v>45982.931944444441</v>
      </c>
      <c r="I2820" s="5">
        <f>INT(TB[[#This Row],[时间戳]])</f>
        <v>45982</v>
      </c>
      <c r="J2820" s="2">
        <f>HOUR(TB[[#This Row],[时间戳]])</f>
        <v>22</v>
      </c>
      <c r="K2820">
        <v>10051</v>
      </c>
      <c r="L2820">
        <v>1</v>
      </c>
      <c r="M2820">
        <f>TB[[#This Row],[售价]]*TB[[#This Row],[销量]]</f>
        <v>10051</v>
      </c>
      <c r="N2820" t="str">
        <f>IF(TB[[#This Row],[售价]]&lt;1000,"低价商品",IF(TB[[#This Row],[售价]]&lt;5000,"中价商品",IF(TB[[#This Row],[售价]]&lt;10000,"高价商品","超高价商品")))</f>
        <v>超高价商品</v>
      </c>
    </row>
    <row r="2821" spans="1:14" x14ac:dyDescent="0.2">
      <c r="A2821">
        <v>459</v>
      </c>
      <c r="B2821">
        <v>60</v>
      </c>
      <c r="C2821" t="s">
        <v>20</v>
      </c>
      <c r="D2821" t="s">
        <v>97</v>
      </c>
      <c r="E2821" t="s">
        <v>19</v>
      </c>
      <c r="F2821">
        <v>3</v>
      </c>
      <c r="G2821" t="s">
        <v>13</v>
      </c>
      <c r="H2821" s="1">
        <v>45982.94027777778</v>
      </c>
      <c r="I2821" s="5">
        <f>INT(TB[[#This Row],[时间戳]])</f>
        <v>45982</v>
      </c>
      <c r="J2821" s="2">
        <f>HOUR(TB[[#This Row],[时间戳]])</f>
        <v>22</v>
      </c>
      <c r="K2821">
        <v>5361</v>
      </c>
      <c r="L2821">
        <v>3</v>
      </c>
      <c r="M2821">
        <f>TB[[#This Row],[售价]]*TB[[#This Row],[销量]]</f>
        <v>16083</v>
      </c>
      <c r="N2821" t="str">
        <f>IF(TB[[#This Row],[售价]]&lt;1000,"低价商品",IF(TB[[#This Row],[售价]]&lt;5000,"中价商品",IF(TB[[#This Row],[售价]]&lt;10000,"高价商品","超高价商品")))</f>
        <v>高价商品</v>
      </c>
    </row>
    <row r="2822" spans="1:14" x14ac:dyDescent="0.2">
      <c r="A2822">
        <v>253</v>
      </c>
      <c r="B2822">
        <v>188</v>
      </c>
      <c r="C2822" t="s">
        <v>14</v>
      </c>
      <c r="D2822" t="s">
        <v>228</v>
      </c>
      <c r="E2822" t="s">
        <v>31</v>
      </c>
      <c r="F2822">
        <v>4</v>
      </c>
      <c r="G2822" t="s">
        <v>13</v>
      </c>
      <c r="H2822" s="1">
        <v>45982.988194444442</v>
      </c>
      <c r="I2822" s="5">
        <f>INT(TB[[#This Row],[时间戳]])</f>
        <v>45982</v>
      </c>
      <c r="J2822" s="2">
        <f>HOUR(TB[[#This Row],[时间戳]])</f>
        <v>23</v>
      </c>
      <c r="K2822">
        <v>1500</v>
      </c>
      <c r="L2822">
        <v>4</v>
      </c>
      <c r="M2822">
        <f>TB[[#This Row],[售价]]*TB[[#This Row],[销量]]</f>
        <v>6000</v>
      </c>
      <c r="N2822" t="str">
        <f>IF(TB[[#This Row],[售价]]&lt;1000,"低价商品",IF(TB[[#This Row],[售价]]&lt;5000,"中价商品",IF(TB[[#This Row],[售价]]&lt;10000,"高价商品","超高价商品")))</f>
        <v>中价商品</v>
      </c>
    </row>
    <row r="2823" spans="1:14" x14ac:dyDescent="0.2">
      <c r="A2823">
        <v>414</v>
      </c>
      <c r="B2823">
        <v>22</v>
      </c>
      <c r="C2823" t="s">
        <v>44</v>
      </c>
      <c r="D2823" t="s">
        <v>70</v>
      </c>
      <c r="E2823" t="s">
        <v>12</v>
      </c>
      <c r="F2823">
        <v>2</v>
      </c>
      <c r="G2823" t="s">
        <v>13</v>
      </c>
      <c r="H2823" s="1">
        <v>45982.993055555555</v>
      </c>
      <c r="I2823" s="5">
        <f>INT(TB[[#This Row],[时间戳]])</f>
        <v>45982</v>
      </c>
      <c r="J2823" s="2">
        <f>HOUR(TB[[#This Row],[时间戳]])</f>
        <v>23</v>
      </c>
      <c r="K2823">
        <v>6238</v>
      </c>
      <c r="L2823">
        <v>3</v>
      </c>
      <c r="M2823">
        <f>TB[[#This Row],[售价]]*TB[[#This Row],[销量]]</f>
        <v>18714</v>
      </c>
      <c r="N2823" t="str">
        <f>IF(TB[[#This Row],[售价]]&lt;1000,"低价商品",IF(TB[[#This Row],[售价]]&lt;5000,"中价商品",IF(TB[[#This Row],[售价]]&lt;10000,"高价商品","超高价商品")))</f>
        <v>高价商品</v>
      </c>
    </row>
    <row r="2824" spans="1:14" x14ac:dyDescent="0.2">
      <c r="A2824">
        <v>725</v>
      </c>
      <c r="B2824">
        <v>51</v>
      </c>
      <c r="C2824" t="s">
        <v>44</v>
      </c>
      <c r="D2824" t="s">
        <v>393</v>
      </c>
      <c r="E2824" t="s">
        <v>25</v>
      </c>
      <c r="F2824">
        <v>7</v>
      </c>
      <c r="G2824" t="s">
        <v>13</v>
      </c>
      <c r="H2824" s="1">
        <v>45983.011805555558</v>
      </c>
      <c r="I2824" s="5">
        <f>INT(TB[[#This Row],[时间戳]])</f>
        <v>45983</v>
      </c>
      <c r="J2824" s="2">
        <f>HOUR(TB[[#This Row],[时间戳]])</f>
        <v>0</v>
      </c>
      <c r="K2824">
        <v>4265</v>
      </c>
      <c r="L2824">
        <v>1</v>
      </c>
      <c r="M2824">
        <f>TB[[#This Row],[售价]]*TB[[#This Row],[销量]]</f>
        <v>4265</v>
      </c>
      <c r="N2824" t="str">
        <f>IF(TB[[#This Row],[售价]]&lt;1000,"低价商品",IF(TB[[#This Row],[售价]]&lt;5000,"中价商品",IF(TB[[#This Row],[售价]]&lt;10000,"高价商品","超高价商品")))</f>
        <v>中价商品</v>
      </c>
    </row>
    <row r="2825" spans="1:14" x14ac:dyDescent="0.2">
      <c r="A2825">
        <v>671</v>
      </c>
      <c r="B2825">
        <v>165</v>
      </c>
      <c r="C2825" t="s">
        <v>14</v>
      </c>
      <c r="D2825" t="s">
        <v>223</v>
      </c>
      <c r="E2825" t="s">
        <v>22</v>
      </c>
      <c r="F2825">
        <v>1</v>
      </c>
      <c r="G2825" t="s">
        <v>13</v>
      </c>
      <c r="H2825" s="1">
        <v>45983.015972222223</v>
      </c>
      <c r="I2825" s="5">
        <f>INT(TB[[#This Row],[时间戳]])</f>
        <v>45983</v>
      </c>
      <c r="J2825" s="2">
        <f>HOUR(TB[[#This Row],[时间戳]])</f>
        <v>0</v>
      </c>
      <c r="K2825">
        <v>8000</v>
      </c>
      <c r="L2825">
        <v>1</v>
      </c>
      <c r="M2825">
        <f>TB[[#This Row],[售价]]*TB[[#This Row],[销量]]</f>
        <v>8000</v>
      </c>
      <c r="N2825" t="str">
        <f>IF(TB[[#This Row],[售价]]&lt;1000,"低价商品",IF(TB[[#This Row],[售价]]&lt;5000,"中价商品",IF(TB[[#This Row],[售价]]&lt;10000,"高价商品","超高价商品")))</f>
        <v>高价商品</v>
      </c>
    </row>
    <row r="2826" spans="1:14" x14ac:dyDescent="0.2">
      <c r="A2826">
        <v>535</v>
      </c>
      <c r="B2826">
        <v>202</v>
      </c>
      <c r="C2826" t="s">
        <v>46</v>
      </c>
      <c r="D2826" t="s">
        <v>129</v>
      </c>
      <c r="E2826" t="s">
        <v>31</v>
      </c>
      <c r="F2826">
        <v>4</v>
      </c>
      <c r="G2826" t="s">
        <v>13</v>
      </c>
      <c r="H2826" s="1">
        <v>45983.022916666669</v>
      </c>
      <c r="I2826" s="5">
        <f>INT(TB[[#This Row],[时间戳]])</f>
        <v>45983</v>
      </c>
      <c r="J2826" s="2">
        <f>HOUR(TB[[#This Row],[时间戳]])</f>
        <v>0</v>
      </c>
      <c r="K2826">
        <v>1217</v>
      </c>
      <c r="L2826">
        <v>1</v>
      </c>
      <c r="M2826">
        <f>TB[[#This Row],[售价]]*TB[[#This Row],[销量]]</f>
        <v>1217</v>
      </c>
      <c r="N2826" t="str">
        <f>IF(TB[[#This Row],[售价]]&lt;1000,"低价商品",IF(TB[[#This Row],[售价]]&lt;5000,"中价商品",IF(TB[[#This Row],[售价]]&lt;10000,"高价商品","超高价商品")))</f>
        <v>中价商品</v>
      </c>
    </row>
    <row r="2827" spans="1:14" x14ac:dyDescent="0.2">
      <c r="A2827">
        <v>329</v>
      </c>
      <c r="B2827">
        <v>70</v>
      </c>
      <c r="C2827" t="s">
        <v>32</v>
      </c>
      <c r="D2827" t="s">
        <v>342</v>
      </c>
      <c r="E2827" t="s">
        <v>39</v>
      </c>
      <c r="F2827">
        <v>5</v>
      </c>
      <c r="G2827" t="s">
        <v>13</v>
      </c>
      <c r="H2827" s="1">
        <v>45983.057638888888</v>
      </c>
      <c r="I2827" s="5">
        <f>INT(TB[[#This Row],[时间戳]])</f>
        <v>45983</v>
      </c>
      <c r="J2827" s="2">
        <f>HOUR(TB[[#This Row],[时间戳]])</f>
        <v>1</v>
      </c>
      <c r="K2827">
        <v>3979</v>
      </c>
      <c r="L2827">
        <v>2</v>
      </c>
      <c r="M2827">
        <f>TB[[#This Row],[售价]]*TB[[#This Row],[销量]]</f>
        <v>7958</v>
      </c>
      <c r="N2827" t="str">
        <f>IF(TB[[#This Row],[售价]]&lt;1000,"低价商品",IF(TB[[#This Row],[售价]]&lt;5000,"中价商品",IF(TB[[#This Row],[售价]]&lt;10000,"高价商品","超高价商品")))</f>
        <v>中价商品</v>
      </c>
    </row>
    <row r="2828" spans="1:14" x14ac:dyDescent="0.2">
      <c r="A2828">
        <v>642</v>
      </c>
      <c r="B2828">
        <v>219</v>
      </c>
      <c r="C2828" t="s">
        <v>32</v>
      </c>
      <c r="D2828" t="s">
        <v>107</v>
      </c>
      <c r="E2828" t="s">
        <v>31</v>
      </c>
      <c r="F2828">
        <v>4</v>
      </c>
      <c r="G2828" t="s">
        <v>42</v>
      </c>
      <c r="H2828" s="1">
        <v>45983.081944444442</v>
      </c>
      <c r="I2828" s="5">
        <f>INT(TB[[#This Row],[时间戳]])</f>
        <v>45983</v>
      </c>
      <c r="J2828" s="2">
        <f>HOUR(TB[[#This Row],[时间戳]])</f>
        <v>1</v>
      </c>
      <c r="K2828">
        <v>1157</v>
      </c>
      <c r="L2828">
        <v>0</v>
      </c>
      <c r="M2828">
        <f>TB[[#This Row],[售价]]*TB[[#This Row],[销量]]</f>
        <v>0</v>
      </c>
      <c r="N2828" t="str">
        <f>IF(TB[[#This Row],[售价]]&lt;1000,"低价商品",IF(TB[[#This Row],[售价]]&lt;5000,"中价商品",IF(TB[[#This Row],[售价]]&lt;10000,"高价商品","超高价商品")))</f>
        <v>中价商品</v>
      </c>
    </row>
    <row r="2829" spans="1:14" x14ac:dyDescent="0.2">
      <c r="A2829">
        <v>503</v>
      </c>
      <c r="B2829">
        <v>13</v>
      </c>
      <c r="C2829" t="s">
        <v>17</v>
      </c>
      <c r="D2829" t="s">
        <v>74</v>
      </c>
      <c r="E2829" t="s">
        <v>22</v>
      </c>
      <c r="F2829">
        <v>1</v>
      </c>
      <c r="G2829" t="s">
        <v>13</v>
      </c>
      <c r="H2829" s="1">
        <v>45983.084027777775</v>
      </c>
      <c r="I2829" s="5">
        <f>INT(TB[[#This Row],[时间戳]])</f>
        <v>45983</v>
      </c>
      <c r="J2829" s="2">
        <f>HOUR(TB[[#This Row],[时间戳]])</f>
        <v>2</v>
      </c>
      <c r="K2829">
        <v>4333</v>
      </c>
      <c r="L2829">
        <v>3</v>
      </c>
      <c r="M2829">
        <f>TB[[#This Row],[售价]]*TB[[#This Row],[销量]]</f>
        <v>12999</v>
      </c>
      <c r="N2829" t="str">
        <f>IF(TB[[#This Row],[售价]]&lt;1000,"低价商品",IF(TB[[#This Row],[售价]]&lt;5000,"中价商品",IF(TB[[#This Row],[售价]]&lt;10000,"高价商品","超高价商品")))</f>
        <v>中价商品</v>
      </c>
    </row>
    <row r="2830" spans="1:14" x14ac:dyDescent="0.2">
      <c r="A2830">
        <v>496</v>
      </c>
      <c r="B2830">
        <v>200</v>
      </c>
      <c r="C2830" t="s">
        <v>34</v>
      </c>
      <c r="D2830" t="s">
        <v>174</v>
      </c>
      <c r="E2830" t="s">
        <v>12</v>
      </c>
      <c r="F2830">
        <v>2</v>
      </c>
      <c r="G2830" t="s">
        <v>13</v>
      </c>
      <c r="H2830" s="1">
        <v>45983.09375</v>
      </c>
      <c r="I2830" s="5">
        <f>INT(TB[[#This Row],[时间戳]])</f>
        <v>45983</v>
      </c>
      <c r="J2830" s="2">
        <f>HOUR(TB[[#This Row],[时间戳]])</f>
        <v>2</v>
      </c>
      <c r="K2830">
        <v>11901</v>
      </c>
      <c r="L2830">
        <v>2</v>
      </c>
      <c r="M2830">
        <f>TB[[#This Row],[售价]]*TB[[#This Row],[销量]]</f>
        <v>23802</v>
      </c>
      <c r="N2830" t="str">
        <f>IF(TB[[#This Row],[售价]]&lt;1000,"低价商品",IF(TB[[#This Row],[售价]]&lt;5000,"中价商品",IF(TB[[#This Row],[售价]]&lt;10000,"高价商品","超高价商品")))</f>
        <v>超高价商品</v>
      </c>
    </row>
    <row r="2831" spans="1:14" x14ac:dyDescent="0.2">
      <c r="A2831">
        <v>716</v>
      </c>
      <c r="B2831">
        <v>29</v>
      </c>
      <c r="C2831" t="s">
        <v>36</v>
      </c>
      <c r="D2831" t="s">
        <v>146</v>
      </c>
      <c r="E2831" t="s">
        <v>22</v>
      </c>
      <c r="F2831">
        <v>1</v>
      </c>
      <c r="G2831" t="s">
        <v>13</v>
      </c>
      <c r="H2831" s="1">
        <v>45983.094444444447</v>
      </c>
      <c r="I2831" s="5">
        <f>INT(TB[[#This Row],[时间戳]])</f>
        <v>45983</v>
      </c>
      <c r="J2831" s="2">
        <f>HOUR(TB[[#This Row],[时间戳]])</f>
        <v>2</v>
      </c>
      <c r="K2831">
        <v>3559</v>
      </c>
      <c r="L2831">
        <v>1</v>
      </c>
      <c r="M2831">
        <f>TB[[#This Row],[售价]]*TB[[#This Row],[销量]]</f>
        <v>3559</v>
      </c>
      <c r="N2831" t="str">
        <f>IF(TB[[#This Row],[售价]]&lt;1000,"低价商品",IF(TB[[#This Row],[售价]]&lt;5000,"中价商品",IF(TB[[#This Row],[售价]]&lt;10000,"高价商品","超高价商品")))</f>
        <v>中价商品</v>
      </c>
    </row>
    <row r="2832" spans="1:14" x14ac:dyDescent="0.2">
      <c r="A2832">
        <v>315</v>
      </c>
      <c r="B2832">
        <v>293</v>
      </c>
      <c r="C2832" t="s">
        <v>32</v>
      </c>
      <c r="D2832" t="s">
        <v>138</v>
      </c>
      <c r="E2832" t="s">
        <v>12</v>
      </c>
      <c r="F2832">
        <v>2</v>
      </c>
      <c r="G2832" t="s">
        <v>13</v>
      </c>
      <c r="H2832" s="1">
        <v>45983.106944444444</v>
      </c>
      <c r="I2832" s="5">
        <f>INT(TB[[#This Row],[时间戳]])</f>
        <v>45983</v>
      </c>
      <c r="J2832" s="2">
        <f>HOUR(TB[[#This Row],[时间戳]])</f>
        <v>2</v>
      </c>
      <c r="K2832">
        <v>12464</v>
      </c>
      <c r="L2832">
        <v>1</v>
      </c>
      <c r="M2832">
        <f>TB[[#This Row],[售价]]*TB[[#This Row],[销量]]</f>
        <v>12464</v>
      </c>
      <c r="N2832" t="str">
        <f>IF(TB[[#This Row],[售价]]&lt;1000,"低价商品",IF(TB[[#This Row],[售价]]&lt;5000,"中价商品",IF(TB[[#This Row],[售价]]&lt;10000,"高价商品","超高价商品")))</f>
        <v>超高价商品</v>
      </c>
    </row>
    <row r="2833" spans="1:14" x14ac:dyDescent="0.2">
      <c r="A2833">
        <v>50</v>
      </c>
      <c r="B2833">
        <v>274</v>
      </c>
      <c r="C2833" t="s">
        <v>34</v>
      </c>
      <c r="D2833" t="s">
        <v>232</v>
      </c>
      <c r="E2833" t="s">
        <v>22</v>
      </c>
      <c r="F2833">
        <v>1</v>
      </c>
      <c r="G2833" t="s">
        <v>42</v>
      </c>
      <c r="H2833" s="1">
        <v>45983.126388888886</v>
      </c>
      <c r="I2833" s="5">
        <f>INT(TB[[#This Row],[时间戳]])</f>
        <v>45983</v>
      </c>
      <c r="J2833" s="2">
        <f>HOUR(TB[[#This Row],[时间戳]])</f>
        <v>3</v>
      </c>
      <c r="K2833">
        <v>5334</v>
      </c>
      <c r="L2833">
        <v>0</v>
      </c>
      <c r="M2833">
        <f>TB[[#This Row],[售价]]*TB[[#This Row],[销量]]</f>
        <v>0</v>
      </c>
      <c r="N2833" t="str">
        <f>IF(TB[[#This Row],[售价]]&lt;1000,"低价商品",IF(TB[[#This Row],[售价]]&lt;5000,"中价商品",IF(TB[[#This Row],[售价]]&lt;10000,"高价商品","超高价商品")))</f>
        <v>高价商品</v>
      </c>
    </row>
    <row r="2834" spans="1:14" x14ac:dyDescent="0.2">
      <c r="A2834">
        <v>193</v>
      </c>
      <c r="B2834">
        <v>181</v>
      </c>
      <c r="C2834" t="s">
        <v>36</v>
      </c>
      <c r="D2834" t="s">
        <v>83</v>
      </c>
      <c r="E2834" t="s">
        <v>22</v>
      </c>
      <c r="F2834">
        <v>1</v>
      </c>
      <c r="G2834" t="s">
        <v>13</v>
      </c>
      <c r="H2834" s="1">
        <v>45983.129166666666</v>
      </c>
      <c r="I2834" s="5">
        <f>INT(TB[[#This Row],[时间戳]])</f>
        <v>45983</v>
      </c>
      <c r="J2834" s="2">
        <f>HOUR(TB[[#This Row],[时间戳]])</f>
        <v>3</v>
      </c>
      <c r="K2834">
        <v>1053</v>
      </c>
      <c r="L2834">
        <v>1</v>
      </c>
      <c r="M2834">
        <f>TB[[#This Row],[售价]]*TB[[#This Row],[销量]]</f>
        <v>1053</v>
      </c>
      <c r="N2834" t="str">
        <f>IF(TB[[#This Row],[售价]]&lt;1000,"低价商品",IF(TB[[#This Row],[售价]]&lt;5000,"中价商品",IF(TB[[#This Row],[售价]]&lt;10000,"高价商品","超高价商品")))</f>
        <v>中价商品</v>
      </c>
    </row>
    <row r="2835" spans="1:14" x14ac:dyDescent="0.2">
      <c r="A2835">
        <v>521</v>
      </c>
      <c r="B2835">
        <v>269</v>
      </c>
      <c r="C2835" t="s">
        <v>17</v>
      </c>
      <c r="D2835" t="s">
        <v>361</v>
      </c>
      <c r="E2835" t="s">
        <v>25</v>
      </c>
      <c r="F2835">
        <v>7</v>
      </c>
      <c r="G2835" t="s">
        <v>13</v>
      </c>
      <c r="H2835" s="1">
        <v>45983.135416666664</v>
      </c>
      <c r="I2835" s="5">
        <f>INT(TB[[#This Row],[时间戳]])</f>
        <v>45983</v>
      </c>
      <c r="J2835" s="2">
        <f>HOUR(TB[[#This Row],[时间戳]])</f>
        <v>3</v>
      </c>
      <c r="K2835">
        <v>5731</v>
      </c>
      <c r="L2835">
        <v>2</v>
      </c>
      <c r="M2835">
        <f>TB[[#This Row],[售价]]*TB[[#This Row],[销量]]</f>
        <v>11462</v>
      </c>
      <c r="N2835" t="str">
        <f>IF(TB[[#This Row],[售价]]&lt;1000,"低价商品",IF(TB[[#This Row],[售价]]&lt;5000,"中价商品",IF(TB[[#This Row],[售价]]&lt;10000,"高价商品","超高价商品")))</f>
        <v>高价商品</v>
      </c>
    </row>
    <row r="2836" spans="1:14" x14ac:dyDescent="0.2">
      <c r="A2836">
        <v>716</v>
      </c>
      <c r="B2836">
        <v>23</v>
      </c>
      <c r="C2836" t="s">
        <v>34</v>
      </c>
      <c r="D2836" t="s">
        <v>398</v>
      </c>
      <c r="E2836" t="s">
        <v>16</v>
      </c>
      <c r="F2836">
        <v>6</v>
      </c>
      <c r="G2836" t="s">
        <v>13</v>
      </c>
      <c r="H2836" s="1">
        <v>45983.144444444442</v>
      </c>
      <c r="I2836" s="5">
        <f>INT(TB[[#This Row],[时间戳]])</f>
        <v>45983</v>
      </c>
      <c r="J2836" s="2">
        <f>HOUR(TB[[#This Row],[时间戳]])</f>
        <v>3</v>
      </c>
      <c r="K2836">
        <v>4981</v>
      </c>
      <c r="L2836">
        <v>1</v>
      </c>
      <c r="M2836">
        <f>TB[[#This Row],[售价]]*TB[[#This Row],[销量]]</f>
        <v>4981</v>
      </c>
      <c r="N2836" t="str">
        <f>IF(TB[[#This Row],[售价]]&lt;1000,"低价商品",IF(TB[[#This Row],[售价]]&lt;5000,"中价商品",IF(TB[[#This Row],[售价]]&lt;10000,"高价商品","超高价商品")))</f>
        <v>中价商品</v>
      </c>
    </row>
    <row r="2837" spans="1:14" x14ac:dyDescent="0.2">
      <c r="A2837">
        <v>227</v>
      </c>
      <c r="B2837">
        <v>164</v>
      </c>
      <c r="C2837" t="s">
        <v>44</v>
      </c>
      <c r="D2837" t="s">
        <v>76</v>
      </c>
      <c r="E2837" t="s">
        <v>31</v>
      </c>
      <c r="F2837">
        <v>4</v>
      </c>
      <c r="G2837" t="s">
        <v>13</v>
      </c>
      <c r="H2837" s="1">
        <v>45983.190972222219</v>
      </c>
      <c r="I2837" s="5">
        <f>INT(TB[[#This Row],[时间戳]])</f>
        <v>45983</v>
      </c>
      <c r="J2837" s="2">
        <f>HOUR(TB[[#This Row],[时间戳]])</f>
        <v>4</v>
      </c>
      <c r="K2837">
        <v>339</v>
      </c>
      <c r="L2837">
        <v>4</v>
      </c>
      <c r="M2837">
        <f>TB[[#This Row],[售价]]*TB[[#This Row],[销量]]</f>
        <v>1356</v>
      </c>
      <c r="N2837" t="str">
        <f>IF(TB[[#This Row],[售价]]&lt;1000,"低价商品",IF(TB[[#This Row],[售价]]&lt;5000,"中价商品",IF(TB[[#This Row],[售价]]&lt;10000,"高价商品","超高价商品")))</f>
        <v>低价商品</v>
      </c>
    </row>
    <row r="2838" spans="1:14" x14ac:dyDescent="0.2">
      <c r="A2838">
        <v>212</v>
      </c>
      <c r="B2838">
        <v>293</v>
      </c>
      <c r="C2838" t="s">
        <v>32</v>
      </c>
      <c r="D2838" t="s">
        <v>326</v>
      </c>
      <c r="E2838" t="s">
        <v>19</v>
      </c>
      <c r="F2838">
        <v>3</v>
      </c>
      <c r="G2838" t="s">
        <v>13</v>
      </c>
      <c r="H2838" s="1">
        <v>45983.282638888886</v>
      </c>
      <c r="I2838" s="5">
        <f>INT(TB[[#This Row],[时间戳]])</f>
        <v>45983</v>
      </c>
      <c r="J2838" s="2">
        <f>HOUR(TB[[#This Row],[时间戳]])</f>
        <v>6</v>
      </c>
      <c r="K2838">
        <v>2262</v>
      </c>
      <c r="L2838">
        <v>2</v>
      </c>
      <c r="M2838">
        <f>TB[[#This Row],[售价]]*TB[[#This Row],[销量]]</f>
        <v>4524</v>
      </c>
      <c r="N2838" t="str">
        <f>IF(TB[[#This Row],[售价]]&lt;1000,"低价商品",IF(TB[[#This Row],[售价]]&lt;5000,"中价商品",IF(TB[[#This Row],[售价]]&lt;10000,"高价商品","超高价商品")))</f>
        <v>中价商品</v>
      </c>
    </row>
    <row r="2839" spans="1:14" x14ac:dyDescent="0.2">
      <c r="A2839">
        <v>706</v>
      </c>
      <c r="B2839">
        <v>60</v>
      </c>
      <c r="C2839" t="s">
        <v>17</v>
      </c>
      <c r="D2839" t="s">
        <v>320</v>
      </c>
      <c r="E2839" t="s">
        <v>16</v>
      </c>
      <c r="F2839">
        <v>6</v>
      </c>
      <c r="G2839" t="s">
        <v>13</v>
      </c>
      <c r="H2839" s="1">
        <v>45983.28402777778</v>
      </c>
      <c r="I2839" s="5">
        <f>INT(TB[[#This Row],[时间戳]])</f>
        <v>45983</v>
      </c>
      <c r="J2839" s="2">
        <f>HOUR(TB[[#This Row],[时间戳]])</f>
        <v>6</v>
      </c>
      <c r="K2839">
        <v>2078</v>
      </c>
      <c r="L2839">
        <v>2</v>
      </c>
      <c r="M2839">
        <f>TB[[#This Row],[售价]]*TB[[#This Row],[销量]]</f>
        <v>4156</v>
      </c>
      <c r="N2839" t="str">
        <f>IF(TB[[#This Row],[售价]]&lt;1000,"低价商品",IF(TB[[#This Row],[售价]]&lt;5000,"中价商品",IF(TB[[#This Row],[售价]]&lt;10000,"高价商品","超高价商品")))</f>
        <v>中价商品</v>
      </c>
    </row>
    <row r="2840" spans="1:14" x14ac:dyDescent="0.2">
      <c r="A2840">
        <v>339</v>
      </c>
      <c r="B2840">
        <v>91</v>
      </c>
      <c r="C2840" t="s">
        <v>32</v>
      </c>
      <c r="D2840" t="s">
        <v>251</v>
      </c>
      <c r="E2840" t="s">
        <v>12</v>
      </c>
      <c r="F2840">
        <v>2</v>
      </c>
      <c r="G2840" t="s">
        <v>42</v>
      </c>
      <c r="H2840" s="1">
        <v>45983.310416666667</v>
      </c>
      <c r="I2840" s="5">
        <f>INT(TB[[#This Row],[时间戳]])</f>
        <v>45983</v>
      </c>
      <c r="J2840" s="2">
        <f>HOUR(TB[[#This Row],[时间戳]])</f>
        <v>7</v>
      </c>
      <c r="K2840">
        <v>8560</v>
      </c>
      <c r="L2840">
        <v>0</v>
      </c>
      <c r="M2840">
        <f>TB[[#This Row],[售价]]*TB[[#This Row],[销量]]</f>
        <v>0</v>
      </c>
      <c r="N2840" t="str">
        <f>IF(TB[[#This Row],[售价]]&lt;1000,"低价商品",IF(TB[[#This Row],[售价]]&lt;5000,"中价商品",IF(TB[[#This Row],[售价]]&lt;10000,"高价商品","超高价商品")))</f>
        <v>高价商品</v>
      </c>
    </row>
    <row r="2841" spans="1:14" x14ac:dyDescent="0.2">
      <c r="A2841">
        <v>46</v>
      </c>
      <c r="B2841">
        <v>80</v>
      </c>
      <c r="C2841" t="s">
        <v>34</v>
      </c>
      <c r="D2841" t="s">
        <v>346</v>
      </c>
      <c r="E2841" t="s">
        <v>22</v>
      </c>
      <c r="F2841">
        <v>1</v>
      </c>
      <c r="G2841" t="s">
        <v>13</v>
      </c>
      <c r="H2841" s="1">
        <v>45983.318749999999</v>
      </c>
      <c r="I2841" s="5">
        <f>INT(TB[[#This Row],[时间戳]])</f>
        <v>45983</v>
      </c>
      <c r="J2841" s="2">
        <f>HOUR(TB[[#This Row],[时间戳]])</f>
        <v>7</v>
      </c>
      <c r="K2841">
        <v>4110</v>
      </c>
      <c r="L2841">
        <v>1</v>
      </c>
      <c r="M2841">
        <f>TB[[#This Row],[售价]]*TB[[#This Row],[销量]]</f>
        <v>4110</v>
      </c>
      <c r="N2841" t="str">
        <f>IF(TB[[#This Row],[售价]]&lt;1000,"低价商品",IF(TB[[#This Row],[售价]]&lt;5000,"中价商品",IF(TB[[#This Row],[售价]]&lt;10000,"高价商品","超高价商品")))</f>
        <v>中价商品</v>
      </c>
    </row>
    <row r="2842" spans="1:14" x14ac:dyDescent="0.2">
      <c r="A2842">
        <v>685</v>
      </c>
      <c r="B2842">
        <v>133</v>
      </c>
      <c r="C2842" t="s">
        <v>32</v>
      </c>
      <c r="D2842" t="s">
        <v>63</v>
      </c>
      <c r="E2842" t="s">
        <v>12</v>
      </c>
      <c r="F2842">
        <v>2</v>
      </c>
      <c r="G2842" t="s">
        <v>13</v>
      </c>
      <c r="H2842" s="1">
        <v>45983.327777777777</v>
      </c>
      <c r="I2842" s="5">
        <f>INT(TB[[#This Row],[时间戳]])</f>
        <v>45983</v>
      </c>
      <c r="J2842" s="2">
        <f>HOUR(TB[[#This Row],[时间戳]])</f>
        <v>7</v>
      </c>
      <c r="K2842">
        <v>6427</v>
      </c>
      <c r="L2842">
        <v>1</v>
      </c>
      <c r="M2842">
        <f>TB[[#This Row],[售价]]*TB[[#This Row],[销量]]</f>
        <v>6427</v>
      </c>
      <c r="N2842" t="str">
        <f>IF(TB[[#This Row],[售价]]&lt;1000,"低价商品",IF(TB[[#This Row],[售价]]&lt;5000,"中价商品",IF(TB[[#This Row],[售价]]&lt;10000,"高价商品","超高价商品")))</f>
        <v>高价商品</v>
      </c>
    </row>
    <row r="2843" spans="1:14" x14ac:dyDescent="0.2">
      <c r="A2843">
        <v>642</v>
      </c>
      <c r="B2843">
        <v>159</v>
      </c>
      <c r="C2843" t="s">
        <v>46</v>
      </c>
      <c r="D2843" t="s">
        <v>289</v>
      </c>
      <c r="E2843" t="s">
        <v>16</v>
      </c>
      <c r="F2843">
        <v>6</v>
      </c>
      <c r="G2843" t="s">
        <v>13</v>
      </c>
      <c r="H2843" s="1">
        <v>45983.353472222225</v>
      </c>
      <c r="I2843" s="5">
        <f>INT(TB[[#This Row],[时间戳]])</f>
        <v>45983</v>
      </c>
      <c r="J2843" s="2">
        <f>HOUR(TB[[#This Row],[时间戳]])</f>
        <v>8</v>
      </c>
      <c r="K2843">
        <v>9075</v>
      </c>
      <c r="L2843">
        <v>1</v>
      </c>
      <c r="M2843">
        <f>TB[[#This Row],[售价]]*TB[[#This Row],[销量]]</f>
        <v>9075</v>
      </c>
      <c r="N2843" t="str">
        <f>IF(TB[[#This Row],[售价]]&lt;1000,"低价商品",IF(TB[[#This Row],[售价]]&lt;5000,"中价商品",IF(TB[[#This Row],[售价]]&lt;10000,"高价商品","超高价商品")))</f>
        <v>高价商品</v>
      </c>
    </row>
    <row r="2844" spans="1:14" x14ac:dyDescent="0.2">
      <c r="A2844">
        <v>707</v>
      </c>
      <c r="B2844">
        <v>6</v>
      </c>
      <c r="C2844" t="s">
        <v>36</v>
      </c>
      <c r="D2844" t="s">
        <v>265</v>
      </c>
      <c r="E2844" t="s">
        <v>31</v>
      </c>
      <c r="F2844">
        <v>4</v>
      </c>
      <c r="G2844" t="s">
        <v>13</v>
      </c>
      <c r="H2844" s="1">
        <v>45983.4</v>
      </c>
      <c r="I2844" s="5">
        <f>INT(TB[[#This Row],[时间戳]])</f>
        <v>45983</v>
      </c>
      <c r="J2844" s="2">
        <f>HOUR(TB[[#This Row],[时间戳]])</f>
        <v>9</v>
      </c>
      <c r="K2844">
        <v>603</v>
      </c>
      <c r="L2844">
        <v>1</v>
      </c>
      <c r="M2844">
        <f>TB[[#This Row],[售价]]*TB[[#This Row],[销量]]</f>
        <v>603</v>
      </c>
      <c r="N2844" t="str">
        <f>IF(TB[[#This Row],[售价]]&lt;1000,"低价商品",IF(TB[[#This Row],[售价]]&lt;5000,"中价商品",IF(TB[[#This Row],[售价]]&lt;10000,"高价商品","超高价商品")))</f>
        <v>低价商品</v>
      </c>
    </row>
    <row r="2845" spans="1:14" x14ac:dyDescent="0.2">
      <c r="A2845">
        <v>195</v>
      </c>
      <c r="B2845">
        <v>250</v>
      </c>
      <c r="C2845" t="s">
        <v>17</v>
      </c>
      <c r="D2845" t="s">
        <v>133</v>
      </c>
      <c r="E2845" t="s">
        <v>31</v>
      </c>
      <c r="F2845">
        <v>4</v>
      </c>
      <c r="G2845" t="s">
        <v>13</v>
      </c>
      <c r="H2845" s="1">
        <v>45983.455555555556</v>
      </c>
      <c r="I2845" s="5">
        <f>INT(TB[[#This Row],[时间戳]])</f>
        <v>45983</v>
      </c>
      <c r="J2845" s="2">
        <f>HOUR(TB[[#This Row],[时间戳]])</f>
        <v>10</v>
      </c>
      <c r="K2845">
        <v>912</v>
      </c>
      <c r="L2845">
        <v>3</v>
      </c>
      <c r="M2845">
        <f>TB[[#This Row],[售价]]*TB[[#This Row],[销量]]</f>
        <v>2736</v>
      </c>
      <c r="N2845" t="str">
        <f>IF(TB[[#This Row],[售价]]&lt;1000,"低价商品",IF(TB[[#This Row],[售价]]&lt;5000,"中价商品",IF(TB[[#This Row],[售价]]&lt;10000,"高价商品","超高价商品")))</f>
        <v>低价商品</v>
      </c>
    </row>
    <row r="2846" spans="1:14" x14ac:dyDescent="0.2">
      <c r="A2846">
        <v>710</v>
      </c>
      <c r="B2846">
        <v>203</v>
      </c>
      <c r="C2846" t="s">
        <v>10</v>
      </c>
      <c r="D2846" t="s">
        <v>373</v>
      </c>
      <c r="E2846" t="s">
        <v>25</v>
      </c>
      <c r="F2846">
        <v>7</v>
      </c>
      <c r="G2846" t="s">
        <v>13</v>
      </c>
      <c r="H2846" s="1">
        <v>45983.470833333333</v>
      </c>
      <c r="I2846" s="5">
        <f>INT(TB[[#This Row],[时间戳]])</f>
        <v>45983</v>
      </c>
      <c r="J2846" s="2">
        <f>HOUR(TB[[#This Row],[时间戳]])</f>
        <v>11</v>
      </c>
      <c r="K2846">
        <v>3683</v>
      </c>
      <c r="L2846">
        <v>2</v>
      </c>
      <c r="M2846">
        <f>TB[[#This Row],[售价]]*TB[[#This Row],[销量]]</f>
        <v>7366</v>
      </c>
      <c r="N2846" t="str">
        <f>IF(TB[[#This Row],[售价]]&lt;1000,"低价商品",IF(TB[[#This Row],[售价]]&lt;5000,"中价商品",IF(TB[[#This Row],[售价]]&lt;10000,"高价商品","超高价商品")))</f>
        <v>中价商品</v>
      </c>
    </row>
    <row r="2847" spans="1:14" x14ac:dyDescent="0.2">
      <c r="A2847">
        <v>679</v>
      </c>
      <c r="B2847">
        <v>115</v>
      </c>
      <c r="C2847" t="s">
        <v>44</v>
      </c>
      <c r="D2847" t="s">
        <v>195</v>
      </c>
      <c r="E2847" t="s">
        <v>22</v>
      </c>
      <c r="F2847">
        <v>1</v>
      </c>
      <c r="G2847" t="s">
        <v>13</v>
      </c>
      <c r="H2847" s="1">
        <v>45983.479166666664</v>
      </c>
      <c r="I2847" s="5">
        <f>INT(TB[[#This Row],[时间戳]])</f>
        <v>45983</v>
      </c>
      <c r="J2847" s="2">
        <f>HOUR(TB[[#This Row],[时间戳]])</f>
        <v>11</v>
      </c>
      <c r="K2847">
        <v>1498</v>
      </c>
      <c r="L2847">
        <v>3</v>
      </c>
      <c r="M2847">
        <f>TB[[#This Row],[售价]]*TB[[#This Row],[销量]]</f>
        <v>4494</v>
      </c>
      <c r="N2847" t="str">
        <f>IF(TB[[#This Row],[售价]]&lt;1000,"低价商品",IF(TB[[#This Row],[售价]]&lt;5000,"中价商品",IF(TB[[#This Row],[售价]]&lt;10000,"高价商品","超高价商品")))</f>
        <v>中价商品</v>
      </c>
    </row>
    <row r="2848" spans="1:14" x14ac:dyDescent="0.2">
      <c r="A2848">
        <v>163</v>
      </c>
      <c r="B2848">
        <v>251</v>
      </c>
      <c r="C2848" t="s">
        <v>14</v>
      </c>
      <c r="D2848" t="s">
        <v>89</v>
      </c>
      <c r="E2848" t="s">
        <v>22</v>
      </c>
      <c r="F2848">
        <v>1</v>
      </c>
      <c r="G2848" t="s">
        <v>13</v>
      </c>
      <c r="H2848" s="1">
        <v>45983.507638888892</v>
      </c>
      <c r="I2848" s="5">
        <f>INT(TB[[#This Row],[时间戳]])</f>
        <v>45983</v>
      </c>
      <c r="J2848" s="2">
        <f>HOUR(TB[[#This Row],[时间戳]])</f>
        <v>12</v>
      </c>
      <c r="K2848">
        <v>1703</v>
      </c>
      <c r="L2848">
        <v>3</v>
      </c>
      <c r="M2848">
        <f>TB[[#This Row],[售价]]*TB[[#This Row],[销量]]</f>
        <v>5109</v>
      </c>
      <c r="N2848" t="str">
        <f>IF(TB[[#This Row],[售价]]&lt;1000,"低价商品",IF(TB[[#This Row],[售价]]&lt;5000,"中价商品",IF(TB[[#This Row],[售价]]&lt;10000,"高价商品","超高价商品")))</f>
        <v>中价商品</v>
      </c>
    </row>
    <row r="2849" spans="1:14" x14ac:dyDescent="0.2">
      <c r="A2849">
        <v>172</v>
      </c>
      <c r="B2849">
        <v>132</v>
      </c>
      <c r="C2849" t="s">
        <v>20</v>
      </c>
      <c r="D2849" t="s">
        <v>85</v>
      </c>
      <c r="E2849" t="s">
        <v>31</v>
      </c>
      <c r="F2849">
        <v>4</v>
      </c>
      <c r="G2849" t="s">
        <v>13</v>
      </c>
      <c r="H2849" s="1">
        <v>45983.513194444444</v>
      </c>
      <c r="I2849" s="5">
        <f>INT(TB[[#This Row],[时间戳]])</f>
        <v>45983</v>
      </c>
      <c r="J2849" s="2">
        <f>HOUR(TB[[#This Row],[时间戳]])</f>
        <v>12</v>
      </c>
      <c r="K2849">
        <v>79</v>
      </c>
      <c r="L2849">
        <v>2</v>
      </c>
      <c r="M2849">
        <f>TB[[#This Row],[售价]]*TB[[#This Row],[销量]]</f>
        <v>158</v>
      </c>
      <c r="N2849" t="str">
        <f>IF(TB[[#This Row],[售价]]&lt;1000,"低价商品",IF(TB[[#This Row],[售价]]&lt;5000,"中价商品",IF(TB[[#This Row],[售价]]&lt;10000,"高价商品","超高价商品")))</f>
        <v>低价商品</v>
      </c>
    </row>
    <row r="2850" spans="1:14" x14ac:dyDescent="0.2">
      <c r="A2850">
        <v>292</v>
      </c>
      <c r="B2850">
        <v>292</v>
      </c>
      <c r="C2850" t="s">
        <v>20</v>
      </c>
      <c r="D2850" t="s">
        <v>383</v>
      </c>
      <c r="E2850" t="s">
        <v>12</v>
      </c>
      <c r="F2850">
        <v>2</v>
      </c>
      <c r="G2850" t="s">
        <v>13</v>
      </c>
      <c r="H2850" s="1">
        <v>45983.52847222222</v>
      </c>
      <c r="I2850" s="5">
        <f>INT(TB[[#This Row],[时间戳]])</f>
        <v>45983</v>
      </c>
      <c r="J2850" s="2">
        <f>HOUR(TB[[#This Row],[时间戳]])</f>
        <v>12</v>
      </c>
      <c r="K2850">
        <v>10469</v>
      </c>
      <c r="L2850">
        <v>2</v>
      </c>
      <c r="M2850">
        <f>TB[[#This Row],[售价]]*TB[[#This Row],[销量]]</f>
        <v>20938</v>
      </c>
      <c r="N2850" t="str">
        <f>IF(TB[[#This Row],[售价]]&lt;1000,"低价商品",IF(TB[[#This Row],[售价]]&lt;5000,"中价商品",IF(TB[[#This Row],[售价]]&lt;10000,"高价商品","超高价商品")))</f>
        <v>超高价商品</v>
      </c>
    </row>
    <row r="2851" spans="1:14" x14ac:dyDescent="0.2">
      <c r="A2851">
        <v>207</v>
      </c>
      <c r="B2851">
        <v>45</v>
      </c>
      <c r="C2851" t="s">
        <v>14</v>
      </c>
      <c r="D2851" t="s">
        <v>207</v>
      </c>
      <c r="E2851" t="s">
        <v>25</v>
      </c>
      <c r="F2851">
        <v>7</v>
      </c>
      <c r="G2851" t="s">
        <v>13</v>
      </c>
      <c r="H2851" s="1">
        <v>45983.536805555559</v>
      </c>
      <c r="I2851" s="5">
        <f>INT(TB[[#This Row],[时间戳]])</f>
        <v>45983</v>
      </c>
      <c r="J2851" s="2">
        <f>HOUR(TB[[#This Row],[时间戳]])</f>
        <v>12</v>
      </c>
      <c r="K2851">
        <v>3497</v>
      </c>
      <c r="L2851">
        <v>3</v>
      </c>
      <c r="M2851">
        <f>TB[[#This Row],[售价]]*TB[[#This Row],[销量]]</f>
        <v>10491</v>
      </c>
      <c r="N2851" t="str">
        <f>IF(TB[[#This Row],[售价]]&lt;1000,"低价商品",IF(TB[[#This Row],[售价]]&lt;5000,"中价商品",IF(TB[[#This Row],[售价]]&lt;10000,"高价商品","超高价商品")))</f>
        <v>中价商品</v>
      </c>
    </row>
    <row r="2852" spans="1:14" x14ac:dyDescent="0.2">
      <c r="A2852">
        <v>531</v>
      </c>
      <c r="B2852">
        <v>19</v>
      </c>
      <c r="C2852" t="s">
        <v>32</v>
      </c>
      <c r="D2852" t="s">
        <v>314</v>
      </c>
      <c r="E2852" t="s">
        <v>16</v>
      </c>
      <c r="F2852">
        <v>6</v>
      </c>
      <c r="G2852" t="s">
        <v>13</v>
      </c>
      <c r="H2852" s="1">
        <v>45983.556250000001</v>
      </c>
      <c r="I2852" s="5">
        <f>INT(TB[[#This Row],[时间戳]])</f>
        <v>45983</v>
      </c>
      <c r="J2852" s="2">
        <f>HOUR(TB[[#This Row],[时间戳]])</f>
        <v>13</v>
      </c>
      <c r="K2852">
        <v>11143</v>
      </c>
      <c r="L2852">
        <v>1</v>
      </c>
      <c r="M2852">
        <f>TB[[#This Row],[售价]]*TB[[#This Row],[销量]]</f>
        <v>11143</v>
      </c>
      <c r="N2852" t="str">
        <f>IF(TB[[#This Row],[售价]]&lt;1000,"低价商品",IF(TB[[#This Row],[售价]]&lt;5000,"中价商品",IF(TB[[#This Row],[售价]]&lt;10000,"高价商品","超高价商品")))</f>
        <v>超高价商品</v>
      </c>
    </row>
    <row r="2853" spans="1:14" x14ac:dyDescent="0.2">
      <c r="A2853">
        <v>235</v>
      </c>
      <c r="B2853">
        <v>20</v>
      </c>
      <c r="C2853" t="s">
        <v>14</v>
      </c>
      <c r="D2853" t="s">
        <v>30</v>
      </c>
      <c r="E2853" t="s">
        <v>31</v>
      </c>
      <c r="F2853">
        <v>4</v>
      </c>
      <c r="G2853" t="s">
        <v>42</v>
      </c>
      <c r="H2853" s="1">
        <v>45983.561111111114</v>
      </c>
      <c r="I2853" s="5">
        <f>INT(TB[[#This Row],[时间戳]])</f>
        <v>45983</v>
      </c>
      <c r="J2853" s="2">
        <f>HOUR(TB[[#This Row],[时间戳]])</f>
        <v>13</v>
      </c>
      <c r="K2853">
        <v>1055</v>
      </c>
      <c r="L2853">
        <v>0</v>
      </c>
      <c r="M2853">
        <f>TB[[#This Row],[售价]]*TB[[#This Row],[销量]]</f>
        <v>0</v>
      </c>
      <c r="N2853" t="str">
        <f>IF(TB[[#This Row],[售价]]&lt;1000,"低价商品",IF(TB[[#This Row],[售价]]&lt;5000,"中价商品",IF(TB[[#This Row],[售价]]&lt;10000,"高价商品","超高价商品")))</f>
        <v>中价商品</v>
      </c>
    </row>
    <row r="2854" spans="1:14" x14ac:dyDescent="0.2">
      <c r="A2854">
        <v>70</v>
      </c>
      <c r="B2854">
        <v>124</v>
      </c>
      <c r="C2854" t="s">
        <v>14</v>
      </c>
      <c r="D2854" t="s">
        <v>15</v>
      </c>
      <c r="E2854" t="s">
        <v>16</v>
      </c>
      <c r="F2854">
        <v>6</v>
      </c>
      <c r="G2854" t="s">
        <v>13</v>
      </c>
      <c r="H2854" s="1">
        <v>45983.56527777778</v>
      </c>
      <c r="I2854" s="5">
        <f>INT(TB[[#This Row],[时间戳]])</f>
        <v>45983</v>
      </c>
      <c r="J2854" s="2">
        <f>HOUR(TB[[#This Row],[时间戳]])</f>
        <v>13</v>
      </c>
      <c r="K2854">
        <v>8252</v>
      </c>
      <c r="L2854">
        <v>2</v>
      </c>
      <c r="M2854">
        <f>TB[[#This Row],[售价]]*TB[[#This Row],[销量]]</f>
        <v>16504</v>
      </c>
      <c r="N2854" t="str">
        <f>IF(TB[[#This Row],[售价]]&lt;1000,"低价商品",IF(TB[[#This Row],[售价]]&lt;5000,"中价商品",IF(TB[[#This Row],[售价]]&lt;10000,"高价商品","超高价商品")))</f>
        <v>高价商品</v>
      </c>
    </row>
    <row r="2855" spans="1:14" x14ac:dyDescent="0.2">
      <c r="A2855">
        <v>757</v>
      </c>
      <c r="B2855">
        <v>74</v>
      </c>
      <c r="C2855" t="s">
        <v>34</v>
      </c>
      <c r="D2855" t="s">
        <v>253</v>
      </c>
      <c r="E2855" t="s">
        <v>25</v>
      </c>
      <c r="F2855">
        <v>7</v>
      </c>
      <c r="G2855" t="s">
        <v>13</v>
      </c>
      <c r="H2855" s="1">
        <v>45983.611111111109</v>
      </c>
      <c r="I2855" s="5">
        <f>INT(TB[[#This Row],[时间戳]])</f>
        <v>45983</v>
      </c>
      <c r="J2855" s="2">
        <f>HOUR(TB[[#This Row],[时间戳]])</f>
        <v>14</v>
      </c>
      <c r="K2855">
        <v>5186</v>
      </c>
      <c r="L2855">
        <v>3</v>
      </c>
      <c r="M2855">
        <f>TB[[#This Row],[售价]]*TB[[#This Row],[销量]]</f>
        <v>15558</v>
      </c>
      <c r="N2855" t="str">
        <f>IF(TB[[#This Row],[售价]]&lt;1000,"低价商品",IF(TB[[#This Row],[售价]]&lt;5000,"中价商品",IF(TB[[#This Row],[售价]]&lt;10000,"高价商品","超高价商品")))</f>
        <v>高价商品</v>
      </c>
    </row>
    <row r="2856" spans="1:14" x14ac:dyDescent="0.2">
      <c r="A2856">
        <v>516</v>
      </c>
      <c r="B2856">
        <v>97</v>
      </c>
      <c r="C2856" t="s">
        <v>10</v>
      </c>
      <c r="D2856" t="s">
        <v>11</v>
      </c>
      <c r="E2856" t="s">
        <v>12</v>
      </c>
      <c r="F2856">
        <v>2</v>
      </c>
      <c r="G2856" t="s">
        <v>42</v>
      </c>
      <c r="H2856" s="1">
        <v>45983.613194444442</v>
      </c>
      <c r="I2856" s="5">
        <f>INT(TB[[#This Row],[时间戳]])</f>
        <v>45983</v>
      </c>
      <c r="J2856" s="2">
        <f>HOUR(TB[[#This Row],[时间戳]])</f>
        <v>14</v>
      </c>
      <c r="K2856">
        <v>11347</v>
      </c>
      <c r="L2856">
        <v>0</v>
      </c>
      <c r="M2856">
        <f>TB[[#This Row],[售价]]*TB[[#This Row],[销量]]</f>
        <v>0</v>
      </c>
      <c r="N2856" t="str">
        <f>IF(TB[[#This Row],[售价]]&lt;1000,"低价商品",IF(TB[[#This Row],[售价]]&lt;5000,"中价商品",IF(TB[[#This Row],[售价]]&lt;10000,"高价商品","超高价商品")))</f>
        <v>超高价商品</v>
      </c>
    </row>
    <row r="2857" spans="1:14" x14ac:dyDescent="0.2">
      <c r="A2857">
        <v>583</v>
      </c>
      <c r="B2857">
        <v>8</v>
      </c>
      <c r="C2857" t="s">
        <v>34</v>
      </c>
      <c r="D2857" t="s">
        <v>69</v>
      </c>
      <c r="E2857" t="s">
        <v>31</v>
      </c>
      <c r="F2857">
        <v>4</v>
      </c>
      <c r="G2857" t="s">
        <v>42</v>
      </c>
      <c r="H2857" s="1">
        <v>45983.626388888886</v>
      </c>
      <c r="I2857" s="5">
        <f>INT(TB[[#This Row],[时间戳]])</f>
        <v>45983</v>
      </c>
      <c r="J2857" s="2">
        <f>HOUR(TB[[#This Row],[时间戳]])</f>
        <v>15</v>
      </c>
      <c r="K2857">
        <v>651</v>
      </c>
      <c r="L2857">
        <v>0</v>
      </c>
      <c r="M2857">
        <f>TB[[#This Row],[售价]]*TB[[#This Row],[销量]]</f>
        <v>0</v>
      </c>
      <c r="N2857" t="str">
        <f>IF(TB[[#This Row],[售价]]&lt;1000,"低价商品",IF(TB[[#This Row],[售价]]&lt;5000,"中价商品",IF(TB[[#This Row],[售价]]&lt;10000,"高价商品","超高价商品")))</f>
        <v>低价商品</v>
      </c>
    </row>
    <row r="2858" spans="1:14" x14ac:dyDescent="0.2">
      <c r="A2858">
        <v>359</v>
      </c>
      <c r="B2858">
        <v>237</v>
      </c>
      <c r="C2858" t="s">
        <v>36</v>
      </c>
      <c r="D2858" t="s">
        <v>366</v>
      </c>
      <c r="E2858" t="s">
        <v>22</v>
      </c>
      <c r="F2858">
        <v>1</v>
      </c>
      <c r="G2858" t="s">
        <v>13</v>
      </c>
      <c r="H2858" s="1">
        <v>45983.630555555559</v>
      </c>
      <c r="I2858" s="5">
        <f>INT(TB[[#This Row],[时间戳]])</f>
        <v>45983</v>
      </c>
      <c r="J2858" s="2">
        <f>HOUR(TB[[#This Row],[时间戳]])</f>
        <v>15</v>
      </c>
      <c r="K2858">
        <v>2225</v>
      </c>
      <c r="L2858">
        <v>4</v>
      </c>
      <c r="M2858">
        <f>TB[[#This Row],[售价]]*TB[[#This Row],[销量]]</f>
        <v>8900</v>
      </c>
      <c r="N2858" t="str">
        <f>IF(TB[[#This Row],[售价]]&lt;1000,"低价商品",IF(TB[[#This Row],[售价]]&lt;5000,"中价商品",IF(TB[[#This Row],[售价]]&lt;10000,"高价商品","超高价商品")))</f>
        <v>中价商品</v>
      </c>
    </row>
    <row r="2859" spans="1:14" x14ac:dyDescent="0.2">
      <c r="A2859">
        <v>390</v>
      </c>
      <c r="B2859">
        <v>79</v>
      </c>
      <c r="C2859" t="s">
        <v>10</v>
      </c>
      <c r="D2859" t="s">
        <v>183</v>
      </c>
      <c r="E2859" t="s">
        <v>22</v>
      </c>
      <c r="F2859">
        <v>1</v>
      </c>
      <c r="G2859" t="s">
        <v>13</v>
      </c>
      <c r="H2859" s="1">
        <v>45983.631249999999</v>
      </c>
      <c r="I2859" s="5">
        <f>INT(TB[[#This Row],[时间戳]])</f>
        <v>45983</v>
      </c>
      <c r="J2859" s="2">
        <f>HOUR(TB[[#This Row],[时间戳]])</f>
        <v>15</v>
      </c>
      <c r="K2859">
        <v>2772</v>
      </c>
      <c r="L2859">
        <v>1</v>
      </c>
      <c r="M2859">
        <f>TB[[#This Row],[售价]]*TB[[#This Row],[销量]]</f>
        <v>2772</v>
      </c>
      <c r="N2859" t="str">
        <f>IF(TB[[#This Row],[售价]]&lt;1000,"低价商品",IF(TB[[#This Row],[售价]]&lt;5000,"中价商品",IF(TB[[#This Row],[售价]]&lt;10000,"高价商品","超高价商品")))</f>
        <v>中价商品</v>
      </c>
    </row>
    <row r="2860" spans="1:14" x14ac:dyDescent="0.2">
      <c r="A2860">
        <v>189</v>
      </c>
      <c r="B2860">
        <v>100</v>
      </c>
      <c r="C2860" t="s">
        <v>14</v>
      </c>
      <c r="D2860" t="s">
        <v>186</v>
      </c>
      <c r="E2860" t="s">
        <v>25</v>
      </c>
      <c r="F2860">
        <v>7</v>
      </c>
      <c r="G2860" t="s">
        <v>13</v>
      </c>
      <c r="H2860" s="1">
        <v>45983.631944444445</v>
      </c>
      <c r="I2860" s="5">
        <f>INT(TB[[#This Row],[时间戳]])</f>
        <v>45983</v>
      </c>
      <c r="J2860" s="2">
        <f>HOUR(TB[[#This Row],[时间戳]])</f>
        <v>15</v>
      </c>
      <c r="K2860">
        <v>3948</v>
      </c>
      <c r="L2860">
        <v>2</v>
      </c>
      <c r="M2860">
        <f>TB[[#This Row],[售价]]*TB[[#This Row],[销量]]</f>
        <v>7896</v>
      </c>
      <c r="N2860" t="str">
        <f>IF(TB[[#This Row],[售价]]&lt;1000,"低价商品",IF(TB[[#This Row],[售价]]&lt;5000,"中价商品",IF(TB[[#This Row],[售价]]&lt;10000,"高价商品","超高价商品")))</f>
        <v>中价商品</v>
      </c>
    </row>
    <row r="2861" spans="1:14" x14ac:dyDescent="0.2">
      <c r="A2861">
        <v>452</v>
      </c>
      <c r="B2861">
        <v>36</v>
      </c>
      <c r="C2861" t="s">
        <v>44</v>
      </c>
      <c r="D2861" t="s">
        <v>243</v>
      </c>
      <c r="E2861" t="s">
        <v>31</v>
      </c>
      <c r="F2861">
        <v>4</v>
      </c>
      <c r="G2861" t="s">
        <v>13</v>
      </c>
      <c r="H2861" s="1">
        <v>45983.635416666664</v>
      </c>
      <c r="I2861" s="5">
        <f>INT(TB[[#This Row],[时间戳]])</f>
        <v>45983</v>
      </c>
      <c r="J2861" s="2">
        <f>HOUR(TB[[#This Row],[时间戳]])</f>
        <v>15</v>
      </c>
      <c r="K2861">
        <v>873</v>
      </c>
      <c r="L2861">
        <v>1</v>
      </c>
      <c r="M2861">
        <f>TB[[#This Row],[售价]]*TB[[#This Row],[销量]]</f>
        <v>873</v>
      </c>
      <c r="N2861" t="str">
        <f>IF(TB[[#This Row],[售价]]&lt;1000,"低价商品",IF(TB[[#This Row],[售价]]&lt;5000,"中价商品",IF(TB[[#This Row],[售价]]&lt;10000,"高价商品","超高价商品")))</f>
        <v>低价商品</v>
      </c>
    </row>
    <row r="2862" spans="1:14" x14ac:dyDescent="0.2">
      <c r="A2862">
        <v>571</v>
      </c>
      <c r="B2862">
        <v>83</v>
      </c>
      <c r="C2862" t="s">
        <v>20</v>
      </c>
      <c r="D2862" t="s">
        <v>383</v>
      </c>
      <c r="E2862" t="s">
        <v>12</v>
      </c>
      <c r="F2862">
        <v>2</v>
      </c>
      <c r="G2862" t="s">
        <v>13</v>
      </c>
      <c r="H2862" s="1">
        <v>45983.67291666667</v>
      </c>
      <c r="I2862" s="5">
        <f>INT(TB[[#This Row],[时间戳]])</f>
        <v>45983</v>
      </c>
      <c r="J2862" s="2">
        <f>HOUR(TB[[#This Row],[时间戳]])</f>
        <v>16</v>
      </c>
      <c r="K2862">
        <v>8134</v>
      </c>
      <c r="L2862">
        <v>2</v>
      </c>
      <c r="M2862">
        <f>TB[[#This Row],[售价]]*TB[[#This Row],[销量]]</f>
        <v>16268</v>
      </c>
      <c r="N2862" t="str">
        <f>IF(TB[[#This Row],[售价]]&lt;1000,"低价商品",IF(TB[[#This Row],[售价]]&lt;5000,"中价商品",IF(TB[[#This Row],[售价]]&lt;10000,"高价商品","超高价商品")))</f>
        <v>高价商品</v>
      </c>
    </row>
    <row r="2863" spans="1:14" x14ac:dyDescent="0.2">
      <c r="A2863">
        <v>115</v>
      </c>
      <c r="B2863">
        <v>34</v>
      </c>
      <c r="C2863" t="s">
        <v>34</v>
      </c>
      <c r="D2863" t="s">
        <v>69</v>
      </c>
      <c r="E2863" t="s">
        <v>31</v>
      </c>
      <c r="F2863">
        <v>4</v>
      </c>
      <c r="G2863" t="s">
        <v>42</v>
      </c>
      <c r="H2863" s="1">
        <v>45983.679166666669</v>
      </c>
      <c r="I2863" s="5">
        <f>INT(TB[[#This Row],[时间戳]])</f>
        <v>45983</v>
      </c>
      <c r="J2863" s="2">
        <f>HOUR(TB[[#This Row],[时间戳]])</f>
        <v>16</v>
      </c>
      <c r="K2863">
        <v>423</v>
      </c>
      <c r="L2863">
        <v>0</v>
      </c>
      <c r="M2863">
        <f>TB[[#This Row],[售价]]*TB[[#This Row],[销量]]</f>
        <v>0</v>
      </c>
      <c r="N2863" t="str">
        <f>IF(TB[[#This Row],[售价]]&lt;1000,"低价商品",IF(TB[[#This Row],[售价]]&lt;5000,"中价商品",IF(TB[[#This Row],[售价]]&lt;10000,"高价商品","超高价商品")))</f>
        <v>低价商品</v>
      </c>
    </row>
    <row r="2864" spans="1:14" x14ac:dyDescent="0.2">
      <c r="A2864">
        <v>634</v>
      </c>
      <c r="B2864">
        <v>87</v>
      </c>
      <c r="C2864" t="s">
        <v>20</v>
      </c>
      <c r="D2864" t="s">
        <v>394</v>
      </c>
      <c r="E2864" t="s">
        <v>39</v>
      </c>
      <c r="F2864">
        <v>5</v>
      </c>
      <c r="G2864" t="s">
        <v>42</v>
      </c>
      <c r="H2864" s="1">
        <v>45983.734027777777</v>
      </c>
      <c r="I2864" s="5">
        <f>INT(TB[[#This Row],[时间戳]])</f>
        <v>45983</v>
      </c>
      <c r="J2864" s="2">
        <f>HOUR(TB[[#This Row],[时间戳]])</f>
        <v>17</v>
      </c>
      <c r="K2864">
        <v>2544</v>
      </c>
      <c r="L2864">
        <v>0</v>
      </c>
      <c r="M2864">
        <f>TB[[#This Row],[售价]]*TB[[#This Row],[销量]]</f>
        <v>0</v>
      </c>
      <c r="N2864" t="str">
        <f>IF(TB[[#This Row],[售价]]&lt;1000,"低价商品",IF(TB[[#This Row],[售价]]&lt;5000,"中价商品",IF(TB[[#This Row],[售价]]&lt;10000,"高价商品","超高价商品")))</f>
        <v>中价商品</v>
      </c>
    </row>
    <row r="2865" spans="1:14" x14ac:dyDescent="0.2">
      <c r="A2865">
        <v>147</v>
      </c>
      <c r="B2865">
        <v>54</v>
      </c>
      <c r="C2865" t="s">
        <v>34</v>
      </c>
      <c r="D2865" t="s">
        <v>325</v>
      </c>
      <c r="E2865" t="s">
        <v>25</v>
      </c>
      <c r="F2865">
        <v>7</v>
      </c>
      <c r="G2865" t="s">
        <v>13</v>
      </c>
      <c r="H2865" s="1">
        <v>45983.75</v>
      </c>
      <c r="I2865" s="5">
        <f>INT(TB[[#This Row],[时间戳]])</f>
        <v>45983</v>
      </c>
      <c r="J2865" s="2">
        <f>HOUR(TB[[#This Row],[时间戳]])</f>
        <v>18</v>
      </c>
      <c r="K2865">
        <v>7395</v>
      </c>
      <c r="L2865">
        <v>2</v>
      </c>
      <c r="M2865">
        <f>TB[[#This Row],[售价]]*TB[[#This Row],[销量]]</f>
        <v>14790</v>
      </c>
      <c r="N2865" t="str">
        <f>IF(TB[[#This Row],[售价]]&lt;1000,"低价商品",IF(TB[[#This Row],[售价]]&lt;5000,"中价商品",IF(TB[[#This Row],[售价]]&lt;10000,"高价商品","超高价商品")))</f>
        <v>高价商品</v>
      </c>
    </row>
    <row r="2866" spans="1:14" x14ac:dyDescent="0.2">
      <c r="A2866">
        <v>577</v>
      </c>
      <c r="B2866">
        <v>30</v>
      </c>
      <c r="C2866" t="s">
        <v>17</v>
      </c>
      <c r="D2866" t="s">
        <v>18</v>
      </c>
      <c r="E2866" t="s">
        <v>19</v>
      </c>
      <c r="F2866">
        <v>3</v>
      </c>
      <c r="G2866" t="s">
        <v>13</v>
      </c>
      <c r="H2866" s="1">
        <v>45983.760416666664</v>
      </c>
      <c r="I2866" s="5">
        <f>INT(TB[[#This Row],[时间戳]])</f>
        <v>45983</v>
      </c>
      <c r="J2866" s="2">
        <f>HOUR(TB[[#This Row],[时间戳]])</f>
        <v>18</v>
      </c>
      <c r="K2866">
        <v>3217</v>
      </c>
      <c r="L2866">
        <v>3</v>
      </c>
      <c r="M2866">
        <f>TB[[#This Row],[售价]]*TB[[#This Row],[销量]]</f>
        <v>9651</v>
      </c>
      <c r="N2866" t="str">
        <f>IF(TB[[#This Row],[售价]]&lt;1000,"低价商品",IF(TB[[#This Row],[售价]]&lt;5000,"中价商品",IF(TB[[#This Row],[售价]]&lt;10000,"高价商品","超高价商品")))</f>
        <v>中价商品</v>
      </c>
    </row>
    <row r="2867" spans="1:14" x14ac:dyDescent="0.2">
      <c r="A2867">
        <v>230</v>
      </c>
      <c r="B2867">
        <v>19</v>
      </c>
      <c r="C2867" t="s">
        <v>46</v>
      </c>
      <c r="D2867" t="s">
        <v>315</v>
      </c>
      <c r="E2867" t="s">
        <v>12</v>
      </c>
      <c r="F2867">
        <v>2</v>
      </c>
      <c r="G2867" t="s">
        <v>42</v>
      </c>
      <c r="H2867" s="1">
        <v>45983.776388888888</v>
      </c>
      <c r="I2867" s="5">
        <f>INT(TB[[#This Row],[时间戳]])</f>
        <v>45983</v>
      </c>
      <c r="J2867" s="2">
        <f>HOUR(TB[[#This Row],[时间戳]])</f>
        <v>18</v>
      </c>
      <c r="K2867">
        <v>10542</v>
      </c>
      <c r="L2867">
        <v>0</v>
      </c>
      <c r="M2867">
        <f>TB[[#This Row],[售价]]*TB[[#This Row],[销量]]</f>
        <v>0</v>
      </c>
      <c r="N2867" t="str">
        <f>IF(TB[[#This Row],[售价]]&lt;1000,"低价商品",IF(TB[[#This Row],[售价]]&lt;5000,"中价商品",IF(TB[[#This Row],[售价]]&lt;10000,"高价商品","超高价商品")))</f>
        <v>超高价商品</v>
      </c>
    </row>
    <row r="2868" spans="1:14" x14ac:dyDescent="0.2">
      <c r="A2868">
        <v>586</v>
      </c>
      <c r="B2868">
        <v>198</v>
      </c>
      <c r="C2868" t="s">
        <v>10</v>
      </c>
      <c r="D2868" t="s">
        <v>256</v>
      </c>
      <c r="E2868" t="s">
        <v>19</v>
      </c>
      <c r="F2868">
        <v>3</v>
      </c>
      <c r="G2868" t="s">
        <v>13</v>
      </c>
      <c r="H2868" s="1">
        <v>45983.790277777778</v>
      </c>
      <c r="I2868" s="5">
        <f>INT(TB[[#This Row],[时间戳]])</f>
        <v>45983</v>
      </c>
      <c r="J2868" s="2">
        <f>HOUR(TB[[#This Row],[时间戳]])</f>
        <v>18</v>
      </c>
      <c r="K2868">
        <v>5806</v>
      </c>
      <c r="L2868">
        <v>3</v>
      </c>
      <c r="M2868">
        <f>TB[[#This Row],[售价]]*TB[[#This Row],[销量]]</f>
        <v>17418</v>
      </c>
      <c r="N2868" t="str">
        <f>IF(TB[[#This Row],[售价]]&lt;1000,"低价商品",IF(TB[[#This Row],[售价]]&lt;5000,"中价商品",IF(TB[[#This Row],[售价]]&lt;10000,"高价商品","超高价商品")))</f>
        <v>高价商品</v>
      </c>
    </row>
    <row r="2869" spans="1:14" x14ac:dyDescent="0.2">
      <c r="A2869">
        <v>461</v>
      </c>
      <c r="B2869">
        <v>122</v>
      </c>
      <c r="C2869" t="s">
        <v>46</v>
      </c>
      <c r="D2869" t="s">
        <v>211</v>
      </c>
      <c r="E2869" t="s">
        <v>31</v>
      </c>
      <c r="F2869">
        <v>4</v>
      </c>
      <c r="G2869" t="s">
        <v>13</v>
      </c>
      <c r="H2869" s="1">
        <v>45983.815972222219</v>
      </c>
      <c r="I2869" s="5">
        <f>INT(TB[[#This Row],[时间戳]])</f>
        <v>45983</v>
      </c>
      <c r="J2869" s="2">
        <f>HOUR(TB[[#This Row],[时间戳]])</f>
        <v>19</v>
      </c>
      <c r="K2869">
        <v>779</v>
      </c>
      <c r="L2869">
        <v>3</v>
      </c>
      <c r="M2869">
        <f>TB[[#This Row],[售价]]*TB[[#This Row],[销量]]</f>
        <v>2337</v>
      </c>
      <c r="N2869" t="str">
        <f>IF(TB[[#This Row],[售价]]&lt;1000,"低价商品",IF(TB[[#This Row],[售价]]&lt;5000,"中价商品",IF(TB[[#This Row],[售价]]&lt;10000,"高价商品","超高价商品")))</f>
        <v>低价商品</v>
      </c>
    </row>
    <row r="2870" spans="1:14" x14ac:dyDescent="0.2">
      <c r="A2870">
        <v>354</v>
      </c>
      <c r="B2870">
        <v>233</v>
      </c>
      <c r="C2870" t="s">
        <v>46</v>
      </c>
      <c r="D2870" t="s">
        <v>260</v>
      </c>
      <c r="E2870" t="s">
        <v>22</v>
      </c>
      <c r="F2870">
        <v>1</v>
      </c>
      <c r="G2870" t="s">
        <v>42</v>
      </c>
      <c r="H2870" s="1">
        <v>45983.822222222225</v>
      </c>
      <c r="I2870" s="5">
        <f>INT(TB[[#This Row],[时间戳]])</f>
        <v>45983</v>
      </c>
      <c r="J2870" s="2">
        <f>HOUR(TB[[#This Row],[时间戳]])</f>
        <v>19</v>
      </c>
      <c r="K2870">
        <v>6645</v>
      </c>
      <c r="L2870">
        <v>0</v>
      </c>
      <c r="M2870">
        <f>TB[[#This Row],[售价]]*TB[[#This Row],[销量]]</f>
        <v>0</v>
      </c>
      <c r="N2870" t="str">
        <f>IF(TB[[#This Row],[售价]]&lt;1000,"低价商品",IF(TB[[#This Row],[售价]]&lt;5000,"中价商品",IF(TB[[#This Row],[售价]]&lt;10000,"高价商品","超高价商品")))</f>
        <v>高价商品</v>
      </c>
    </row>
    <row r="2871" spans="1:14" x14ac:dyDescent="0.2">
      <c r="A2871">
        <v>369</v>
      </c>
      <c r="B2871">
        <v>115</v>
      </c>
      <c r="C2871" t="s">
        <v>44</v>
      </c>
      <c r="D2871" t="s">
        <v>301</v>
      </c>
      <c r="E2871" t="s">
        <v>22</v>
      </c>
      <c r="F2871">
        <v>1</v>
      </c>
      <c r="G2871" t="s">
        <v>42</v>
      </c>
      <c r="H2871" s="1">
        <v>45983.830555555556</v>
      </c>
      <c r="I2871" s="5">
        <f>INT(TB[[#This Row],[时间戳]])</f>
        <v>45983</v>
      </c>
      <c r="J2871" s="2">
        <f>HOUR(TB[[#This Row],[时间戳]])</f>
        <v>19</v>
      </c>
      <c r="K2871">
        <v>4803</v>
      </c>
      <c r="L2871">
        <v>0</v>
      </c>
      <c r="M2871">
        <f>TB[[#This Row],[售价]]*TB[[#This Row],[销量]]</f>
        <v>0</v>
      </c>
      <c r="N2871" t="str">
        <f>IF(TB[[#This Row],[售价]]&lt;1000,"低价商品",IF(TB[[#This Row],[售价]]&lt;5000,"中价商品",IF(TB[[#This Row],[售价]]&lt;10000,"高价商品","超高价商品")))</f>
        <v>中价商品</v>
      </c>
    </row>
    <row r="2872" spans="1:14" x14ac:dyDescent="0.2">
      <c r="A2872">
        <v>264</v>
      </c>
      <c r="B2872">
        <v>83</v>
      </c>
      <c r="C2872" t="s">
        <v>26</v>
      </c>
      <c r="D2872" t="s">
        <v>171</v>
      </c>
      <c r="E2872" t="s">
        <v>12</v>
      </c>
      <c r="F2872">
        <v>2</v>
      </c>
      <c r="G2872" t="s">
        <v>13</v>
      </c>
      <c r="H2872" s="1">
        <v>45983.871527777781</v>
      </c>
      <c r="I2872" s="5">
        <f>INT(TB[[#This Row],[时间戳]])</f>
        <v>45983</v>
      </c>
      <c r="J2872" s="2">
        <f>HOUR(TB[[#This Row],[时间戳]])</f>
        <v>20</v>
      </c>
      <c r="K2872">
        <v>6311</v>
      </c>
      <c r="L2872">
        <v>2</v>
      </c>
      <c r="M2872">
        <f>TB[[#This Row],[售价]]*TB[[#This Row],[销量]]</f>
        <v>12622</v>
      </c>
      <c r="N2872" t="str">
        <f>IF(TB[[#This Row],[售价]]&lt;1000,"低价商品",IF(TB[[#This Row],[售价]]&lt;5000,"中价商品",IF(TB[[#This Row],[售价]]&lt;10000,"高价商品","超高价商品")))</f>
        <v>高价商品</v>
      </c>
    </row>
    <row r="2873" spans="1:14" x14ac:dyDescent="0.2">
      <c r="A2873">
        <v>308</v>
      </c>
      <c r="B2873">
        <v>74</v>
      </c>
      <c r="C2873" t="s">
        <v>10</v>
      </c>
      <c r="D2873" t="s">
        <v>351</v>
      </c>
      <c r="E2873" t="s">
        <v>31</v>
      </c>
      <c r="F2873">
        <v>4</v>
      </c>
      <c r="G2873" t="s">
        <v>13</v>
      </c>
      <c r="H2873" s="1">
        <v>45983.925694444442</v>
      </c>
      <c r="I2873" s="5">
        <f>INT(TB[[#This Row],[时间戳]])</f>
        <v>45983</v>
      </c>
      <c r="J2873" s="2">
        <f>HOUR(TB[[#This Row],[时间戳]])</f>
        <v>22</v>
      </c>
      <c r="K2873">
        <v>981</v>
      </c>
      <c r="L2873">
        <v>3</v>
      </c>
      <c r="M2873">
        <f>TB[[#This Row],[售价]]*TB[[#This Row],[销量]]</f>
        <v>2943</v>
      </c>
      <c r="N2873" t="str">
        <f>IF(TB[[#This Row],[售价]]&lt;1000,"低价商品",IF(TB[[#This Row],[售价]]&lt;5000,"中价商品",IF(TB[[#This Row],[售价]]&lt;10000,"高价商品","超高价商品")))</f>
        <v>低价商品</v>
      </c>
    </row>
    <row r="2874" spans="1:14" x14ac:dyDescent="0.2">
      <c r="A2874">
        <v>233</v>
      </c>
      <c r="B2874">
        <v>206</v>
      </c>
      <c r="C2874" t="s">
        <v>17</v>
      </c>
      <c r="D2874" t="s">
        <v>191</v>
      </c>
      <c r="E2874" t="s">
        <v>39</v>
      </c>
      <c r="F2874">
        <v>5</v>
      </c>
      <c r="G2874" t="s">
        <v>13</v>
      </c>
      <c r="H2874" s="1">
        <v>45983.966666666667</v>
      </c>
      <c r="I2874" s="5">
        <f>INT(TB[[#This Row],[时间戳]])</f>
        <v>45983</v>
      </c>
      <c r="J2874" s="2">
        <f>HOUR(TB[[#This Row],[时间戳]])</f>
        <v>23</v>
      </c>
      <c r="K2874">
        <v>1009</v>
      </c>
      <c r="L2874">
        <v>2</v>
      </c>
      <c r="M2874">
        <f>TB[[#This Row],[售价]]*TB[[#This Row],[销量]]</f>
        <v>2018</v>
      </c>
      <c r="N2874" t="str">
        <f>IF(TB[[#This Row],[售价]]&lt;1000,"低价商品",IF(TB[[#This Row],[售价]]&lt;5000,"中价商品",IF(TB[[#This Row],[售价]]&lt;10000,"高价商品","超高价商品")))</f>
        <v>中价商品</v>
      </c>
    </row>
    <row r="2875" spans="1:14" x14ac:dyDescent="0.2">
      <c r="A2875">
        <v>416</v>
      </c>
      <c r="B2875">
        <v>216</v>
      </c>
      <c r="C2875" t="s">
        <v>34</v>
      </c>
      <c r="D2875" t="s">
        <v>308</v>
      </c>
      <c r="E2875" t="s">
        <v>25</v>
      </c>
      <c r="F2875">
        <v>7</v>
      </c>
      <c r="G2875" t="s">
        <v>13</v>
      </c>
      <c r="H2875" s="1">
        <v>45983.976388888892</v>
      </c>
      <c r="I2875" s="5">
        <f>INT(TB[[#This Row],[时间戳]])</f>
        <v>45983</v>
      </c>
      <c r="J2875" s="2">
        <f>HOUR(TB[[#This Row],[时间戳]])</f>
        <v>23</v>
      </c>
      <c r="K2875">
        <v>2644</v>
      </c>
      <c r="L2875">
        <v>1</v>
      </c>
      <c r="M2875">
        <f>TB[[#This Row],[售价]]*TB[[#This Row],[销量]]</f>
        <v>2644</v>
      </c>
      <c r="N2875" t="str">
        <f>IF(TB[[#This Row],[售价]]&lt;1000,"低价商品",IF(TB[[#This Row],[售价]]&lt;5000,"中价商品",IF(TB[[#This Row],[售价]]&lt;10000,"高价商品","超高价商品")))</f>
        <v>中价商品</v>
      </c>
    </row>
    <row r="2876" spans="1:14" x14ac:dyDescent="0.2">
      <c r="A2876">
        <v>398</v>
      </c>
      <c r="B2876">
        <v>238</v>
      </c>
      <c r="C2876" t="s">
        <v>44</v>
      </c>
      <c r="D2876" t="s">
        <v>163</v>
      </c>
      <c r="E2876" t="s">
        <v>12</v>
      </c>
      <c r="F2876">
        <v>2</v>
      </c>
      <c r="G2876" t="s">
        <v>13</v>
      </c>
      <c r="H2876" s="1">
        <v>45984.004166666666</v>
      </c>
      <c r="I2876" s="5">
        <f>INT(TB[[#This Row],[时间戳]])</f>
        <v>45984</v>
      </c>
      <c r="J2876" s="2">
        <f>HOUR(TB[[#This Row],[时间戳]])</f>
        <v>0</v>
      </c>
      <c r="K2876">
        <v>10879</v>
      </c>
      <c r="L2876">
        <v>1</v>
      </c>
      <c r="M2876">
        <f>TB[[#This Row],[售价]]*TB[[#This Row],[销量]]</f>
        <v>10879</v>
      </c>
      <c r="N2876" t="str">
        <f>IF(TB[[#This Row],[售价]]&lt;1000,"低价商品",IF(TB[[#This Row],[售价]]&lt;5000,"中价商品",IF(TB[[#This Row],[售价]]&lt;10000,"高价商品","超高价商品")))</f>
        <v>超高价商品</v>
      </c>
    </row>
    <row r="2877" spans="1:14" x14ac:dyDescent="0.2">
      <c r="A2877">
        <v>409</v>
      </c>
      <c r="B2877">
        <v>69</v>
      </c>
      <c r="C2877" t="s">
        <v>34</v>
      </c>
      <c r="D2877" t="s">
        <v>105</v>
      </c>
      <c r="E2877" t="s">
        <v>12</v>
      </c>
      <c r="F2877">
        <v>2</v>
      </c>
      <c r="G2877" t="s">
        <v>13</v>
      </c>
      <c r="H2877" s="1">
        <v>45984.01666666667</v>
      </c>
      <c r="I2877" s="5">
        <f>INT(TB[[#This Row],[时间戳]])</f>
        <v>45984</v>
      </c>
      <c r="J2877" s="2">
        <f>HOUR(TB[[#This Row],[时间戳]])</f>
        <v>0</v>
      </c>
      <c r="K2877">
        <v>9928</v>
      </c>
      <c r="L2877">
        <v>2</v>
      </c>
      <c r="M2877">
        <f>TB[[#This Row],[售价]]*TB[[#This Row],[销量]]</f>
        <v>19856</v>
      </c>
      <c r="N2877" t="str">
        <f>IF(TB[[#This Row],[售价]]&lt;1000,"低价商品",IF(TB[[#This Row],[售价]]&lt;5000,"中价商品",IF(TB[[#This Row],[售价]]&lt;10000,"高价商品","超高价商品")))</f>
        <v>高价商品</v>
      </c>
    </row>
    <row r="2878" spans="1:14" x14ac:dyDescent="0.2">
      <c r="A2878">
        <v>223</v>
      </c>
      <c r="B2878">
        <v>98</v>
      </c>
      <c r="C2878" t="s">
        <v>32</v>
      </c>
      <c r="D2878" t="s">
        <v>275</v>
      </c>
      <c r="E2878" t="s">
        <v>22</v>
      </c>
      <c r="F2878">
        <v>1</v>
      </c>
      <c r="G2878" t="s">
        <v>13</v>
      </c>
      <c r="H2878" s="1">
        <v>45984.029166666667</v>
      </c>
      <c r="I2878" s="5">
        <f>INT(TB[[#This Row],[时间戳]])</f>
        <v>45984</v>
      </c>
      <c r="J2878" s="2">
        <f>HOUR(TB[[#This Row],[时间戳]])</f>
        <v>0</v>
      </c>
      <c r="K2878">
        <v>6996</v>
      </c>
      <c r="L2878">
        <v>1</v>
      </c>
      <c r="M2878">
        <f>TB[[#This Row],[售价]]*TB[[#This Row],[销量]]</f>
        <v>6996</v>
      </c>
      <c r="N2878" t="str">
        <f>IF(TB[[#This Row],[售价]]&lt;1000,"低价商品",IF(TB[[#This Row],[售价]]&lt;5000,"中价商品",IF(TB[[#This Row],[售价]]&lt;10000,"高价商品","超高价商品")))</f>
        <v>高价商品</v>
      </c>
    </row>
    <row r="2879" spans="1:14" x14ac:dyDescent="0.2">
      <c r="A2879">
        <v>475</v>
      </c>
      <c r="B2879">
        <v>281</v>
      </c>
      <c r="C2879" t="s">
        <v>46</v>
      </c>
      <c r="D2879" t="s">
        <v>104</v>
      </c>
      <c r="E2879" t="s">
        <v>12</v>
      </c>
      <c r="F2879">
        <v>2</v>
      </c>
      <c r="G2879" t="s">
        <v>13</v>
      </c>
      <c r="H2879" s="1">
        <v>45984.033333333333</v>
      </c>
      <c r="I2879" s="5">
        <f>INT(TB[[#This Row],[时间戳]])</f>
        <v>45984</v>
      </c>
      <c r="J2879" s="2">
        <f>HOUR(TB[[#This Row],[时间戳]])</f>
        <v>0</v>
      </c>
      <c r="K2879">
        <v>13211</v>
      </c>
      <c r="L2879">
        <v>4</v>
      </c>
      <c r="M2879">
        <f>TB[[#This Row],[售价]]*TB[[#This Row],[销量]]</f>
        <v>52844</v>
      </c>
      <c r="N2879" t="str">
        <f>IF(TB[[#This Row],[售价]]&lt;1000,"低价商品",IF(TB[[#This Row],[售价]]&lt;5000,"中价商品",IF(TB[[#This Row],[售价]]&lt;10000,"高价商品","超高价商品")))</f>
        <v>超高价商品</v>
      </c>
    </row>
    <row r="2880" spans="1:14" x14ac:dyDescent="0.2">
      <c r="A2880">
        <v>403</v>
      </c>
      <c r="B2880">
        <v>73</v>
      </c>
      <c r="C2880" t="s">
        <v>36</v>
      </c>
      <c r="D2880" t="s">
        <v>238</v>
      </c>
      <c r="E2880" t="s">
        <v>12</v>
      </c>
      <c r="F2880">
        <v>2</v>
      </c>
      <c r="G2880" t="s">
        <v>13</v>
      </c>
      <c r="H2880" s="1">
        <v>45984.05</v>
      </c>
      <c r="I2880" s="5">
        <f>INT(TB[[#This Row],[时间戳]])</f>
        <v>45984</v>
      </c>
      <c r="J2880" s="2">
        <f>HOUR(TB[[#This Row],[时间戳]])</f>
        <v>1</v>
      </c>
      <c r="K2880">
        <v>10679</v>
      </c>
      <c r="L2880">
        <v>2</v>
      </c>
      <c r="M2880">
        <f>TB[[#This Row],[售价]]*TB[[#This Row],[销量]]</f>
        <v>21358</v>
      </c>
      <c r="N2880" t="str">
        <f>IF(TB[[#This Row],[售价]]&lt;1000,"低价商品",IF(TB[[#This Row],[售价]]&lt;5000,"中价商品",IF(TB[[#This Row],[售价]]&lt;10000,"高价商品","超高价商品")))</f>
        <v>超高价商品</v>
      </c>
    </row>
    <row r="2881" spans="1:14" x14ac:dyDescent="0.2">
      <c r="A2881">
        <v>308</v>
      </c>
      <c r="B2881">
        <v>212</v>
      </c>
      <c r="C2881" t="s">
        <v>20</v>
      </c>
      <c r="D2881" t="s">
        <v>113</v>
      </c>
      <c r="E2881" t="s">
        <v>31</v>
      </c>
      <c r="F2881">
        <v>4</v>
      </c>
      <c r="G2881" t="s">
        <v>13</v>
      </c>
      <c r="H2881" s="1">
        <v>45984.053472222222</v>
      </c>
      <c r="I2881" s="5">
        <f>INT(TB[[#This Row],[时间戳]])</f>
        <v>45984</v>
      </c>
      <c r="J2881" s="2">
        <f>HOUR(TB[[#This Row],[时间戳]])</f>
        <v>1</v>
      </c>
      <c r="K2881">
        <v>868</v>
      </c>
      <c r="L2881">
        <v>1</v>
      </c>
      <c r="M2881">
        <f>TB[[#This Row],[售价]]*TB[[#This Row],[销量]]</f>
        <v>868</v>
      </c>
      <c r="N2881" t="str">
        <f>IF(TB[[#This Row],[售价]]&lt;1000,"低价商品",IF(TB[[#This Row],[售价]]&lt;5000,"中价商品",IF(TB[[#This Row],[售价]]&lt;10000,"高价商品","超高价商品")))</f>
        <v>低价商品</v>
      </c>
    </row>
    <row r="2882" spans="1:14" x14ac:dyDescent="0.2">
      <c r="A2882">
        <v>565</v>
      </c>
      <c r="B2882">
        <v>81</v>
      </c>
      <c r="C2882" t="s">
        <v>32</v>
      </c>
      <c r="D2882" t="s">
        <v>224</v>
      </c>
      <c r="E2882" t="s">
        <v>25</v>
      </c>
      <c r="F2882">
        <v>7</v>
      </c>
      <c r="G2882" t="s">
        <v>13</v>
      </c>
      <c r="H2882" s="1">
        <v>45984.061111111114</v>
      </c>
      <c r="I2882" s="5">
        <f>INT(TB[[#This Row],[时间戳]])</f>
        <v>45984</v>
      </c>
      <c r="J2882" s="2">
        <f>HOUR(TB[[#This Row],[时间戳]])</f>
        <v>1</v>
      </c>
      <c r="K2882">
        <v>1818</v>
      </c>
      <c r="L2882">
        <v>4</v>
      </c>
      <c r="M2882">
        <f>TB[[#This Row],[售价]]*TB[[#This Row],[销量]]</f>
        <v>7272</v>
      </c>
      <c r="N2882" t="str">
        <f>IF(TB[[#This Row],[售价]]&lt;1000,"低价商品",IF(TB[[#This Row],[售价]]&lt;5000,"中价商品",IF(TB[[#This Row],[售价]]&lt;10000,"高价商品","超高价商品")))</f>
        <v>中价商品</v>
      </c>
    </row>
    <row r="2883" spans="1:14" x14ac:dyDescent="0.2">
      <c r="A2883">
        <v>185</v>
      </c>
      <c r="B2883">
        <v>227</v>
      </c>
      <c r="C2883" t="s">
        <v>20</v>
      </c>
      <c r="D2883" t="s">
        <v>353</v>
      </c>
      <c r="E2883" t="s">
        <v>25</v>
      </c>
      <c r="F2883">
        <v>7</v>
      </c>
      <c r="G2883" t="s">
        <v>13</v>
      </c>
      <c r="H2883" s="1">
        <v>45984.09652777778</v>
      </c>
      <c r="I2883" s="5">
        <f>INT(TB[[#This Row],[时间戳]])</f>
        <v>45984</v>
      </c>
      <c r="J2883" s="2">
        <f>HOUR(TB[[#This Row],[时间戳]])</f>
        <v>2</v>
      </c>
      <c r="K2883">
        <v>6899</v>
      </c>
      <c r="L2883">
        <v>3</v>
      </c>
      <c r="M2883">
        <f>TB[[#This Row],[售价]]*TB[[#This Row],[销量]]</f>
        <v>20697</v>
      </c>
      <c r="N2883" t="str">
        <f>IF(TB[[#This Row],[售价]]&lt;1000,"低价商品",IF(TB[[#This Row],[售价]]&lt;5000,"中价商品",IF(TB[[#This Row],[售价]]&lt;10000,"高价商品","超高价商品")))</f>
        <v>高价商品</v>
      </c>
    </row>
    <row r="2884" spans="1:14" x14ac:dyDescent="0.2">
      <c r="A2884">
        <v>582</v>
      </c>
      <c r="B2884">
        <v>89</v>
      </c>
      <c r="C2884" t="s">
        <v>32</v>
      </c>
      <c r="D2884" t="s">
        <v>273</v>
      </c>
      <c r="E2884" t="s">
        <v>16</v>
      </c>
      <c r="F2884">
        <v>6</v>
      </c>
      <c r="G2884" t="s">
        <v>42</v>
      </c>
      <c r="H2884" s="1">
        <v>45984.100694444445</v>
      </c>
      <c r="I2884" s="5">
        <f>INT(TB[[#This Row],[时间戳]])</f>
        <v>45984</v>
      </c>
      <c r="J2884" s="2">
        <f>HOUR(TB[[#This Row],[时间戳]])</f>
        <v>2</v>
      </c>
      <c r="K2884">
        <v>2545</v>
      </c>
      <c r="L2884">
        <v>0</v>
      </c>
      <c r="M2884">
        <f>TB[[#This Row],[售价]]*TB[[#This Row],[销量]]</f>
        <v>0</v>
      </c>
      <c r="N2884" t="str">
        <f>IF(TB[[#This Row],[售价]]&lt;1000,"低价商品",IF(TB[[#This Row],[售价]]&lt;5000,"中价商品",IF(TB[[#This Row],[售价]]&lt;10000,"高价商品","超高价商品")))</f>
        <v>中价商品</v>
      </c>
    </row>
    <row r="2885" spans="1:14" x14ac:dyDescent="0.2">
      <c r="A2885">
        <v>657</v>
      </c>
      <c r="B2885">
        <v>206</v>
      </c>
      <c r="C2885" t="s">
        <v>46</v>
      </c>
      <c r="D2885" t="s">
        <v>378</v>
      </c>
      <c r="E2885" t="s">
        <v>19</v>
      </c>
      <c r="F2885">
        <v>3</v>
      </c>
      <c r="G2885" t="s">
        <v>13</v>
      </c>
      <c r="H2885" s="1">
        <v>45984.102083333331</v>
      </c>
      <c r="I2885" s="5">
        <f>INT(TB[[#This Row],[时间戳]])</f>
        <v>45984</v>
      </c>
      <c r="J2885" s="2">
        <f>HOUR(TB[[#This Row],[时间戳]])</f>
        <v>2</v>
      </c>
      <c r="K2885">
        <v>3920</v>
      </c>
      <c r="L2885">
        <v>3</v>
      </c>
      <c r="M2885">
        <f>TB[[#This Row],[售价]]*TB[[#This Row],[销量]]</f>
        <v>11760</v>
      </c>
      <c r="N2885" t="str">
        <f>IF(TB[[#This Row],[售价]]&lt;1000,"低价商品",IF(TB[[#This Row],[售价]]&lt;5000,"中价商品",IF(TB[[#This Row],[售价]]&lt;10000,"高价商品","超高价商品")))</f>
        <v>中价商品</v>
      </c>
    </row>
    <row r="2886" spans="1:14" x14ac:dyDescent="0.2">
      <c r="A2886">
        <v>422</v>
      </c>
      <c r="B2886">
        <v>163</v>
      </c>
      <c r="C2886" t="s">
        <v>32</v>
      </c>
      <c r="D2886" t="s">
        <v>275</v>
      </c>
      <c r="E2886" t="s">
        <v>22</v>
      </c>
      <c r="F2886">
        <v>1</v>
      </c>
      <c r="G2886" t="s">
        <v>13</v>
      </c>
      <c r="H2886" s="1">
        <v>45984.103472222225</v>
      </c>
      <c r="I2886" s="5">
        <f>INT(TB[[#This Row],[时间戳]])</f>
        <v>45984</v>
      </c>
      <c r="J2886" s="2">
        <f>HOUR(TB[[#This Row],[时间戳]])</f>
        <v>2</v>
      </c>
      <c r="K2886">
        <v>5910</v>
      </c>
      <c r="L2886">
        <v>1</v>
      </c>
      <c r="M2886">
        <f>TB[[#This Row],[售价]]*TB[[#This Row],[销量]]</f>
        <v>5910</v>
      </c>
      <c r="N2886" t="str">
        <f>IF(TB[[#This Row],[售价]]&lt;1000,"低价商品",IF(TB[[#This Row],[售价]]&lt;5000,"中价商品",IF(TB[[#This Row],[售价]]&lt;10000,"高价商品","超高价商品")))</f>
        <v>高价商品</v>
      </c>
    </row>
    <row r="2887" spans="1:14" x14ac:dyDescent="0.2">
      <c r="A2887">
        <v>324</v>
      </c>
      <c r="B2887">
        <v>272</v>
      </c>
      <c r="C2887" t="s">
        <v>26</v>
      </c>
      <c r="D2887" t="s">
        <v>245</v>
      </c>
      <c r="E2887" t="s">
        <v>39</v>
      </c>
      <c r="F2887">
        <v>5</v>
      </c>
      <c r="G2887" t="s">
        <v>13</v>
      </c>
      <c r="H2887" s="1">
        <v>45984.155555555553</v>
      </c>
      <c r="I2887" s="5">
        <f>INT(TB[[#This Row],[时间戳]])</f>
        <v>45984</v>
      </c>
      <c r="J2887" s="2">
        <f>HOUR(TB[[#This Row],[时间戳]])</f>
        <v>3</v>
      </c>
      <c r="K2887">
        <v>2644</v>
      </c>
      <c r="L2887">
        <v>3</v>
      </c>
      <c r="M2887">
        <f>TB[[#This Row],[售价]]*TB[[#This Row],[销量]]</f>
        <v>7932</v>
      </c>
      <c r="N2887" t="str">
        <f>IF(TB[[#This Row],[售价]]&lt;1000,"低价商品",IF(TB[[#This Row],[售价]]&lt;5000,"中价商品",IF(TB[[#This Row],[售价]]&lt;10000,"高价商品","超高价商品")))</f>
        <v>中价商品</v>
      </c>
    </row>
    <row r="2888" spans="1:14" x14ac:dyDescent="0.2">
      <c r="A2888">
        <v>100</v>
      </c>
      <c r="B2888">
        <v>34</v>
      </c>
      <c r="C2888" t="s">
        <v>10</v>
      </c>
      <c r="D2888" t="s">
        <v>68</v>
      </c>
      <c r="E2888" t="s">
        <v>22</v>
      </c>
      <c r="F2888">
        <v>1</v>
      </c>
      <c r="G2888" t="s">
        <v>13</v>
      </c>
      <c r="H2888" s="1">
        <v>45984.168749999997</v>
      </c>
      <c r="I2888" s="5">
        <f>INT(TB[[#This Row],[时间戳]])</f>
        <v>45984</v>
      </c>
      <c r="J2888" s="2">
        <f>HOUR(TB[[#This Row],[时间戳]])</f>
        <v>4</v>
      </c>
      <c r="K2888">
        <v>7144</v>
      </c>
      <c r="L2888">
        <v>1</v>
      </c>
      <c r="M2888">
        <f>TB[[#This Row],[售价]]*TB[[#This Row],[销量]]</f>
        <v>7144</v>
      </c>
      <c r="N2888" t="str">
        <f>IF(TB[[#This Row],[售价]]&lt;1000,"低价商品",IF(TB[[#This Row],[售价]]&lt;5000,"中价商品",IF(TB[[#This Row],[售价]]&lt;10000,"高价商品","超高价商品")))</f>
        <v>高价商品</v>
      </c>
    </row>
    <row r="2889" spans="1:14" x14ac:dyDescent="0.2">
      <c r="A2889">
        <v>340</v>
      </c>
      <c r="B2889">
        <v>47</v>
      </c>
      <c r="C2889" t="s">
        <v>10</v>
      </c>
      <c r="D2889" t="s">
        <v>376</v>
      </c>
      <c r="E2889" t="s">
        <v>12</v>
      </c>
      <c r="F2889">
        <v>2</v>
      </c>
      <c r="G2889" t="s">
        <v>42</v>
      </c>
      <c r="H2889" s="1">
        <v>45984.177777777775</v>
      </c>
      <c r="I2889" s="5">
        <f>INT(TB[[#This Row],[时间戳]])</f>
        <v>45984</v>
      </c>
      <c r="J2889" s="2">
        <f>HOUR(TB[[#This Row],[时间戳]])</f>
        <v>4</v>
      </c>
      <c r="K2889">
        <v>5214</v>
      </c>
      <c r="L2889">
        <v>0</v>
      </c>
      <c r="M2889">
        <f>TB[[#This Row],[售价]]*TB[[#This Row],[销量]]</f>
        <v>0</v>
      </c>
      <c r="N2889" t="str">
        <f>IF(TB[[#This Row],[售价]]&lt;1000,"低价商品",IF(TB[[#This Row],[售价]]&lt;5000,"中价商品",IF(TB[[#This Row],[售价]]&lt;10000,"高价商品","超高价商品")))</f>
        <v>高价商品</v>
      </c>
    </row>
    <row r="2890" spans="1:14" x14ac:dyDescent="0.2">
      <c r="A2890">
        <v>155</v>
      </c>
      <c r="B2890">
        <v>110</v>
      </c>
      <c r="C2890" t="s">
        <v>32</v>
      </c>
      <c r="D2890" t="s">
        <v>368</v>
      </c>
      <c r="E2890" t="s">
        <v>16</v>
      </c>
      <c r="F2890">
        <v>6</v>
      </c>
      <c r="G2890" t="s">
        <v>42</v>
      </c>
      <c r="H2890" s="1">
        <v>45984.209027777775</v>
      </c>
      <c r="I2890" s="5">
        <f>INT(TB[[#This Row],[时间戳]])</f>
        <v>45984</v>
      </c>
      <c r="J2890" s="2">
        <f>HOUR(TB[[#This Row],[时间戳]])</f>
        <v>5</v>
      </c>
      <c r="K2890">
        <v>7115</v>
      </c>
      <c r="L2890">
        <v>0</v>
      </c>
      <c r="M2890">
        <f>TB[[#This Row],[售价]]*TB[[#This Row],[销量]]</f>
        <v>0</v>
      </c>
      <c r="N2890" t="str">
        <f>IF(TB[[#This Row],[售价]]&lt;1000,"低价商品",IF(TB[[#This Row],[售价]]&lt;5000,"中价商品",IF(TB[[#This Row],[售价]]&lt;10000,"高价商品","超高价商品")))</f>
        <v>高价商品</v>
      </c>
    </row>
    <row r="2891" spans="1:14" x14ac:dyDescent="0.2">
      <c r="A2891">
        <v>324</v>
      </c>
      <c r="B2891">
        <v>299</v>
      </c>
      <c r="C2891" t="s">
        <v>34</v>
      </c>
      <c r="D2891" t="s">
        <v>331</v>
      </c>
      <c r="E2891" t="s">
        <v>25</v>
      </c>
      <c r="F2891">
        <v>7</v>
      </c>
      <c r="G2891" t="s">
        <v>13</v>
      </c>
      <c r="H2891" s="1">
        <v>45984.241666666669</v>
      </c>
      <c r="I2891" s="5">
        <f>INT(TB[[#This Row],[时间戳]])</f>
        <v>45984</v>
      </c>
      <c r="J2891" s="2">
        <f>HOUR(TB[[#This Row],[时间戳]])</f>
        <v>5</v>
      </c>
      <c r="K2891">
        <v>3852</v>
      </c>
      <c r="L2891">
        <v>1</v>
      </c>
      <c r="M2891">
        <f>TB[[#This Row],[售价]]*TB[[#This Row],[销量]]</f>
        <v>3852</v>
      </c>
      <c r="N2891" t="str">
        <f>IF(TB[[#This Row],[售价]]&lt;1000,"低价商品",IF(TB[[#This Row],[售价]]&lt;5000,"中价商品",IF(TB[[#This Row],[售价]]&lt;10000,"高价商品","超高价商品")))</f>
        <v>中价商品</v>
      </c>
    </row>
    <row r="2892" spans="1:14" x14ac:dyDescent="0.2">
      <c r="A2892">
        <v>721</v>
      </c>
      <c r="B2892">
        <v>90</v>
      </c>
      <c r="C2892" t="s">
        <v>44</v>
      </c>
      <c r="D2892" t="s">
        <v>132</v>
      </c>
      <c r="E2892" t="s">
        <v>22</v>
      </c>
      <c r="F2892">
        <v>1</v>
      </c>
      <c r="G2892" t="s">
        <v>13</v>
      </c>
      <c r="H2892" s="1">
        <v>45984.249305555553</v>
      </c>
      <c r="I2892" s="5">
        <f>INT(TB[[#This Row],[时间戳]])</f>
        <v>45984</v>
      </c>
      <c r="J2892" s="2">
        <f>HOUR(TB[[#This Row],[时间戳]])</f>
        <v>5</v>
      </c>
      <c r="K2892">
        <v>7813</v>
      </c>
      <c r="L2892">
        <v>2</v>
      </c>
      <c r="M2892">
        <f>TB[[#This Row],[售价]]*TB[[#This Row],[销量]]</f>
        <v>15626</v>
      </c>
      <c r="N2892" t="str">
        <f>IF(TB[[#This Row],[售价]]&lt;1000,"低价商品",IF(TB[[#This Row],[售价]]&lt;5000,"中价商品",IF(TB[[#This Row],[售价]]&lt;10000,"高价商品","超高价商品")))</f>
        <v>高价商品</v>
      </c>
    </row>
    <row r="2893" spans="1:14" x14ac:dyDescent="0.2">
      <c r="A2893">
        <v>164</v>
      </c>
      <c r="B2893">
        <v>78</v>
      </c>
      <c r="C2893" t="s">
        <v>14</v>
      </c>
      <c r="D2893" t="s">
        <v>178</v>
      </c>
      <c r="E2893" t="s">
        <v>12</v>
      </c>
      <c r="F2893">
        <v>2</v>
      </c>
      <c r="G2893" t="s">
        <v>13</v>
      </c>
      <c r="H2893" s="1">
        <v>45984.271527777775</v>
      </c>
      <c r="I2893" s="5">
        <f>INT(TB[[#This Row],[时间戳]])</f>
        <v>45984</v>
      </c>
      <c r="J2893" s="2">
        <f>HOUR(TB[[#This Row],[时间戳]])</f>
        <v>6</v>
      </c>
      <c r="K2893">
        <v>8702</v>
      </c>
      <c r="L2893">
        <v>3</v>
      </c>
      <c r="M2893">
        <f>TB[[#This Row],[售价]]*TB[[#This Row],[销量]]</f>
        <v>26106</v>
      </c>
      <c r="N2893" t="str">
        <f>IF(TB[[#This Row],[售价]]&lt;1000,"低价商品",IF(TB[[#This Row],[售价]]&lt;5000,"中价商品",IF(TB[[#This Row],[售价]]&lt;10000,"高价商品","超高价商品")))</f>
        <v>高价商品</v>
      </c>
    </row>
    <row r="2894" spans="1:14" x14ac:dyDescent="0.2">
      <c r="A2894">
        <v>634</v>
      </c>
      <c r="B2894">
        <v>210</v>
      </c>
      <c r="C2894" t="s">
        <v>14</v>
      </c>
      <c r="D2894" t="s">
        <v>249</v>
      </c>
      <c r="E2894" t="s">
        <v>25</v>
      </c>
      <c r="F2894">
        <v>7</v>
      </c>
      <c r="G2894" t="s">
        <v>13</v>
      </c>
      <c r="H2894" s="1">
        <v>45984.298611111109</v>
      </c>
      <c r="I2894" s="5">
        <f>INT(TB[[#This Row],[时间戳]])</f>
        <v>45984</v>
      </c>
      <c r="J2894" s="2">
        <f>HOUR(TB[[#This Row],[时间戳]])</f>
        <v>7</v>
      </c>
      <c r="K2894">
        <v>2849</v>
      </c>
      <c r="L2894">
        <v>4</v>
      </c>
      <c r="M2894">
        <f>TB[[#This Row],[售价]]*TB[[#This Row],[销量]]</f>
        <v>11396</v>
      </c>
      <c r="N2894" t="str">
        <f>IF(TB[[#This Row],[售价]]&lt;1000,"低价商品",IF(TB[[#This Row],[售价]]&lt;5000,"中价商品",IF(TB[[#This Row],[售价]]&lt;10000,"高价商品","超高价商品")))</f>
        <v>中价商品</v>
      </c>
    </row>
    <row r="2895" spans="1:14" x14ac:dyDescent="0.2">
      <c r="A2895">
        <v>481</v>
      </c>
      <c r="B2895">
        <v>144</v>
      </c>
      <c r="C2895" t="s">
        <v>20</v>
      </c>
      <c r="D2895" t="s">
        <v>334</v>
      </c>
      <c r="E2895" t="s">
        <v>22</v>
      </c>
      <c r="F2895">
        <v>1</v>
      </c>
      <c r="G2895" t="s">
        <v>13</v>
      </c>
      <c r="H2895" s="1">
        <v>45984.318055555559</v>
      </c>
      <c r="I2895" s="5">
        <f>INT(TB[[#This Row],[时间戳]])</f>
        <v>45984</v>
      </c>
      <c r="J2895" s="2">
        <f>HOUR(TB[[#This Row],[时间戳]])</f>
        <v>7</v>
      </c>
      <c r="K2895">
        <v>2383</v>
      </c>
      <c r="L2895">
        <v>2</v>
      </c>
      <c r="M2895">
        <f>TB[[#This Row],[售价]]*TB[[#This Row],[销量]]</f>
        <v>4766</v>
      </c>
      <c r="N2895" t="str">
        <f>IF(TB[[#This Row],[售价]]&lt;1000,"低价商品",IF(TB[[#This Row],[售价]]&lt;5000,"中价商品",IF(TB[[#This Row],[售价]]&lt;10000,"高价商品","超高价商品")))</f>
        <v>中价商品</v>
      </c>
    </row>
    <row r="2896" spans="1:14" x14ac:dyDescent="0.2">
      <c r="A2896">
        <v>151</v>
      </c>
      <c r="B2896">
        <v>228</v>
      </c>
      <c r="C2896" t="s">
        <v>14</v>
      </c>
      <c r="D2896" t="s">
        <v>297</v>
      </c>
      <c r="E2896" t="s">
        <v>25</v>
      </c>
      <c r="F2896">
        <v>7</v>
      </c>
      <c r="G2896" t="s">
        <v>13</v>
      </c>
      <c r="H2896" s="1">
        <v>45984.320833333331</v>
      </c>
      <c r="I2896" s="5">
        <f>INT(TB[[#This Row],[时间戳]])</f>
        <v>45984</v>
      </c>
      <c r="J2896" s="2">
        <f>HOUR(TB[[#This Row],[时间戳]])</f>
        <v>7</v>
      </c>
      <c r="K2896">
        <v>7079</v>
      </c>
      <c r="L2896">
        <v>2</v>
      </c>
      <c r="M2896">
        <f>TB[[#This Row],[售价]]*TB[[#This Row],[销量]]</f>
        <v>14158</v>
      </c>
      <c r="N2896" t="str">
        <f>IF(TB[[#This Row],[售价]]&lt;1000,"低价商品",IF(TB[[#This Row],[售价]]&lt;5000,"中价商品",IF(TB[[#This Row],[售价]]&lt;10000,"高价商品","超高价商品")))</f>
        <v>高价商品</v>
      </c>
    </row>
    <row r="2897" spans="1:14" x14ac:dyDescent="0.2">
      <c r="A2897">
        <v>391</v>
      </c>
      <c r="B2897">
        <v>243</v>
      </c>
      <c r="C2897" t="s">
        <v>10</v>
      </c>
      <c r="D2897" t="s">
        <v>382</v>
      </c>
      <c r="E2897" t="s">
        <v>16</v>
      </c>
      <c r="F2897">
        <v>6</v>
      </c>
      <c r="G2897" t="s">
        <v>42</v>
      </c>
      <c r="H2897" s="1">
        <v>45984.359027777777</v>
      </c>
      <c r="I2897" s="5">
        <f>INT(TB[[#This Row],[时间戳]])</f>
        <v>45984</v>
      </c>
      <c r="J2897" s="2">
        <f>HOUR(TB[[#This Row],[时间戳]])</f>
        <v>8</v>
      </c>
      <c r="K2897">
        <v>3776</v>
      </c>
      <c r="L2897">
        <v>0</v>
      </c>
      <c r="M2897">
        <f>TB[[#This Row],[售价]]*TB[[#This Row],[销量]]</f>
        <v>0</v>
      </c>
      <c r="N2897" t="str">
        <f>IF(TB[[#This Row],[售价]]&lt;1000,"低价商品",IF(TB[[#This Row],[售价]]&lt;5000,"中价商品",IF(TB[[#This Row],[售价]]&lt;10000,"高价商品","超高价商品")))</f>
        <v>中价商品</v>
      </c>
    </row>
    <row r="2898" spans="1:14" x14ac:dyDescent="0.2">
      <c r="A2898">
        <v>601</v>
      </c>
      <c r="B2898">
        <v>186</v>
      </c>
      <c r="C2898" t="s">
        <v>26</v>
      </c>
      <c r="D2898" t="s">
        <v>300</v>
      </c>
      <c r="E2898" t="s">
        <v>19</v>
      </c>
      <c r="F2898">
        <v>3</v>
      </c>
      <c r="G2898" t="s">
        <v>13</v>
      </c>
      <c r="H2898" s="1">
        <v>45984.373611111114</v>
      </c>
      <c r="I2898" s="5">
        <f>INT(TB[[#This Row],[时间戳]])</f>
        <v>45984</v>
      </c>
      <c r="J2898" s="2">
        <f>HOUR(TB[[#This Row],[时间戳]])</f>
        <v>8</v>
      </c>
      <c r="K2898">
        <v>4651</v>
      </c>
      <c r="L2898">
        <v>3</v>
      </c>
      <c r="M2898">
        <f>TB[[#This Row],[售价]]*TB[[#This Row],[销量]]</f>
        <v>13953</v>
      </c>
      <c r="N2898" t="str">
        <f>IF(TB[[#This Row],[售价]]&lt;1000,"低价商品",IF(TB[[#This Row],[售价]]&lt;5000,"中价商品",IF(TB[[#This Row],[售价]]&lt;10000,"高价商品","超高价商品")))</f>
        <v>中价商品</v>
      </c>
    </row>
    <row r="2899" spans="1:14" x14ac:dyDescent="0.2">
      <c r="A2899">
        <v>459</v>
      </c>
      <c r="B2899">
        <v>11</v>
      </c>
      <c r="C2899" t="s">
        <v>46</v>
      </c>
      <c r="D2899" t="s">
        <v>231</v>
      </c>
      <c r="E2899" t="s">
        <v>16</v>
      </c>
      <c r="F2899">
        <v>6</v>
      </c>
      <c r="G2899" t="s">
        <v>42</v>
      </c>
      <c r="H2899" s="1">
        <v>45984.379861111112</v>
      </c>
      <c r="I2899" s="5">
        <f>INT(TB[[#This Row],[时间戳]])</f>
        <v>45984</v>
      </c>
      <c r="J2899" s="2">
        <f>HOUR(TB[[#This Row],[时间戳]])</f>
        <v>9</v>
      </c>
      <c r="K2899">
        <v>9323</v>
      </c>
      <c r="L2899">
        <v>0</v>
      </c>
      <c r="M2899">
        <f>TB[[#This Row],[售价]]*TB[[#This Row],[销量]]</f>
        <v>0</v>
      </c>
      <c r="N2899" t="str">
        <f>IF(TB[[#This Row],[售价]]&lt;1000,"低价商品",IF(TB[[#This Row],[售价]]&lt;5000,"中价商品",IF(TB[[#This Row],[售价]]&lt;10000,"高价商品","超高价商品")))</f>
        <v>高价商品</v>
      </c>
    </row>
    <row r="2900" spans="1:14" x14ac:dyDescent="0.2">
      <c r="A2900">
        <v>348</v>
      </c>
      <c r="B2900">
        <v>44</v>
      </c>
      <c r="C2900" t="s">
        <v>46</v>
      </c>
      <c r="D2900" t="s">
        <v>142</v>
      </c>
      <c r="E2900" t="s">
        <v>31</v>
      </c>
      <c r="F2900">
        <v>4</v>
      </c>
      <c r="G2900" t="s">
        <v>13</v>
      </c>
      <c r="H2900" s="1">
        <v>45984.38958333333</v>
      </c>
      <c r="I2900" s="5">
        <f>INT(TB[[#This Row],[时间戳]])</f>
        <v>45984</v>
      </c>
      <c r="J2900" s="2">
        <f>HOUR(TB[[#This Row],[时间戳]])</f>
        <v>9</v>
      </c>
      <c r="K2900">
        <v>1200</v>
      </c>
      <c r="L2900">
        <v>1</v>
      </c>
      <c r="M2900">
        <f>TB[[#This Row],[售价]]*TB[[#This Row],[销量]]</f>
        <v>1200</v>
      </c>
      <c r="N2900" t="str">
        <f>IF(TB[[#This Row],[售价]]&lt;1000,"低价商品",IF(TB[[#This Row],[售价]]&lt;5000,"中价商品",IF(TB[[#This Row],[售价]]&lt;10000,"高价商品","超高价商品")))</f>
        <v>中价商品</v>
      </c>
    </row>
    <row r="2901" spans="1:14" x14ac:dyDescent="0.2">
      <c r="A2901">
        <v>640</v>
      </c>
      <c r="B2901">
        <v>154</v>
      </c>
      <c r="C2901" t="s">
        <v>26</v>
      </c>
      <c r="D2901" t="s">
        <v>182</v>
      </c>
      <c r="E2901" t="s">
        <v>31</v>
      </c>
      <c r="F2901">
        <v>4</v>
      </c>
      <c r="G2901" t="s">
        <v>13</v>
      </c>
      <c r="H2901" s="1">
        <v>45984.390277777777</v>
      </c>
      <c r="I2901" s="5">
        <f>INT(TB[[#This Row],[时间戳]])</f>
        <v>45984</v>
      </c>
      <c r="J2901" s="2">
        <f>HOUR(TB[[#This Row],[时间戳]])</f>
        <v>9</v>
      </c>
      <c r="K2901">
        <v>642</v>
      </c>
      <c r="L2901">
        <v>2</v>
      </c>
      <c r="M2901">
        <f>TB[[#This Row],[售价]]*TB[[#This Row],[销量]]</f>
        <v>1284</v>
      </c>
      <c r="N2901" t="str">
        <f>IF(TB[[#This Row],[售价]]&lt;1000,"低价商品",IF(TB[[#This Row],[售价]]&lt;5000,"中价商品",IF(TB[[#This Row],[售价]]&lt;10000,"高价商品","超高价商品")))</f>
        <v>低价商品</v>
      </c>
    </row>
    <row r="2902" spans="1:14" x14ac:dyDescent="0.2">
      <c r="A2902">
        <v>202</v>
      </c>
      <c r="B2902">
        <v>165</v>
      </c>
      <c r="C2902" t="s">
        <v>14</v>
      </c>
      <c r="D2902" t="s">
        <v>385</v>
      </c>
      <c r="E2902" t="s">
        <v>12</v>
      </c>
      <c r="F2902">
        <v>2</v>
      </c>
      <c r="G2902" t="s">
        <v>13</v>
      </c>
      <c r="H2902" s="1">
        <v>45984.393055555556</v>
      </c>
      <c r="I2902" s="5">
        <f>INT(TB[[#This Row],[时间戳]])</f>
        <v>45984</v>
      </c>
      <c r="J2902" s="2">
        <f>HOUR(TB[[#This Row],[时间戳]])</f>
        <v>9</v>
      </c>
      <c r="K2902">
        <v>10325</v>
      </c>
      <c r="L2902">
        <v>3</v>
      </c>
      <c r="M2902">
        <f>TB[[#This Row],[售价]]*TB[[#This Row],[销量]]</f>
        <v>30975</v>
      </c>
      <c r="N2902" t="str">
        <f>IF(TB[[#This Row],[售价]]&lt;1000,"低价商品",IF(TB[[#This Row],[售价]]&lt;5000,"中价商品",IF(TB[[#This Row],[售价]]&lt;10000,"高价商品","超高价商品")))</f>
        <v>超高价商品</v>
      </c>
    </row>
    <row r="2903" spans="1:14" x14ac:dyDescent="0.2">
      <c r="A2903">
        <v>618</v>
      </c>
      <c r="B2903">
        <v>254</v>
      </c>
      <c r="C2903" t="s">
        <v>14</v>
      </c>
      <c r="D2903" t="s">
        <v>53</v>
      </c>
      <c r="E2903" t="s">
        <v>12</v>
      </c>
      <c r="F2903">
        <v>2</v>
      </c>
      <c r="G2903" t="s">
        <v>13</v>
      </c>
      <c r="H2903" s="1">
        <v>45984.419444444444</v>
      </c>
      <c r="I2903" s="5">
        <f>INT(TB[[#This Row],[时间戳]])</f>
        <v>45984</v>
      </c>
      <c r="J2903" s="2">
        <f>HOUR(TB[[#This Row],[时间戳]])</f>
        <v>10</v>
      </c>
      <c r="K2903">
        <v>8953</v>
      </c>
      <c r="L2903">
        <v>4</v>
      </c>
      <c r="M2903">
        <f>TB[[#This Row],[售价]]*TB[[#This Row],[销量]]</f>
        <v>35812</v>
      </c>
      <c r="N2903" t="str">
        <f>IF(TB[[#This Row],[售价]]&lt;1000,"低价商品",IF(TB[[#This Row],[售价]]&lt;5000,"中价商品",IF(TB[[#This Row],[售价]]&lt;10000,"高价商品","超高价商品")))</f>
        <v>高价商品</v>
      </c>
    </row>
    <row r="2904" spans="1:14" x14ac:dyDescent="0.2">
      <c r="A2904">
        <v>174</v>
      </c>
      <c r="B2904">
        <v>187</v>
      </c>
      <c r="C2904" t="s">
        <v>46</v>
      </c>
      <c r="D2904" t="s">
        <v>211</v>
      </c>
      <c r="E2904" t="s">
        <v>31</v>
      </c>
      <c r="F2904">
        <v>4</v>
      </c>
      <c r="G2904" t="s">
        <v>13</v>
      </c>
      <c r="H2904" s="1">
        <v>45984.419444444444</v>
      </c>
      <c r="I2904" s="5">
        <f>INT(TB[[#This Row],[时间戳]])</f>
        <v>45984</v>
      </c>
      <c r="J2904" s="2">
        <f>HOUR(TB[[#This Row],[时间戳]])</f>
        <v>10</v>
      </c>
      <c r="K2904">
        <v>200</v>
      </c>
      <c r="L2904">
        <v>5</v>
      </c>
      <c r="M2904">
        <f>TB[[#This Row],[售价]]*TB[[#This Row],[销量]]</f>
        <v>1000</v>
      </c>
      <c r="N2904" t="str">
        <f>IF(TB[[#This Row],[售价]]&lt;1000,"低价商品",IF(TB[[#This Row],[售价]]&lt;5000,"中价商品",IF(TB[[#This Row],[售价]]&lt;10000,"高价商品","超高价商品")))</f>
        <v>低价商品</v>
      </c>
    </row>
    <row r="2905" spans="1:14" x14ac:dyDescent="0.2">
      <c r="A2905">
        <v>533</v>
      </c>
      <c r="B2905">
        <v>13</v>
      </c>
      <c r="C2905" t="s">
        <v>20</v>
      </c>
      <c r="D2905" t="s">
        <v>85</v>
      </c>
      <c r="E2905" t="s">
        <v>31</v>
      </c>
      <c r="F2905">
        <v>4</v>
      </c>
      <c r="G2905" t="s">
        <v>13</v>
      </c>
      <c r="H2905" s="1">
        <v>45984.429861111108</v>
      </c>
      <c r="I2905" s="5">
        <f>INT(TB[[#This Row],[时间戳]])</f>
        <v>45984</v>
      </c>
      <c r="J2905" s="2">
        <f>HOUR(TB[[#This Row],[时间戳]])</f>
        <v>10</v>
      </c>
      <c r="K2905">
        <v>465</v>
      </c>
      <c r="L2905">
        <v>2</v>
      </c>
      <c r="M2905">
        <f>TB[[#This Row],[售价]]*TB[[#This Row],[销量]]</f>
        <v>930</v>
      </c>
      <c r="N2905" t="str">
        <f>IF(TB[[#This Row],[售价]]&lt;1000,"低价商品",IF(TB[[#This Row],[售价]]&lt;5000,"中价商品",IF(TB[[#This Row],[售价]]&lt;10000,"高价商品","超高价商品")))</f>
        <v>低价商品</v>
      </c>
    </row>
    <row r="2906" spans="1:14" x14ac:dyDescent="0.2">
      <c r="A2906">
        <v>665</v>
      </c>
      <c r="B2906">
        <v>123</v>
      </c>
      <c r="C2906" t="s">
        <v>26</v>
      </c>
      <c r="D2906" t="s">
        <v>179</v>
      </c>
      <c r="E2906" t="s">
        <v>16</v>
      </c>
      <c r="F2906">
        <v>6</v>
      </c>
      <c r="G2906" t="s">
        <v>42</v>
      </c>
      <c r="H2906" s="1">
        <v>45984.443055555559</v>
      </c>
      <c r="I2906" s="5">
        <f>INT(TB[[#This Row],[时间戳]])</f>
        <v>45984</v>
      </c>
      <c r="J2906" s="2">
        <f>HOUR(TB[[#This Row],[时间戳]])</f>
        <v>10</v>
      </c>
      <c r="K2906">
        <v>9984</v>
      </c>
      <c r="L2906">
        <v>0</v>
      </c>
      <c r="M2906">
        <f>TB[[#This Row],[售价]]*TB[[#This Row],[销量]]</f>
        <v>0</v>
      </c>
      <c r="N2906" t="str">
        <f>IF(TB[[#This Row],[售价]]&lt;1000,"低价商品",IF(TB[[#This Row],[售价]]&lt;5000,"中价商品",IF(TB[[#This Row],[售价]]&lt;10000,"高价商品","超高价商品")))</f>
        <v>高价商品</v>
      </c>
    </row>
    <row r="2907" spans="1:14" x14ac:dyDescent="0.2">
      <c r="A2907">
        <v>346</v>
      </c>
      <c r="B2907">
        <v>21</v>
      </c>
      <c r="C2907" t="s">
        <v>44</v>
      </c>
      <c r="D2907" t="s">
        <v>45</v>
      </c>
      <c r="E2907" t="s">
        <v>19</v>
      </c>
      <c r="F2907">
        <v>3</v>
      </c>
      <c r="G2907" t="s">
        <v>13</v>
      </c>
      <c r="H2907" s="1">
        <v>45984.444444444445</v>
      </c>
      <c r="I2907" s="5">
        <f>INT(TB[[#This Row],[时间戳]])</f>
        <v>45984</v>
      </c>
      <c r="J2907" s="2">
        <f>HOUR(TB[[#This Row],[时间戳]])</f>
        <v>10</v>
      </c>
      <c r="K2907">
        <v>3945</v>
      </c>
      <c r="L2907">
        <v>1</v>
      </c>
      <c r="M2907">
        <f>TB[[#This Row],[售价]]*TB[[#This Row],[销量]]</f>
        <v>3945</v>
      </c>
      <c r="N2907" t="str">
        <f>IF(TB[[#This Row],[售价]]&lt;1000,"低价商品",IF(TB[[#This Row],[售价]]&lt;5000,"中价商品",IF(TB[[#This Row],[售价]]&lt;10000,"高价商品","超高价商品")))</f>
        <v>中价商品</v>
      </c>
    </row>
    <row r="2908" spans="1:14" x14ac:dyDescent="0.2">
      <c r="A2908">
        <v>341</v>
      </c>
      <c r="B2908">
        <v>283</v>
      </c>
      <c r="C2908" t="s">
        <v>44</v>
      </c>
      <c r="D2908" t="s">
        <v>243</v>
      </c>
      <c r="E2908" t="s">
        <v>31</v>
      </c>
      <c r="F2908">
        <v>4</v>
      </c>
      <c r="G2908" t="s">
        <v>13</v>
      </c>
      <c r="H2908" s="1">
        <v>45984.511111111111</v>
      </c>
      <c r="I2908" s="5">
        <f>INT(TB[[#This Row],[时间戳]])</f>
        <v>45984</v>
      </c>
      <c r="J2908" s="2">
        <f>HOUR(TB[[#This Row],[时间戳]])</f>
        <v>12</v>
      </c>
      <c r="K2908">
        <v>791</v>
      </c>
      <c r="L2908">
        <v>4</v>
      </c>
      <c r="M2908">
        <f>TB[[#This Row],[售价]]*TB[[#This Row],[销量]]</f>
        <v>3164</v>
      </c>
      <c r="N2908" t="str">
        <f>IF(TB[[#This Row],[售价]]&lt;1000,"低价商品",IF(TB[[#This Row],[售价]]&lt;5000,"中价商品",IF(TB[[#This Row],[售价]]&lt;10000,"高价商品","超高价商品")))</f>
        <v>低价商品</v>
      </c>
    </row>
    <row r="2909" spans="1:14" x14ac:dyDescent="0.2">
      <c r="A2909">
        <v>753</v>
      </c>
      <c r="B2909">
        <v>294</v>
      </c>
      <c r="C2909" t="s">
        <v>46</v>
      </c>
      <c r="D2909" t="s">
        <v>80</v>
      </c>
      <c r="E2909" t="s">
        <v>22</v>
      </c>
      <c r="F2909">
        <v>1</v>
      </c>
      <c r="G2909" t="s">
        <v>42</v>
      </c>
      <c r="H2909" s="1">
        <v>45984.515277777777</v>
      </c>
      <c r="I2909" s="5">
        <f>INT(TB[[#This Row],[时间戳]])</f>
        <v>45984</v>
      </c>
      <c r="J2909" s="2">
        <f>HOUR(TB[[#This Row],[时间戳]])</f>
        <v>12</v>
      </c>
      <c r="K2909">
        <v>1123</v>
      </c>
      <c r="L2909">
        <v>0</v>
      </c>
      <c r="M2909">
        <f>TB[[#This Row],[售价]]*TB[[#This Row],[销量]]</f>
        <v>0</v>
      </c>
      <c r="N2909" t="str">
        <f>IF(TB[[#This Row],[售价]]&lt;1000,"低价商品",IF(TB[[#This Row],[售价]]&lt;5000,"中价商品",IF(TB[[#This Row],[售价]]&lt;10000,"高价商品","超高价商品")))</f>
        <v>中价商品</v>
      </c>
    </row>
    <row r="2910" spans="1:14" x14ac:dyDescent="0.2">
      <c r="A2910">
        <v>482</v>
      </c>
      <c r="B2910">
        <v>195</v>
      </c>
      <c r="C2910" t="s">
        <v>17</v>
      </c>
      <c r="D2910" t="s">
        <v>61</v>
      </c>
      <c r="E2910" t="s">
        <v>31</v>
      </c>
      <c r="F2910">
        <v>4</v>
      </c>
      <c r="G2910" t="s">
        <v>42</v>
      </c>
      <c r="H2910" s="1">
        <v>45984.522222222222</v>
      </c>
      <c r="I2910" s="5">
        <f>INT(TB[[#This Row],[时间戳]])</f>
        <v>45984</v>
      </c>
      <c r="J2910" s="2">
        <f>HOUR(TB[[#This Row],[时间戳]])</f>
        <v>12</v>
      </c>
      <c r="K2910">
        <v>50</v>
      </c>
      <c r="L2910">
        <v>0</v>
      </c>
      <c r="M2910">
        <f>TB[[#This Row],[售价]]*TB[[#This Row],[销量]]</f>
        <v>0</v>
      </c>
      <c r="N2910" t="str">
        <f>IF(TB[[#This Row],[售价]]&lt;1000,"低价商品",IF(TB[[#This Row],[售价]]&lt;5000,"中价商品",IF(TB[[#This Row],[售价]]&lt;10000,"高价商品","超高价商品")))</f>
        <v>低价商品</v>
      </c>
    </row>
    <row r="2911" spans="1:14" x14ac:dyDescent="0.2">
      <c r="A2911">
        <v>344</v>
      </c>
      <c r="B2911">
        <v>188</v>
      </c>
      <c r="C2911" t="s">
        <v>36</v>
      </c>
      <c r="D2911" t="s">
        <v>265</v>
      </c>
      <c r="E2911" t="s">
        <v>31</v>
      </c>
      <c r="F2911">
        <v>4</v>
      </c>
      <c r="G2911" t="s">
        <v>13</v>
      </c>
      <c r="H2911" s="1">
        <v>45984.529166666667</v>
      </c>
      <c r="I2911" s="5">
        <f>INT(TB[[#This Row],[时间戳]])</f>
        <v>45984</v>
      </c>
      <c r="J2911" s="2">
        <f>HOUR(TB[[#This Row],[时间戳]])</f>
        <v>12</v>
      </c>
      <c r="K2911">
        <v>663</v>
      </c>
      <c r="L2911">
        <v>1</v>
      </c>
      <c r="M2911">
        <f>TB[[#This Row],[售价]]*TB[[#This Row],[销量]]</f>
        <v>663</v>
      </c>
      <c r="N2911" t="str">
        <f>IF(TB[[#This Row],[售价]]&lt;1000,"低价商品",IF(TB[[#This Row],[售价]]&lt;5000,"中价商品",IF(TB[[#This Row],[售价]]&lt;10000,"高价商品","超高价商品")))</f>
        <v>低价商品</v>
      </c>
    </row>
    <row r="2912" spans="1:14" x14ac:dyDescent="0.2">
      <c r="A2912">
        <v>136</v>
      </c>
      <c r="B2912">
        <v>178</v>
      </c>
      <c r="C2912" t="s">
        <v>17</v>
      </c>
      <c r="D2912" t="s">
        <v>133</v>
      </c>
      <c r="E2912" t="s">
        <v>31</v>
      </c>
      <c r="F2912">
        <v>4</v>
      </c>
      <c r="G2912" t="s">
        <v>13</v>
      </c>
      <c r="H2912" s="1">
        <v>45984.53402777778</v>
      </c>
      <c r="I2912" s="5">
        <f>INT(TB[[#This Row],[时间戳]])</f>
        <v>45984</v>
      </c>
      <c r="J2912" s="2">
        <f>HOUR(TB[[#This Row],[时间戳]])</f>
        <v>12</v>
      </c>
      <c r="K2912">
        <v>1116</v>
      </c>
      <c r="L2912">
        <v>3</v>
      </c>
      <c r="M2912">
        <f>TB[[#This Row],[售价]]*TB[[#This Row],[销量]]</f>
        <v>3348</v>
      </c>
      <c r="N2912" t="str">
        <f>IF(TB[[#This Row],[售价]]&lt;1000,"低价商品",IF(TB[[#This Row],[售价]]&lt;5000,"中价商品",IF(TB[[#This Row],[售价]]&lt;10000,"高价商品","超高价商品")))</f>
        <v>中价商品</v>
      </c>
    </row>
    <row r="2913" spans="1:14" x14ac:dyDescent="0.2">
      <c r="A2913">
        <v>501</v>
      </c>
      <c r="B2913">
        <v>145</v>
      </c>
      <c r="C2913" t="s">
        <v>20</v>
      </c>
      <c r="D2913" t="s">
        <v>40</v>
      </c>
      <c r="E2913" t="s">
        <v>25</v>
      </c>
      <c r="F2913">
        <v>7</v>
      </c>
      <c r="G2913" t="s">
        <v>42</v>
      </c>
      <c r="H2913" s="1">
        <v>45984.53402777778</v>
      </c>
      <c r="I2913" s="5">
        <f>INT(TB[[#This Row],[时间戳]])</f>
        <v>45984</v>
      </c>
      <c r="J2913" s="2">
        <f>HOUR(TB[[#This Row],[时间戳]])</f>
        <v>12</v>
      </c>
      <c r="K2913">
        <v>7324</v>
      </c>
      <c r="L2913">
        <v>0</v>
      </c>
      <c r="M2913">
        <f>TB[[#This Row],[售价]]*TB[[#This Row],[销量]]</f>
        <v>0</v>
      </c>
      <c r="N2913" t="str">
        <f>IF(TB[[#This Row],[售价]]&lt;1000,"低价商品",IF(TB[[#This Row],[售价]]&lt;5000,"中价商品",IF(TB[[#This Row],[售价]]&lt;10000,"高价商品","超高价商品")))</f>
        <v>高价商品</v>
      </c>
    </row>
    <row r="2914" spans="1:14" x14ac:dyDescent="0.2">
      <c r="A2914">
        <v>87</v>
      </c>
      <c r="B2914">
        <v>164</v>
      </c>
      <c r="C2914" t="s">
        <v>44</v>
      </c>
      <c r="D2914" t="s">
        <v>372</v>
      </c>
      <c r="E2914" t="s">
        <v>22</v>
      </c>
      <c r="F2914">
        <v>1</v>
      </c>
      <c r="G2914" t="s">
        <v>42</v>
      </c>
      <c r="H2914" s="1">
        <v>45984.557638888888</v>
      </c>
      <c r="I2914" s="5">
        <f>INT(TB[[#This Row],[时间戳]])</f>
        <v>45984</v>
      </c>
      <c r="J2914" s="2">
        <f>HOUR(TB[[#This Row],[时间戳]])</f>
        <v>13</v>
      </c>
      <c r="K2914">
        <v>3026</v>
      </c>
      <c r="L2914">
        <v>0</v>
      </c>
      <c r="M2914">
        <f>TB[[#This Row],[售价]]*TB[[#This Row],[销量]]</f>
        <v>0</v>
      </c>
      <c r="N2914" t="str">
        <f>IF(TB[[#This Row],[售价]]&lt;1000,"低价商品",IF(TB[[#This Row],[售价]]&lt;5000,"中价商品",IF(TB[[#This Row],[售价]]&lt;10000,"高价商品","超高价商品")))</f>
        <v>中价商品</v>
      </c>
    </row>
    <row r="2915" spans="1:14" x14ac:dyDescent="0.2">
      <c r="A2915">
        <v>781</v>
      </c>
      <c r="B2915">
        <v>55</v>
      </c>
      <c r="C2915" t="s">
        <v>10</v>
      </c>
      <c r="D2915" t="s">
        <v>298</v>
      </c>
      <c r="E2915" t="s">
        <v>12</v>
      </c>
      <c r="F2915">
        <v>2</v>
      </c>
      <c r="G2915" t="s">
        <v>13</v>
      </c>
      <c r="H2915" s="1">
        <v>45984.620138888888</v>
      </c>
      <c r="I2915" s="5">
        <f>INT(TB[[#This Row],[时间戳]])</f>
        <v>45984</v>
      </c>
      <c r="J2915" s="2">
        <f>HOUR(TB[[#This Row],[时间戳]])</f>
        <v>14</v>
      </c>
      <c r="K2915">
        <v>12194</v>
      </c>
      <c r="L2915">
        <v>3</v>
      </c>
      <c r="M2915">
        <f>TB[[#This Row],[售价]]*TB[[#This Row],[销量]]</f>
        <v>36582</v>
      </c>
      <c r="N2915" t="str">
        <f>IF(TB[[#This Row],[售价]]&lt;1000,"低价商品",IF(TB[[#This Row],[售价]]&lt;5000,"中价商品",IF(TB[[#This Row],[售价]]&lt;10000,"高价商品","超高价商品")))</f>
        <v>超高价商品</v>
      </c>
    </row>
    <row r="2916" spans="1:14" x14ac:dyDescent="0.2">
      <c r="A2916">
        <v>67</v>
      </c>
      <c r="B2916">
        <v>79</v>
      </c>
      <c r="C2916" t="s">
        <v>26</v>
      </c>
      <c r="D2916" t="s">
        <v>92</v>
      </c>
      <c r="E2916" t="s">
        <v>19</v>
      </c>
      <c r="F2916">
        <v>3</v>
      </c>
      <c r="G2916" t="s">
        <v>13</v>
      </c>
      <c r="H2916" s="1">
        <v>45984.625</v>
      </c>
      <c r="I2916" s="5">
        <f>INT(TB[[#This Row],[时间戳]])</f>
        <v>45984</v>
      </c>
      <c r="J2916" s="2">
        <f>HOUR(TB[[#This Row],[时间戳]])</f>
        <v>15</v>
      </c>
      <c r="K2916">
        <v>3328</v>
      </c>
      <c r="L2916">
        <v>2</v>
      </c>
      <c r="M2916">
        <f>TB[[#This Row],[售价]]*TB[[#This Row],[销量]]</f>
        <v>6656</v>
      </c>
      <c r="N2916" t="str">
        <f>IF(TB[[#This Row],[售价]]&lt;1000,"低价商品",IF(TB[[#This Row],[售价]]&lt;5000,"中价商品",IF(TB[[#This Row],[售价]]&lt;10000,"高价商品","超高价商品")))</f>
        <v>中价商品</v>
      </c>
    </row>
    <row r="2917" spans="1:14" x14ac:dyDescent="0.2">
      <c r="A2917">
        <v>10</v>
      </c>
      <c r="B2917">
        <v>7</v>
      </c>
      <c r="C2917" t="s">
        <v>14</v>
      </c>
      <c r="D2917" t="s">
        <v>89</v>
      </c>
      <c r="E2917" t="s">
        <v>22</v>
      </c>
      <c r="F2917">
        <v>1</v>
      </c>
      <c r="G2917" t="s">
        <v>13</v>
      </c>
      <c r="H2917" s="1">
        <v>45984.645138888889</v>
      </c>
      <c r="I2917" s="5">
        <f>INT(TB[[#This Row],[时间戳]])</f>
        <v>45984</v>
      </c>
      <c r="J2917" s="2">
        <f>HOUR(TB[[#This Row],[时间戳]])</f>
        <v>15</v>
      </c>
      <c r="K2917">
        <v>5606</v>
      </c>
      <c r="L2917">
        <v>4</v>
      </c>
      <c r="M2917">
        <f>TB[[#This Row],[售价]]*TB[[#This Row],[销量]]</f>
        <v>22424</v>
      </c>
      <c r="N2917" t="str">
        <f>IF(TB[[#This Row],[售价]]&lt;1000,"低价商品",IF(TB[[#This Row],[售价]]&lt;5000,"中价商品",IF(TB[[#This Row],[售价]]&lt;10000,"高价商品","超高价商品")))</f>
        <v>高价商品</v>
      </c>
    </row>
    <row r="2918" spans="1:14" x14ac:dyDescent="0.2">
      <c r="A2918">
        <v>597</v>
      </c>
      <c r="B2918">
        <v>236</v>
      </c>
      <c r="C2918" t="s">
        <v>14</v>
      </c>
      <c r="D2918" t="s">
        <v>190</v>
      </c>
      <c r="E2918" t="s">
        <v>12</v>
      </c>
      <c r="F2918">
        <v>2</v>
      </c>
      <c r="G2918" t="s">
        <v>13</v>
      </c>
      <c r="H2918" s="1">
        <v>45984.670138888891</v>
      </c>
      <c r="I2918" s="5">
        <f>INT(TB[[#This Row],[时间戳]])</f>
        <v>45984</v>
      </c>
      <c r="J2918" s="2">
        <f>HOUR(TB[[#This Row],[时间戳]])</f>
        <v>16</v>
      </c>
      <c r="K2918">
        <v>9705</v>
      </c>
      <c r="L2918">
        <v>1</v>
      </c>
      <c r="M2918">
        <f>TB[[#This Row],[售价]]*TB[[#This Row],[销量]]</f>
        <v>9705</v>
      </c>
      <c r="N2918" t="str">
        <f>IF(TB[[#This Row],[售价]]&lt;1000,"低价商品",IF(TB[[#This Row],[售价]]&lt;5000,"中价商品",IF(TB[[#This Row],[售价]]&lt;10000,"高价商品","超高价商品")))</f>
        <v>高价商品</v>
      </c>
    </row>
    <row r="2919" spans="1:14" x14ac:dyDescent="0.2">
      <c r="A2919">
        <v>125</v>
      </c>
      <c r="B2919">
        <v>29</v>
      </c>
      <c r="C2919" t="s">
        <v>14</v>
      </c>
      <c r="D2919" t="s">
        <v>249</v>
      </c>
      <c r="E2919" t="s">
        <v>25</v>
      </c>
      <c r="F2919">
        <v>7</v>
      </c>
      <c r="G2919" t="s">
        <v>13</v>
      </c>
      <c r="H2919" s="1">
        <v>45984.704861111109</v>
      </c>
      <c r="I2919" s="5">
        <f>INT(TB[[#This Row],[时间戳]])</f>
        <v>45984</v>
      </c>
      <c r="J2919" s="2">
        <f>HOUR(TB[[#This Row],[时间戳]])</f>
        <v>16</v>
      </c>
      <c r="K2919">
        <v>6638</v>
      </c>
      <c r="L2919">
        <v>2</v>
      </c>
      <c r="M2919">
        <f>TB[[#This Row],[售价]]*TB[[#This Row],[销量]]</f>
        <v>13276</v>
      </c>
      <c r="N2919" t="str">
        <f>IF(TB[[#This Row],[售价]]&lt;1000,"低价商品",IF(TB[[#This Row],[售价]]&lt;5000,"中价商品",IF(TB[[#This Row],[售价]]&lt;10000,"高价商品","超高价商品")))</f>
        <v>高价商品</v>
      </c>
    </row>
    <row r="2920" spans="1:14" x14ac:dyDescent="0.2">
      <c r="A2920">
        <v>94</v>
      </c>
      <c r="B2920">
        <v>47</v>
      </c>
      <c r="C2920" t="s">
        <v>14</v>
      </c>
      <c r="D2920" t="s">
        <v>356</v>
      </c>
      <c r="E2920" t="s">
        <v>16</v>
      </c>
      <c r="F2920">
        <v>6</v>
      </c>
      <c r="G2920" t="s">
        <v>13</v>
      </c>
      <c r="H2920" s="1">
        <v>45984.714583333334</v>
      </c>
      <c r="I2920" s="5">
        <f>INT(TB[[#This Row],[时间戳]])</f>
        <v>45984</v>
      </c>
      <c r="J2920" s="2">
        <f>HOUR(TB[[#This Row],[时间戳]])</f>
        <v>17</v>
      </c>
      <c r="K2920">
        <v>4174</v>
      </c>
      <c r="L2920">
        <v>1</v>
      </c>
      <c r="M2920">
        <f>TB[[#This Row],[售价]]*TB[[#This Row],[销量]]</f>
        <v>4174</v>
      </c>
      <c r="N2920" t="str">
        <f>IF(TB[[#This Row],[售价]]&lt;1000,"低价商品",IF(TB[[#This Row],[售价]]&lt;5000,"中价商品",IF(TB[[#This Row],[售价]]&lt;10000,"高价商品","超高价商品")))</f>
        <v>中价商品</v>
      </c>
    </row>
    <row r="2921" spans="1:14" x14ac:dyDescent="0.2">
      <c r="A2921">
        <v>52</v>
      </c>
      <c r="B2921">
        <v>41</v>
      </c>
      <c r="C2921" t="s">
        <v>32</v>
      </c>
      <c r="D2921" t="s">
        <v>38</v>
      </c>
      <c r="E2921" t="s">
        <v>39</v>
      </c>
      <c r="F2921">
        <v>5</v>
      </c>
      <c r="G2921" t="s">
        <v>13</v>
      </c>
      <c r="H2921" s="1">
        <v>45984.72152777778</v>
      </c>
      <c r="I2921" s="5">
        <f>INT(TB[[#This Row],[时间戳]])</f>
        <v>45984</v>
      </c>
      <c r="J2921" s="2">
        <f>HOUR(TB[[#This Row],[时间戳]])</f>
        <v>17</v>
      </c>
      <c r="K2921">
        <v>836</v>
      </c>
      <c r="L2921">
        <v>3</v>
      </c>
      <c r="M2921">
        <f>TB[[#This Row],[售价]]*TB[[#This Row],[销量]]</f>
        <v>2508</v>
      </c>
      <c r="N2921" t="str">
        <f>IF(TB[[#This Row],[售价]]&lt;1000,"低价商品",IF(TB[[#This Row],[售价]]&lt;5000,"中价商品",IF(TB[[#This Row],[售价]]&lt;10000,"高价商品","超高价商品")))</f>
        <v>低价商品</v>
      </c>
    </row>
    <row r="2922" spans="1:14" x14ac:dyDescent="0.2">
      <c r="A2922">
        <v>488</v>
      </c>
      <c r="B2922">
        <v>102</v>
      </c>
      <c r="C2922" t="s">
        <v>20</v>
      </c>
      <c r="D2922" t="s">
        <v>40</v>
      </c>
      <c r="E2922" t="s">
        <v>25</v>
      </c>
      <c r="F2922">
        <v>7</v>
      </c>
      <c r="G2922" t="s">
        <v>13</v>
      </c>
      <c r="H2922" s="1">
        <v>45984.728472222225</v>
      </c>
      <c r="I2922" s="5">
        <f>INT(TB[[#This Row],[时间戳]])</f>
        <v>45984</v>
      </c>
      <c r="J2922" s="2">
        <f>HOUR(TB[[#This Row],[时间戳]])</f>
        <v>17</v>
      </c>
      <c r="K2922">
        <v>4633</v>
      </c>
      <c r="L2922">
        <v>3</v>
      </c>
      <c r="M2922">
        <f>TB[[#This Row],[售价]]*TB[[#This Row],[销量]]</f>
        <v>13899</v>
      </c>
      <c r="N2922" t="str">
        <f>IF(TB[[#This Row],[售价]]&lt;1000,"低价商品",IF(TB[[#This Row],[售价]]&lt;5000,"中价商品",IF(TB[[#This Row],[售价]]&lt;10000,"高价商品","超高价商品")))</f>
        <v>中价商品</v>
      </c>
    </row>
    <row r="2923" spans="1:14" x14ac:dyDescent="0.2">
      <c r="A2923">
        <v>295</v>
      </c>
      <c r="B2923">
        <v>32</v>
      </c>
      <c r="C2923" t="s">
        <v>26</v>
      </c>
      <c r="D2923" t="s">
        <v>171</v>
      </c>
      <c r="E2923" t="s">
        <v>12</v>
      </c>
      <c r="F2923">
        <v>2</v>
      </c>
      <c r="G2923" t="s">
        <v>13</v>
      </c>
      <c r="H2923" s="1">
        <v>45984.751388888886</v>
      </c>
      <c r="I2923" s="5">
        <f>INT(TB[[#This Row],[时间戳]])</f>
        <v>45984</v>
      </c>
      <c r="J2923" s="2">
        <f>HOUR(TB[[#This Row],[时间戳]])</f>
        <v>18</v>
      </c>
      <c r="K2923">
        <v>12224</v>
      </c>
      <c r="L2923">
        <v>2</v>
      </c>
      <c r="M2923">
        <f>TB[[#This Row],[售价]]*TB[[#This Row],[销量]]</f>
        <v>24448</v>
      </c>
      <c r="N2923" t="str">
        <f>IF(TB[[#This Row],[售价]]&lt;1000,"低价商品",IF(TB[[#This Row],[售价]]&lt;5000,"中价商品",IF(TB[[#This Row],[售价]]&lt;10000,"高价商品","超高价商品")))</f>
        <v>超高价商品</v>
      </c>
    </row>
    <row r="2924" spans="1:14" x14ac:dyDescent="0.2">
      <c r="A2924">
        <v>82</v>
      </c>
      <c r="B2924">
        <v>91</v>
      </c>
      <c r="C2924" t="s">
        <v>20</v>
      </c>
      <c r="D2924" t="s">
        <v>293</v>
      </c>
      <c r="E2924" t="s">
        <v>12</v>
      </c>
      <c r="F2924">
        <v>2</v>
      </c>
      <c r="G2924" t="s">
        <v>13</v>
      </c>
      <c r="H2924" s="1">
        <v>45984.782638888886</v>
      </c>
      <c r="I2924" s="5">
        <f>INT(TB[[#This Row],[时间戳]])</f>
        <v>45984</v>
      </c>
      <c r="J2924" s="2">
        <f>HOUR(TB[[#This Row],[时间戳]])</f>
        <v>18</v>
      </c>
      <c r="K2924">
        <v>11144</v>
      </c>
      <c r="L2924">
        <v>2</v>
      </c>
      <c r="M2924">
        <f>TB[[#This Row],[售价]]*TB[[#This Row],[销量]]</f>
        <v>22288</v>
      </c>
      <c r="N2924" t="str">
        <f>IF(TB[[#This Row],[售价]]&lt;1000,"低价商品",IF(TB[[#This Row],[售价]]&lt;5000,"中价商品",IF(TB[[#This Row],[售价]]&lt;10000,"高价商品","超高价商品")))</f>
        <v>超高价商品</v>
      </c>
    </row>
    <row r="2925" spans="1:14" x14ac:dyDescent="0.2">
      <c r="A2925">
        <v>590</v>
      </c>
      <c r="B2925">
        <v>97</v>
      </c>
      <c r="C2925" t="s">
        <v>26</v>
      </c>
      <c r="D2925" t="s">
        <v>94</v>
      </c>
      <c r="E2925" t="s">
        <v>12</v>
      </c>
      <c r="F2925">
        <v>2</v>
      </c>
      <c r="G2925" t="s">
        <v>13</v>
      </c>
      <c r="H2925" s="1">
        <v>45984.786805555559</v>
      </c>
      <c r="I2925" s="5">
        <f>INT(TB[[#This Row],[时间戳]])</f>
        <v>45984</v>
      </c>
      <c r="J2925" s="2">
        <f>HOUR(TB[[#This Row],[时间戳]])</f>
        <v>18</v>
      </c>
      <c r="K2925">
        <v>7173</v>
      </c>
      <c r="L2925">
        <v>1</v>
      </c>
      <c r="M2925">
        <f>TB[[#This Row],[售价]]*TB[[#This Row],[销量]]</f>
        <v>7173</v>
      </c>
      <c r="N2925" t="str">
        <f>IF(TB[[#This Row],[售价]]&lt;1000,"低价商品",IF(TB[[#This Row],[售价]]&lt;5000,"中价商品",IF(TB[[#This Row],[售价]]&lt;10000,"高价商品","超高价商品")))</f>
        <v>高价商品</v>
      </c>
    </row>
    <row r="2926" spans="1:14" x14ac:dyDescent="0.2">
      <c r="A2926">
        <v>192</v>
      </c>
      <c r="B2926">
        <v>165</v>
      </c>
      <c r="C2926" t="s">
        <v>14</v>
      </c>
      <c r="D2926" t="s">
        <v>49</v>
      </c>
      <c r="E2926" t="s">
        <v>22</v>
      </c>
      <c r="F2926">
        <v>1</v>
      </c>
      <c r="G2926" t="s">
        <v>13</v>
      </c>
      <c r="H2926" s="1">
        <v>45984.795138888891</v>
      </c>
      <c r="I2926" s="5">
        <f>INT(TB[[#This Row],[时间戳]])</f>
        <v>45984</v>
      </c>
      <c r="J2926" s="2">
        <f>HOUR(TB[[#This Row],[时间戳]])</f>
        <v>19</v>
      </c>
      <c r="K2926">
        <v>6597</v>
      </c>
      <c r="L2926">
        <v>3</v>
      </c>
      <c r="M2926">
        <f>TB[[#This Row],[售价]]*TB[[#This Row],[销量]]</f>
        <v>19791</v>
      </c>
      <c r="N2926" t="str">
        <f>IF(TB[[#This Row],[售价]]&lt;1000,"低价商品",IF(TB[[#This Row],[售价]]&lt;5000,"中价商品",IF(TB[[#This Row],[售价]]&lt;10000,"高价商品","超高价商品")))</f>
        <v>高价商品</v>
      </c>
    </row>
    <row r="2927" spans="1:14" x14ac:dyDescent="0.2">
      <c r="A2927">
        <v>651</v>
      </c>
      <c r="B2927">
        <v>152</v>
      </c>
      <c r="C2927" t="s">
        <v>26</v>
      </c>
      <c r="D2927" t="s">
        <v>95</v>
      </c>
      <c r="E2927" t="s">
        <v>22</v>
      </c>
      <c r="F2927">
        <v>1</v>
      </c>
      <c r="G2927" t="s">
        <v>13</v>
      </c>
      <c r="H2927" s="1">
        <v>45984.838194444441</v>
      </c>
      <c r="I2927" s="5">
        <f>INT(TB[[#This Row],[时间戳]])</f>
        <v>45984</v>
      </c>
      <c r="J2927" s="2">
        <f>HOUR(TB[[#This Row],[时间戳]])</f>
        <v>20</v>
      </c>
      <c r="K2927">
        <v>7111</v>
      </c>
      <c r="L2927">
        <v>4</v>
      </c>
      <c r="M2927">
        <f>TB[[#This Row],[售价]]*TB[[#This Row],[销量]]</f>
        <v>28444</v>
      </c>
      <c r="N2927" t="str">
        <f>IF(TB[[#This Row],[售价]]&lt;1000,"低价商品",IF(TB[[#This Row],[售价]]&lt;5000,"中价商品",IF(TB[[#This Row],[售价]]&lt;10000,"高价商品","超高价商品")))</f>
        <v>高价商品</v>
      </c>
    </row>
    <row r="2928" spans="1:14" x14ac:dyDescent="0.2">
      <c r="A2928">
        <v>293</v>
      </c>
      <c r="B2928">
        <v>112</v>
      </c>
      <c r="C2928" t="s">
        <v>20</v>
      </c>
      <c r="D2928" t="s">
        <v>334</v>
      </c>
      <c r="E2928" t="s">
        <v>22</v>
      </c>
      <c r="F2928">
        <v>1</v>
      </c>
      <c r="G2928" t="s">
        <v>13</v>
      </c>
      <c r="H2928" s="1">
        <v>45984.868055555555</v>
      </c>
      <c r="I2928" s="5">
        <f>INT(TB[[#This Row],[时间戳]])</f>
        <v>45984</v>
      </c>
      <c r="J2928" s="2">
        <f>HOUR(TB[[#This Row],[时间戳]])</f>
        <v>20</v>
      </c>
      <c r="K2928">
        <v>5938</v>
      </c>
      <c r="L2928">
        <v>4</v>
      </c>
      <c r="M2928">
        <f>TB[[#This Row],[售价]]*TB[[#This Row],[销量]]</f>
        <v>23752</v>
      </c>
      <c r="N2928" t="str">
        <f>IF(TB[[#This Row],[售价]]&lt;1000,"低价商品",IF(TB[[#This Row],[售价]]&lt;5000,"中价商品",IF(TB[[#This Row],[售价]]&lt;10000,"高价商品","超高价商品")))</f>
        <v>高价商品</v>
      </c>
    </row>
    <row r="2929" spans="1:14" x14ac:dyDescent="0.2">
      <c r="A2929">
        <v>247</v>
      </c>
      <c r="B2929">
        <v>272</v>
      </c>
      <c r="C2929" t="s">
        <v>34</v>
      </c>
      <c r="D2929" t="s">
        <v>105</v>
      </c>
      <c r="E2929" t="s">
        <v>12</v>
      </c>
      <c r="F2929">
        <v>2</v>
      </c>
      <c r="G2929" t="s">
        <v>13</v>
      </c>
      <c r="H2929" s="1">
        <v>45984.945138888892</v>
      </c>
      <c r="I2929" s="5">
        <f>INT(TB[[#This Row],[时间戳]])</f>
        <v>45984</v>
      </c>
      <c r="J2929" s="2">
        <f>HOUR(TB[[#This Row],[时间戳]])</f>
        <v>22</v>
      </c>
      <c r="K2929">
        <v>10916</v>
      </c>
      <c r="L2929">
        <v>4</v>
      </c>
      <c r="M2929">
        <f>TB[[#This Row],[售价]]*TB[[#This Row],[销量]]</f>
        <v>43664</v>
      </c>
      <c r="N2929" t="str">
        <f>IF(TB[[#This Row],[售价]]&lt;1000,"低价商品",IF(TB[[#This Row],[售价]]&lt;5000,"中价商品",IF(TB[[#This Row],[售价]]&lt;10000,"高价商品","超高价商品")))</f>
        <v>超高价商品</v>
      </c>
    </row>
    <row r="2930" spans="1:14" x14ac:dyDescent="0.2">
      <c r="A2930">
        <v>773</v>
      </c>
      <c r="B2930">
        <v>83</v>
      </c>
      <c r="C2930" t="s">
        <v>36</v>
      </c>
      <c r="D2930" t="s">
        <v>112</v>
      </c>
      <c r="E2930" t="s">
        <v>22</v>
      </c>
      <c r="F2930">
        <v>1</v>
      </c>
      <c r="G2930" t="s">
        <v>13</v>
      </c>
      <c r="H2930" s="1">
        <v>45984.970833333333</v>
      </c>
      <c r="I2930" s="5">
        <f>INT(TB[[#This Row],[时间戳]])</f>
        <v>45984</v>
      </c>
      <c r="J2930" s="2">
        <f>HOUR(TB[[#This Row],[时间戳]])</f>
        <v>23</v>
      </c>
      <c r="K2930">
        <v>1192</v>
      </c>
      <c r="L2930">
        <v>1</v>
      </c>
      <c r="M2930">
        <f>TB[[#This Row],[售价]]*TB[[#This Row],[销量]]</f>
        <v>1192</v>
      </c>
      <c r="N2930" t="str">
        <f>IF(TB[[#This Row],[售价]]&lt;1000,"低价商品",IF(TB[[#This Row],[售价]]&lt;5000,"中价商品",IF(TB[[#This Row],[售价]]&lt;10000,"高价商品","超高价商品")))</f>
        <v>中价商品</v>
      </c>
    </row>
    <row r="2931" spans="1:14" x14ac:dyDescent="0.2">
      <c r="A2931">
        <v>353</v>
      </c>
      <c r="B2931">
        <v>31</v>
      </c>
      <c r="C2931" t="s">
        <v>14</v>
      </c>
      <c r="D2931" t="s">
        <v>202</v>
      </c>
      <c r="E2931" t="s">
        <v>31</v>
      </c>
      <c r="F2931">
        <v>4</v>
      </c>
      <c r="G2931" t="s">
        <v>13</v>
      </c>
      <c r="H2931" s="1">
        <v>45984.980555555558</v>
      </c>
      <c r="I2931" s="5">
        <f>INT(TB[[#This Row],[时间戳]])</f>
        <v>45984</v>
      </c>
      <c r="J2931" s="2">
        <f>HOUR(TB[[#This Row],[时间戳]])</f>
        <v>23</v>
      </c>
      <c r="K2931">
        <v>50</v>
      </c>
      <c r="L2931">
        <v>3</v>
      </c>
      <c r="M2931">
        <f>TB[[#This Row],[售价]]*TB[[#This Row],[销量]]</f>
        <v>150</v>
      </c>
      <c r="N2931" t="str">
        <f>IF(TB[[#This Row],[售价]]&lt;1000,"低价商品",IF(TB[[#This Row],[售价]]&lt;5000,"中价商品",IF(TB[[#This Row],[售价]]&lt;10000,"高价商品","超高价商品")))</f>
        <v>低价商品</v>
      </c>
    </row>
    <row r="2932" spans="1:14" x14ac:dyDescent="0.2">
      <c r="A2932">
        <v>691</v>
      </c>
      <c r="B2932">
        <v>229</v>
      </c>
      <c r="C2932" t="s">
        <v>17</v>
      </c>
      <c r="D2932" t="s">
        <v>74</v>
      </c>
      <c r="E2932" t="s">
        <v>22</v>
      </c>
      <c r="F2932">
        <v>1</v>
      </c>
      <c r="G2932" t="s">
        <v>13</v>
      </c>
      <c r="H2932" s="1">
        <v>45984.996527777781</v>
      </c>
      <c r="I2932" s="5">
        <f>INT(TB[[#This Row],[时间戳]])</f>
        <v>45984</v>
      </c>
      <c r="J2932" s="2">
        <f>HOUR(TB[[#This Row],[时间戳]])</f>
        <v>23</v>
      </c>
      <c r="K2932">
        <v>6263</v>
      </c>
      <c r="L2932">
        <v>3</v>
      </c>
      <c r="M2932">
        <f>TB[[#This Row],[售价]]*TB[[#This Row],[销量]]</f>
        <v>18789</v>
      </c>
      <c r="N2932" t="str">
        <f>IF(TB[[#This Row],[售价]]&lt;1000,"低价商品",IF(TB[[#This Row],[售价]]&lt;5000,"中价商品",IF(TB[[#This Row],[售价]]&lt;10000,"高价商品","超高价商品")))</f>
        <v>高价商品</v>
      </c>
    </row>
    <row r="2933" spans="1:14" x14ac:dyDescent="0.2">
      <c r="A2933">
        <v>603</v>
      </c>
      <c r="B2933">
        <v>186</v>
      </c>
      <c r="C2933" t="s">
        <v>14</v>
      </c>
      <c r="D2933" t="s">
        <v>145</v>
      </c>
      <c r="E2933" t="s">
        <v>22</v>
      </c>
      <c r="F2933">
        <v>1</v>
      </c>
      <c r="G2933" t="s">
        <v>13</v>
      </c>
      <c r="H2933" s="1">
        <v>45985.01666666667</v>
      </c>
      <c r="I2933" s="5">
        <f>INT(TB[[#This Row],[时间戳]])</f>
        <v>45985</v>
      </c>
      <c r="J2933" s="2">
        <f>HOUR(TB[[#This Row],[时间戳]])</f>
        <v>0</v>
      </c>
      <c r="K2933">
        <v>1279</v>
      </c>
      <c r="L2933">
        <v>2</v>
      </c>
      <c r="M2933">
        <f>TB[[#This Row],[售价]]*TB[[#This Row],[销量]]</f>
        <v>2558</v>
      </c>
      <c r="N2933" t="str">
        <f>IF(TB[[#This Row],[售价]]&lt;1000,"低价商品",IF(TB[[#This Row],[售价]]&lt;5000,"中价商品",IF(TB[[#This Row],[售价]]&lt;10000,"高价商品","超高价商品")))</f>
        <v>中价商品</v>
      </c>
    </row>
    <row r="2934" spans="1:14" x14ac:dyDescent="0.2">
      <c r="A2934">
        <v>269</v>
      </c>
      <c r="B2934">
        <v>164</v>
      </c>
      <c r="C2934" t="s">
        <v>14</v>
      </c>
      <c r="D2934" t="s">
        <v>375</v>
      </c>
      <c r="E2934" t="s">
        <v>16</v>
      </c>
      <c r="F2934">
        <v>6</v>
      </c>
      <c r="G2934" t="s">
        <v>13</v>
      </c>
      <c r="H2934" s="1">
        <v>45985.018055555556</v>
      </c>
      <c r="I2934" s="5">
        <f>INT(TB[[#This Row],[时间戳]])</f>
        <v>45985</v>
      </c>
      <c r="J2934" s="2">
        <f>HOUR(TB[[#This Row],[时间戳]])</f>
        <v>0</v>
      </c>
      <c r="K2934">
        <v>12000</v>
      </c>
      <c r="L2934">
        <v>2</v>
      </c>
      <c r="M2934">
        <f>TB[[#This Row],[售价]]*TB[[#This Row],[销量]]</f>
        <v>24000</v>
      </c>
      <c r="N2934" t="str">
        <f>IF(TB[[#This Row],[售价]]&lt;1000,"低价商品",IF(TB[[#This Row],[售价]]&lt;5000,"中价商品",IF(TB[[#This Row],[售价]]&lt;10000,"高价商品","超高价商品")))</f>
        <v>超高价商品</v>
      </c>
    </row>
    <row r="2935" spans="1:14" x14ac:dyDescent="0.2">
      <c r="A2935">
        <v>512</v>
      </c>
      <c r="B2935">
        <v>154</v>
      </c>
      <c r="C2935" t="s">
        <v>44</v>
      </c>
      <c r="D2935" t="s">
        <v>184</v>
      </c>
      <c r="E2935" t="s">
        <v>12</v>
      </c>
      <c r="F2935">
        <v>2</v>
      </c>
      <c r="G2935" t="s">
        <v>13</v>
      </c>
      <c r="H2935" s="1">
        <v>45985.032638888886</v>
      </c>
      <c r="I2935" s="5">
        <f>INT(TB[[#This Row],[时间戳]])</f>
        <v>45985</v>
      </c>
      <c r="J2935" s="2">
        <f>HOUR(TB[[#This Row],[时间戳]])</f>
        <v>0</v>
      </c>
      <c r="K2935">
        <v>11368</v>
      </c>
      <c r="L2935">
        <v>5</v>
      </c>
      <c r="M2935">
        <f>TB[[#This Row],[售价]]*TB[[#This Row],[销量]]</f>
        <v>56840</v>
      </c>
      <c r="N2935" t="str">
        <f>IF(TB[[#This Row],[售价]]&lt;1000,"低价商品",IF(TB[[#This Row],[售价]]&lt;5000,"中价商品",IF(TB[[#This Row],[售价]]&lt;10000,"高价商品","超高价商品")))</f>
        <v>超高价商品</v>
      </c>
    </row>
    <row r="2936" spans="1:14" x14ac:dyDescent="0.2">
      <c r="A2936">
        <v>234</v>
      </c>
      <c r="B2936">
        <v>88</v>
      </c>
      <c r="C2936" t="s">
        <v>20</v>
      </c>
      <c r="D2936" t="s">
        <v>340</v>
      </c>
      <c r="E2936" t="s">
        <v>19</v>
      </c>
      <c r="F2936">
        <v>3</v>
      </c>
      <c r="G2936" t="s">
        <v>13</v>
      </c>
      <c r="H2936" s="1">
        <v>45985.055555555555</v>
      </c>
      <c r="I2936" s="5">
        <f>INT(TB[[#This Row],[时间戳]])</f>
        <v>45985</v>
      </c>
      <c r="J2936" s="2">
        <f>HOUR(TB[[#This Row],[时间戳]])</f>
        <v>1</v>
      </c>
      <c r="K2936">
        <v>5466</v>
      </c>
      <c r="L2936">
        <v>5</v>
      </c>
      <c r="M2936">
        <f>TB[[#This Row],[售价]]*TB[[#This Row],[销量]]</f>
        <v>27330</v>
      </c>
      <c r="N2936" t="str">
        <f>IF(TB[[#This Row],[售价]]&lt;1000,"低价商品",IF(TB[[#This Row],[售价]]&lt;5000,"中价商品",IF(TB[[#This Row],[售价]]&lt;10000,"高价商品","超高价商品")))</f>
        <v>高价商品</v>
      </c>
    </row>
    <row r="2937" spans="1:14" x14ac:dyDescent="0.2">
      <c r="A2937">
        <v>477</v>
      </c>
      <c r="B2937">
        <v>237</v>
      </c>
      <c r="C2937" t="s">
        <v>34</v>
      </c>
      <c r="D2937" t="s">
        <v>62</v>
      </c>
      <c r="E2937" t="s">
        <v>31</v>
      </c>
      <c r="F2937">
        <v>4</v>
      </c>
      <c r="G2937" t="s">
        <v>13</v>
      </c>
      <c r="H2937" s="1">
        <v>45985.058333333334</v>
      </c>
      <c r="I2937" s="5">
        <f>INT(TB[[#This Row],[时间戳]])</f>
        <v>45985</v>
      </c>
      <c r="J2937" s="2">
        <f>HOUR(TB[[#This Row],[时间戳]])</f>
        <v>1</v>
      </c>
      <c r="K2937">
        <v>290</v>
      </c>
      <c r="L2937">
        <v>2</v>
      </c>
      <c r="M2937">
        <f>TB[[#This Row],[售价]]*TB[[#This Row],[销量]]</f>
        <v>580</v>
      </c>
      <c r="N2937" t="str">
        <f>IF(TB[[#This Row],[售价]]&lt;1000,"低价商品",IF(TB[[#This Row],[售价]]&lt;5000,"中价商品",IF(TB[[#This Row],[售价]]&lt;10000,"高价商品","超高价商品")))</f>
        <v>低价商品</v>
      </c>
    </row>
    <row r="2938" spans="1:14" x14ac:dyDescent="0.2">
      <c r="A2938">
        <v>464</v>
      </c>
      <c r="B2938">
        <v>79</v>
      </c>
      <c r="C2938" t="s">
        <v>44</v>
      </c>
      <c r="D2938" t="s">
        <v>66</v>
      </c>
      <c r="E2938" t="s">
        <v>22</v>
      </c>
      <c r="F2938">
        <v>1</v>
      </c>
      <c r="G2938" t="s">
        <v>13</v>
      </c>
      <c r="H2938" s="1">
        <v>45985.086805555555</v>
      </c>
      <c r="I2938" s="5">
        <f>INT(TB[[#This Row],[时间戳]])</f>
        <v>45985</v>
      </c>
      <c r="J2938" s="2">
        <f>HOUR(TB[[#This Row],[时间戳]])</f>
        <v>2</v>
      </c>
      <c r="K2938">
        <v>3663</v>
      </c>
      <c r="L2938">
        <v>5</v>
      </c>
      <c r="M2938">
        <f>TB[[#This Row],[售价]]*TB[[#This Row],[销量]]</f>
        <v>18315</v>
      </c>
      <c r="N2938" t="str">
        <f>IF(TB[[#This Row],[售价]]&lt;1000,"低价商品",IF(TB[[#This Row],[售价]]&lt;5000,"中价商品",IF(TB[[#This Row],[售价]]&lt;10000,"高价商品","超高价商品")))</f>
        <v>中价商品</v>
      </c>
    </row>
    <row r="2939" spans="1:14" x14ac:dyDescent="0.2">
      <c r="A2939">
        <v>26</v>
      </c>
      <c r="B2939">
        <v>72</v>
      </c>
      <c r="C2939" t="s">
        <v>17</v>
      </c>
      <c r="D2939" t="s">
        <v>391</v>
      </c>
      <c r="E2939" t="s">
        <v>25</v>
      </c>
      <c r="F2939">
        <v>7</v>
      </c>
      <c r="G2939" t="s">
        <v>13</v>
      </c>
      <c r="H2939" s="1">
        <v>45985.102777777778</v>
      </c>
      <c r="I2939" s="5">
        <f>INT(TB[[#This Row],[时间戳]])</f>
        <v>45985</v>
      </c>
      <c r="J2939" s="2">
        <f>HOUR(TB[[#This Row],[时间戳]])</f>
        <v>2</v>
      </c>
      <c r="K2939">
        <v>2840</v>
      </c>
      <c r="L2939">
        <v>2</v>
      </c>
      <c r="M2939">
        <f>TB[[#This Row],[售价]]*TB[[#This Row],[销量]]</f>
        <v>5680</v>
      </c>
      <c r="N2939" t="str">
        <f>IF(TB[[#This Row],[售价]]&lt;1000,"低价商品",IF(TB[[#This Row],[售价]]&lt;5000,"中价商品",IF(TB[[#This Row],[售价]]&lt;10000,"高价商品","超高价商品")))</f>
        <v>中价商品</v>
      </c>
    </row>
    <row r="2940" spans="1:14" x14ac:dyDescent="0.2">
      <c r="A2940">
        <v>153</v>
      </c>
      <c r="B2940">
        <v>205</v>
      </c>
      <c r="C2940" t="s">
        <v>17</v>
      </c>
      <c r="D2940" t="s">
        <v>98</v>
      </c>
      <c r="E2940" t="s">
        <v>22</v>
      </c>
      <c r="F2940">
        <v>1</v>
      </c>
      <c r="G2940" t="s">
        <v>13</v>
      </c>
      <c r="H2940" s="1">
        <v>45985.158333333333</v>
      </c>
      <c r="I2940" s="5">
        <f>INT(TB[[#This Row],[时间戳]])</f>
        <v>45985</v>
      </c>
      <c r="J2940" s="2">
        <f>HOUR(TB[[#This Row],[时间戳]])</f>
        <v>3</v>
      </c>
      <c r="K2940">
        <v>7419</v>
      </c>
      <c r="L2940">
        <v>5</v>
      </c>
      <c r="M2940">
        <f>TB[[#This Row],[售价]]*TB[[#This Row],[销量]]</f>
        <v>37095</v>
      </c>
      <c r="N2940" t="str">
        <f>IF(TB[[#This Row],[售价]]&lt;1000,"低价商品",IF(TB[[#This Row],[售价]]&lt;5000,"中价商品",IF(TB[[#This Row],[售价]]&lt;10000,"高价商品","超高价商品")))</f>
        <v>高价商品</v>
      </c>
    </row>
    <row r="2941" spans="1:14" x14ac:dyDescent="0.2">
      <c r="A2941">
        <v>155</v>
      </c>
      <c r="B2941">
        <v>95</v>
      </c>
      <c r="C2941" t="s">
        <v>17</v>
      </c>
      <c r="D2941" t="s">
        <v>61</v>
      </c>
      <c r="E2941" t="s">
        <v>31</v>
      </c>
      <c r="F2941">
        <v>4</v>
      </c>
      <c r="G2941" t="s">
        <v>42</v>
      </c>
      <c r="H2941" s="1">
        <v>45985.159722222219</v>
      </c>
      <c r="I2941" s="5">
        <f>INT(TB[[#This Row],[时间戳]])</f>
        <v>45985</v>
      </c>
      <c r="J2941" s="2">
        <f>HOUR(TB[[#This Row],[时间戳]])</f>
        <v>3</v>
      </c>
      <c r="K2941">
        <v>605</v>
      </c>
      <c r="L2941">
        <v>0</v>
      </c>
      <c r="M2941">
        <f>TB[[#This Row],[售价]]*TB[[#This Row],[销量]]</f>
        <v>0</v>
      </c>
      <c r="N2941" t="str">
        <f>IF(TB[[#This Row],[售价]]&lt;1000,"低价商品",IF(TB[[#This Row],[售价]]&lt;5000,"中价商品",IF(TB[[#This Row],[售价]]&lt;10000,"高价商品","超高价商品")))</f>
        <v>低价商品</v>
      </c>
    </row>
    <row r="2942" spans="1:14" x14ac:dyDescent="0.2">
      <c r="A2942">
        <v>484</v>
      </c>
      <c r="B2942">
        <v>77</v>
      </c>
      <c r="C2942" t="s">
        <v>10</v>
      </c>
      <c r="D2942" t="s">
        <v>283</v>
      </c>
      <c r="E2942" t="s">
        <v>25</v>
      </c>
      <c r="F2942">
        <v>7</v>
      </c>
      <c r="G2942" t="s">
        <v>42</v>
      </c>
      <c r="H2942" s="1">
        <v>45985.165277777778</v>
      </c>
      <c r="I2942" s="5">
        <f>INT(TB[[#This Row],[时间戳]])</f>
        <v>45985</v>
      </c>
      <c r="J2942" s="2">
        <f>HOUR(TB[[#This Row],[时间戳]])</f>
        <v>3</v>
      </c>
      <c r="K2942">
        <v>3125</v>
      </c>
      <c r="L2942">
        <v>0</v>
      </c>
      <c r="M2942">
        <f>TB[[#This Row],[售价]]*TB[[#This Row],[销量]]</f>
        <v>0</v>
      </c>
      <c r="N2942" t="str">
        <f>IF(TB[[#This Row],[售价]]&lt;1000,"低价商品",IF(TB[[#This Row],[售价]]&lt;5000,"中价商品",IF(TB[[#This Row],[售价]]&lt;10000,"高价商品","超高价商品")))</f>
        <v>中价商品</v>
      </c>
    </row>
    <row r="2943" spans="1:14" x14ac:dyDescent="0.2">
      <c r="A2943">
        <v>510</v>
      </c>
      <c r="B2943">
        <v>201</v>
      </c>
      <c r="C2943" t="s">
        <v>32</v>
      </c>
      <c r="D2943" t="s">
        <v>411</v>
      </c>
      <c r="E2943" t="s">
        <v>39</v>
      </c>
      <c r="F2943">
        <v>5</v>
      </c>
      <c r="G2943" t="s">
        <v>42</v>
      </c>
      <c r="H2943" s="1">
        <v>45985.181944444441</v>
      </c>
      <c r="I2943" s="5">
        <f>INT(TB[[#This Row],[时间戳]])</f>
        <v>45985</v>
      </c>
      <c r="J2943" s="2">
        <f>HOUR(TB[[#This Row],[时间戳]])</f>
        <v>4</v>
      </c>
      <c r="K2943">
        <v>1881</v>
      </c>
      <c r="L2943">
        <v>0</v>
      </c>
      <c r="M2943">
        <f>TB[[#This Row],[售价]]*TB[[#This Row],[销量]]</f>
        <v>0</v>
      </c>
      <c r="N2943" t="str">
        <f>IF(TB[[#This Row],[售价]]&lt;1000,"低价商品",IF(TB[[#This Row],[售价]]&lt;5000,"中价商品",IF(TB[[#This Row],[售价]]&lt;10000,"高价商品","超高价商品")))</f>
        <v>中价商品</v>
      </c>
    </row>
    <row r="2944" spans="1:14" x14ac:dyDescent="0.2">
      <c r="A2944">
        <v>234</v>
      </c>
      <c r="B2944">
        <v>98</v>
      </c>
      <c r="C2944" t="s">
        <v>20</v>
      </c>
      <c r="D2944" t="s">
        <v>147</v>
      </c>
      <c r="E2944" t="s">
        <v>22</v>
      </c>
      <c r="F2944">
        <v>1</v>
      </c>
      <c r="G2944" t="s">
        <v>13</v>
      </c>
      <c r="H2944" s="1">
        <v>45985.188888888886</v>
      </c>
      <c r="I2944" s="5">
        <f>INT(TB[[#This Row],[时间戳]])</f>
        <v>45985</v>
      </c>
      <c r="J2944" s="2">
        <f>HOUR(TB[[#This Row],[时间戳]])</f>
        <v>4</v>
      </c>
      <c r="K2944">
        <v>2251</v>
      </c>
      <c r="L2944">
        <v>2</v>
      </c>
      <c r="M2944">
        <f>TB[[#This Row],[售价]]*TB[[#This Row],[销量]]</f>
        <v>4502</v>
      </c>
      <c r="N2944" t="str">
        <f>IF(TB[[#This Row],[售价]]&lt;1000,"低价商品",IF(TB[[#This Row],[售价]]&lt;5000,"中价商品",IF(TB[[#This Row],[售价]]&lt;10000,"高价商品","超高价商品")))</f>
        <v>中价商品</v>
      </c>
    </row>
    <row r="2945" spans="1:14" x14ac:dyDescent="0.2">
      <c r="A2945">
        <v>446</v>
      </c>
      <c r="B2945">
        <v>82</v>
      </c>
      <c r="C2945" t="s">
        <v>44</v>
      </c>
      <c r="D2945" t="s">
        <v>73</v>
      </c>
      <c r="E2945" t="s">
        <v>39</v>
      </c>
      <c r="F2945">
        <v>5</v>
      </c>
      <c r="G2945" t="s">
        <v>42</v>
      </c>
      <c r="H2945" s="1">
        <v>45985.211805555555</v>
      </c>
      <c r="I2945" s="5">
        <f>INT(TB[[#This Row],[时间戳]])</f>
        <v>45985</v>
      </c>
      <c r="J2945" s="2">
        <f>HOUR(TB[[#This Row],[时间戳]])</f>
        <v>5</v>
      </c>
      <c r="K2945">
        <v>2902</v>
      </c>
      <c r="L2945">
        <v>0</v>
      </c>
      <c r="M2945">
        <f>TB[[#This Row],[售价]]*TB[[#This Row],[销量]]</f>
        <v>0</v>
      </c>
      <c r="N2945" t="str">
        <f>IF(TB[[#This Row],[售价]]&lt;1000,"低价商品",IF(TB[[#This Row],[售价]]&lt;5000,"中价商品",IF(TB[[#This Row],[售价]]&lt;10000,"高价商品","超高价商品")))</f>
        <v>中价商品</v>
      </c>
    </row>
    <row r="2946" spans="1:14" x14ac:dyDescent="0.2">
      <c r="A2946">
        <v>109</v>
      </c>
      <c r="B2946">
        <v>35</v>
      </c>
      <c r="C2946" t="s">
        <v>10</v>
      </c>
      <c r="D2946" t="s">
        <v>96</v>
      </c>
      <c r="E2946" t="s">
        <v>22</v>
      </c>
      <c r="F2946">
        <v>1</v>
      </c>
      <c r="G2946" t="s">
        <v>13</v>
      </c>
      <c r="H2946" s="1">
        <v>45985.237500000003</v>
      </c>
      <c r="I2946" s="5">
        <f>INT(TB[[#This Row],[时间戳]])</f>
        <v>45985</v>
      </c>
      <c r="J2946" s="2">
        <f>HOUR(TB[[#This Row],[时间戳]])</f>
        <v>5</v>
      </c>
      <c r="K2946">
        <v>5132</v>
      </c>
      <c r="L2946">
        <v>5</v>
      </c>
      <c r="M2946">
        <f>TB[[#This Row],[售价]]*TB[[#This Row],[销量]]</f>
        <v>25660</v>
      </c>
      <c r="N2946" t="str">
        <f>IF(TB[[#This Row],[售价]]&lt;1000,"低价商品",IF(TB[[#This Row],[售价]]&lt;5000,"中价商品",IF(TB[[#This Row],[售价]]&lt;10000,"高价商品","超高价商品")))</f>
        <v>高价商品</v>
      </c>
    </row>
    <row r="2947" spans="1:14" x14ac:dyDescent="0.2">
      <c r="A2947">
        <v>297</v>
      </c>
      <c r="B2947">
        <v>73</v>
      </c>
      <c r="C2947" t="s">
        <v>44</v>
      </c>
      <c r="D2947" t="s">
        <v>60</v>
      </c>
      <c r="E2947" t="s">
        <v>12</v>
      </c>
      <c r="F2947">
        <v>2</v>
      </c>
      <c r="G2947" t="s">
        <v>13</v>
      </c>
      <c r="H2947" s="1">
        <v>45985.239583333336</v>
      </c>
      <c r="I2947" s="5">
        <f>INT(TB[[#This Row],[时间戳]])</f>
        <v>45985</v>
      </c>
      <c r="J2947" s="2">
        <f>HOUR(TB[[#This Row],[时间戳]])</f>
        <v>5</v>
      </c>
      <c r="K2947">
        <v>9457</v>
      </c>
      <c r="L2947">
        <v>5</v>
      </c>
      <c r="M2947">
        <f>TB[[#This Row],[售价]]*TB[[#This Row],[销量]]</f>
        <v>47285</v>
      </c>
      <c r="N2947" t="str">
        <f>IF(TB[[#This Row],[售价]]&lt;1000,"低价商品",IF(TB[[#This Row],[售价]]&lt;5000,"中价商品",IF(TB[[#This Row],[售价]]&lt;10000,"高价商品","超高价商品")))</f>
        <v>高价商品</v>
      </c>
    </row>
    <row r="2948" spans="1:14" x14ac:dyDescent="0.2">
      <c r="A2948">
        <v>427</v>
      </c>
      <c r="B2948">
        <v>252</v>
      </c>
      <c r="C2948" t="s">
        <v>44</v>
      </c>
      <c r="D2948" t="s">
        <v>415</v>
      </c>
      <c r="E2948" t="s">
        <v>39</v>
      </c>
      <c r="F2948">
        <v>5</v>
      </c>
      <c r="G2948" t="s">
        <v>13</v>
      </c>
      <c r="H2948" s="1">
        <v>45985.25277777778</v>
      </c>
      <c r="I2948" s="5">
        <f>INT(TB[[#This Row],[时间戳]])</f>
        <v>45985</v>
      </c>
      <c r="J2948" s="2">
        <f>HOUR(TB[[#This Row],[时间戳]])</f>
        <v>6</v>
      </c>
      <c r="K2948">
        <v>1828</v>
      </c>
      <c r="L2948">
        <v>5</v>
      </c>
      <c r="M2948">
        <f>TB[[#This Row],[售价]]*TB[[#This Row],[销量]]</f>
        <v>9140</v>
      </c>
      <c r="N2948" t="str">
        <f>IF(TB[[#This Row],[售价]]&lt;1000,"低价商品",IF(TB[[#This Row],[售价]]&lt;5000,"中价商品",IF(TB[[#This Row],[售价]]&lt;10000,"高价商品","超高价商品")))</f>
        <v>中价商品</v>
      </c>
    </row>
    <row r="2949" spans="1:14" x14ac:dyDescent="0.2">
      <c r="A2949">
        <v>646</v>
      </c>
      <c r="B2949">
        <v>160</v>
      </c>
      <c r="C2949" t="s">
        <v>26</v>
      </c>
      <c r="D2949" t="s">
        <v>306</v>
      </c>
      <c r="E2949" t="s">
        <v>31</v>
      </c>
      <c r="F2949">
        <v>4</v>
      </c>
      <c r="G2949" t="s">
        <v>13</v>
      </c>
      <c r="H2949" s="1">
        <v>45985.265972222223</v>
      </c>
      <c r="I2949" s="5">
        <f>INT(TB[[#This Row],[时间戳]])</f>
        <v>45985</v>
      </c>
      <c r="J2949" s="2">
        <f>HOUR(TB[[#This Row],[时间戳]])</f>
        <v>6</v>
      </c>
      <c r="K2949">
        <v>50</v>
      </c>
      <c r="L2949">
        <v>2</v>
      </c>
      <c r="M2949">
        <f>TB[[#This Row],[售价]]*TB[[#This Row],[销量]]</f>
        <v>100</v>
      </c>
      <c r="N2949" t="str">
        <f>IF(TB[[#This Row],[售价]]&lt;1000,"低价商品",IF(TB[[#This Row],[售价]]&lt;5000,"中价商品",IF(TB[[#This Row],[售价]]&lt;10000,"高价商品","超高价商品")))</f>
        <v>低价商品</v>
      </c>
    </row>
    <row r="2950" spans="1:14" x14ac:dyDescent="0.2">
      <c r="A2950">
        <v>125</v>
      </c>
      <c r="B2950">
        <v>67</v>
      </c>
      <c r="C2950" t="s">
        <v>17</v>
      </c>
      <c r="D2950" t="s">
        <v>255</v>
      </c>
      <c r="E2950" t="s">
        <v>31</v>
      </c>
      <c r="F2950">
        <v>4</v>
      </c>
      <c r="G2950" t="s">
        <v>13</v>
      </c>
      <c r="H2950" s="1">
        <v>45985.274305555555</v>
      </c>
      <c r="I2950" s="5">
        <f>INT(TB[[#This Row],[时间戳]])</f>
        <v>45985</v>
      </c>
      <c r="J2950" s="2">
        <f>HOUR(TB[[#This Row],[时间戳]])</f>
        <v>6</v>
      </c>
      <c r="K2950">
        <v>1500</v>
      </c>
      <c r="L2950">
        <v>2</v>
      </c>
      <c r="M2950">
        <f>TB[[#This Row],[售价]]*TB[[#This Row],[销量]]</f>
        <v>3000</v>
      </c>
      <c r="N2950" t="str">
        <f>IF(TB[[#This Row],[售价]]&lt;1000,"低价商品",IF(TB[[#This Row],[售价]]&lt;5000,"中价商品",IF(TB[[#This Row],[售价]]&lt;10000,"高价商品","超高价商品")))</f>
        <v>中价商品</v>
      </c>
    </row>
    <row r="2951" spans="1:14" x14ac:dyDescent="0.2">
      <c r="A2951">
        <v>706</v>
      </c>
      <c r="B2951">
        <v>66</v>
      </c>
      <c r="C2951" t="s">
        <v>34</v>
      </c>
      <c r="D2951" t="s">
        <v>389</v>
      </c>
      <c r="E2951" t="s">
        <v>39</v>
      </c>
      <c r="F2951">
        <v>5</v>
      </c>
      <c r="G2951" t="s">
        <v>13</v>
      </c>
      <c r="H2951" s="1">
        <v>45985.324305555558</v>
      </c>
      <c r="I2951" s="5">
        <f>INT(TB[[#This Row],[时间戳]])</f>
        <v>45985</v>
      </c>
      <c r="J2951" s="2">
        <f>HOUR(TB[[#This Row],[时间戳]])</f>
        <v>7</v>
      </c>
      <c r="K2951">
        <v>2913</v>
      </c>
      <c r="L2951">
        <v>5</v>
      </c>
      <c r="M2951">
        <f>TB[[#This Row],[售价]]*TB[[#This Row],[销量]]</f>
        <v>14565</v>
      </c>
      <c r="N2951" t="str">
        <f>IF(TB[[#This Row],[售价]]&lt;1000,"低价商品",IF(TB[[#This Row],[售价]]&lt;5000,"中价商品",IF(TB[[#This Row],[售价]]&lt;10000,"高价商品","超高价商品")))</f>
        <v>中价商品</v>
      </c>
    </row>
    <row r="2952" spans="1:14" x14ac:dyDescent="0.2">
      <c r="A2952">
        <v>19</v>
      </c>
      <c r="B2952">
        <v>229</v>
      </c>
      <c r="C2952" t="s">
        <v>44</v>
      </c>
      <c r="D2952" t="s">
        <v>243</v>
      </c>
      <c r="E2952" t="s">
        <v>31</v>
      </c>
      <c r="F2952">
        <v>4</v>
      </c>
      <c r="G2952" t="s">
        <v>13</v>
      </c>
      <c r="H2952" s="1">
        <v>45985.356944444444</v>
      </c>
      <c r="I2952" s="5">
        <f>INT(TB[[#This Row],[时间戳]])</f>
        <v>45985</v>
      </c>
      <c r="J2952" s="2">
        <f>HOUR(TB[[#This Row],[时间戳]])</f>
        <v>8</v>
      </c>
      <c r="K2952">
        <v>895</v>
      </c>
      <c r="L2952">
        <v>5</v>
      </c>
      <c r="M2952">
        <f>TB[[#This Row],[售价]]*TB[[#This Row],[销量]]</f>
        <v>4475</v>
      </c>
      <c r="N2952" t="str">
        <f>IF(TB[[#This Row],[售价]]&lt;1000,"低价商品",IF(TB[[#This Row],[售价]]&lt;5000,"中价商品",IF(TB[[#This Row],[售价]]&lt;10000,"高价商品","超高价商品")))</f>
        <v>低价商品</v>
      </c>
    </row>
    <row r="2953" spans="1:14" x14ac:dyDescent="0.2">
      <c r="A2953">
        <v>335</v>
      </c>
      <c r="B2953">
        <v>120</v>
      </c>
      <c r="C2953" t="s">
        <v>32</v>
      </c>
      <c r="D2953" t="s">
        <v>314</v>
      </c>
      <c r="E2953" t="s">
        <v>16</v>
      </c>
      <c r="F2953">
        <v>6</v>
      </c>
      <c r="G2953" t="s">
        <v>13</v>
      </c>
      <c r="H2953" s="1">
        <v>45985.378472222219</v>
      </c>
      <c r="I2953" s="5">
        <f>INT(TB[[#This Row],[时间戳]])</f>
        <v>45985</v>
      </c>
      <c r="J2953" s="2">
        <f>HOUR(TB[[#This Row],[时间戳]])</f>
        <v>9</v>
      </c>
      <c r="K2953">
        <v>8075</v>
      </c>
      <c r="L2953">
        <v>2</v>
      </c>
      <c r="M2953">
        <f>TB[[#This Row],[售价]]*TB[[#This Row],[销量]]</f>
        <v>16150</v>
      </c>
      <c r="N2953" t="str">
        <f>IF(TB[[#This Row],[售价]]&lt;1000,"低价商品",IF(TB[[#This Row],[售价]]&lt;5000,"中价商品",IF(TB[[#This Row],[售价]]&lt;10000,"高价商品","超高价商品")))</f>
        <v>高价商品</v>
      </c>
    </row>
    <row r="2954" spans="1:14" x14ac:dyDescent="0.2">
      <c r="A2954">
        <v>569</v>
      </c>
      <c r="B2954">
        <v>175</v>
      </c>
      <c r="C2954" t="s">
        <v>44</v>
      </c>
      <c r="D2954" t="s">
        <v>184</v>
      </c>
      <c r="E2954" t="s">
        <v>12</v>
      </c>
      <c r="F2954">
        <v>2</v>
      </c>
      <c r="G2954" t="s">
        <v>13</v>
      </c>
      <c r="H2954" s="1">
        <v>45985.401388888888</v>
      </c>
      <c r="I2954" s="5">
        <f>INT(TB[[#This Row],[时间戳]])</f>
        <v>45985</v>
      </c>
      <c r="J2954" s="2">
        <f>HOUR(TB[[#This Row],[时间戳]])</f>
        <v>9</v>
      </c>
      <c r="K2954">
        <v>9244</v>
      </c>
      <c r="L2954">
        <v>2</v>
      </c>
      <c r="M2954">
        <f>TB[[#This Row],[售价]]*TB[[#This Row],[销量]]</f>
        <v>18488</v>
      </c>
      <c r="N2954" t="str">
        <f>IF(TB[[#This Row],[售价]]&lt;1000,"低价商品",IF(TB[[#This Row],[售价]]&lt;5000,"中价商品",IF(TB[[#This Row],[售价]]&lt;10000,"高价商品","超高价商品")))</f>
        <v>高价商品</v>
      </c>
    </row>
    <row r="2955" spans="1:14" x14ac:dyDescent="0.2">
      <c r="A2955">
        <v>330</v>
      </c>
      <c r="B2955">
        <v>294</v>
      </c>
      <c r="C2955" t="s">
        <v>32</v>
      </c>
      <c r="D2955" t="s">
        <v>118</v>
      </c>
      <c r="E2955" t="s">
        <v>19</v>
      </c>
      <c r="F2955">
        <v>3</v>
      </c>
      <c r="G2955" t="s">
        <v>13</v>
      </c>
      <c r="H2955" s="1">
        <v>45985.413194444445</v>
      </c>
      <c r="I2955" s="5">
        <f>INT(TB[[#This Row],[时间戳]])</f>
        <v>45985</v>
      </c>
      <c r="J2955" s="2">
        <f>HOUR(TB[[#This Row],[时间戳]])</f>
        <v>9</v>
      </c>
      <c r="K2955">
        <v>4369</v>
      </c>
      <c r="L2955">
        <v>5</v>
      </c>
      <c r="M2955">
        <f>TB[[#This Row],[售价]]*TB[[#This Row],[销量]]</f>
        <v>21845</v>
      </c>
      <c r="N2955" t="str">
        <f>IF(TB[[#This Row],[售价]]&lt;1000,"低价商品",IF(TB[[#This Row],[售价]]&lt;5000,"中价商品",IF(TB[[#This Row],[售价]]&lt;10000,"高价商品","超高价商品")))</f>
        <v>中价商品</v>
      </c>
    </row>
    <row r="2956" spans="1:14" x14ac:dyDescent="0.2">
      <c r="A2956">
        <v>243</v>
      </c>
      <c r="B2956">
        <v>128</v>
      </c>
      <c r="C2956" t="s">
        <v>46</v>
      </c>
      <c r="D2956" t="s">
        <v>77</v>
      </c>
      <c r="E2956" t="s">
        <v>19</v>
      </c>
      <c r="F2956">
        <v>3</v>
      </c>
      <c r="G2956" t="s">
        <v>13</v>
      </c>
      <c r="H2956" s="1">
        <v>45985.459722222222</v>
      </c>
      <c r="I2956" s="5">
        <f>INT(TB[[#This Row],[时间戳]])</f>
        <v>45985</v>
      </c>
      <c r="J2956" s="2">
        <f>HOUR(TB[[#This Row],[时间戳]])</f>
        <v>11</v>
      </c>
      <c r="K2956">
        <v>3537</v>
      </c>
      <c r="L2956">
        <v>2</v>
      </c>
      <c r="M2956">
        <f>TB[[#This Row],[售价]]*TB[[#This Row],[销量]]</f>
        <v>7074</v>
      </c>
      <c r="N2956" t="str">
        <f>IF(TB[[#This Row],[售价]]&lt;1000,"低价商品",IF(TB[[#This Row],[售价]]&lt;5000,"中价商品",IF(TB[[#This Row],[售价]]&lt;10000,"高价商品","超高价商品")))</f>
        <v>中价商品</v>
      </c>
    </row>
    <row r="2957" spans="1:14" x14ac:dyDescent="0.2">
      <c r="A2957">
        <v>321</v>
      </c>
      <c r="B2957">
        <v>262</v>
      </c>
      <c r="C2957" t="s">
        <v>44</v>
      </c>
      <c r="D2957" t="s">
        <v>59</v>
      </c>
      <c r="E2957" t="s">
        <v>22</v>
      </c>
      <c r="F2957">
        <v>1</v>
      </c>
      <c r="G2957" t="s">
        <v>13</v>
      </c>
      <c r="H2957" s="1">
        <v>45985.481944444444</v>
      </c>
      <c r="I2957" s="5">
        <f>INT(TB[[#This Row],[时间戳]])</f>
        <v>45985</v>
      </c>
      <c r="J2957" s="2">
        <f>HOUR(TB[[#This Row],[时间戳]])</f>
        <v>11</v>
      </c>
      <c r="K2957">
        <v>5090</v>
      </c>
      <c r="L2957">
        <v>5</v>
      </c>
      <c r="M2957">
        <f>TB[[#This Row],[售价]]*TB[[#This Row],[销量]]</f>
        <v>25450</v>
      </c>
      <c r="N2957" t="str">
        <f>IF(TB[[#This Row],[售价]]&lt;1000,"低价商品",IF(TB[[#This Row],[售价]]&lt;5000,"中价商品",IF(TB[[#This Row],[售价]]&lt;10000,"高价商品","超高价商品")))</f>
        <v>高价商品</v>
      </c>
    </row>
    <row r="2958" spans="1:14" x14ac:dyDescent="0.2">
      <c r="A2958">
        <v>330</v>
      </c>
      <c r="B2958">
        <v>42</v>
      </c>
      <c r="C2958" t="s">
        <v>26</v>
      </c>
      <c r="D2958" t="s">
        <v>48</v>
      </c>
      <c r="E2958" t="s">
        <v>31</v>
      </c>
      <c r="F2958">
        <v>4</v>
      </c>
      <c r="G2958" t="s">
        <v>13</v>
      </c>
      <c r="H2958" s="1">
        <v>45985.505555555559</v>
      </c>
      <c r="I2958" s="5">
        <f>INT(TB[[#This Row],[时间戳]])</f>
        <v>45985</v>
      </c>
      <c r="J2958" s="2">
        <f>HOUR(TB[[#This Row],[时间戳]])</f>
        <v>12</v>
      </c>
      <c r="K2958">
        <v>241</v>
      </c>
      <c r="L2958">
        <v>5</v>
      </c>
      <c r="M2958">
        <f>TB[[#This Row],[售价]]*TB[[#This Row],[销量]]</f>
        <v>1205</v>
      </c>
      <c r="N2958" t="str">
        <f>IF(TB[[#This Row],[售价]]&lt;1000,"低价商品",IF(TB[[#This Row],[售价]]&lt;5000,"中价商品",IF(TB[[#This Row],[售价]]&lt;10000,"高价商品","超高价商品")))</f>
        <v>低价商品</v>
      </c>
    </row>
    <row r="2959" spans="1:14" x14ac:dyDescent="0.2">
      <c r="A2959">
        <v>746</v>
      </c>
      <c r="B2959">
        <v>137</v>
      </c>
      <c r="C2959" t="s">
        <v>44</v>
      </c>
      <c r="D2959" t="s">
        <v>301</v>
      </c>
      <c r="E2959" t="s">
        <v>22</v>
      </c>
      <c r="F2959">
        <v>1</v>
      </c>
      <c r="G2959" t="s">
        <v>13</v>
      </c>
      <c r="H2959" s="1">
        <v>45985.542361111111</v>
      </c>
      <c r="I2959" s="5">
        <f>INT(TB[[#This Row],[时间戳]])</f>
        <v>45985</v>
      </c>
      <c r="J2959" s="2">
        <f>HOUR(TB[[#This Row],[时间戳]])</f>
        <v>13</v>
      </c>
      <c r="K2959">
        <v>5386</v>
      </c>
      <c r="L2959">
        <v>5</v>
      </c>
      <c r="M2959">
        <f>TB[[#This Row],[售价]]*TB[[#This Row],[销量]]</f>
        <v>26930</v>
      </c>
      <c r="N2959" t="str">
        <f>IF(TB[[#This Row],[售价]]&lt;1000,"低价商品",IF(TB[[#This Row],[售价]]&lt;5000,"中价商品",IF(TB[[#This Row],[售价]]&lt;10000,"高价商品","超高价商品")))</f>
        <v>高价商品</v>
      </c>
    </row>
    <row r="2960" spans="1:14" x14ac:dyDescent="0.2">
      <c r="A2960">
        <v>789</v>
      </c>
      <c r="B2960">
        <v>142</v>
      </c>
      <c r="C2960" t="s">
        <v>17</v>
      </c>
      <c r="D2960" t="s">
        <v>119</v>
      </c>
      <c r="E2960" t="s">
        <v>12</v>
      </c>
      <c r="F2960">
        <v>2</v>
      </c>
      <c r="G2960" t="s">
        <v>13</v>
      </c>
      <c r="H2960" s="1">
        <v>45985.54791666667</v>
      </c>
      <c r="I2960" s="5">
        <f>INT(TB[[#This Row],[时间戳]])</f>
        <v>45985</v>
      </c>
      <c r="J2960" s="2">
        <f>HOUR(TB[[#This Row],[时间戳]])</f>
        <v>13</v>
      </c>
      <c r="K2960">
        <v>5126</v>
      </c>
      <c r="L2960">
        <v>5</v>
      </c>
      <c r="M2960">
        <f>TB[[#This Row],[售价]]*TB[[#This Row],[销量]]</f>
        <v>25630</v>
      </c>
      <c r="N2960" t="str">
        <f>IF(TB[[#This Row],[售价]]&lt;1000,"低价商品",IF(TB[[#This Row],[售价]]&lt;5000,"中价商品",IF(TB[[#This Row],[售价]]&lt;10000,"高价商品","超高价商品")))</f>
        <v>高价商品</v>
      </c>
    </row>
    <row r="2961" spans="1:14" x14ac:dyDescent="0.2">
      <c r="A2961">
        <v>253</v>
      </c>
      <c r="B2961">
        <v>115</v>
      </c>
      <c r="C2961" t="s">
        <v>10</v>
      </c>
      <c r="D2961" t="s">
        <v>256</v>
      </c>
      <c r="E2961" t="s">
        <v>19</v>
      </c>
      <c r="F2961">
        <v>3</v>
      </c>
      <c r="G2961" t="s">
        <v>13</v>
      </c>
      <c r="H2961" s="1">
        <v>45985.578472222223</v>
      </c>
      <c r="I2961" s="5">
        <f>INT(TB[[#This Row],[时间戳]])</f>
        <v>45985</v>
      </c>
      <c r="J2961" s="2">
        <f>HOUR(TB[[#This Row],[时间戳]])</f>
        <v>13</v>
      </c>
      <c r="K2961">
        <v>2658</v>
      </c>
      <c r="L2961">
        <v>5</v>
      </c>
      <c r="M2961">
        <f>TB[[#This Row],[售价]]*TB[[#This Row],[销量]]</f>
        <v>13290</v>
      </c>
      <c r="N2961" t="str">
        <f>IF(TB[[#This Row],[售价]]&lt;1000,"低价商品",IF(TB[[#This Row],[售价]]&lt;5000,"中价商品",IF(TB[[#This Row],[售价]]&lt;10000,"高价商品","超高价商品")))</f>
        <v>中价商品</v>
      </c>
    </row>
    <row r="2962" spans="1:14" x14ac:dyDescent="0.2">
      <c r="A2962">
        <v>636</v>
      </c>
      <c r="B2962">
        <v>248</v>
      </c>
      <c r="C2962" t="s">
        <v>34</v>
      </c>
      <c r="D2962" t="s">
        <v>290</v>
      </c>
      <c r="E2962" t="s">
        <v>25</v>
      </c>
      <c r="F2962">
        <v>7</v>
      </c>
      <c r="G2962" t="s">
        <v>13</v>
      </c>
      <c r="H2962" s="1">
        <v>45985.581944444442</v>
      </c>
      <c r="I2962" s="5">
        <f>INT(TB[[#This Row],[时间戳]])</f>
        <v>45985</v>
      </c>
      <c r="J2962" s="2">
        <f>HOUR(TB[[#This Row],[时间戳]])</f>
        <v>13</v>
      </c>
      <c r="K2962">
        <v>6487</v>
      </c>
      <c r="L2962">
        <v>5</v>
      </c>
      <c r="M2962">
        <f>TB[[#This Row],[售价]]*TB[[#This Row],[销量]]</f>
        <v>32435</v>
      </c>
      <c r="N2962" t="str">
        <f>IF(TB[[#This Row],[售价]]&lt;1000,"低价商品",IF(TB[[#This Row],[售价]]&lt;5000,"中价商品",IF(TB[[#This Row],[售价]]&lt;10000,"高价商品","超高价商品")))</f>
        <v>高价商品</v>
      </c>
    </row>
    <row r="2963" spans="1:14" x14ac:dyDescent="0.2">
      <c r="A2963">
        <v>497</v>
      </c>
      <c r="B2963">
        <v>161</v>
      </c>
      <c r="C2963" t="s">
        <v>36</v>
      </c>
      <c r="D2963" t="s">
        <v>304</v>
      </c>
      <c r="E2963" t="s">
        <v>16</v>
      </c>
      <c r="F2963">
        <v>6</v>
      </c>
      <c r="G2963" t="s">
        <v>42</v>
      </c>
      <c r="H2963" s="1">
        <v>45985.590277777781</v>
      </c>
      <c r="I2963" s="5">
        <f>INT(TB[[#This Row],[时间戳]])</f>
        <v>45985</v>
      </c>
      <c r="J2963" s="2">
        <f>HOUR(TB[[#This Row],[时间戳]])</f>
        <v>14</v>
      </c>
      <c r="K2963">
        <v>11079</v>
      </c>
      <c r="L2963">
        <v>0</v>
      </c>
      <c r="M2963">
        <f>TB[[#This Row],[售价]]*TB[[#This Row],[销量]]</f>
        <v>0</v>
      </c>
      <c r="N2963" t="str">
        <f>IF(TB[[#This Row],[售价]]&lt;1000,"低价商品",IF(TB[[#This Row],[售价]]&lt;5000,"中价商品",IF(TB[[#This Row],[售价]]&lt;10000,"高价商品","超高价商品")))</f>
        <v>超高价商品</v>
      </c>
    </row>
    <row r="2964" spans="1:14" x14ac:dyDescent="0.2">
      <c r="A2964">
        <v>193</v>
      </c>
      <c r="B2964">
        <v>62</v>
      </c>
      <c r="C2964" t="s">
        <v>32</v>
      </c>
      <c r="D2964" t="s">
        <v>193</v>
      </c>
      <c r="E2964" t="s">
        <v>22</v>
      </c>
      <c r="F2964">
        <v>1</v>
      </c>
      <c r="G2964" t="s">
        <v>13</v>
      </c>
      <c r="H2964" s="1">
        <v>45985.597222222219</v>
      </c>
      <c r="I2964" s="5">
        <f>INT(TB[[#This Row],[时间戳]])</f>
        <v>45985</v>
      </c>
      <c r="J2964" s="2">
        <f>HOUR(TB[[#This Row],[时间戳]])</f>
        <v>14</v>
      </c>
      <c r="K2964">
        <v>6028</v>
      </c>
      <c r="L2964">
        <v>5</v>
      </c>
      <c r="M2964">
        <f>TB[[#This Row],[售价]]*TB[[#This Row],[销量]]</f>
        <v>30140</v>
      </c>
      <c r="N2964" t="str">
        <f>IF(TB[[#This Row],[售价]]&lt;1000,"低价商品",IF(TB[[#This Row],[售价]]&lt;5000,"中价商品",IF(TB[[#This Row],[售价]]&lt;10000,"高价商品","超高价商品")))</f>
        <v>高价商品</v>
      </c>
    </row>
    <row r="2965" spans="1:14" x14ac:dyDescent="0.2">
      <c r="A2965">
        <v>537</v>
      </c>
      <c r="B2965">
        <v>259</v>
      </c>
      <c r="C2965" t="s">
        <v>10</v>
      </c>
      <c r="D2965" t="s">
        <v>116</v>
      </c>
      <c r="E2965" t="s">
        <v>31</v>
      </c>
      <c r="F2965">
        <v>4</v>
      </c>
      <c r="G2965" t="s">
        <v>13</v>
      </c>
      <c r="H2965" s="1">
        <v>45985.668055555558</v>
      </c>
      <c r="I2965" s="5">
        <f>INT(TB[[#This Row],[时间戳]])</f>
        <v>45985</v>
      </c>
      <c r="J2965" s="2">
        <f>HOUR(TB[[#This Row],[时间戳]])</f>
        <v>16</v>
      </c>
      <c r="K2965">
        <v>830</v>
      </c>
      <c r="L2965">
        <v>5</v>
      </c>
      <c r="M2965">
        <f>TB[[#This Row],[售价]]*TB[[#This Row],[销量]]</f>
        <v>4150</v>
      </c>
      <c r="N2965" t="str">
        <f>IF(TB[[#This Row],[售价]]&lt;1000,"低价商品",IF(TB[[#This Row],[售价]]&lt;5000,"中价商品",IF(TB[[#This Row],[售价]]&lt;10000,"高价商品","超高价商品")))</f>
        <v>低价商品</v>
      </c>
    </row>
    <row r="2966" spans="1:14" x14ac:dyDescent="0.2">
      <c r="A2966">
        <v>718</v>
      </c>
      <c r="B2966">
        <v>6</v>
      </c>
      <c r="C2966" t="s">
        <v>17</v>
      </c>
      <c r="D2966" t="s">
        <v>391</v>
      </c>
      <c r="E2966" t="s">
        <v>25</v>
      </c>
      <c r="F2966">
        <v>7</v>
      </c>
      <c r="G2966" t="s">
        <v>13</v>
      </c>
      <c r="H2966" s="1">
        <v>45985.70416666667</v>
      </c>
      <c r="I2966" s="5">
        <f>INT(TB[[#This Row],[时间戳]])</f>
        <v>45985</v>
      </c>
      <c r="J2966" s="2">
        <f>HOUR(TB[[#This Row],[时间戳]])</f>
        <v>16</v>
      </c>
      <c r="K2966">
        <v>3740</v>
      </c>
      <c r="L2966">
        <v>5</v>
      </c>
      <c r="M2966">
        <f>TB[[#This Row],[售价]]*TB[[#This Row],[销量]]</f>
        <v>18700</v>
      </c>
      <c r="N2966" t="str">
        <f>IF(TB[[#This Row],[售价]]&lt;1000,"低价商品",IF(TB[[#This Row],[售价]]&lt;5000,"中价商品",IF(TB[[#This Row],[售价]]&lt;10000,"高价商品","超高价商品")))</f>
        <v>中价商品</v>
      </c>
    </row>
    <row r="2967" spans="1:14" x14ac:dyDescent="0.2">
      <c r="A2967">
        <v>304</v>
      </c>
      <c r="B2967">
        <v>13</v>
      </c>
      <c r="C2967" t="s">
        <v>32</v>
      </c>
      <c r="D2967" t="s">
        <v>170</v>
      </c>
      <c r="E2967" t="s">
        <v>31</v>
      </c>
      <c r="F2967">
        <v>4</v>
      </c>
      <c r="G2967" t="s">
        <v>13</v>
      </c>
      <c r="H2967" s="1">
        <v>45985.726388888892</v>
      </c>
      <c r="I2967" s="5">
        <f>INT(TB[[#This Row],[时间戳]])</f>
        <v>45985</v>
      </c>
      <c r="J2967" s="2">
        <f>HOUR(TB[[#This Row],[时间戳]])</f>
        <v>17</v>
      </c>
      <c r="K2967">
        <v>593</v>
      </c>
      <c r="L2967">
        <v>2</v>
      </c>
      <c r="M2967">
        <f>TB[[#This Row],[售价]]*TB[[#This Row],[销量]]</f>
        <v>1186</v>
      </c>
      <c r="N2967" t="str">
        <f>IF(TB[[#This Row],[售价]]&lt;1000,"低价商品",IF(TB[[#This Row],[售价]]&lt;5000,"中价商品",IF(TB[[#This Row],[售价]]&lt;10000,"高价商品","超高价商品")))</f>
        <v>低价商品</v>
      </c>
    </row>
    <row r="2968" spans="1:14" x14ac:dyDescent="0.2">
      <c r="A2968">
        <v>378</v>
      </c>
      <c r="B2968">
        <v>239</v>
      </c>
      <c r="C2968" t="s">
        <v>17</v>
      </c>
      <c r="D2968" t="s">
        <v>234</v>
      </c>
      <c r="E2968" t="s">
        <v>39</v>
      </c>
      <c r="F2968">
        <v>5</v>
      </c>
      <c r="G2968" t="s">
        <v>13</v>
      </c>
      <c r="H2968" s="1">
        <v>45985.75</v>
      </c>
      <c r="I2968" s="5">
        <f>INT(TB[[#This Row],[时间戳]])</f>
        <v>45985</v>
      </c>
      <c r="J2968" s="2">
        <f>HOUR(TB[[#This Row],[时间戳]])</f>
        <v>18</v>
      </c>
      <c r="K2968">
        <v>1051</v>
      </c>
      <c r="L2968">
        <v>5</v>
      </c>
      <c r="M2968">
        <f>TB[[#This Row],[售价]]*TB[[#This Row],[销量]]</f>
        <v>5255</v>
      </c>
      <c r="N2968" t="str">
        <f>IF(TB[[#This Row],[售价]]&lt;1000,"低价商品",IF(TB[[#This Row],[售价]]&lt;5000,"中价商品",IF(TB[[#This Row],[售价]]&lt;10000,"高价商品","超高价商品")))</f>
        <v>中价商品</v>
      </c>
    </row>
    <row r="2969" spans="1:14" x14ac:dyDescent="0.2">
      <c r="A2969">
        <v>161</v>
      </c>
      <c r="B2969">
        <v>228</v>
      </c>
      <c r="C2969" t="s">
        <v>17</v>
      </c>
      <c r="D2969" t="s">
        <v>255</v>
      </c>
      <c r="E2969" t="s">
        <v>31</v>
      </c>
      <c r="F2969">
        <v>4</v>
      </c>
      <c r="G2969" t="s">
        <v>13</v>
      </c>
      <c r="H2969" s="1">
        <v>45985.765277777777</v>
      </c>
      <c r="I2969" s="5">
        <f>INT(TB[[#This Row],[时间戳]])</f>
        <v>45985</v>
      </c>
      <c r="J2969" s="2">
        <f>HOUR(TB[[#This Row],[时间戳]])</f>
        <v>18</v>
      </c>
      <c r="K2969">
        <v>380</v>
      </c>
      <c r="L2969">
        <v>5</v>
      </c>
      <c r="M2969">
        <f>TB[[#This Row],[售价]]*TB[[#This Row],[销量]]</f>
        <v>1900</v>
      </c>
      <c r="N2969" t="str">
        <f>IF(TB[[#This Row],[售价]]&lt;1000,"低价商品",IF(TB[[#This Row],[售价]]&lt;5000,"中价商品",IF(TB[[#This Row],[售价]]&lt;10000,"高价商品","超高价商品")))</f>
        <v>低价商品</v>
      </c>
    </row>
    <row r="2970" spans="1:14" x14ac:dyDescent="0.2">
      <c r="A2970">
        <v>467</v>
      </c>
      <c r="B2970">
        <v>142</v>
      </c>
      <c r="C2970" t="s">
        <v>14</v>
      </c>
      <c r="D2970" t="s">
        <v>235</v>
      </c>
      <c r="E2970" t="s">
        <v>39</v>
      </c>
      <c r="F2970">
        <v>5</v>
      </c>
      <c r="G2970" t="s">
        <v>13</v>
      </c>
      <c r="H2970" s="1">
        <v>45985.819444444445</v>
      </c>
      <c r="I2970" s="5">
        <f>INT(TB[[#This Row],[时间戳]])</f>
        <v>45985</v>
      </c>
      <c r="J2970" s="2">
        <f>HOUR(TB[[#This Row],[时间戳]])</f>
        <v>19</v>
      </c>
      <c r="K2970">
        <v>3866</v>
      </c>
      <c r="L2970">
        <v>2</v>
      </c>
      <c r="M2970">
        <f>TB[[#This Row],[售价]]*TB[[#This Row],[销量]]</f>
        <v>7732</v>
      </c>
      <c r="N2970" t="str">
        <f>IF(TB[[#This Row],[售价]]&lt;1000,"低价商品",IF(TB[[#This Row],[售价]]&lt;5000,"中价商品",IF(TB[[#This Row],[售价]]&lt;10000,"高价商品","超高价商品")))</f>
        <v>中价商品</v>
      </c>
    </row>
    <row r="2971" spans="1:14" x14ac:dyDescent="0.2">
      <c r="A2971">
        <v>292</v>
      </c>
      <c r="B2971">
        <v>84</v>
      </c>
      <c r="C2971" t="s">
        <v>46</v>
      </c>
      <c r="D2971" t="s">
        <v>127</v>
      </c>
      <c r="E2971" t="s">
        <v>12</v>
      </c>
      <c r="F2971">
        <v>2</v>
      </c>
      <c r="G2971" t="s">
        <v>13</v>
      </c>
      <c r="H2971" s="1">
        <v>45985.831944444442</v>
      </c>
      <c r="I2971" s="5">
        <f>INT(TB[[#This Row],[时间戳]])</f>
        <v>45985</v>
      </c>
      <c r="J2971" s="2">
        <f>HOUR(TB[[#This Row],[时间戳]])</f>
        <v>19</v>
      </c>
      <c r="K2971">
        <v>7401</v>
      </c>
      <c r="L2971">
        <v>5</v>
      </c>
      <c r="M2971">
        <f>TB[[#This Row],[售价]]*TB[[#This Row],[销量]]</f>
        <v>37005</v>
      </c>
      <c r="N2971" t="str">
        <f>IF(TB[[#This Row],[售价]]&lt;1000,"低价商品",IF(TB[[#This Row],[售价]]&lt;5000,"中价商品",IF(TB[[#This Row],[售价]]&lt;10000,"高价商品","超高价商品")))</f>
        <v>高价商品</v>
      </c>
    </row>
    <row r="2972" spans="1:14" x14ac:dyDescent="0.2">
      <c r="A2972">
        <v>127</v>
      </c>
      <c r="B2972">
        <v>27</v>
      </c>
      <c r="C2972" t="s">
        <v>34</v>
      </c>
      <c r="D2972" t="s">
        <v>414</v>
      </c>
      <c r="E2972" t="s">
        <v>12</v>
      </c>
      <c r="F2972">
        <v>2</v>
      </c>
      <c r="G2972" t="s">
        <v>13</v>
      </c>
      <c r="H2972" s="1">
        <v>45985.84097222222</v>
      </c>
      <c r="I2972" s="5">
        <f>INT(TB[[#This Row],[时间戳]])</f>
        <v>45985</v>
      </c>
      <c r="J2972" s="2">
        <f>HOUR(TB[[#This Row],[时间戳]])</f>
        <v>20</v>
      </c>
      <c r="K2972">
        <v>13473</v>
      </c>
      <c r="L2972">
        <v>2</v>
      </c>
      <c r="M2972">
        <f>TB[[#This Row],[售价]]*TB[[#This Row],[销量]]</f>
        <v>26946</v>
      </c>
      <c r="N2972" t="str">
        <f>IF(TB[[#This Row],[售价]]&lt;1000,"低价商品",IF(TB[[#This Row],[售价]]&lt;5000,"中价商品",IF(TB[[#This Row],[售价]]&lt;10000,"高价商品","超高价商品")))</f>
        <v>超高价商品</v>
      </c>
    </row>
    <row r="2973" spans="1:14" x14ac:dyDescent="0.2">
      <c r="A2973">
        <v>146</v>
      </c>
      <c r="B2973">
        <v>162</v>
      </c>
      <c r="C2973" t="s">
        <v>44</v>
      </c>
      <c r="D2973" t="s">
        <v>158</v>
      </c>
      <c r="E2973" t="s">
        <v>31</v>
      </c>
      <c r="F2973">
        <v>4</v>
      </c>
      <c r="G2973" t="s">
        <v>13</v>
      </c>
      <c r="H2973" s="1">
        <v>45985.84375</v>
      </c>
      <c r="I2973" s="5">
        <f>INT(TB[[#This Row],[时间戳]])</f>
        <v>45985</v>
      </c>
      <c r="J2973" s="2">
        <f>HOUR(TB[[#This Row],[时间戳]])</f>
        <v>20</v>
      </c>
      <c r="K2973">
        <v>800</v>
      </c>
      <c r="L2973">
        <v>5</v>
      </c>
      <c r="M2973">
        <f>TB[[#This Row],[售价]]*TB[[#This Row],[销量]]</f>
        <v>4000</v>
      </c>
      <c r="N2973" t="str">
        <f>IF(TB[[#This Row],[售价]]&lt;1000,"低价商品",IF(TB[[#This Row],[售价]]&lt;5000,"中价商品",IF(TB[[#This Row],[售价]]&lt;10000,"高价商品","超高价商品")))</f>
        <v>低价商品</v>
      </c>
    </row>
    <row r="2974" spans="1:14" x14ac:dyDescent="0.2">
      <c r="A2974">
        <v>445</v>
      </c>
      <c r="B2974">
        <v>166</v>
      </c>
      <c r="C2974" t="s">
        <v>10</v>
      </c>
      <c r="D2974" t="s">
        <v>240</v>
      </c>
      <c r="E2974" t="s">
        <v>16</v>
      </c>
      <c r="F2974">
        <v>6</v>
      </c>
      <c r="G2974" t="s">
        <v>13</v>
      </c>
      <c r="H2974" s="1">
        <v>45985.87222222222</v>
      </c>
      <c r="I2974" s="5">
        <f>INT(TB[[#This Row],[时间戳]])</f>
        <v>45985</v>
      </c>
      <c r="J2974" s="2">
        <f>HOUR(TB[[#This Row],[时间戳]])</f>
        <v>20</v>
      </c>
      <c r="K2974">
        <v>8225</v>
      </c>
      <c r="L2974">
        <v>2</v>
      </c>
      <c r="M2974">
        <f>TB[[#This Row],[售价]]*TB[[#This Row],[销量]]</f>
        <v>16450</v>
      </c>
      <c r="N2974" t="str">
        <f>IF(TB[[#This Row],[售价]]&lt;1000,"低价商品",IF(TB[[#This Row],[售价]]&lt;5000,"中价商品",IF(TB[[#This Row],[售价]]&lt;10000,"高价商品","超高价商品")))</f>
        <v>高价商品</v>
      </c>
    </row>
    <row r="2975" spans="1:14" x14ac:dyDescent="0.2">
      <c r="A2975">
        <v>779</v>
      </c>
      <c r="B2975">
        <v>18</v>
      </c>
      <c r="C2975" t="s">
        <v>34</v>
      </c>
      <c r="D2975" t="s">
        <v>199</v>
      </c>
      <c r="E2975" t="s">
        <v>39</v>
      </c>
      <c r="F2975">
        <v>5</v>
      </c>
      <c r="G2975" t="s">
        <v>13</v>
      </c>
      <c r="H2975" s="1">
        <v>45985.896527777775</v>
      </c>
      <c r="I2975" s="5">
        <f>INT(TB[[#This Row],[时间戳]])</f>
        <v>45985</v>
      </c>
      <c r="J2975" s="2">
        <f>HOUR(TB[[#This Row],[时间戳]])</f>
        <v>21</v>
      </c>
      <c r="K2975">
        <v>2311</v>
      </c>
      <c r="L2975">
        <v>5</v>
      </c>
      <c r="M2975">
        <f>TB[[#This Row],[售价]]*TB[[#This Row],[销量]]</f>
        <v>11555</v>
      </c>
      <c r="N2975" t="str">
        <f>IF(TB[[#This Row],[售价]]&lt;1000,"低价商品",IF(TB[[#This Row],[售价]]&lt;5000,"中价商品",IF(TB[[#This Row],[售价]]&lt;10000,"高价商品","超高价商品")))</f>
        <v>中价商品</v>
      </c>
    </row>
    <row r="2976" spans="1:14" x14ac:dyDescent="0.2">
      <c r="A2976">
        <v>775</v>
      </c>
      <c r="B2976">
        <v>292</v>
      </c>
      <c r="C2976" t="s">
        <v>34</v>
      </c>
      <c r="D2976" t="s">
        <v>125</v>
      </c>
      <c r="E2976" t="s">
        <v>31</v>
      </c>
      <c r="F2976">
        <v>4</v>
      </c>
      <c r="G2976" t="s">
        <v>13</v>
      </c>
      <c r="H2976" s="1">
        <v>45985.905555555553</v>
      </c>
      <c r="I2976" s="5">
        <f>INT(TB[[#This Row],[时间戳]])</f>
        <v>45985</v>
      </c>
      <c r="J2976" s="2">
        <f>HOUR(TB[[#This Row],[时间戳]])</f>
        <v>21</v>
      </c>
      <c r="K2976">
        <v>1312</v>
      </c>
      <c r="L2976">
        <v>5</v>
      </c>
      <c r="M2976">
        <f>TB[[#This Row],[售价]]*TB[[#This Row],[销量]]</f>
        <v>6560</v>
      </c>
      <c r="N2976" t="str">
        <f>IF(TB[[#This Row],[售价]]&lt;1000,"低价商品",IF(TB[[#This Row],[售价]]&lt;5000,"中价商品",IF(TB[[#This Row],[售价]]&lt;10000,"高价商品","超高价商品")))</f>
        <v>中价商品</v>
      </c>
    </row>
    <row r="2977" spans="1:14" x14ac:dyDescent="0.2">
      <c r="A2977">
        <v>509</v>
      </c>
      <c r="B2977">
        <v>33</v>
      </c>
      <c r="C2977" t="s">
        <v>10</v>
      </c>
      <c r="D2977" t="s">
        <v>116</v>
      </c>
      <c r="E2977" t="s">
        <v>31</v>
      </c>
      <c r="F2977">
        <v>4</v>
      </c>
      <c r="G2977" t="s">
        <v>13</v>
      </c>
      <c r="H2977" s="1">
        <v>45985.90625</v>
      </c>
      <c r="I2977" s="5">
        <f>INT(TB[[#This Row],[时间戳]])</f>
        <v>45985</v>
      </c>
      <c r="J2977" s="2">
        <f>HOUR(TB[[#This Row],[时间戳]])</f>
        <v>21</v>
      </c>
      <c r="K2977">
        <v>191</v>
      </c>
      <c r="L2977">
        <v>2</v>
      </c>
      <c r="M2977">
        <f>TB[[#This Row],[售价]]*TB[[#This Row],[销量]]</f>
        <v>382</v>
      </c>
      <c r="N2977" t="str">
        <f>IF(TB[[#This Row],[售价]]&lt;1000,"低价商品",IF(TB[[#This Row],[售价]]&lt;5000,"中价商品",IF(TB[[#This Row],[售价]]&lt;10000,"高价商品","超高价商品")))</f>
        <v>低价商品</v>
      </c>
    </row>
    <row r="2978" spans="1:14" x14ac:dyDescent="0.2">
      <c r="A2978">
        <v>536</v>
      </c>
      <c r="B2978">
        <v>84</v>
      </c>
      <c r="C2978" t="s">
        <v>26</v>
      </c>
      <c r="D2978" t="s">
        <v>300</v>
      </c>
      <c r="E2978" t="s">
        <v>19</v>
      </c>
      <c r="F2978">
        <v>3</v>
      </c>
      <c r="G2978" t="s">
        <v>13</v>
      </c>
      <c r="H2978" s="1">
        <v>45985.939583333333</v>
      </c>
      <c r="I2978" s="5">
        <f>INT(TB[[#This Row],[时间戳]])</f>
        <v>45985</v>
      </c>
      <c r="J2978" s="2">
        <f>HOUR(TB[[#This Row],[时间戳]])</f>
        <v>22</v>
      </c>
      <c r="K2978">
        <v>1927</v>
      </c>
      <c r="L2978">
        <v>5</v>
      </c>
      <c r="M2978">
        <f>TB[[#This Row],[售价]]*TB[[#This Row],[销量]]</f>
        <v>9635</v>
      </c>
      <c r="N2978" t="str">
        <f>IF(TB[[#This Row],[售价]]&lt;1000,"低价商品",IF(TB[[#This Row],[售价]]&lt;5000,"中价商品",IF(TB[[#This Row],[售价]]&lt;10000,"高价商品","超高价商品")))</f>
        <v>中价商品</v>
      </c>
    </row>
    <row r="2979" spans="1:14" x14ac:dyDescent="0.2">
      <c r="A2979">
        <v>347</v>
      </c>
      <c r="B2979">
        <v>42</v>
      </c>
      <c r="C2979" t="s">
        <v>34</v>
      </c>
      <c r="D2979" t="s">
        <v>86</v>
      </c>
      <c r="E2979" t="s">
        <v>12</v>
      </c>
      <c r="F2979">
        <v>2</v>
      </c>
      <c r="G2979" t="s">
        <v>13</v>
      </c>
      <c r="H2979" s="1">
        <v>45985.94027777778</v>
      </c>
      <c r="I2979" s="5">
        <f>INT(TB[[#This Row],[时间戳]])</f>
        <v>45985</v>
      </c>
      <c r="J2979" s="2">
        <f>HOUR(TB[[#This Row],[时间戳]])</f>
        <v>22</v>
      </c>
      <c r="K2979">
        <v>7697</v>
      </c>
      <c r="L2979">
        <v>2</v>
      </c>
      <c r="M2979">
        <f>TB[[#This Row],[售价]]*TB[[#This Row],[销量]]</f>
        <v>15394</v>
      </c>
      <c r="N2979" t="str">
        <f>IF(TB[[#This Row],[售价]]&lt;1000,"低价商品",IF(TB[[#This Row],[售价]]&lt;5000,"中价商品",IF(TB[[#This Row],[售价]]&lt;10000,"高价商品","超高价商品")))</f>
        <v>高价商品</v>
      </c>
    </row>
    <row r="2980" spans="1:14" x14ac:dyDescent="0.2">
      <c r="A2980">
        <v>411</v>
      </c>
      <c r="B2980">
        <v>280</v>
      </c>
      <c r="C2980" t="s">
        <v>14</v>
      </c>
      <c r="D2980" t="s">
        <v>280</v>
      </c>
      <c r="E2980" t="s">
        <v>12</v>
      </c>
      <c r="F2980">
        <v>2</v>
      </c>
      <c r="G2980" t="s">
        <v>13</v>
      </c>
      <c r="H2980" s="1">
        <v>45985.962500000001</v>
      </c>
      <c r="I2980" s="5">
        <f>INT(TB[[#This Row],[时间戳]])</f>
        <v>45985</v>
      </c>
      <c r="J2980" s="2">
        <f>HOUR(TB[[#This Row],[时间戳]])</f>
        <v>23</v>
      </c>
      <c r="K2980">
        <v>10735</v>
      </c>
      <c r="L2980">
        <v>2</v>
      </c>
      <c r="M2980">
        <f>TB[[#This Row],[售价]]*TB[[#This Row],[销量]]</f>
        <v>21470</v>
      </c>
      <c r="N2980" t="str">
        <f>IF(TB[[#This Row],[售价]]&lt;1000,"低价商品",IF(TB[[#This Row],[售价]]&lt;5000,"中价商品",IF(TB[[#This Row],[售价]]&lt;10000,"高价商品","超高价商品")))</f>
        <v>超高价商品</v>
      </c>
    </row>
    <row r="2981" spans="1:14" x14ac:dyDescent="0.2">
      <c r="A2981">
        <v>406</v>
      </c>
      <c r="B2981">
        <v>80</v>
      </c>
      <c r="C2981" t="s">
        <v>17</v>
      </c>
      <c r="D2981" t="s">
        <v>98</v>
      </c>
      <c r="E2981" t="s">
        <v>22</v>
      </c>
      <c r="F2981">
        <v>1</v>
      </c>
      <c r="G2981" t="s">
        <v>13</v>
      </c>
      <c r="H2981" s="1">
        <v>45986.027083333334</v>
      </c>
      <c r="I2981" s="5">
        <f>INT(TB[[#This Row],[时间戳]])</f>
        <v>45986</v>
      </c>
      <c r="J2981" s="2">
        <f>HOUR(TB[[#This Row],[时间戳]])</f>
        <v>0</v>
      </c>
      <c r="K2981">
        <v>1577</v>
      </c>
      <c r="L2981">
        <v>5</v>
      </c>
      <c r="M2981">
        <f>TB[[#This Row],[售价]]*TB[[#This Row],[销量]]</f>
        <v>7885</v>
      </c>
      <c r="N2981" t="str">
        <f>IF(TB[[#This Row],[售价]]&lt;1000,"低价商品",IF(TB[[#This Row],[售价]]&lt;5000,"中价商品",IF(TB[[#This Row],[售价]]&lt;10000,"高价商品","超高价商品")))</f>
        <v>中价商品</v>
      </c>
    </row>
    <row r="2982" spans="1:14" x14ac:dyDescent="0.2">
      <c r="A2982">
        <v>163</v>
      </c>
      <c r="B2982">
        <v>60</v>
      </c>
      <c r="C2982" t="s">
        <v>32</v>
      </c>
      <c r="D2982" t="s">
        <v>335</v>
      </c>
      <c r="E2982" t="s">
        <v>12</v>
      </c>
      <c r="F2982">
        <v>2</v>
      </c>
      <c r="G2982" t="s">
        <v>13</v>
      </c>
      <c r="H2982" s="1">
        <v>45986.037499999999</v>
      </c>
      <c r="I2982" s="5">
        <f>INT(TB[[#This Row],[时间戳]])</f>
        <v>45986</v>
      </c>
      <c r="J2982" s="2">
        <f>HOUR(TB[[#This Row],[时间戳]])</f>
        <v>0</v>
      </c>
      <c r="K2982">
        <v>12825</v>
      </c>
      <c r="L2982">
        <v>2</v>
      </c>
      <c r="M2982">
        <f>TB[[#This Row],[售价]]*TB[[#This Row],[销量]]</f>
        <v>25650</v>
      </c>
      <c r="N2982" t="str">
        <f>IF(TB[[#This Row],[售价]]&lt;1000,"低价商品",IF(TB[[#This Row],[售价]]&lt;5000,"中价商品",IF(TB[[#This Row],[售价]]&lt;10000,"高价商品","超高价商品")))</f>
        <v>超高价商品</v>
      </c>
    </row>
    <row r="2983" spans="1:14" x14ac:dyDescent="0.2">
      <c r="A2983">
        <v>661</v>
      </c>
      <c r="B2983">
        <v>286</v>
      </c>
      <c r="C2983" t="s">
        <v>32</v>
      </c>
      <c r="D2983" t="s">
        <v>381</v>
      </c>
      <c r="E2983" t="s">
        <v>19</v>
      </c>
      <c r="F2983">
        <v>3</v>
      </c>
      <c r="G2983" t="s">
        <v>13</v>
      </c>
      <c r="H2983" s="1">
        <v>45986.042361111111</v>
      </c>
      <c r="I2983" s="5">
        <f>INT(TB[[#This Row],[时间戳]])</f>
        <v>45986</v>
      </c>
      <c r="J2983" s="2">
        <f>HOUR(TB[[#This Row],[时间戳]])</f>
        <v>1</v>
      </c>
      <c r="K2983">
        <v>3552</v>
      </c>
      <c r="L2983">
        <v>5</v>
      </c>
      <c r="M2983">
        <f>TB[[#This Row],[售价]]*TB[[#This Row],[销量]]</f>
        <v>17760</v>
      </c>
      <c r="N2983" t="str">
        <f>IF(TB[[#This Row],[售价]]&lt;1000,"低价商品",IF(TB[[#This Row],[售价]]&lt;5000,"中价商品",IF(TB[[#This Row],[售价]]&lt;10000,"高价商品","超高价商品")))</f>
        <v>中价商品</v>
      </c>
    </row>
    <row r="2984" spans="1:14" x14ac:dyDescent="0.2">
      <c r="A2984">
        <v>44</v>
      </c>
      <c r="B2984">
        <v>22</v>
      </c>
      <c r="C2984" t="s">
        <v>32</v>
      </c>
      <c r="D2984" t="s">
        <v>176</v>
      </c>
      <c r="E2984" t="s">
        <v>22</v>
      </c>
      <c r="F2984">
        <v>1</v>
      </c>
      <c r="G2984" t="s">
        <v>13</v>
      </c>
      <c r="H2984" s="1">
        <v>45986.06527777778</v>
      </c>
      <c r="I2984" s="5">
        <f>INT(TB[[#This Row],[时间戳]])</f>
        <v>45986</v>
      </c>
      <c r="J2984" s="2">
        <f>HOUR(TB[[#This Row],[时间戳]])</f>
        <v>1</v>
      </c>
      <c r="K2984">
        <v>1024</v>
      </c>
      <c r="L2984">
        <v>5</v>
      </c>
      <c r="M2984">
        <f>TB[[#This Row],[售价]]*TB[[#This Row],[销量]]</f>
        <v>5120</v>
      </c>
      <c r="N2984" t="str">
        <f>IF(TB[[#This Row],[售价]]&lt;1000,"低价商品",IF(TB[[#This Row],[售价]]&lt;5000,"中价商品",IF(TB[[#This Row],[售价]]&lt;10000,"高价商品","超高价商品")))</f>
        <v>中价商品</v>
      </c>
    </row>
    <row r="2985" spans="1:14" x14ac:dyDescent="0.2">
      <c r="A2985">
        <v>141</v>
      </c>
      <c r="B2985">
        <v>257</v>
      </c>
      <c r="C2985" t="s">
        <v>32</v>
      </c>
      <c r="D2985" t="s">
        <v>275</v>
      </c>
      <c r="E2985" t="s">
        <v>22</v>
      </c>
      <c r="F2985">
        <v>1</v>
      </c>
      <c r="G2985" t="s">
        <v>13</v>
      </c>
      <c r="H2985" s="1">
        <v>45986.09652777778</v>
      </c>
      <c r="I2985" s="5">
        <f>INT(TB[[#This Row],[时间戳]])</f>
        <v>45986</v>
      </c>
      <c r="J2985" s="2">
        <f>HOUR(TB[[#This Row],[时间戳]])</f>
        <v>2</v>
      </c>
      <c r="K2985">
        <v>2982</v>
      </c>
      <c r="L2985">
        <v>5</v>
      </c>
      <c r="M2985">
        <f>TB[[#This Row],[售价]]*TB[[#This Row],[销量]]</f>
        <v>14910</v>
      </c>
      <c r="N2985" t="str">
        <f>IF(TB[[#This Row],[售价]]&lt;1000,"低价商品",IF(TB[[#This Row],[售价]]&lt;5000,"中价商品",IF(TB[[#This Row],[售价]]&lt;10000,"高价商品","超高价商品")))</f>
        <v>中价商品</v>
      </c>
    </row>
    <row r="2986" spans="1:14" x14ac:dyDescent="0.2">
      <c r="A2986">
        <v>687</v>
      </c>
      <c r="B2986">
        <v>203</v>
      </c>
      <c r="C2986" t="s">
        <v>17</v>
      </c>
      <c r="D2986" t="s">
        <v>75</v>
      </c>
      <c r="E2986" t="s">
        <v>12</v>
      </c>
      <c r="F2986">
        <v>2</v>
      </c>
      <c r="G2986" t="s">
        <v>42</v>
      </c>
      <c r="H2986" s="1">
        <v>45986.111111111109</v>
      </c>
      <c r="I2986" s="5">
        <f>INT(TB[[#This Row],[时间戳]])</f>
        <v>45986</v>
      </c>
      <c r="J2986" s="2">
        <f>HOUR(TB[[#This Row],[时间戳]])</f>
        <v>2</v>
      </c>
      <c r="K2986">
        <v>9199</v>
      </c>
      <c r="L2986">
        <v>0</v>
      </c>
      <c r="M2986">
        <f>TB[[#This Row],[售价]]*TB[[#This Row],[销量]]</f>
        <v>0</v>
      </c>
      <c r="N2986" t="str">
        <f>IF(TB[[#This Row],[售价]]&lt;1000,"低价商品",IF(TB[[#This Row],[售价]]&lt;5000,"中价商品",IF(TB[[#This Row],[售价]]&lt;10000,"高价商品","超高价商品")))</f>
        <v>高价商品</v>
      </c>
    </row>
    <row r="2987" spans="1:14" x14ac:dyDescent="0.2">
      <c r="A2987">
        <v>25</v>
      </c>
      <c r="B2987">
        <v>213</v>
      </c>
      <c r="C2987" t="s">
        <v>36</v>
      </c>
      <c r="D2987" t="s">
        <v>185</v>
      </c>
      <c r="E2987" t="s">
        <v>12</v>
      </c>
      <c r="F2987">
        <v>2</v>
      </c>
      <c r="G2987" t="s">
        <v>13</v>
      </c>
      <c r="H2987" s="1">
        <v>45986.173611111109</v>
      </c>
      <c r="I2987" s="5">
        <f>INT(TB[[#This Row],[时间戳]])</f>
        <v>45986</v>
      </c>
      <c r="J2987" s="2">
        <f>HOUR(TB[[#This Row],[时间戳]])</f>
        <v>4</v>
      </c>
      <c r="K2987">
        <v>4376</v>
      </c>
      <c r="L2987">
        <v>5</v>
      </c>
      <c r="M2987">
        <f>TB[[#This Row],[售价]]*TB[[#This Row],[销量]]</f>
        <v>21880</v>
      </c>
      <c r="N2987" t="str">
        <f>IF(TB[[#This Row],[售价]]&lt;1000,"低价商品",IF(TB[[#This Row],[售价]]&lt;5000,"中价商品",IF(TB[[#This Row],[售价]]&lt;10000,"高价商品","超高价商品")))</f>
        <v>中价商品</v>
      </c>
    </row>
    <row r="2988" spans="1:14" x14ac:dyDescent="0.2">
      <c r="A2988">
        <v>604</v>
      </c>
      <c r="B2988">
        <v>19</v>
      </c>
      <c r="C2988" t="s">
        <v>10</v>
      </c>
      <c r="D2988" t="s">
        <v>41</v>
      </c>
      <c r="E2988" t="s">
        <v>22</v>
      </c>
      <c r="F2988">
        <v>1</v>
      </c>
      <c r="G2988" t="s">
        <v>13</v>
      </c>
      <c r="H2988" s="1">
        <v>45986.174305555556</v>
      </c>
      <c r="I2988" s="5">
        <f>INT(TB[[#This Row],[时间戳]])</f>
        <v>45986</v>
      </c>
      <c r="J2988" s="2">
        <f>HOUR(TB[[#This Row],[时间戳]])</f>
        <v>4</v>
      </c>
      <c r="K2988">
        <v>5339</v>
      </c>
      <c r="L2988">
        <v>5</v>
      </c>
      <c r="M2988">
        <f>TB[[#This Row],[售价]]*TB[[#This Row],[销量]]</f>
        <v>26695</v>
      </c>
      <c r="N2988" t="str">
        <f>IF(TB[[#This Row],[售价]]&lt;1000,"低价商品",IF(TB[[#This Row],[售价]]&lt;5000,"中价商品",IF(TB[[#This Row],[售价]]&lt;10000,"高价商品","超高价商品")))</f>
        <v>高价商品</v>
      </c>
    </row>
    <row r="2989" spans="1:14" x14ac:dyDescent="0.2">
      <c r="A2989">
        <v>8</v>
      </c>
      <c r="B2989">
        <v>179</v>
      </c>
      <c r="C2989" t="s">
        <v>46</v>
      </c>
      <c r="D2989" t="s">
        <v>47</v>
      </c>
      <c r="E2989" t="s">
        <v>22</v>
      </c>
      <c r="F2989">
        <v>1</v>
      </c>
      <c r="G2989" t="s">
        <v>13</v>
      </c>
      <c r="H2989" s="1">
        <v>45986.1875</v>
      </c>
      <c r="I2989" s="5">
        <f>INT(TB[[#This Row],[时间戳]])</f>
        <v>45986</v>
      </c>
      <c r="J2989" s="2">
        <f>HOUR(TB[[#This Row],[时间戳]])</f>
        <v>4</v>
      </c>
      <c r="K2989">
        <v>2627</v>
      </c>
      <c r="L2989">
        <v>5</v>
      </c>
      <c r="M2989">
        <f>TB[[#This Row],[售价]]*TB[[#This Row],[销量]]</f>
        <v>13135</v>
      </c>
      <c r="N2989" t="str">
        <f>IF(TB[[#This Row],[售价]]&lt;1000,"低价商品",IF(TB[[#This Row],[售价]]&lt;5000,"中价商品",IF(TB[[#This Row],[售价]]&lt;10000,"高价商品","超高价商品")))</f>
        <v>中价商品</v>
      </c>
    </row>
    <row r="2990" spans="1:14" x14ac:dyDescent="0.2">
      <c r="A2990">
        <v>169</v>
      </c>
      <c r="B2990">
        <v>204</v>
      </c>
      <c r="C2990" t="s">
        <v>34</v>
      </c>
      <c r="D2990" t="s">
        <v>168</v>
      </c>
      <c r="E2990" t="s">
        <v>19</v>
      </c>
      <c r="F2990">
        <v>3</v>
      </c>
      <c r="G2990" t="s">
        <v>42</v>
      </c>
      <c r="H2990" s="1">
        <v>45986.211111111108</v>
      </c>
      <c r="I2990" s="5">
        <f>INT(TB[[#This Row],[时间戳]])</f>
        <v>45986</v>
      </c>
      <c r="J2990" s="2">
        <f>HOUR(TB[[#This Row],[时间戳]])</f>
        <v>5</v>
      </c>
      <c r="K2990">
        <v>2257</v>
      </c>
      <c r="L2990">
        <v>0</v>
      </c>
      <c r="M2990">
        <f>TB[[#This Row],[售价]]*TB[[#This Row],[销量]]</f>
        <v>0</v>
      </c>
      <c r="N2990" t="str">
        <f>IF(TB[[#This Row],[售价]]&lt;1000,"低价商品",IF(TB[[#This Row],[售价]]&lt;5000,"中价商品",IF(TB[[#This Row],[售价]]&lt;10000,"高价商品","超高价商品")))</f>
        <v>中价商品</v>
      </c>
    </row>
    <row r="2991" spans="1:14" x14ac:dyDescent="0.2">
      <c r="A2991">
        <v>643</v>
      </c>
      <c r="B2991">
        <v>145</v>
      </c>
      <c r="C2991" t="s">
        <v>20</v>
      </c>
      <c r="D2991" t="s">
        <v>319</v>
      </c>
      <c r="E2991" t="s">
        <v>31</v>
      </c>
      <c r="F2991">
        <v>4</v>
      </c>
      <c r="G2991" t="s">
        <v>13</v>
      </c>
      <c r="H2991" s="1">
        <v>45986.24722222222</v>
      </c>
      <c r="I2991" s="5">
        <f>INT(TB[[#This Row],[时间戳]])</f>
        <v>45986</v>
      </c>
      <c r="J2991" s="2">
        <f>HOUR(TB[[#This Row],[时间戳]])</f>
        <v>5</v>
      </c>
      <c r="K2991">
        <v>362</v>
      </c>
      <c r="L2991">
        <v>5</v>
      </c>
      <c r="M2991">
        <f>TB[[#This Row],[售价]]*TB[[#This Row],[销量]]</f>
        <v>1810</v>
      </c>
      <c r="N2991" t="str">
        <f>IF(TB[[#This Row],[售价]]&lt;1000,"低价商品",IF(TB[[#This Row],[售价]]&lt;5000,"中价商品",IF(TB[[#This Row],[售价]]&lt;10000,"高价商品","超高价商品")))</f>
        <v>低价商品</v>
      </c>
    </row>
    <row r="2992" spans="1:14" x14ac:dyDescent="0.2">
      <c r="A2992">
        <v>398</v>
      </c>
      <c r="B2992">
        <v>82</v>
      </c>
      <c r="C2992" t="s">
        <v>34</v>
      </c>
      <c r="D2992" t="s">
        <v>164</v>
      </c>
      <c r="E2992" t="s">
        <v>22</v>
      </c>
      <c r="F2992">
        <v>1</v>
      </c>
      <c r="G2992" t="s">
        <v>13</v>
      </c>
      <c r="H2992" s="1">
        <v>45986.250694444447</v>
      </c>
      <c r="I2992" s="5">
        <f>INT(TB[[#This Row],[时间戳]])</f>
        <v>45986</v>
      </c>
      <c r="J2992" s="2">
        <f>HOUR(TB[[#This Row],[时间戳]])</f>
        <v>6</v>
      </c>
      <c r="K2992">
        <v>3260</v>
      </c>
      <c r="L2992">
        <v>5</v>
      </c>
      <c r="M2992">
        <f>TB[[#This Row],[售价]]*TB[[#This Row],[销量]]</f>
        <v>16300</v>
      </c>
      <c r="N2992" t="str">
        <f>IF(TB[[#This Row],[售价]]&lt;1000,"低价商品",IF(TB[[#This Row],[售价]]&lt;5000,"中价商品",IF(TB[[#This Row],[售价]]&lt;10000,"高价商品","超高价商品")))</f>
        <v>中价商品</v>
      </c>
    </row>
    <row r="2993" spans="1:14" x14ac:dyDescent="0.2">
      <c r="A2993">
        <v>343</v>
      </c>
      <c r="B2993">
        <v>101</v>
      </c>
      <c r="C2993" t="s">
        <v>46</v>
      </c>
      <c r="D2993" t="s">
        <v>142</v>
      </c>
      <c r="E2993" t="s">
        <v>31</v>
      </c>
      <c r="F2993">
        <v>4</v>
      </c>
      <c r="G2993" t="s">
        <v>13</v>
      </c>
      <c r="H2993" s="1">
        <v>45986.280555555553</v>
      </c>
      <c r="I2993" s="5">
        <f>INT(TB[[#This Row],[时间戳]])</f>
        <v>45986</v>
      </c>
      <c r="J2993" s="2">
        <f>HOUR(TB[[#This Row],[时间戳]])</f>
        <v>6</v>
      </c>
      <c r="K2993">
        <v>648</v>
      </c>
      <c r="L2993">
        <v>5</v>
      </c>
      <c r="M2993">
        <f>TB[[#This Row],[售价]]*TB[[#This Row],[销量]]</f>
        <v>3240</v>
      </c>
      <c r="N2993" t="str">
        <f>IF(TB[[#This Row],[售价]]&lt;1000,"低价商品",IF(TB[[#This Row],[售价]]&lt;5000,"中价商品",IF(TB[[#This Row],[售价]]&lt;10000,"高价商品","超高价商品")))</f>
        <v>低价商品</v>
      </c>
    </row>
    <row r="2994" spans="1:14" x14ac:dyDescent="0.2">
      <c r="A2994">
        <v>667</v>
      </c>
      <c r="B2994">
        <v>147</v>
      </c>
      <c r="C2994" t="s">
        <v>17</v>
      </c>
      <c r="D2994" t="s">
        <v>362</v>
      </c>
      <c r="E2994" t="s">
        <v>25</v>
      </c>
      <c r="F2994">
        <v>7</v>
      </c>
      <c r="G2994" t="s">
        <v>13</v>
      </c>
      <c r="H2994" s="1">
        <v>45986.295138888891</v>
      </c>
      <c r="I2994" s="5">
        <f>INT(TB[[#This Row],[时间戳]])</f>
        <v>45986</v>
      </c>
      <c r="J2994" s="2">
        <f>HOUR(TB[[#This Row],[时间戳]])</f>
        <v>7</v>
      </c>
      <c r="K2994">
        <v>4112</v>
      </c>
      <c r="L2994">
        <v>5</v>
      </c>
      <c r="M2994">
        <f>TB[[#This Row],[售价]]*TB[[#This Row],[销量]]</f>
        <v>20560</v>
      </c>
      <c r="N2994" t="str">
        <f>IF(TB[[#This Row],[售价]]&lt;1000,"低价商品",IF(TB[[#This Row],[售价]]&lt;5000,"中价商品",IF(TB[[#This Row],[售价]]&lt;10000,"高价商品","超高价商品")))</f>
        <v>中价商品</v>
      </c>
    </row>
    <row r="2995" spans="1:14" x14ac:dyDescent="0.2">
      <c r="A2995">
        <v>668</v>
      </c>
      <c r="B2995">
        <v>263</v>
      </c>
      <c r="C2995" t="s">
        <v>44</v>
      </c>
      <c r="D2995" t="s">
        <v>301</v>
      </c>
      <c r="E2995" t="s">
        <v>22</v>
      </c>
      <c r="F2995">
        <v>1</v>
      </c>
      <c r="G2995" t="s">
        <v>13</v>
      </c>
      <c r="H2995" s="1">
        <v>45986.304861111108</v>
      </c>
      <c r="I2995" s="5">
        <f>INT(TB[[#This Row],[时间戳]])</f>
        <v>45986</v>
      </c>
      <c r="J2995" s="2">
        <f>HOUR(TB[[#This Row],[时间戳]])</f>
        <v>7</v>
      </c>
      <c r="K2995">
        <v>4513</v>
      </c>
      <c r="L2995">
        <v>5</v>
      </c>
      <c r="M2995">
        <f>TB[[#This Row],[售价]]*TB[[#This Row],[销量]]</f>
        <v>22565</v>
      </c>
      <c r="N2995" t="str">
        <f>IF(TB[[#This Row],[售价]]&lt;1000,"低价商品",IF(TB[[#This Row],[售价]]&lt;5000,"中价商品",IF(TB[[#This Row],[售价]]&lt;10000,"高价商品","超高价商品")))</f>
        <v>中价商品</v>
      </c>
    </row>
    <row r="2996" spans="1:14" x14ac:dyDescent="0.2">
      <c r="A2996">
        <v>43</v>
      </c>
      <c r="B2996">
        <v>199</v>
      </c>
      <c r="C2996" t="s">
        <v>26</v>
      </c>
      <c r="D2996" t="s">
        <v>225</v>
      </c>
      <c r="E2996" t="s">
        <v>31</v>
      </c>
      <c r="F2996">
        <v>4</v>
      </c>
      <c r="G2996" t="s">
        <v>13</v>
      </c>
      <c r="H2996" s="1">
        <v>45986.307638888888</v>
      </c>
      <c r="I2996" s="5">
        <f>INT(TB[[#This Row],[时间戳]])</f>
        <v>45986</v>
      </c>
      <c r="J2996" s="2">
        <f>HOUR(TB[[#This Row],[时间戳]])</f>
        <v>7</v>
      </c>
      <c r="K2996">
        <v>784</v>
      </c>
      <c r="L2996">
        <v>2</v>
      </c>
      <c r="M2996">
        <f>TB[[#This Row],[售价]]*TB[[#This Row],[销量]]</f>
        <v>1568</v>
      </c>
      <c r="N2996" t="str">
        <f>IF(TB[[#This Row],[售价]]&lt;1000,"低价商品",IF(TB[[#This Row],[售价]]&lt;5000,"中价商品",IF(TB[[#This Row],[售价]]&lt;10000,"高价商品","超高价商品")))</f>
        <v>低价商品</v>
      </c>
    </row>
    <row r="2997" spans="1:14" x14ac:dyDescent="0.2">
      <c r="A2997">
        <v>778</v>
      </c>
      <c r="B2997">
        <v>292</v>
      </c>
      <c r="C2997" t="s">
        <v>32</v>
      </c>
      <c r="D2997" t="s">
        <v>118</v>
      </c>
      <c r="E2997" t="s">
        <v>19</v>
      </c>
      <c r="F2997">
        <v>3</v>
      </c>
      <c r="G2997" t="s">
        <v>13</v>
      </c>
      <c r="H2997" s="1">
        <v>45986.344444444447</v>
      </c>
      <c r="I2997" s="5">
        <f>INT(TB[[#This Row],[时间戳]])</f>
        <v>45986</v>
      </c>
      <c r="J2997" s="2">
        <f>HOUR(TB[[#This Row],[时间戳]])</f>
        <v>8</v>
      </c>
      <c r="K2997">
        <v>2554</v>
      </c>
      <c r="L2997">
        <v>5</v>
      </c>
      <c r="M2997">
        <f>TB[[#This Row],[售价]]*TB[[#This Row],[销量]]</f>
        <v>12770</v>
      </c>
      <c r="N2997" t="str">
        <f>IF(TB[[#This Row],[售价]]&lt;1000,"低价商品",IF(TB[[#This Row],[售价]]&lt;5000,"中价商品",IF(TB[[#This Row],[售价]]&lt;10000,"高价商品","超高价商品")))</f>
        <v>中价商品</v>
      </c>
    </row>
    <row r="2998" spans="1:14" x14ac:dyDescent="0.2">
      <c r="A2998">
        <v>691</v>
      </c>
      <c r="B2998">
        <v>110</v>
      </c>
      <c r="C2998" t="s">
        <v>36</v>
      </c>
      <c r="D2998" t="s">
        <v>162</v>
      </c>
      <c r="E2998" t="s">
        <v>25</v>
      </c>
      <c r="F2998">
        <v>7</v>
      </c>
      <c r="G2998" t="s">
        <v>13</v>
      </c>
      <c r="H2998" s="1">
        <v>45986.347222222219</v>
      </c>
      <c r="I2998" s="5">
        <f>INT(TB[[#This Row],[时间戳]])</f>
        <v>45986</v>
      </c>
      <c r="J2998" s="2">
        <f>HOUR(TB[[#This Row],[时间戳]])</f>
        <v>8</v>
      </c>
      <c r="K2998">
        <v>7708</v>
      </c>
      <c r="L2998">
        <v>5</v>
      </c>
      <c r="M2998">
        <f>TB[[#This Row],[售价]]*TB[[#This Row],[销量]]</f>
        <v>38540</v>
      </c>
      <c r="N2998" t="str">
        <f>IF(TB[[#This Row],[售价]]&lt;1000,"低价商品",IF(TB[[#This Row],[售价]]&lt;5000,"中价商品",IF(TB[[#This Row],[售价]]&lt;10000,"高价商品","超高价商品")))</f>
        <v>高价商品</v>
      </c>
    </row>
    <row r="2999" spans="1:14" x14ac:dyDescent="0.2">
      <c r="A2999">
        <v>56</v>
      </c>
      <c r="B2999">
        <v>118</v>
      </c>
      <c r="C2999" t="s">
        <v>34</v>
      </c>
      <c r="D2999" t="s">
        <v>346</v>
      </c>
      <c r="E2999" t="s">
        <v>22</v>
      </c>
      <c r="F2999">
        <v>1</v>
      </c>
      <c r="G2999" t="s">
        <v>13</v>
      </c>
      <c r="H2999" s="1">
        <v>45986.354166666664</v>
      </c>
      <c r="I2999" s="5">
        <f>INT(TB[[#This Row],[时间戳]])</f>
        <v>45986</v>
      </c>
      <c r="J2999" s="2">
        <f>HOUR(TB[[#This Row],[时间戳]])</f>
        <v>8</v>
      </c>
      <c r="K2999">
        <v>5814</v>
      </c>
      <c r="L2999">
        <v>2</v>
      </c>
      <c r="M2999">
        <f>TB[[#This Row],[售价]]*TB[[#This Row],[销量]]</f>
        <v>11628</v>
      </c>
      <c r="N2999" t="str">
        <f>IF(TB[[#This Row],[售价]]&lt;1000,"低价商品",IF(TB[[#This Row],[售价]]&lt;5000,"中价商品",IF(TB[[#This Row],[售价]]&lt;10000,"高价商品","超高价商品")))</f>
        <v>高价商品</v>
      </c>
    </row>
    <row r="3000" spans="1:14" x14ac:dyDescent="0.2">
      <c r="A3000">
        <v>25</v>
      </c>
      <c r="B3000">
        <v>159</v>
      </c>
      <c r="C3000" t="s">
        <v>32</v>
      </c>
      <c r="D3000" t="s">
        <v>200</v>
      </c>
      <c r="E3000" t="s">
        <v>25</v>
      </c>
      <c r="F3000">
        <v>7</v>
      </c>
      <c r="G3000" t="s">
        <v>42</v>
      </c>
      <c r="H3000" s="1">
        <v>45986.36041666667</v>
      </c>
      <c r="I3000" s="5">
        <f>INT(TB[[#This Row],[时间戳]])</f>
        <v>45986</v>
      </c>
      <c r="J3000" s="2">
        <f>HOUR(TB[[#This Row],[时间戳]])</f>
        <v>8</v>
      </c>
      <c r="K3000">
        <v>6072</v>
      </c>
      <c r="L3000">
        <v>0</v>
      </c>
      <c r="M3000">
        <f>TB[[#This Row],[售价]]*TB[[#This Row],[销量]]</f>
        <v>0</v>
      </c>
      <c r="N3000" t="str">
        <f>IF(TB[[#This Row],[售价]]&lt;1000,"低价商品",IF(TB[[#This Row],[售价]]&lt;5000,"中价商品",IF(TB[[#This Row],[售价]]&lt;10000,"高价商品","超高价商品")))</f>
        <v>高价商品</v>
      </c>
    </row>
    <row r="3001" spans="1:14" x14ac:dyDescent="0.2">
      <c r="A3001">
        <v>212</v>
      </c>
      <c r="B3001">
        <v>256</v>
      </c>
      <c r="C3001" t="s">
        <v>26</v>
      </c>
      <c r="D3001" t="s">
        <v>227</v>
      </c>
      <c r="E3001" t="s">
        <v>12</v>
      </c>
      <c r="F3001">
        <v>2</v>
      </c>
      <c r="G3001" t="s">
        <v>13</v>
      </c>
      <c r="H3001" s="1">
        <v>45986.397916666669</v>
      </c>
      <c r="I3001" s="5">
        <f>INT(TB[[#This Row],[时间戳]])</f>
        <v>45986</v>
      </c>
      <c r="J3001" s="2">
        <f>HOUR(TB[[#This Row],[时间戳]])</f>
        <v>9</v>
      </c>
      <c r="K3001">
        <v>4112</v>
      </c>
      <c r="L3001">
        <v>5</v>
      </c>
      <c r="M3001">
        <f>TB[[#This Row],[售价]]*TB[[#This Row],[销量]]</f>
        <v>20560</v>
      </c>
      <c r="N3001" t="str">
        <f>IF(TB[[#This Row],[售价]]&lt;1000,"低价商品",IF(TB[[#This Row],[售价]]&lt;5000,"中价商品",IF(TB[[#This Row],[售价]]&lt;10000,"高价商品","超高价商品")))</f>
        <v>中价商品</v>
      </c>
    </row>
    <row r="3002" spans="1:14" x14ac:dyDescent="0.2">
      <c r="A3002">
        <v>401</v>
      </c>
      <c r="B3002">
        <v>85</v>
      </c>
      <c r="C3002" t="s">
        <v>34</v>
      </c>
      <c r="D3002" t="s">
        <v>346</v>
      </c>
      <c r="E3002" t="s">
        <v>22</v>
      </c>
      <c r="F3002">
        <v>1</v>
      </c>
      <c r="G3002" t="s">
        <v>13</v>
      </c>
      <c r="H3002" s="1">
        <v>45986.418749999997</v>
      </c>
      <c r="I3002" s="5">
        <f>INT(TB[[#This Row],[时间戳]])</f>
        <v>45986</v>
      </c>
      <c r="J3002" s="2">
        <f>HOUR(TB[[#This Row],[时间戳]])</f>
        <v>10</v>
      </c>
      <c r="K3002">
        <v>6895</v>
      </c>
      <c r="L3002">
        <v>5</v>
      </c>
      <c r="M3002">
        <f>TB[[#This Row],[售价]]*TB[[#This Row],[销量]]</f>
        <v>34475</v>
      </c>
      <c r="N3002" t="str">
        <f>IF(TB[[#This Row],[售价]]&lt;1000,"低价商品",IF(TB[[#This Row],[售价]]&lt;5000,"中价商品",IF(TB[[#This Row],[售价]]&lt;10000,"高价商品","超高价商品")))</f>
        <v>高价商品</v>
      </c>
    </row>
    <row r="3003" spans="1:14" x14ac:dyDescent="0.2">
      <c r="A3003">
        <v>293</v>
      </c>
      <c r="B3003">
        <v>128</v>
      </c>
      <c r="C3003" t="s">
        <v>20</v>
      </c>
      <c r="D3003" t="s">
        <v>399</v>
      </c>
      <c r="E3003" t="s">
        <v>31</v>
      </c>
      <c r="F3003">
        <v>4</v>
      </c>
      <c r="G3003" t="s">
        <v>42</v>
      </c>
      <c r="H3003" s="1">
        <v>45986.447916666664</v>
      </c>
      <c r="I3003" s="5">
        <f>INT(TB[[#This Row],[时间戳]])</f>
        <v>45986</v>
      </c>
      <c r="J3003" s="2">
        <f>HOUR(TB[[#This Row],[时间戳]])</f>
        <v>10</v>
      </c>
      <c r="K3003">
        <v>1101</v>
      </c>
      <c r="L3003">
        <v>0</v>
      </c>
      <c r="M3003">
        <f>TB[[#This Row],[售价]]*TB[[#This Row],[销量]]</f>
        <v>0</v>
      </c>
      <c r="N3003" t="str">
        <f>IF(TB[[#This Row],[售价]]&lt;1000,"低价商品",IF(TB[[#This Row],[售价]]&lt;5000,"中价商品",IF(TB[[#This Row],[售价]]&lt;10000,"高价商品","超高价商品")))</f>
        <v>中价商品</v>
      </c>
    </row>
    <row r="3004" spans="1:14" x14ac:dyDescent="0.2">
      <c r="A3004">
        <v>32</v>
      </c>
      <c r="B3004">
        <v>26</v>
      </c>
      <c r="C3004" t="s">
        <v>14</v>
      </c>
      <c r="D3004" t="s">
        <v>395</v>
      </c>
      <c r="E3004" t="s">
        <v>12</v>
      </c>
      <c r="F3004">
        <v>2</v>
      </c>
      <c r="G3004" t="s">
        <v>13</v>
      </c>
      <c r="H3004" s="1">
        <v>45986.453472222223</v>
      </c>
      <c r="I3004" s="5">
        <f>INT(TB[[#This Row],[时间戳]])</f>
        <v>45986</v>
      </c>
      <c r="J3004" s="2">
        <f>HOUR(TB[[#This Row],[时间戳]])</f>
        <v>10</v>
      </c>
      <c r="K3004">
        <v>5387</v>
      </c>
      <c r="L3004">
        <v>2</v>
      </c>
      <c r="M3004">
        <f>TB[[#This Row],[售价]]*TB[[#This Row],[销量]]</f>
        <v>10774</v>
      </c>
      <c r="N3004" t="str">
        <f>IF(TB[[#This Row],[售价]]&lt;1000,"低价商品",IF(TB[[#This Row],[售价]]&lt;5000,"中价商品",IF(TB[[#This Row],[售价]]&lt;10000,"高价商品","超高价商品")))</f>
        <v>高价商品</v>
      </c>
    </row>
    <row r="3005" spans="1:14" x14ac:dyDescent="0.2">
      <c r="A3005">
        <v>456</v>
      </c>
      <c r="B3005">
        <v>196</v>
      </c>
      <c r="C3005" t="s">
        <v>10</v>
      </c>
      <c r="D3005" t="s">
        <v>221</v>
      </c>
      <c r="E3005" t="s">
        <v>16</v>
      </c>
      <c r="F3005">
        <v>6</v>
      </c>
      <c r="G3005" t="s">
        <v>13</v>
      </c>
      <c r="H3005" s="1">
        <v>45986.47152777778</v>
      </c>
      <c r="I3005" s="5">
        <f>INT(TB[[#This Row],[时间戳]])</f>
        <v>45986</v>
      </c>
      <c r="J3005" s="2">
        <f>HOUR(TB[[#This Row],[时间戳]])</f>
        <v>11</v>
      </c>
      <c r="K3005">
        <v>2123</v>
      </c>
      <c r="L3005">
        <v>2</v>
      </c>
      <c r="M3005">
        <f>TB[[#This Row],[售价]]*TB[[#This Row],[销量]]</f>
        <v>4246</v>
      </c>
      <c r="N3005" t="str">
        <f>IF(TB[[#This Row],[售价]]&lt;1000,"低价商品",IF(TB[[#This Row],[售价]]&lt;5000,"中价商品",IF(TB[[#This Row],[售价]]&lt;10000,"高价商品","超高价商品")))</f>
        <v>中价商品</v>
      </c>
    </row>
    <row r="3006" spans="1:14" x14ac:dyDescent="0.2">
      <c r="A3006">
        <v>55</v>
      </c>
      <c r="B3006">
        <v>189</v>
      </c>
      <c r="C3006" t="s">
        <v>26</v>
      </c>
      <c r="D3006" t="s">
        <v>271</v>
      </c>
      <c r="E3006" t="s">
        <v>25</v>
      </c>
      <c r="F3006">
        <v>7</v>
      </c>
      <c r="G3006" t="s">
        <v>13</v>
      </c>
      <c r="H3006" s="1">
        <v>45986.486805555556</v>
      </c>
      <c r="I3006" s="5">
        <f>INT(TB[[#This Row],[时间戳]])</f>
        <v>45986</v>
      </c>
      <c r="J3006" s="2">
        <f>HOUR(TB[[#This Row],[时间戳]])</f>
        <v>11</v>
      </c>
      <c r="K3006">
        <v>7559</v>
      </c>
      <c r="L3006">
        <v>5</v>
      </c>
      <c r="M3006">
        <f>TB[[#This Row],[售价]]*TB[[#This Row],[销量]]</f>
        <v>37795</v>
      </c>
      <c r="N3006" t="str">
        <f>IF(TB[[#This Row],[售价]]&lt;1000,"低价商品",IF(TB[[#This Row],[售价]]&lt;5000,"中价商品",IF(TB[[#This Row],[售价]]&lt;10000,"高价商品","超高价商品")))</f>
        <v>高价商品</v>
      </c>
    </row>
    <row r="3007" spans="1:14" x14ac:dyDescent="0.2">
      <c r="A3007">
        <v>760</v>
      </c>
      <c r="B3007">
        <v>191</v>
      </c>
      <c r="C3007" t="s">
        <v>32</v>
      </c>
      <c r="D3007" t="s">
        <v>79</v>
      </c>
      <c r="E3007" t="s">
        <v>31</v>
      </c>
      <c r="F3007">
        <v>4</v>
      </c>
      <c r="G3007" t="s">
        <v>13</v>
      </c>
      <c r="H3007" s="1">
        <v>45986.520138888889</v>
      </c>
      <c r="I3007" s="5">
        <f>INT(TB[[#This Row],[时间戳]])</f>
        <v>45986</v>
      </c>
      <c r="J3007" s="2">
        <f>HOUR(TB[[#This Row],[时间戳]])</f>
        <v>12</v>
      </c>
      <c r="K3007">
        <v>620</v>
      </c>
      <c r="L3007">
        <v>5</v>
      </c>
      <c r="M3007">
        <f>TB[[#This Row],[售价]]*TB[[#This Row],[销量]]</f>
        <v>3100</v>
      </c>
      <c r="N3007" t="str">
        <f>IF(TB[[#This Row],[售价]]&lt;1000,"低价商品",IF(TB[[#This Row],[售价]]&lt;5000,"中价商品",IF(TB[[#This Row],[售价]]&lt;10000,"高价商品","超高价商品")))</f>
        <v>低价商品</v>
      </c>
    </row>
    <row r="3008" spans="1:14" x14ac:dyDescent="0.2">
      <c r="A3008">
        <v>23</v>
      </c>
      <c r="B3008">
        <v>153</v>
      </c>
      <c r="C3008" t="s">
        <v>17</v>
      </c>
      <c r="D3008" t="s">
        <v>75</v>
      </c>
      <c r="E3008" t="s">
        <v>12</v>
      </c>
      <c r="F3008">
        <v>2</v>
      </c>
      <c r="G3008" t="s">
        <v>13</v>
      </c>
      <c r="H3008" s="1">
        <v>45986.563194444447</v>
      </c>
      <c r="I3008" s="5">
        <f>INT(TB[[#This Row],[时间戳]])</f>
        <v>45986</v>
      </c>
      <c r="J3008" s="2">
        <f>HOUR(TB[[#This Row],[时间戳]])</f>
        <v>13</v>
      </c>
      <c r="K3008">
        <v>5189</v>
      </c>
      <c r="L3008">
        <v>2</v>
      </c>
      <c r="M3008">
        <f>TB[[#This Row],[售价]]*TB[[#This Row],[销量]]</f>
        <v>10378</v>
      </c>
      <c r="N3008" t="str">
        <f>IF(TB[[#This Row],[售价]]&lt;1000,"低价商品",IF(TB[[#This Row],[售价]]&lt;5000,"中价商品",IF(TB[[#This Row],[售价]]&lt;10000,"高价商品","超高价商品")))</f>
        <v>高价商品</v>
      </c>
    </row>
    <row r="3009" spans="1:14" x14ac:dyDescent="0.2">
      <c r="A3009">
        <v>270</v>
      </c>
      <c r="B3009">
        <v>234</v>
      </c>
      <c r="C3009" t="s">
        <v>36</v>
      </c>
      <c r="D3009" t="s">
        <v>238</v>
      </c>
      <c r="E3009" t="s">
        <v>12</v>
      </c>
      <c r="F3009">
        <v>2</v>
      </c>
      <c r="G3009" t="s">
        <v>13</v>
      </c>
      <c r="H3009" s="1">
        <v>45986.563888888886</v>
      </c>
      <c r="I3009" s="5">
        <f>INT(TB[[#This Row],[时间戳]])</f>
        <v>45986</v>
      </c>
      <c r="J3009" s="2">
        <f>HOUR(TB[[#This Row],[时间戳]])</f>
        <v>13</v>
      </c>
      <c r="K3009">
        <v>4434</v>
      </c>
      <c r="L3009">
        <v>5</v>
      </c>
      <c r="M3009">
        <f>TB[[#This Row],[售价]]*TB[[#This Row],[销量]]</f>
        <v>22170</v>
      </c>
      <c r="N3009" t="str">
        <f>IF(TB[[#This Row],[售价]]&lt;1000,"低价商品",IF(TB[[#This Row],[售价]]&lt;5000,"中价商品",IF(TB[[#This Row],[售价]]&lt;10000,"高价商品","超高价商品")))</f>
        <v>中价商品</v>
      </c>
    </row>
    <row r="3010" spans="1:14" x14ac:dyDescent="0.2">
      <c r="A3010">
        <v>179</v>
      </c>
      <c r="B3010">
        <v>8</v>
      </c>
      <c r="C3010" t="s">
        <v>10</v>
      </c>
      <c r="D3010" t="s">
        <v>348</v>
      </c>
      <c r="E3010" t="s">
        <v>16</v>
      </c>
      <c r="F3010">
        <v>6</v>
      </c>
      <c r="G3010" t="s">
        <v>13</v>
      </c>
      <c r="H3010" s="1">
        <v>45986.584027777775</v>
      </c>
      <c r="I3010" s="5">
        <f>INT(TB[[#This Row],[时间戳]])</f>
        <v>45986</v>
      </c>
      <c r="J3010" s="2">
        <f>HOUR(TB[[#This Row],[时间戳]])</f>
        <v>14</v>
      </c>
      <c r="K3010">
        <v>5214</v>
      </c>
      <c r="L3010">
        <v>5</v>
      </c>
      <c r="M3010">
        <f>TB[[#This Row],[售价]]*TB[[#This Row],[销量]]</f>
        <v>26070</v>
      </c>
      <c r="N3010" t="str">
        <f>IF(TB[[#This Row],[售价]]&lt;1000,"低价商品",IF(TB[[#This Row],[售价]]&lt;5000,"中价商品",IF(TB[[#This Row],[售价]]&lt;10000,"高价商品","超高价商品")))</f>
        <v>高价商品</v>
      </c>
    </row>
    <row r="3011" spans="1:14" x14ac:dyDescent="0.2">
      <c r="A3011">
        <v>594</v>
      </c>
      <c r="B3011">
        <v>286</v>
      </c>
      <c r="C3011" t="s">
        <v>32</v>
      </c>
      <c r="D3011" t="s">
        <v>176</v>
      </c>
      <c r="E3011" t="s">
        <v>22</v>
      </c>
      <c r="F3011">
        <v>1</v>
      </c>
      <c r="G3011" t="s">
        <v>13</v>
      </c>
      <c r="H3011" s="1">
        <v>45986.585416666669</v>
      </c>
      <c r="I3011" s="5">
        <f>INT(TB[[#This Row],[时间戳]])</f>
        <v>45986</v>
      </c>
      <c r="J3011" s="2">
        <f>HOUR(TB[[#This Row],[时间戳]])</f>
        <v>14</v>
      </c>
      <c r="K3011">
        <v>1766</v>
      </c>
      <c r="L3011">
        <v>5</v>
      </c>
      <c r="M3011">
        <f>TB[[#This Row],[售价]]*TB[[#This Row],[销量]]</f>
        <v>8830</v>
      </c>
      <c r="N3011" t="str">
        <f>IF(TB[[#This Row],[售价]]&lt;1000,"低价商品",IF(TB[[#This Row],[售价]]&lt;5000,"中价商品",IF(TB[[#This Row],[售价]]&lt;10000,"高价商品","超高价商品")))</f>
        <v>中价商品</v>
      </c>
    </row>
    <row r="3012" spans="1:14" x14ac:dyDescent="0.2">
      <c r="A3012">
        <v>492</v>
      </c>
      <c r="B3012">
        <v>33</v>
      </c>
      <c r="C3012" t="s">
        <v>10</v>
      </c>
      <c r="D3012" t="s">
        <v>321</v>
      </c>
      <c r="E3012" t="s">
        <v>39</v>
      </c>
      <c r="F3012">
        <v>5</v>
      </c>
      <c r="G3012" t="s">
        <v>13</v>
      </c>
      <c r="H3012" s="1">
        <v>45986.6</v>
      </c>
      <c r="I3012" s="5">
        <f>INT(TB[[#This Row],[时间戳]])</f>
        <v>45986</v>
      </c>
      <c r="J3012" s="2">
        <f>HOUR(TB[[#This Row],[时间戳]])</f>
        <v>14</v>
      </c>
      <c r="K3012">
        <v>1856</v>
      </c>
      <c r="L3012">
        <v>5</v>
      </c>
      <c r="M3012">
        <f>TB[[#This Row],[售价]]*TB[[#This Row],[销量]]</f>
        <v>9280</v>
      </c>
      <c r="N3012" t="str">
        <f>IF(TB[[#This Row],[售价]]&lt;1000,"低价商品",IF(TB[[#This Row],[售价]]&lt;5000,"中价商品",IF(TB[[#This Row],[售价]]&lt;10000,"高价商品","超高价商品")))</f>
        <v>中价商品</v>
      </c>
    </row>
    <row r="3013" spans="1:14" x14ac:dyDescent="0.2">
      <c r="A3013">
        <v>408</v>
      </c>
      <c r="B3013">
        <v>194</v>
      </c>
      <c r="C3013" t="s">
        <v>32</v>
      </c>
      <c r="D3013" t="s">
        <v>58</v>
      </c>
      <c r="E3013" t="s">
        <v>31</v>
      </c>
      <c r="F3013">
        <v>4</v>
      </c>
      <c r="G3013" t="s">
        <v>13</v>
      </c>
      <c r="H3013" s="1">
        <v>45986.606249999997</v>
      </c>
      <c r="I3013" s="5">
        <f>INT(TB[[#This Row],[时间戳]])</f>
        <v>45986</v>
      </c>
      <c r="J3013" s="2">
        <f>HOUR(TB[[#This Row],[时间戳]])</f>
        <v>14</v>
      </c>
      <c r="K3013">
        <v>1344</v>
      </c>
      <c r="L3013">
        <v>5</v>
      </c>
      <c r="M3013">
        <f>TB[[#This Row],[售价]]*TB[[#This Row],[销量]]</f>
        <v>6720</v>
      </c>
      <c r="N3013" t="str">
        <f>IF(TB[[#This Row],[售价]]&lt;1000,"低价商品",IF(TB[[#This Row],[售价]]&lt;5000,"中价商品",IF(TB[[#This Row],[售价]]&lt;10000,"高价商品","超高价商品")))</f>
        <v>中价商品</v>
      </c>
    </row>
    <row r="3014" spans="1:14" x14ac:dyDescent="0.2">
      <c r="A3014">
        <v>477</v>
      </c>
      <c r="B3014">
        <v>212</v>
      </c>
      <c r="C3014" t="s">
        <v>44</v>
      </c>
      <c r="D3014" t="s">
        <v>169</v>
      </c>
      <c r="E3014" t="s">
        <v>31</v>
      </c>
      <c r="F3014">
        <v>4</v>
      </c>
      <c r="G3014" t="s">
        <v>13</v>
      </c>
      <c r="H3014" s="1">
        <v>45986.613194444442</v>
      </c>
      <c r="I3014" s="5">
        <f>INT(TB[[#This Row],[时间戳]])</f>
        <v>45986</v>
      </c>
      <c r="J3014" s="2">
        <f>HOUR(TB[[#This Row],[时间戳]])</f>
        <v>14</v>
      </c>
      <c r="K3014">
        <v>50</v>
      </c>
      <c r="L3014">
        <v>5</v>
      </c>
      <c r="M3014">
        <f>TB[[#This Row],[售价]]*TB[[#This Row],[销量]]</f>
        <v>250</v>
      </c>
      <c r="N3014" t="str">
        <f>IF(TB[[#This Row],[售价]]&lt;1000,"低价商品",IF(TB[[#This Row],[售价]]&lt;5000,"中价商品",IF(TB[[#This Row],[售价]]&lt;10000,"高价商品","超高价商品")))</f>
        <v>低价商品</v>
      </c>
    </row>
    <row r="3015" spans="1:14" x14ac:dyDescent="0.2">
      <c r="A3015">
        <v>673</v>
      </c>
      <c r="B3015">
        <v>33</v>
      </c>
      <c r="C3015" t="s">
        <v>46</v>
      </c>
      <c r="D3015" t="s">
        <v>80</v>
      </c>
      <c r="E3015" t="s">
        <v>22</v>
      </c>
      <c r="F3015">
        <v>1</v>
      </c>
      <c r="G3015" t="s">
        <v>13</v>
      </c>
      <c r="H3015" s="1">
        <v>45986.620833333334</v>
      </c>
      <c r="I3015" s="5">
        <f>INT(TB[[#This Row],[时间戳]])</f>
        <v>45986</v>
      </c>
      <c r="J3015" s="2">
        <f>HOUR(TB[[#This Row],[时间戳]])</f>
        <v>14</v>
      </c>
      <c r="K3015">
        <v>2239</v>
      </c>
      <c r="L3015">
        <v>5</v>
      </c>
      <c r="M3015">
        <f>TB[[#This Row],[售价]]*TB[[#This Row],[销量]]</f>
        <v>11195</v>
      </c>
      <c r="N3015" t="str">
        <f>IF(TB[[#This Row],[售价]]&lt;1000,"低价商品",IF(TB[[#This Row],[售价]]&lt;5000,"中价商品",IF(TB[[#This Row],[售价]]&lt;10000,"高价商品","超高价商品")))</f>
        <v>中价商品</v>
      </c>
    </row>
    <row r="3016" spans="1:14" x14ac:dyDescent="0.2">
      <c r="A3016">
        <v>491</v>
      </c>
      <c r="B3016">
        <v>104</v>
      </c>
      <c r="C3016" t="s">
        <v>36</v>
      </c>
      <c r="D3016" t="s">
        <v>264</v>
      </c>
      <c r="E3016" t="s">
        <v>12</v>
      </c>
      <c r="F3016">
        <v>2</v>
      </c>
      <c r="G3016" t="s">
        <v>13</v>
      </c>
      <c r="H3016" s="1">
        <v>45986.638888888891</v>
      </c>
      <c r="I3016" s="5">
        <f>INT(TB[[#This Row],[时间戳]])</f>
        <v>45986</v>
      </c>
      <c r="J3016" s="2">
        <f>HOUR(TB[[#This Row],[时间戳]])</f>
        <v>15</v>
      </c>
      <c r="K3016">
        <v>8764</v>
      </c>
      <c r="L3016">
        <v>5</v>
      </c>
      <c r="M3016">
        <f>TB[[#This Row],[售价]]*TB[[#This Row],[销量]]</f>
        <v>43820</v>
      </c>
      <c r="N3016" t="str">
        <f>IF(TB[[#This Row],[售价]]&lt;1000,"低价商品",IF(TB[[#This Row],[售价]]&lt;5000,"中价商品",IF(TB[[#This Row],[售价]]&lt;10000,"高价商品","超高价商品")))</f>
        <v>高价商品</v>
      </c>
    </row>
    <row r="3017" spans="1:14" x14ac:dyDescent="0.2">
      <c r="A3017">
        <v>241</v>
      </c>
      <c r="B3017">
        <v>230</v>
      </c>
      <c r="C3017" t="s">
        <v>36</v>
      </c>
      <c r="D3017" t="s">
        <v>151</v>
      </c>
      <c r="E3017" t="s">
        <v>25</v>
      </c>
      <c r="F3017">
        <v>7</v>
      </c>
      <c r="G3017" t="s">
        <v>13</v>
      </c>
      <c r="H3017" s="1">
        <v>45986.646527777775</v>
      </c>
      <c r="I3017" s="5">
        <f>INT(TB[[#This Row],[时间戳]])</f>
        <v>45986</v>
      </c>
      <c r="J3017" s="2">
        <f>HOUR(TB[[#This Row],[时间戳]])</f>
        <v>15</v>
      </c>
      <c r="K3017">
        <v>3501</v>
      </c>
      <c r="L3017">
        <v>5</v>
      </c>
      <c r="M3017">
        <f>TB[[#This Row],[售价]]*TB[[#This Row],[销量]]</f>
        <v>17505</v>
      </c>
      <c r="N3017" t="str">
        <f>IF(TB[[#This Row],[售价]]&lt;1000,"低价商品",IF(TB[[#This Row],[售价]]&lt;5000,"中价商品",IF(TB[[#This Row],[售价]]&lt;10000,"高价商品","超高价商品")))</f>
        <v>中价商品</v>
      </c>
    </row>
    <row r="3018" spans="1:14" x14ac:dyDescent="0.2">
      <c r="A3018">
        <v>446</v>
      </c>
      <c r="B3018">
        <v>287</v>
      </c>
      <c r="C3018" t="s">
        <v>10</v>
      </c>
      <c r="D3018" t="s">
        <v>321</v>
      </c>
      <c r="E3018" t="s">
        <v>39</v>
      </c>
      <c r="F3018">
        <v>5</v>
      </c>
      <c r="G3018" t="s">
        <v>13</v>
      </c>
      <c r="H3018" s="1">
        <v>45986.67083333333</v>
      </c>
      <c r="I3018" s="5">
        <f>INT(TB[[#This Row],[时间戳]])</f>
        <v>45986</v>
      </c>
      <c r="J3018" s="2">
        <f>HOUR(TB[[#This Row],[时间戳]])</f>
        <v>16</v>
      </c>
      <c r="K3018">
        <v>939</v>
      </c>
      <c r="L3018">
        <v>2</v>
      </c>
      <c r="M3018">
        <f>TB[[#This Row],[售价]]*TB[[#This Row],[销量]]</f>
        <v>1878</v>
      </c>
      <c r="N3018" t="str">
        <f>IF(TB[[#This Row],[售价]]&lt;1000,"低价商品",IF(TB[[#This Row],[售价]]&lt;5000,"中价商品",IF(TB[[#This Row],[售价]]&lt;10000,"高价商品","超高价商品")))</f>
        <v>低价商品</v>
      </c>
    </row>
    <row r="3019" spans="1:14" x14ac:dyDescent="0.2">
      <c r="A3019">
        <v>761</v>
      </c>
      <c r="B3019">
        <v>25</v>
      </c>
      <c r="C3019" t="s">
        <v>32</v>
      </c>
      <c r="D3019" t="s">
        <v>193</v>
      </c>
      <c r="E3019" t="s">
        <v>22</v>
      </c>
      <c r="F3019">
        <v>1</v>
      </c>
      <c r="G3019" t="s">
        <v>13</v>
      </c>
      <c r="H3019" s="1">
        <v>45986.679861111108</v>
      </c>
      <c r="I3019" s="5">
        <f>INT(TB[[#This Row],[时间戳]])</f>
        <v>45986</v>
      </c>
      <c r="J3019" s="2">
        <f>HOUR(TB[[#This Row],[时间戳]])</f>
        <v>16</v>
      </c>
      <c r="K3019">
        <v>6808</v>
      </c>
      <c r="L3019">
        <v>5</v>
      </c>
      <c r="M3019">
        <f>TB[[#This Row],[售价]]*TB[[#This Row],[销量]]</f>
        <v>34040</v>
      </c>
      <c r="N3019" t="str">
        <f>IF(TB[[#This Row],[售价]]&lt;1000,"低价商品",IF(TB[[#This Row],[售价]]&lt;5000,"中价商品",IF(TB[[#This Row],[售价]]&lt;10000,"高价商品","超高价商品")))</f>
        <v>高价商品</v>
      </c>
    </row>
    <row r="3020" spans="1:14" x14ac:dyDescent="0.2">
      <c r="A3020">
        <v>377</v>
      </c>
      <c r="B3020">
        <v>234</v>
      </c>
      <c r="C3020" t="s">
        <v>14</v>
      </c>
      <c r="D3020" t="s">
        <v>178</v>
      </c>
      <c r="E3020" t="s">
        <v>12</v>
      </c>
      <c r="F3020">
        <v>2</v>
      </c>
      <c r="G3020" t="s">
        <v>13</v>
      </c>
      <c r="H3020" s="1">
        <v>45986.681250000001</v>
      </c>
      <c r="I3020" s="5">
        <f>INT(TB[[#This Row],[时间戳]])</f>
        <v>45986</v>
      </c>
      <c r="J3020" s="2">
        <f>HOUR(TB[[#This Row],[时间戳]])</f>
        <v>16</v>
      </c>
      <c r="K3020">
        <v>8680</v>
      </c>
      <c r="L3020">
        <v>5</v>
      </c>
      <c r="M3020">
        <f>TB[[#This Row],[售价]]*TB[[#This Row],[销量]]</f>
        <v>43400</v>
      </c>
      <c r="N3020" t="str">
        <f>IF(TB[[#This Row],[售价]]&lt;1000,"低价商品",IF(TB[[#This Row],[售价]]&lt;5000,"中价商品",IF(TB[[#This Row],[售价]]&lt;10000,"高价商品","超高价商品")))</f>
        <v>高价商品</v>
      </c>
    </row>
    <row r="3021" spans="1:14" x14ac:dyDescent="0.2">
      <c r="A3021">
        <v>675</v>
      </c>
      <c r="B3021">
        <v>191</v>
      </c>
      <c r="C3021" t="s">
        <v>26</v>
      </c>
      <c r="D3021" t="s">
        <v>227</v>
      </c>
      <c r="E3021" t="s">
        <v>12</v>
      </c>
      <c r="F3021">
        <v>2</v>
      </c>
      <c r="G3021" t="s">
        <v>13</v>
      </c>
      <c r="H3021" s="1">
        <v>45986.709722222222</v>
      </c>
      <c r="I3021" s="5">
        <f>INT(TB[[#This Row],[时间戳]])</f>
        <v>45986</v>
      </c>
      <c r="J3021" s="2">
        <f>HOUR(TB[[#This Row],[时间戳]])</f>
        <v>17</v>
      </c>
      <c r="K3021">
        <v>11819</v>
      </c>
      <c r="L3021">
        <v>5</v>
      </c>
      <c r="M3021">
        <f>TB[[#This Row],[售价]]*TB[[#This Row],[销量]]</f>
        <v>59095</v>
      </c>
      <c r="N3021" t="str">
        <f>IF(TB[[#This Row],[售价]]&lt;1000,"低价商品",IF(TB[[#This Row],[售价]]&lt;5000,"中价商品",IF(TB[[#This Row],[售价]]&lt;10000,"高价商品","超高价商品")))</f>
        <v>超高价商品</v>
      </c>
    </row>
    <row r="3022" spans="1:14" x14ac:dyDescent="0.2">
      <c r="A3022">
        <v>753</v>
      </c>
      <c r="B3022">
        <v>178</v>
      </c>
      <c r="C3022" t="s">
        <v>26</v>
      </c>
      <c r="D3022" t="s">
        <v>392</v>
      </c>
      <c r="E3022" t="s">
        <v>16</v>
      </c>
      <c r="F3022">
        <v>6</v>
      </c>
      <c r="G3022" t="s">
        <v>13</v>
      </c>
      <c r="H3022" s="1">
        <v>45986.71597222222</v>
      </c>
      <c r="I3022" s="5">
        <f>INT(TB[[#This Row],[时间戳]])</f>
        <v>45986</v>
      </c>
      <c r="J3022" s="2">
        <f>HOUR(TB[[#This Row],[时间戳]])</f>
        <v>17</v>
      </c>
      <c r="K3022">
        <v>11103</v>
      </c>
      <c r="L3022">
        <v>5</v>
      </c>
      <c r="M3022">
        <f>TB[[#This Row],[售价]]*TB[[#This Row],[销量]]</f>
        <v>55515</v>
      </c>
      <c r="N3022" t="str">
        <f>IF(TB[[#This Row],[售价]]&lt;1000,"低价商品",IF(TB[[#This Row],[售价]]&lt;5000,"中价商品",IF(TB[[#This Row],[售价]]&lt;10000,"高价商品","超高价商品")))</f>
        <v>超高价商品</v>
      </c>
    </row>
    <row r="3023" spans="1:14" x14ac:dyDescent="0.2">
      <c r="A3023">
        <v>382</v>
      </c>
      <c r="B3023">
        <v>240</v>
      </c>
      <c r="C3023" t="s">
        <v>46</v>
      </c>
      <c r="D3023" t="s">
        <v>47</v>
      </c>
      <c r="E3023" t="s">
        <v>22</v>
      </c>
      <c r="F3023">
        <v>1</v>
      </c>
      <c r="G3023" t="s">
        <v>13</v>
      </c>
      <c r="H3023" s="1">
        <v>45986.726388888892</v>
      </c>
      <c r="I3023" s="5">
        <f>INT(TB[[#This Row],[时间戳]])</f>
        <v>45986</v>
      </c>
      <c r="J3023" s="2">
        <f>HOUR(TB[[#This Row],[时间戳]])</f>
        <v>17</v>
      </c>
      <c r="K3023">
        <v>4223</v>
      </c>
      <c r="L3023">
        <v>2</v>
      </c>
      <c r="M3023">
        <f>TB[[#This Row],[售价]]*TB[[#This Row],[销量]]</f>
        <v>8446</v>
      </c>
      <c r="N3023" t="str">
        <f>IF(TB[[#This Row],[售价]]&lt;1000,"低价商品",IF(TB[[#This Row],[售价]]&lt;5000,"中价商品",IF(TB[[#This Row],[售价]]&lt;10000,"高价商品","超高价商品")))</f>
        <v>中价商品</v>
      </c>
    </row>
    <row r="3024" spans="1:14" x14ac:dyDescent="0.2">
      <c r="A3024">
        <v>689</v>
      </c>
      <c r="B3024">
        <v>254</v>
      </c>
      <c r="C3024" t="s">
        <v>36</v>
      </c>
      <c r="D3024" t="s">
        <v>366</v>
      </c>
      <c r="E3024" t="s">
        <v>22</v>
      </c>
      <c r="F3024">
        <v>1</v>
      </c>
      <c r="G3024" t="s">
        <v>13</v>
      </c>
      <c r="H3024" s="1">
        <v>45986.74722222222</v>
      </c>
      <c r="I3024" s="5">
        <f>INT(TB[[#This Row],[时间戳]])</f>
        <v>45986</v>
      </c>
      <c r="J3024" s="2">
        <f>HOUR(TB[[#This Row],[时间戳]])</f>
        <v>17</v>
      </c>
      <c r="K3024">
        <v>4038</v>
      </c>
      <c r="L3024">
        <v>5</v>
      </c>
      <c r="M3024">
        <f>TB[[#This Row],[售价]]*TB[[#This Row],[销量]]</f>
        <v>20190</v>
      </c>
      <c r="N3024" t="str">
        <f>IF(TB[[#This Row],[售价]]&lt;1000,"低价商品",IF(TB[[#This Row],[售价]]&lt;5000,"中价商品",IF(TB[[#This Row],[售价]]&lt;10000,"高价商品","超高价商品")))</f>
        <v>中价商品</v>
      </c>
    </row>
    <row r="3025" spans="1:14" x14ac:dyDescent="0.2">
      <c r="A3025">
        <v>443</v>
      </c>
      <c r="B3025">
        <v>45</v>
      </c>
      <c r="C3025" t="s">
        <v>17</v>
      </c>
      <c r="D3025" t="s">
        <v>279</v>
      </c>
      <c r="E3025" t="s">
        <v>22</v>
      </c>
      <c r="F3025">
        <v>1</v>
      </c>
      <c r="G3025" t="s">
        <v>13</v>
      </c>
      <c r="H3025" s="1">
        <v>45986.754861111112</v>
      </c>
      <c r="I3025" s="5">
        <f>INT(TB[[#This Row],[时间戳]])</f>
        <v>45986</v>
      </c>
      <c r="J3025" s="2">
        <f>HOUR(TB[[#This Row],[时间戳]])</f>
        <v>18</v>
      </c>
      <c r="K3025">
        <v>6612</v>
      </c>
      <c r="L3025">
        <v>2</v>
      </c>
      <c r="M3025">
        <f>TB[[#This Row],[售价]]*TB[[#This Row],[销量]]</f>
        <v>13224</v>
      </c>
      <c r="N3025" t="str">
        <f>IF(TB[[#This Row],[售价]]&lt;1000,"低价商品",IF(TB[[#This Row],[售价]]&lt;5000,"中价商品",IF(TB[[#This Row],[售价]]&lt;10000,"高价商品","超高价商品")))</f>
        <v>高价商品</v>
      </c>
    </row>
    <row r="3026" spans="1:14" x14ac:dyDescent="0.2">
      <c r="A3026">
        <v>368</v>
      </c>
      <c r="B3026">
        <v>239</v>
      </c>
      <c r="C3026" t="s">
        <v>26</v>
      </c>
      <c r="D3026" t="s">
        <v>166</v>
      </c>
      <c r="E3026" t="s">
        <v>39</v>
      </c>
      <c r="F3026">
        <v>5</v>
      </c>
      <c r="G3026" t="s">
        <v>13</v>
      </c>
      <c r="H3026" s="1">
        <v>45986.756249999999</v>
      </c>
      <c r="I3026" s="5">
        <f>INT(TB[[#This Row],[时间戳]])</f>
        <v>45986</v>
      </c>
      <c r="J3026" s="2">
        <f>HOUR(TB[[#This Row],[时间戳]])</f>
        <v>18</v>
      </c>
      <c r="K3026">
        <v>3195</v>
      </c>
      <c r="L3026">
        <v>5</v>
      </c>
      <c r="M3026">
        <f>TB[[#This Row],[售价]]*TB[[#This Row],[销量]]</f>
        <v>15975</v>
      </c>
      <c r="N3026" t="str">
        <f>IF(TB[[#This Row],[售价]]&lt;1000,"低价商品",IF(TB[[#This Row],[售价]]&lt;5000,"中价商品",IF(TB[[#This Row],[售价]]&lt;10000,"高价商品","超高价商品")))</f>
        <v>中价商品</v>
      </c>
    </row>
    <row r="3027" spans="1:14" x14ac:dyDescent="0.2">
      <c r="A3027">
        <v>169</v>
      </c>
      <c r="B3027">
        <v>22</v>
      </c>
      <c r="C3027" t="s">
        <v>20</v>
      </c>
      <c r="D3027" t="s">
        <v>334</v>
      </c>
      <c r="E3027" t="s">
        <v>22</v>
      </c>
      <c r="F3027">
        <v>1</v>
      </c>
      <c r="G3027" t="s">
        <v>13</v>
      </c>
      <c r="H3027" s="1">
        <v>45986.76458333333</v>
      </c>
      <c r="I3027" s="5">
        <f>INT(TB[[#This Row],[时间戳]])</f>
        <v>45986</v>
      </c>
      <c r="J3027" s="2">
        <f>HOUR(TB[[#This Row],[时间戳]])</f>
        <v>18</v>
      </c>
      <c r="K3027">
        <v>4877</v>
      </c>
      <c r="L3027">
        <v>5</v>
      </c>
      <c r="M3027">
        <f>TB[[#This Row],[售价]]*TB[[#This Row],[销量]]</f>
        <v>24385</v>
      </c>
      <c r="N3027" t="str">
        <f>IF(TB[[#This Row],[售价]]&lt;1000,"低价商品",IF(TB[[#This Row],[售价]]&lt;5000,"中价商品",IF(TB[[#This Row],[售价]]&lt;10000,"高价商品","超高价商品")))</f>
        <v>中价商品</v>
      </c>
    </row>
    <row r="3028" spans="1:14" x14ac:dyDescent="0.2">
      <c r="A3028">
        <v>350</v>
      </c>
      <c r="B3028">
        <v>277</v>
      </c>
      <c r="C3028" t="s">
        <v>26</v>
      </c>
      <c r="D3028" t="s">
        <v>48</v>
      </c>
      <c r="E3028" t="s">
        <v>31</v>
      </c>
      <c r="F3028">
        <v>4</v>
      </c>
      <c r="G3028" t="s">
        <v>13</v>
      </c>
      <c r="H3028" s="1">
        <v>45986.818055555559</v>
      </c>
      <c r="I3028" s="5">
        <f>INT(TB[[#This Row],[时间戳]])</f>
        <v>45986</v>
      </c>
      <c r="J3028" s="2">
        <f>HOUR(TB[[#This Row],[时间戳]])</f>
        <v>19</v>
      </c>
      <c r="K3028">
        <v>812</v>
      </c>
      <c r="L3028">
        <v>5</v>
      </c>
      <c r="M3028">
        <f>TB[[#This Row],[售价]]*TB[[#This Row],[销量]]</f>
        <v>4060</v>
      </c>
      <c r="N3028" t="str">
        <f>IF(TB[[#This Row],[售价]]&lt;1000,"低价商品",IF(TB[[#This Row],[售价]]&lt;5000,"中价商品",IF(TB[[#This Row],[售价]]&lt;10000,"高价商品","超高价商品")))</f>
        <v>低价商品</v>
      </c>
    </row>
    <row r="3029" spans="1:14" x14ac:dyDescent="0.2">
      <c r="A3029">
        <v>143</v>
      </c>
      <c r="B3029">
        <v>106</v>
      </c>
      <c r="C3029" t="s">
        <v>26</v>
      </c>
      <c r="D3029" t="s">
        <v>48</v>
      </c>
      <c r="E3029" t="s">
        <v>31</v>
      </c>
      <c r="F3029">
        <v>4</v>
      </c>
      <c r="G3029" t="s">
        <v>13</v>
      </c>
      <c r="H3029" s="1">
        <v>45986.836805555555</v>
      </c>
      <c r="I3029" s="5">
        <f>INT(TB[[#This Row],[时间戳]])</f>
        <v>45986</v>
      </c>
      <c r="J3029" s="2">
        <f>HOUR(TB[[#This Row],[时间戳]])</f>
        <v>20</v>
      </c>
      <c r="K3029">
        <v>1500</v>
      </c>
      <c r="L3029">
        <v>2</v>
      </c>
      <c r="M3029">
        <f>TB[[#This Row],[售价]]*TB[[#This Row],[销量]]</f>
        <v>3000</v>
      </c>
      <c r="N3029" t="str">
        <f>IF(TB[[#This Row],[售价]]&lt;1000,"低价商品",IF(TB[[#This Row],[售价]]&lt;5000,"中价商品",IF(TB[[#This Row],[售价]]&lt;10000,"高价商品","超高价商品")))</f>
        <v>中价商品</v>
      </c>
    </row>
    <row r="3030" spans="1:14" x14ac:dyDescent="0.2">
      <c r="A3030">
        <v>514</v>
      </c>
      <c r="B3030">
        <v>279</v>
      </c>
      <c r="C3030" t="s">
        <v>17</v>
      </c>
      <c r="D3030" t="s">
        <v>28</v>
      </c>
      <c r="E3030" t="s">
        <v>12</v>
      </c>
      <c r="F3030">
        <v>2</v>
      </c>
      <c r="G3030" t="s">
        <v>42</v>
      </c>
      <c r="H3030" s="1">
        <v>45986.856944444444</v>
      </c>
      <c r="I3030" s="5">
        <f>INT(TB[[#This Row],[时间戳]])</f>
        <v>45986</v>
      </c>
      <c r="J3030" s="2">
        <f>HOUR(TB[[#This Row],[时间戳]])</f>
        <v>20</v>
      </c>
      <c r="K3030">
        <v>10334</v>
      </c>
      <c r="L3030">
        <v>0</v>
      </c>
      <c r="M3030">
        <f>TB[[#This Row],[售价]]*TB[[#This Row],[销量]]</f>
        <v>0</v>
      </c>
      <c r="N3030" t="str">
        <f>IF(TB[[#This Row],[售价]]&lt;1000,"低价商品",IF(TB[[#This Row],[售价]]&lt;5000,"中价商品",IF(TB[[#This Row],[售价]]&lt;10000,"高价商品","超高价商品")))</f>
        <v>超高价商品</v>
      </c>
    </row>
    <row r="3031" spans="1:14" x14ac:dyDescent="0.2">
      <c r="A3031">
        <v>5</v>
      </c>
      <c r="B3031">
        <v>131</v>
      </c>
      <c r="C3031" t="s">
        <v>14</v>
      </c>
      <c r="D3031" t="s">
        <v>52</v>
      </c>
      <c r="E3031" t="s">
        <v>31</v>
      </c>
      <c r="F3031">
        <v>4</v>
      </c>
      <c r="G3031" t="s">
        <v>13</v>
      </c>
      <c r="H3031" s="1">
        <v>45986.875694444447</v>
      </c>
      <c r="I3031" s="5">
        <f>INT(TB[[#This Row],[时间戳]])</f>
        <v>45986</v>
      </c>
      <c r="J3031" s="2">
        <f>HOUR(TB[[#This Row],[时间戳]])</f>
        <v>21</v>
      </c>
      <c r="K3031">
        <v>201</v>
      </c>
      <c r="L3031">
        <v>5</v>
      </c>
      <c r="M3031">
        <f>TB[[#This Row],[售价]]*TB[[#This Row],[销量]]</f>
        <v>1005</v>
      </c>
      <c r="N3031" t="str">
        <f>IF(TB[[#This Row],[售价]]&lt;1000,"低价商品",IF(TB[[#This Row],[售价]]&lt;5000,"中价商品",IF(TB[[#This Row],[售价]]&lt;10000,"高价商品","超高价商品")))</f>
        <v>低价商品</v>
      </c>
    </row>
    <row r="3032" spans="1:14" x14ac:dyDescent="0.2">
      <c r="A3032">
        <v>233</v>
      </c>
      <c r="B3032">
        <v>172</v>
      </c>
      <c r="C3032" t="s">
        <v>26</v>
      </c>
      <c r="D3032" t="s">
        <v>65</v>
      </c>
      <c r="E3032" t="s">
        <v>22</v>
      </c>
      <c r="F3032">
        <v>1</v>
      </c>
      <c r="G3032" t="s">
        <v>13</v>
      </c>
      <c r="H3032" s="1">
        <v>45986.879861111112</v>
      </c>
      <c r="I3032" s="5">
        <f>INT(TB[[#This Row],[时间戳]])</f>
        <v>45986</v>
      </c>
      <c r="J3032" s="2">
        <f>HOUR(TB[[#This Row],[时间戳]])</f>
        <v>21</v>
      </c>
      <c r="K3032">
        <v>5649</v>
      </c>
      <c r="L3032">
        <v>5</v>
      </c>
      <c r="M3032">
        <f>TB[[#This Row],[售价]]*TB[[#This Row],[销量]]</f>
        <v>28245</v>
      </c>
      <c r="N3032" t="str">
        <f>IF(TB[[#This Row],[售价]]&lt;1000,"低价商品",IF(TB[[#This Row],[售价]]&lt;5000,"中价商品",IF(TB[[#This Row],[售价]]&lt;10000,"高价商品","超高价商品")))</f>
        <v>高价商品</v>
      </c>
    </row>
    <row r="3033" spans="1:14" x14ac:dyDescent="0.2">
      <c r="A3033">
        <v>562</v>
      </c>
      <c r="B3033">
        <v>203</v>
      </c>
      <c r="C3033" t="s">
        <v>34</v>
      </c>
      <c r="D3033" t="s">
        <v>389</v>
      </c>
      <c r="E3033" t="s">
        <v>39</v>
      </c>
      <c r="F3033">
        <v>5</v>
      </c>
      <c r="G3033" t="s">
        <v>13</v>
      </c>
      <c r="H3033" s="1">
        <v>45986.88958333333</v>
      </c>
      <c r="I3033" s="5">
        <f>INT(TB[[#This Row],[时间戳]])</f>
        <v>45986</v>
      </c>
      <c r="J3033" s="2">
        <f>HOUR(TB[[#This Row],[时间戳]])</f>
        <v>21</v>
      </c>
      <c r="K3033">
        <v>2662</v>
      </c>
      <c r="L3033">
        <v>5</v>
      </c>
      <c r="M3033">
        <f>TB[[#This Row],[售价]]*TB[[#This Row],[销量]]</f>
        <v>13310</v>
      </c>
      <c r="N3033" t="str">
        <f>IF(TB[[#This Row],[售价]]&lt;1000,"低价商品",IF(TB[[#This Row],[售价]]&lt;5000,"中价商品",IF(TB[[#This Row],[售价]]&lt;10000,"高价商品","超高价商品")))</f>
        <v>中价商品</v>
      </c>
    </row>
    <row r="3034" spans="1:14" x14ac:dyDescent="0.2">
      <c r="A3034">
        <v>591</v>
      </c>
      <c r="B3034">
        <v>180</v>
      </c>
      <c r="C3034" t="s">
        <v>17</v>
      </c>
      <c r="D3034" t="s">
        <v>390</v>
      </c>
      <c r="E3034" t="s">
        <v>39</v>
      </c>
      <c r="F3034">
        <v>5</v>
      </c>
      <c r="G3034" t="s">
        <v>13</v>
      </c>
      <c r="H3034" s="1">
        <v>45986.915277777778</v>
      </c>
      <c r="I3034" s="5">
        <f>INT(TB[[#This Row],[时间戳]])</f>
        <v>45986</v>
      </c>
      <c r="J3034" s="2">
        <f>HOUR(TB[[#This Row],[时间戳]])</f>
        <v>21</v>
      </c>
      <c r="K3034">
        <v>3078</v>
      </c>
      <c r="L3034">
        <v>5</v>
      </c>
      <c r="M3034">
        <f>TB[[#This Row],[售价]]*TB[[#This Row],[销量]]</f>
        <v>15390</v>
      </c>
      <c r="N3034" t="str">
        <f>IF(TB[[#This Row],[售价]]&lt;1000,"低价商品",IF(TB[[#This Row],[售价]]&lt;5000,"中价商品",IF(TB[[#This Row],[售价]]&lt;10000,"高价商品","超高价商品")))</f>
        <v>中价商品</v>
      </c>
    </row>
    <row r="3035" spans="1:14" x14ac:dyDescent="0.2">
      <c r="A3035">
        <v>656</v>
      </c>
      <c r="B3035">
        <v>233</v>
      </c>
      <c r="C3035" t="s">
        <v>14</v>
      </c>
      <c r="D3035" t="s">
        <v>49</v>
      </c>
      <c r="E3035" t="s">
        <v>22</v>
      </c>
      <c r="F3035">
        <v>1</v>
      </c>
      <c r="G3035" t="s">
        <v>42</v>
      </c>
      <c r="H3035" s="1">
        <v>45986.917361111111</v>
      </c>
      <c r="I3035" s="5">
        <f>INT(TB[[#This Row],[时间戳]])</f>
        <v>45986</v>
      </c>
      <c r="J3035" s="2">
        <f>HOUR(TB[[#This Row],[时间戳]])</f>
        <v>22</v>
      </c>
      <c r="K3035">
        <v>7150</v>
      </c>
      <c r="L3035">
        <v>0</v>
      </c>
      <c r="M3035">
        <f>TB[[#This Row],[售价]]*TB[[#This Row],[销量]]</f>
        <v>0</v>
      </c>
      <c r="N3035" t="str">
        <f>IF(TB[[#This Row],[售价]]&lt;1000,"低价商品",IF(TB[[#This Row],[售价]]&lt;5000,"中价商品",IF(TB[[#This Row],[售价]]&lt;10000,"高价商品","超高价商品")))</f>
        <v>高价商品</v>
      </c>
    </row>
    <row r="3036" spans="1:14" x14ac:dyDescent="0.2">
      <c r="A3036">
        <v>1</v>
      </c>
      <c r="B3036">
        <v>259</v>
      </c>
      <c r="C3036" t="s">
        <v>32</v>
      </c>
      <c r="D3036" t="s">
        <v>193</v>
      </c>
      <c r="E3036" t="s">
        <v>22</v>
      </c>
      <c r="F3036">
        <v>1</v>
      </c>
      <c r="G3036" t="s">
        <v>13</v>
      </c>
      <c r="H3036" s="1">
        <v>45986.92291666667</v>
      </c>
      <c r="I3036" s="5">
        <f>INT(TB[[#This Row],[时间戳]])</f>
        <v>45986</v>
      </c>
      <c r="J3036" s="2">
        <f>HOUR(TB[[#This Row],[时间戳]])</f>
        <v>22</v>
      </c>
      <c r="K3036">
        <v>2430</v>
      </c>
      <c r="L3036">
        <v>5</v>
      </c>
      <c r="M3036">
        <f>TB[[#This Row],[售价]]*TB[[#This Row],[销量]]</f>
        <v>12150</v>
      </c>
      <c r="N3036" t="str">
        <f>IF(TB[[#This Row],[售价]]&lt;1000,"低价商品",IF(TB[[#This Row],[售价]]&lt;5000,"中价商品",IF(TB[[#This Row],[售价]]&lt;10000,"高价商品","超高价商品")))</f>
        <v>中价商品</v>
      </c>
    </row>
    <row r="3037" spans="1:14" x14ac:dyDescent="0.2">
      <c r="A3037">
        <v>712</v>
      </c>
      <c r="B3037">
        <v>157</v>
      </c>
      <c r="C3037" t="s">
        <v>26</v>
      </c>
      <c r="D3037" t="s">
        <v>271</v>
      </c>
      <c r="E3037" t="s">
        <v>25</v>
      </c>
      <c r="F3037">
        <v>7</v>
      </c>
      <c r="G3037" t="s">
        <v>42</v>
      </c>
      <c r="H3037" s="1">
        <v>45986.929166666669</v>
      </c>
      <c r="I3037" s="5">
        <f>INT(TB[[#This Row],[时间戳]])</f>
        <v>45986</v>
      </c>
      <c r="J3037" s="2">
        <f>HOUR(TB[[#This Row],[时间戳]])</f>
        <v>22</v>
      </c>
      <c r="K3037">
        <v>2436</v>
      </c>
      <c r="L3037">
        <v>0</v>
      </c>
      <c r="M3037">
        <f>TB[[#This Row],[售价]]*TB[[#This Row],[销量]]</f>
        <v>0</v>
      </c>
      <c r="N3037" t="str">
        <f>IF(TB[[#This Row],[售价]]&lt;1000,"低价商品",IF(TB[[#This Row],[售价]]&lt;5000,"中价商品",IF(TB[[#This Row],[售价]]&lt;10000,"高价商品","超高价商品")))</f>
        <v>中价商品</v>
      </c>
    </row>
    <row r="3038" spans="1:14" x14ac:dyDescent="0.2">
      <c r="A3038">
        <v>215</v>
      </c>
      <c r="B3038">
        <v>278</v>
      </c>
      <c r="C3038" t="s">
        <v>17</v>
      </c>
      <c r="D3038" t="s">
        <v>133</v>
      </c>
      <c r="E3038" t="s">
        <v>31</v>
      </c>
      <c r="F3038">
        <v>4</v>
      </c>
      <c r="G3038" t="s">
        <v>13</v>
      </c>
      <c r="H3038" s="1">
        <v>45986.939583333333</v>
      </c>
      <c r="I3038" s="5">
        <f>INT(TB[[#This Row],[时间戳]])</f>
        <v>45986</v>
      </c>
      <c r="J3038" s="2">
        <f>HOUR(TB[[#This Row],[时间戳]])</f>
        <v>22</v>
      </c>
      <c r="K3038">
        <v>731</v>
      </c>
      <c r="L3038">
        <v>5</v>
      </c>
      <c r="M3038">
        <f>TB[[#This Row],[售价]]*TB[[#This Row],[销量]]</f>
        <v>3655</v>
      </c>
      <c r="N3038" t="str">
        <f>IF(TB[[#This Row],[售价]]&lt;1000,"低价商品",IF(TB[[#This Row],[售价]]&lt;5000,"中价商品",IF(TB[[#This Row],[售价]]&lt;10000,"高价商品","超高价商品")))</f>
        <v>低价商品</v>
      </c>
    </row>
    <row r="3039" spans="1:14" x14ac:dyDescent="0.2">
      <c r="A3039">
        <v>32</v>
      </c>
      <c r="B3039">
        <v>152</v>
      </c>
      <c r="C3039" t="s">
        <v>10</v>
      </c>
      <c r="D3039" t="s">
        <v>302</v>
      </c>
      <c r="E3039" t="s">
        <v>19</v>
      </c>
      <c r="F3039">
        <v>3</v>
      </c>
      <c r="G3039" t="s">
        <v>42</v>
      </c>
      <c r="H3039" s="1">
        <v>45987.011805555558</v>
      </c>
      <c r="I3039" s="5">
        <f>INT(TB[[#This Row],[时间戳]])</f>
        <v>45987</v>
      </c>
      <c r="J3039" s="2">
        <f>HOUR(TB[[#This Row],[时间戳]])</f>
        <v>0</v>
      </c>
      <c r="K3039">
        <v>2188</v>
      </c>
      <c r="L3039">
        <v>0</v>
      </c>
      <c r="M3039">
        <f>TB[[#This Row],[售价]]*TB[[#This Row],[销量]]</f>
        <v>0</v>
      </c>
      <c r="N3039" t="str">
        <f>IF(TB[[#This Row],[售价]]&lt;1000,"低价商品",IF(TB[[#This Row],[售价]]&lt;5000,"中价商品",IF(TB[[#This Row],[售价]]&lt;10000,"高价商品","超高价商品")))</f>
        <v>中价商品</v>
      </c>
    </row>
    <row r="3040" spans="1:14" x14ac:dyDescent="0.2">
      <c r="A3040">
        <v>74</v>
      </c>
      <c r="B3040">
        <v>35</v>
      </c>
      <c r="C3040" t="s">
        <v>26</v>
      </c>
      <c r="D3040" t="s">
        <v>188</v>
      </c>
      <c r="E3040" t="s">
        <v>25</v>
      </c>
      <c r="F3040">
        <v>7</v>
      </c>
      <c r="G3040" t="s">
        <v>42</v>
      </c>
      <c r="H3040" s="1">
        <v>45987.013194444444</v>
      </c>
      <c r="I3040" s="5">
        <f>INT(TB[[#This Row],[时间戳]])</f>
        <v>45987</v>
      </c>
      <c r="J3040" s="2">
        <f>HOUR(TB[[#This Row],[时间戳]])</f>
        <v>0</v>
      </c>
      <c r="K3040">
        <v>2397</v>
      </c>
      <c r="L3040">
        <v>0</v>
      </c>
      <c r="M3040">
        <f>TB[[#This Row],[售价]]*TB[[#This Row],[销量]]</f>
        <v>0</v>
      </c>
      <c r="N3040" t="str">
        <f>IF(TB[[#This Row],[售价]]&lt;1000,"低价商品",IF(TB[[#This Row],[售价]]&lt;5000,"中价商品",IF(TB[[#This Row],[售价]]&lt;10000,"高价商品","超高价商品")))</f>
        <v>中价商品</v>
      </c>
    </row>
    <row r="3041" spans="1:14" x14ac:dyDescent="0.2">
      <c r="A3041">
        <v>367</v>
      </c>
      <c r="B3041">
        <v>207</v>
      </c>
      <c r="C3041" t="s">
        <v>14</v>
      </c>
      <c r="D3041" t="s">
        <v>280</v>
      </c>
      <c r="E3041" t="s">
        <v>12</v>
      </c>
      <c r="F3041">
        <v>2</v>
      </c>
      <c r="G3041" t="s">
        <v>13</v>
      </c>
      <c r="H3041" s="1">
        <v>45987.026388888888</v>
      </c>
      <c r="I3041" s="5">
        <f>INT(TB[[#This Row],[时间戳]])</f>
        <v>45987</v>
      </c>
      <c r="J3041" s="2">
        <f>HOUR(TB[[#This Row],[时间戳]])</f>
        <v>0</v>
      </c>
      <c r="K3041">
        <v>8183</v>
      </c>
      <c r="L3041">
        <v>2</v>
      </c>
      <c r="M3041">
        <f>TB[[#This Row],[售价]]*TB[[#This Row],[销量]]</f>
        <v>16366</v>
      </c>
      <c r="N3041" t="str">
        <f>IF(TB[[#This Row],[售价]]&lt;1000,"低价商品",IF(TB[[#This Row],[售价]]&lt;5000,"中价商品",IF(TB[[#This Row],[售价]]&lt;10000,"高价商品","超高价商品")))</f>
        <v>高价商品</v>
      </c>
    </row>
    <row r="3042" spans="1:14" x14ac:dyDescent="0.2">
      <c r="A3042">
        <v>352</v>
      </c>
      <c r="B3042">
        <v>199</v>
      </c>
      <c r="C3042" t="s">
        <v>46</v>
      </c>
      <c r="D3042" t="s">
        <v>303</v>
      </c>
      <c r="E3042" t="s">
        <v>19</v>
      </c>
      <c r="F3042">
        <v>3</v>
      </c>
      <c r="G3042" t="s">
        <v>13</v>
      </c>
      <c r="H3042" s="1">
        <v>45987.030555555553</v>
      </c>
      <c r="I3042" s="5">
        <f>INT(TB[[#This Row],[时间戳]])</f>
        <v>45987</v>
      </c>
      <c r="J3042" s="2">
        <f>HOUR(TB[[#This Row],[时间戳]])</f>
        <v>0</v>
      </c>
      <c r="K3042">
        <v>1743</v>
      </c>
      <c r="L3042">
        <v>5</v>
      </c>
      <c r="M3042">
        <f>TB[[#This Row],[售价]]*TB[[#This Row],[销量]]</f>
        <v>8715</v>
      </c>
      <c r="N3042" t="str">
        <f>IF(TB[[#This Row],[售价]]&lt;1000,"低价商品",IF(TB[[#This Row],[售价]]&lt;5000,"中价商品",IF(TB[[#This Row],[售价]]&lt;10000,"高价商品","超高价商品")))</f>
        <v>中价商品</v>
      </c>
    </row>
    <row r="3043" spans="1:14" x14ac:dyDescent="0.2">
      <c r="A3043">
        <v>635</v>
      </c>
      <c r="B3043">
        <v>245</v>
      </c>
      <c r="C3043" t="s">
        <v>36</v>
      </c>
      <c r="D3043" t="s">
        <v>284</v>
      </c>
      <c r="E3043" t="s">
        <v>39</v>
      </c>
      <c r="F3043">
        <v>5</v>
      </c>
      <c r="G3043" t="s">
        <v>13</v>
      </c>
      <c r="H3043" s="1">
        <v>45987.095138888886</v>
      </c>
      <c r="I3043" s="5">
        <f>INT(TB[[#This Row],[时间戳]])</f>
        <v>45987</v>
      </c>
      <c r="J3043" s="2">
        <f>HOUR(TB[[#This Row],[时间戳]])</f>
        <v>2</v>
      </c>
      <c r="K3043">
        <v>2241</v>
      </c>
      <c r="L3043">
        <v>5</v>
      </c>
      <c r="M3043">
        <f>TB[[#This Row],[售价]]*TB[[#This Row],[销量]]</f>
        <v>11205</v>
      </c>
      <c r="N3043" t="str">
        <f>IF(TB[[#This Row],[售价]]&lt;1000,"低价商品",IF(TB[[#This Row],[售价]]&lt;5000,"中价商品",IF(TB[[#This Row],[售价]]&lt;10000,"高价商品","超高价商品")))</f>
        <v>中价商品</v>
      </c>
    </row>
    <row r="3044" spans="1:14" x14ac:dyDescent="0.2">
      <c r="A3044">
        <v>696</v>
      </c>
      <c r="B3044">
        <v>252</v>
      </c>
      <c r="C3044" t="s">
        <v>46</v>
      </c>
      <c r="D3044" t="s">
        <v>80</v>
      </c>
      <c r="E3044" t="s">
        <v>22</v>
      </c>
      <c r="F3044">
        <v>1</v>
      </c>
      <c r="G3044" t="s">
        <v>13</v>
      </c>
      <c r="H3044" s="1">
        <v>45987.097222222219</v>
      </c>
      <c r="I3044" s="5">
        <f>INT(TB[[#This Row],[时间戳]])</f>
        <v>45987</v>
      </c>
      <c r="J3044" s="2">
        <f>HOUR(TB[[#This Row],[时间戳]])</f>
        <v>2</v>
      </c>
      <c r="K3044">
        <v>6317</v>
      </c>
      <c r="L3044">
        <v>5</v>
      </c>
      <c r="M3044">
        <f>TB[[#This Row],[售价]]*TB[[#This Row],[销量]]</f>
        <v>31585</v>
      </c>
      <c r="N3044" t="str">
        <f>IF(TB[[#This Row],[售价]]&lt;1000,"低价商品",IF(TB[[#This Row],[售价]]&lt;5000,"中价商品",IF(TB[[#This Row],[售价]]&lt;10000,"高价商品","超高价商品")))</f>
        <v>高价商品</v>
      </c>
    </row>
    <row r="3045" spans="1:14" x14ac:dyDescent="0.2">
      <c r="A3045">
        <v>32</v>
      </c>
      <c r="B3045">
        <v>131</v>
      </c>
      <c r="C3045" t="s">
        <v>34</v>
      </c>
      <c r="D3045" t="s">
        <v>86</v>
      </c>
      <c r="E3045" t="s">
        <v>12</v>
      </c>
      <c r="F3045">
        <v>2</v>
      </c>
      <c r="G3045" t="s">
        <v>13</v>
      </c>
      <c r="H3045" s="1">
        <v>45987.106944444444</v>
      </c>
      <c r="I3045" s="5">
        <f>INT(TB[[#This Row],[时间戳]])</f>
        <v>45987</v>
      </c>
      <c r="J3045" s="2">
        <f>HOUR(TB[[#This Row],[时间戳]])</f>
        <v>2</v>
      </c>
      <c r="K3045">
        <v>4571</v>
      </c>
      <c r="L3045">
        <v>5</v>
      </c>
      <c r="M3045">
        <f>TB[[#This Row],[售价]]*TB[[#This Row],[销量]]</f>
        <v>22855</v>
      </c>
      <c r="N3045" t="str">
        <f>IF(TB[[#This Row],[售价]]&lt;1000,"低价商品",IF(TB[[#This Row],[售价]]&lt;5000,"中价商品",IF(TB[[#This Row],[售价]]&lt;10000,"高价商品","超高价商品")))</f>
        <v>中价商品</v>
      </c>
    </row>
    <row r="3046" spans="1:14" x14ac:dyDescent="0.2">
      <c r="A3046">
        <v>433</v>
      </c>
      <c r="B3046">
        <v>180</v>
      </c>
      <c r="C3046" t="s">
        <v>20</v>
      </c>
      <c r="D3046" t="s">
        <v>333</v>
      </c>
      <c r="E3046" t="s">
        <v>16</v>
      </c>
      <c r="F3046">
        <v>6</v>
      </c>
      <c r="G3046" t="s">
        <v>13</v>
      </c>
      <c r="H3046" s="1">
        <v>45987.131249999999</v>
      </c>
      <c r="I3046" s="5">
        <f>INT(TB[[#This Row],[时间戳]])</f>
        <v>45987</v>
      </c>
      <c r="J3046" s="2">
        <f>HOUR(TB[[#This Row],[时间戳]])</f>
        <v>3</v>
      </c>
      <c r="K3046">
        <v>9755</v>
      </c>
      <c r="L3046">
        <v>5</v>
      </c>
      <c r="M3046">
        <f>TB[[#This Row],[售价]]*TB[[#This Row],[销量]]</f>
        <v>48775</v>
      </c>
      <c r="N3046" t="str">
        <f>IF(TB[[#This Row],[售价]]&lt;1000,"低价商品",IF(TB[[#This Row],[售价]]&lt;5000,"中价商品",IF(TB[[#This Row],[售价]]&lt;10000,"高价商品","超高价商品")))</f>
        <v>高价商品</v>
      </c>
    </row>
    <row r="3047" spans="1:14" x14ac:dyDescent="0.2">
      <c r="A3047">
        <v>40</v>
      </c>
      <c r="B3047">
        <v>250</v>
      </c>
      <c r="C3047" t="s">
        <v>10</v>
      </c>
      <c r="D3047" t="s">
        <v>351</v>
      </c>
      <c r="E3047" t="s">
        <v>31</v>
      </c>
      <c r="F3047">
        <v>4</v>
      </c>
      <c r="G3047" t="s">
        <v>13</v>
      </c>
      <c r="H3047" s="1">
        <v>45987.154166666667</v>
      </c>
      <c r="I3047" s="5">
        <f>INT(TB[[#This Row],[时间戳]])</f>
        <v>45987</v>
      </c>
      <c r="J3047" s="2">
        <f>HOUR(TB[[#This Row],[时间戳]])</f>
        <v>3</v>
      </c>
      <c r="K3047">
        <v>1500</v>
      </c>
      <c r="L3047">
        <v>2</v>
      </c>
      <c r="M3047">
        <f>TB[[#This Row],[售价]]*TB[[#This Row],[销量]]</f>
        <v>3000</v>
      </c>
      <c r="N3047" t="str">
        <f>IF(TB[[#This Row],[售价]]&lt;1000,"低价商品",IF(TB[[#This Row],[售价]]&lt;5000,"中价商品",IF(TB[[#This Row],[售价]]&lt;10000,"高价商品","超高价商品")))</f>
        <v>中价商品</v>
      </c>
    </row>
    <row r="3048" spans="1:14" x14ac:dyDescent="0.2">
      <c r="A3048">
        <v>557</v>
      </c>
      <c r="B3048">
        <v>48</v>
      </c>
      <c r="C3048" t="s">
        <v>44</v>
      </c>
      <c r="D3048" t="s">
        <v>408</v>
      </c>
      <c r="E3048" t="s">
        <v>39</v>
      </c>
      <c r="F3048">
        <v>5</v>
      </c>
      <c r="G3048" t="s">
        <v>13</v>
      </c>
      <c r="H3048" s="1">
        <v>45987.163888888892</v>
      </c>
      <c r="I3048" s="5">
        <f>INT(TB[[#This Row],[时间戳]])</f>
        <v>45987</v>
      </c>
      <c r="J3048" s="2">
        <f>HOUR(TB[[#This Row],[时间戳]])</f>
        <v>3</v>
      </c>
      <c r="K3048">
        <v>3753</v>
      </c>
      <c r="L3048">
        <v>5</v>
      </c>
      <c r="M3048">
        <f>TB[[#This Row],[售价]]*TB[[#This Row],[销量]]</f>
        <v>18765</v>
      </c>
      <c r="N3048" t="str">
        <f>IF(TB[[#This Row],[售价]]&lt;1000,"低价商品",IF(TB[[#This Row],[售价]]&lt;5000,"中价商品",IF(TB[[#This Row],[售价]]&lt;10000,"高价商品","超高价商品")))</f>
        <v>中价商品</v>
      </c>
    </row>
    <row r="3049" spans="1:14" x14ac:dyDescent="0.2">
      <c r="A3049">
        <v>389</v>
      </c>
      <c r="B3049">
        <v>173</v>
      </c>
      <c r="C3049" t="s">
        <v>14</v>
      </c>
      <c r="D3049" t="s">
        <v>405</v>
      </c>
      <c r="E3049" t="s">
        <v>19</v>
      </c>
      <c r="F3049">
        <v>3</v>
      </c>
      <c r="G3049" t="s">
        <v>13</v>
      </c>
      <c r="H3049" s="1">
        <v>45987.172222222223</v>
      </c>
      <c r="I3049" s="5">
        <f>INT(TB[[#This Row],[时间戳]])</f>
        <v>45987</v>
      </c>
      <c r="J3049" s="2">
        <f>HOUR(TB[[#This Row],[时间戳]])</f>
        <v>4</v>
      </c>
      <c r="K3049">
        <v>2104</v>
      </c>
      <c r="L3049">
        <v>5</v>
      </c>
      <c r="M3049">
        <f>TB[[#This Row],[售价]]*TB[[#This Row],[销量]]</f>
        <v>10520</v>
      </c>
      <c r="N3049" t="str">
        <f>IF(TB[[#This Row],[售价]]&lt;1000,"低价商品",IF(TB[[#This Row],[售价]]&lt;5000,"中价商品",IF(TB[[#This Row],[售价]]&lt;10000,"高价商品","超高价商品")))</f>
        <v>中价商品</v>
      </c>
    </row>
    <row r="3050" spans="1:14" x14ac:dyDescent="0.2">
      <c r="A3050">
        <v>331</v>
      </c>
      <c r="B3050">
        <v>159</v>
      </c>
      <c r="C3050" t="s">
        <v>44</v>
      </c>
      <c r="D3050" t="s">
        <v>322</v>
      </c>
      <c r="E3050" t="s">
        <v>16</v>
      </c>
      <c r="F3050">
        <v>6</v>
      </c>
      <c r="G3050" t="s">
        <v>13</v>
      </c>
      <c r="H3050" s="1">
        <v>45987.181250000001</v>
      </c>
      <c r="I3050" s="5">
        <f>INT(TB[[#This Row],[时间戳]])</f>
        <v>45987</v>
      </c>
      <c r="J3050" s="2">
        <f>HOUR(TB[[#This Row],[时间戳]])</f>
        <v>4</v>
      </c>
      <c r="K3050">
        <v>6063</v>
      </c>
      <c r="L3050">
        <v>5</v>
      </c>
      <c r="M3050">
        <f>TB[[#This Row],[售价]]*TB[[#This Row],[销量]]</f>
        <v>30315</v>
      </c>
      <c r="N3050" t="str">
        <f>IF(TB[[#This Row],[售价]]&lt;1000,"低价商品",IF(TB[[#This Row],[售价]]&lt;5000,"中价商品",IF(TB[[#This Row],[售价]]&lt;10000,"高价商品","超高价商品")))</f>
        <v>高价商品</v>
      </c>
    </row>
    <row r="3051" spans="1:14" x14ac:dyDescent="0.2">
      <c r="A3051">
        <v>629</v>
      </c>
      <c r="B3051">
        <v>211</v>
      </c>
      <c r="C3051" t="s">
        <v>44</v>
      </c>
      <c r="D3051" t="s">
        <v>416</v>
      </c>
      <c r="E3051" t="s">
        <v>25</v>
      </c>
      <c r="F3051">
        <v>7</v>
      </c>
      <c r="G3051" t="s">
        <v>13</v>
      </c>
      <c r="H3051" s="1">
        <v>45987.186805555553</v>
      </c>
      <c r="I3051" s="5">
        <f>INT(TB[[#This Row],[时间戳]])</f>
        <v>45987</v>
      </c>
      <c r="J3051" s="2">
        <f>HOUR(TB[[#This Row],[时间戳]])</f>
        <v>4</v>
      </c>
      <c r="K3051">
        <v>6224</v>
      </c>
      <c r="L3051">
        <v>5</v>
      </c>
      <c r="M3051">
        <f>TB[[#This Row],[售价]]*TB[[#This Row],[销量]]</f>
        <v>31120</v>
      </c>
      <c r="N3051" t="str">
        <f>IF(TB[[#This Row],[售价]]&lt;1000,"低价商品",IF(TB[[#This Row],[售价]]&lt;5000,"中价商品",IF(TB[[#This Row],[售价]]&lt;10000,"高价商品","超高价商品")))</f>
        <v>高价商品</v>
      </c>
    </row>
    <row r="3052" spans="1:14" x14ac:dyDescent="0.2">
      <c r="A3052">
        <v>692</v>
      </c>
      <c r="B3052">
        <v>15</v>
      </c>
      <c r="C3052" t="s">
        <v>26</v>
      </c>
      <c r="D3052" t="s">
        <v>48</v>
      </c>
      <c r="E3052" t="s">
        <v>31</v>
      </c>
      <c r="F3052">
        <v>4</v>
      </c>
      <c r="G3052" t="s">
        <v>13</v>
      </c>
      <c r="H3052" s="1">
        <v>45987.190972222219</v>
      </c>
      <c r="I3052" s="5">
        <f>INT(TB[[#This Row],[时间戳]])</f>
        <v>45987</v>
      </c>
      <c r="J3052" s="2">
        <f>HOUR(TB[[#This Row],[时间戳]])</f>
        <v>4</v>
      </c>
      <c r="K3052">
        <v>50</v>
      </c>
      <c r="L3052">
        <v>5</v>
      </c>
      <c r="M3052">
        <f>TB[[#This Row],[售价]]*TB[[#This Row],[销量]]</f>
        <v>250</v>
      </c>
      <c r="N3052" t="str">
        <f>IF(TB[[#This Row],[售价]]&lt;1000,"低价商品",IF(TB[[#This Row],[售价]]&lt;5000,"中价商品",IF(TB[[#This Row],[售价]]&lt;10000,"高价商品","超高价商品")))</f>
        <v>低价商品</v>
      </c>
    </row>
    <row r="3053" spans="1:14" x14ac:dyDescent="0.2">
      <c r="A3053">
        <v>186</v>
      </c>
      <c r="B3053">
        <v>238</v>
      </c>
      <c r="C3053" t="s">
        <v>14</v>
      </c>
      <c r="D3053" t="s">
        <v>295</v>
      </c>
      <c r="E3053" t="s">
        <v>39</v>
      </c>
      <c r="F3053">
        <v>5</v>
      </c>
      <c r="G3053" t="s">
        <v>13</v>
      </c>
      <c r="H3053" s="1">
        <v>45987.203472222223</v>
      </c>
      <c r="I3053" s="5">
        <f>INT(TB[[#This Row],[时间戳]])</f>
        <v>45987</v>
      </c>
      <c r="J3053" s="2">
        <f>HOUR(TB[[#This Row],[时间戳]])</f>
        <v>4</v>
      </c>
      <c r="K3053">
        <v>2900</v>
      </c>
      <c r="L3053">
        <v>5</v>
      </c>
      <c r="M3053">
        <f>TB[[#This Row],[售价]]*TB[[#This Row],[销量]]</f>
        <v>14500</v>
      </c>
      <c r="N3053" t="str">
        <f>IF(TB[[#This Row],[售价]]&lt;1000,"低价商品",IF(TB[[#This Row],[售价]]&lt;5000,"中价商品",IF(TB[[#This Row],[售价]]&lt;10000,"高价商品","超高价商品")))</f>
        <v>中价商品</v>
      </c>
    </row>
    <row r="3054" spans="1:14" x14ac:dyDescent="0.2">
      <c r="A3054">
        <v>549</v>
      </c>
      <c r="B3054">
        <v>25</v>
      </c>
      <c r="C3054" t="s">
        <v>46</v>
      </c>
      <c r="D3054" t="s">
        <v>316</v>
      </c>
      <c r="E3054" t="s">
        <v>25</v>
      </c>
      <c r="F3054">
        <v>7</v>
      </c>
      <c r="G3054" t="s">
        <v>13</v>
      </c>
      <c r="H3054" s="1">
        <v>45987.209027777775</v>
      </c>
      <c r="I3054" s="5">
        <f>INT(TB[[#This Row],[时间戳]])</f>
        <v>45987</v>
      </c>
      <c r="J3054" s="2">
        <f>HOUR(TB[[#This Row],[时间戳]])</f>
        <v>5</v>
      </c>
      <c r="K3054">
        <v>3906</v>
      </c>
      <c r="L3054">
        <v>5</v>
      </c>
      <c r="M3054">
        <f>TB[[#This Row],[售价]]*TB[[#This Row],[销量]]</f>
        <v>19530</v>
      </c>
      <c r="N3054" t="str">
        <f>IF(TB[[#This Row],[售价]]&lt;1000,"低价商品",IF(TB[[#This Row],[售价]]&lt;5000,"中价商品",IF(TB[[#This Row],[售价]]&lt;10000,"高价商品","超高价商品")))</f>
        <v>中价商品</v>
      </c>
    </row>
    <row r="3055" spans="1:14" x14ac:dyDescent="0.2">
      <c r="A3055">
        <v>503</v>
      </c>
      <c r="B3055">
        <v>90</v>
      </c>
      <c r="C3055" t="s">
        <v>14</v>
      </c>
      <c r="D3055" t="s">
        <v>388</v>
      </c>
      <c r="E3055" t="s">
        <v>19</v>
      </c>
      <c r="F3055">
        <v>3</v>
      </c>
      <c r="G3055" t="s">
        <v>13</v>
      </c>
      <c r="H3055" s="1">
        <v>45987.215277777781</v>
      </c>
      <c r="I3055" s="5">
        <f>INT(TB[[#This Row],[时间戳]])</f>
        <v>45987</v>
      </c>
      <c r="J3055" s="2">
        <f>HOUR(TB[[#This Row],[时间戳]])</f>
        <v>5</v>
      </c>
      <c r="K3055">
        <v>3673</v>
      </c>
      <c r="L3055">
        <v>5</v>
      </c>
      <c r="M3055">
        <f>TB[[#This Row],[售价]]*TB[[#This Row],[销量]]</f>
        <v>18365</v>
      </c>
      <c r="N3055" t="str">
        <f>IF(TB[[#This Row],[售价]]&lt;1000,"低价商品",IF(TB[[#This Row],[售价]]&lt;5000,"中价商品",IF(TB[[#This Row],[售价]]&lt;10000,"高价商品","超高价商品")))</f>
        <v>中价商品</v>
      </c>
    </row>
    <row r="3056" spans="1:14" x14ac:dyDescent="0.2">
      <c r="A3056">
        <v>298</v>
      </c>
      <c r="B3056">
        <v>170</v>
      </c>
      <c r="C3056" t="s">
        <v>26</v>
      </c>
      <c r="D3056" t="s">
        <v>225</v>
      </c>
      <c r="E3056" t="s">
        <v>31</v>
      </c>
      <c r="F3056">
        <v>4</v>
      </c>
      <c r="G3056" t="s">
        <v>13</v>
      </c>
      <c r="H3056" s="1">
        <v>45987.234722222223</v>
      </c>
      <c r="I3056" s="5">
        <f>INT(TB[[#This Row],[时间戳]])</f>
        <v>45987</v>
      </c>
      <c r="J3056" s="2">
        <f>HOUR(TB[[#This Row],[时间戳]])</f>
        <v>5</v>
      </c>
      <c r="K3056">
        <v>925</v>
      </c>
      <c r="L3056">
        <v>5</v>
      </c>
      <c r="M3056">
        <f>TB[[#This Row],[售价]]*TB[[#This Row],[销量]]</f>
        <v>4625</v>
      </c>
      <c r="N3056" t="str">
        <f>IF(TB[[#This Row],[售价]]&lt;1000,"低价商品",IF(TB[[#This Row],[售价]]&lt;5000,"中价商品",IF(TB[[#This Row],[售价]]&lt;10000,"高价商品","超高价商品")))</f>
        <v>低价商品</v>
      </c>
    </row>
    <row r="3057" spans="1:14" x14ac:dyDescent="0.2">
      <c r="A3057">
        <v>204</v>
      </c>
      <c r="B3057">
        <v>247</v>
      </c>
      <c r="C3057" t="s">
        <v>26</v>
      </c>
      <c r="D3057" t="s">
        <v>131</v>
      </c>
      <c r="E3057" t="s">
        <v>22</v>
      </c>
      <c r="F3057">
        <v>1</v>
      </c>
      <c r="G3057" t="s">
        <v>42</v>
      </c>
      <c r="H3057" s="1">
        <v>45987.298611111109</v>
      </c>
      <c r="I3057" s="5">
        <f>INT(TB[[#This Row],[时间戳]])</f>
        <v>45987</v>
      </c>
      <c r="J3057" s="2">
        <f>HOUR(TB[[#This Row],[时间戳]])</f>
        <v>7</v>
      </c>
      <c r="K3057">
        <v>4351</v>
      </c>
      <c r="L3057">
        <v>0</v>
      </c>
      <c r="M3057">
        <f>TB[[#This Row],[售价]]*TB[[#This Row],[销量]]</f>
        <v>0</v>
      </c>
      <c r="N3057" t="str">
        <f>IF(TB[[#This Row],[售价]]&lt;1000,"低价商品",IF(TB[[#This Row],[售价]]&lt;5000,"中价商品",IF(TB[[#This Row],[售价]]&lt;10000,"高价商品","超高价商品")))</f>
        <v>中价商品</v>
      </c>
    </row>
    <row r="3058" spans="1:14" x14ac:dyDescent="0.2">
      <c r="A3058">
        <v>795</v>
      </c>
      <c r="B3058">
        <v>91</v>
      </c>
      <c r="C3058" t="s">
        <v>10</v>
      </c>
      <c r="D3058" t="s">
        <v>216</v>
      </c>
      <c r="E3058" t="s">
        <v>39</v>
      </c>
      <c r="F3058">
        <v>5</v>
      </c>
      <c r="G3058" t="s">
        <v>13</v>
      </c>
      <c r="H3058" s="1">
        <v>45987.31527777778</v>
      </c>
      <c r="I3058" s="5">
        <f>INT(TB[[#This Row],[时间戳]])</f>
        <v>45987</v>
      </c>
      <c r="J3058" s="2">
        <f>HOUR(TB[[#This Row],[时间戳]])</f>
        <v>7</v>
      </c>
      <c r="K3058">
        <v>2718</v>
      </c>
      <c r="L3058">
        <v>2</v>
      </c>
      <c r="M3058">
        <f>TB[[#This Row],[售价]]*TB[[#This Row],[销量]]</f>
        <v>5436</v>
      </c>
      <c r="N3058" t="str">
        <f>IF(TB[[#This Row],[售价]]&lt;1000,"低价商品",IF(TB[[#This Row],[售价]]&lt;5000,"中价商品",IF(TB[[#This Row],[售价]]&lt;10000,"高价商品","超高价商品")))</f>
        <v>中价商品</v>
      </c>
    </row>
    <row r="3059" spans="1:14" x14ac:dyDescent="0.2">
      <c r="A3059">
        <v>188</v>
      </c>
      <c r="B3059">
        <v>115</v>
      </c>
      <c r="C3059" t="s">
        <v>10</v>
      </c>
      <c r="D3059" t="s">
        <v>96</v>
      </c>
      <c r="E3059" t="s">
        <v>22</v>
      </c>
      <c r="F3059">
        <v>1</v>
      </c>
      <c r="G3059" t="s">
        <v>13</v>
      </c>
      <c r="H3059" s="1">
        <v>45987.317361111112</v>
      </c>
      <c r="I3059" s="5">
        <f>INT(TB[[#This Row],[时间戳]])</f>
        <v>45987</v>
      </c>
      <c r="J3059" s="2">
        <f>HOUR(TB[[#This Row],[时间戳]])</f>
        <v>7</v>
      </c>
      <c r="K3059">
        <v>7320</v>
      </c>
      <c r="L3059">
        <v>2</v>
      </c>
      <c r="M3059">
        <f>TB[[#This Row],[售价]]*TB[[#This Row],[销量]]</f>
        <v>14640</v>
      </c>
      <c r="N3059" t="str">
        <f>IF(TB[[#This Row],[售价]]&lt;1000,"低价商品",IF(TB[[#This Row],[售价]]&lt;5000,"中价商品",IF(TB[[#This Row],[售价]]&lt;10000,"高价商品","超高价商品")))</f>
        <v>高价商品</v>
      </c>
    </row>
    <row r="3060" spans="1:14" x14ac:dyDescent="0.2">
      <c r="A3060">
        <v>235</v>
      </c>
      <c r="B3060">
        <v>228</v>
      </c>
      <c r="C3060" t="s">
        <v>46</v>
      </c>
      <c r="D3060" t="s">
        <v>316</v>
      </c>
      <c r="E3060" t="s">
        <v>25</v>
      </c>
      <c r="F3060">
        <v>7</v>
      </c>
      <c r="G3060" t="s">
        <v>13</v>
      </c>
      <c r="H3060" s="1">
        <v>45987.318749999999</v>
      </c>
      <c r="I3060" s="5">
        <f>INT(TB[[#This Row],[时间戳]])</f>
        <v>45987</v>
      </c>
      <c r="J3060" s="2">
        <f>HOUR(TB[[#This Row],[时间戳]])</f>
        <v>7</v>
      </c>
      <c r="K3060">
        <v>4434</v>
      </c>
      <c r="L3060">
        <v>5</v>
      </c>
      <c r="M3060">
        <f>TB[[#This Row],[售价]]*TB[[#This Row],[销量]]</f>
        <v>22170</v>
      </c>
      <c r="N3060" t="str">
        <f>IF(TB[[#This Row],[售价]]&lt;1000,"低价商品",IF(TB[[#This Row],[售价]]&lt;5000,"中价商品",IF(TB[[#This Row],[售价]]&lt;10000,"高价商品","超高价商品")))</f>
        <v>中价商品</v>
      </c>
    </row>
    <row r="3061" spans="1:14" x14ac:dyDescent="0.2">
      <c r="A3061">
        <v>143</v>
      </c>
      <c r="B3061">
        <v>68</v>
      </c>
      <c r="C3061" t="s">
        <v>14</v>
      </c>
      <c r="D3061" t="s">
        <v>186</v>
      </c>
      <c r="E3061" t="s">
        <v>25</v>
      </c>
      <c r="F3061">
        <v>7</v>
      </c>
      <c r="G3061" t="s">
        <v>13</v>
      </c>
      <c r="H3061" s="1">
        <v>45987.374305555553</v>
      </c>
      <c r="I3061" s="5">
        <f>INT(TB[[#This Row],[时间戳]])</f>
        <v>45987</v>
      </c>
      <c r="J3061" s="2">
        <f>HOUR(TB[[#This Row],[时间戳]])</f>
        <v>8</v>
      </c>
      <c r="K3061">
        <v>7099</v>
      </c>
      <c r="L3061">
        <v>2</v>
      </c>
      <c r="M3061">
        <f>TB[[#This Row],[售价]]*TB[[#This Row],[销量]]</f>
        <v>14198</v>
      </c>
      <c r="N3061" t="str">
        <f>IF(TB[[#This Row],[售价]]&lt;1000,"低价商品",IF(TB[[#This Row],[售价]]&lt;5000,"中价商品",IF(TB[[#This Row],[售价]]&lt;10000,"高价商品","超高价商品")))</f>
        <v>高价商品</v>
      </c>
    </row>
    <row r="3062" spans="1:14" x14ac:dyDescent="0.2">
      <c r="A3062">
        <v>509</v>
      </c>
      <c r="B3062">
        <v>188</v>
      </c>
      <c r="C3062" t="s">
        <v>10</v>
      </c>
      <c r="D3062" t="s">
        <v>351</v>
      </c>
      <c r="E3062" t="s">
        <v>31</v>
      </c>
      <c r="F3062">
        <v>4</v>
      </c>
      <c r="G3062" t="s">
        <v>13</v>
      </c>
      <c r="H3062" s="1">
        <v>45987.380555555559</v>
      </c>
      <c r="I3062" s="5">
        <f>INT(TB[[#This Row],[时间戳]])</f>
        <v>45987</v>
      </c>
      <c r="J3062" s="2">
        <f>HOUR(TB[[#This Row],[时间戳]])</f>
        <v>9</v>
      </c>
      <c r="K3062">
        <v>1377</v>
      </c>
      <c r="L3062">
        <v>5</v>
      </c>
      <c r="M3062">
        <f>TB[[#This Row],[售价]]*TB[[#This Row],[销量]]</f>
        <v>6885</v>
      </c>
      <c r="N3062" t="str">
        <f>IF(TB[[#This Row],[售价]]&lt;1000,"低价商品",IF(TB[[#This Row],[售价]]&lt;5000,"中价商品",IF(TB[[#This Row],[售价]]&lt;10000,"高价商品","超高价商品")))</f>
        <v>中价商品</v>
      </c>
    </row>
    <row r="3063" spans="1:14" x14ac:dyDescent="0.2">
      <c r="A3063">
        <v>726</v>
      </c>
      <c r="B3063">
        <v>269</v>
      </c>
      <c r="C3063" t="s">
        <v>17</v>
      </c>
      <c r="D3063" t="s">
        <v>74</v>
      </c>
      <c r="E3063" t="s">
        <v>22</v>
      </c>
      <c r="F3063">
        <v>1</v>
      </c>
      <c r="G3063" t="s">
        <v>13</v>
      </c>
      <c r="H3063" s="1">
        <v>45987.382638888892</v>
      </c>
      <c r="I3063" s="5">
        <f>INT(TB[[#This Row],[时间戳]])</f>
        <v>45987</v>
      </c>
      <c r="J3063" s="2">
        <f>HOUR(TB[[#This Row],[时间戳]])</f>
        <v>9</v>
      </c>
      <c r="K3063">
        <v>7664</v>
      </c>
      <c r="L3063">
        <v>2</v>
      </c>
      <c r="M3063">
        <f>TB[[#This Row],[售价]]*TB[[#This Row],[销量]]</f>
        <v>15328</v>
      </c>
      <c r="N3063" t="str">
        <f>IF(TB[[#This Row],[售价]]&lt;1000,"低价商品",IF(TB[[#This Row],[售价]]&lt;5000,"中价商品",IF(TB[[#This Row],[售价]]&lt;10000,"高价商品","超高价商品")))</f>
        <v>高价商品</v>
      </c>
    </row>
    <row r="3064" spans="1:14" x14ac:dyDescent="0.2">
      <c r="A3064">
        <v>429</v>
      </c>
      <c r="B3064">
        <v>243</v>
      </c>
      <c r="C3064" t="s">
        <v>20</v>
      </c>
      <c r="D3064" t="s">
        <v>319</v>
      </c>
      <c r="E3064" t="s">
        <v>31</v>
      </c>
      <c r="F3064">
        <v>4</v>
      </c>
      <c r="G3064" t="s">
        <v>13</v>
      </c>
      <c r="H3064" s="1">
        <v>45987.399305555555</v>
      </c>
      <c r="I3064" s="5">
        <f>INT(TB[[#This Row],[时间戳]])</f>
        <v>45987</v>
      </c>
      <c r="J3064" s="2">
        <f>HOUR(TB[[#This Row],[时间戳]])</f>
        <v>9</v>
      </c>
      <c r="K3064">
        <v>1458</v>
      </c>
      <c r="L3064">
        <v>2</v>
      </c>
      <c r="M3064">
        <f>TB[[#This Row],[售价]]*TB[[#This Row],[销量]]</f>
        <v>2916</v>
      </c>
      <c r="N3064" t="str">
        <f>IF(TB[[#This Row],[售价]]&lt;1000,"低价商品",IF(TB[[#This Row],[售价]]&lt;5000,"中价商品",IF(TB[[#This Row],[售价]]&lt;10000,"高价商品","超高价商品")))</f>
        <v>中价商品</v>
      </c>
    </row>
    <row r="3065" spans="1:14" x14ac:dyDescent="0.2">
      <c r="A3065">
        <v>719</v>
      </c>
      <c r="B3065">
        <v>217</v>
      </c>
      <c r="C3065" t="s">
        <v>17</v>
      </c>
      <c r="D3065" t="s">
        <v>255</v>
      </c>
      <c r="E3065" t="s">
        <v>31</v>
      </c>
      <c r="F3065">
        <v>4</v>
      </c>
      <c r="G3065" t="s">
        <v>13</v>
      </c>
      <c r="H3065" s="1">
        <v>45987.417361111111</v>
      </c>
      <c r="I3065" s="5">
        <f>INT(TB[[#This Row],[时间戳]])</f>
        <v>45987</v>
      </c>
      <c r="J3065" s="2">
        <f>HOUR(TB[[#This Row],[时间戳]])</f>
        <v>10</v>
      </c>
      <c r="K3065">
        <v>60</v>
      </c>
      <c r="L3065">
        <v>2</v>
      </c>
      <c r="M3065">
        <f>TB[[#This Row],[售价]]*TB[[#This Row],[销量]]</f>
        <v>120</v>
      </c>
      <c r="N3065" t="str">
        <f>IF(TB[[#This Row],[售价]]&lt;1000,"低价商品",IF(TB[[#This Row],[售价]]&lt;5000,"中价商品",IF(TB[[#This Row],[售价]]&lt;10000,"高价商品","超高价商品")))</f>
        <v>低价商品</v>
      </c>
    </row>
    <row r="3066" spans="1:14" x14ac:dyDescent="0.2">
      <c r="A3066">
        <v>681</v>
      </c>
      <c r="B3066">
        <v>184</v>
      </c>
      <c r="C3066" t="s">
        <v>14</v>
      </c>
      <c r="D3066" t="s">
        <v>228</v>
      </c>
      <c r="E3066" t="s">
        <v>31</v>
      </c>
      <c r="F3066">
        <v>4</v>
      </c>
      <c r="G3066" t="s">
        <v>13</v>
      </c>
      <c r="H3066" s="1">
        <v>45987.436805555553</v>
      </c>
      <c r="I3066" s="5">
        <f>INT(TB[[#This Row],[时间戳]])</f>
        <v>45987</v>
      </c>
      <c r="J3066" s="2">
        <f>HOUR(TB[[#This Row],[时间戳]])</f>
        <v>10</v>
      </c>
      <c r="K3066">
        <v>50</v>
      </c>
      <c r="L3066">
        <v>5</v>
      </c>
      <c r="M3066">
        <f>TB[[#This Row],[售价]]*TB[[#This Row],[销量]]</f>
        <v>250</v>
      </c>
      <c r="N3066" t="str">
        <f>IF(TB[[#This Row],[售价]]&lt;1000,"低价商品",IF(TB[[#This Row],[售价]]&lt;5000,"中价商品",IF(TB[[#This Row],[售价]]&lt;10000,"高价商品","超高价商品")))</f>
        <v>低价商品</v>
      </c>
    </row>
    <row r="3067" spans="1:14" x14ac:dyDescent="0.2">
      <c r="A3067">
        <v>141</v>
      </c>
      <c r="B3067">
        <v>62</v>
      </c>
      <c r="C3067" t="s">
        <v>20</v>
      </c>
      <c r="D3067" t="s">
        <v>120</v>
      </c>
      <c r="E3067" t="s">
        <v>22</v>
      </c>
      <c r="F3067">
        <v>1</v>
      </c>
      <c r="G3067" t="s">
        <v>13</v>
      </c>
      <c r="H3067" s="1">
        <v>45987.442361111112</v>
      </c>
      <c r="I3067" s="5">
        <f>INT(TB[[#This Row],[时间戳]])</f>
        <v>45987</v>
      </c>
      <c r="J3067" s="2">
        <f>HOUR(TB[[#This Row],[时间戳]])</f>
        <v>10</v>
      </c>
      <c r="K3067">
        <v>4893</v>
      </c>
      <c r="L3067">
        <v>5</v>
      </c>
      <c r="M3067">
        <f>TB[[#This Row],[售价]]*TB[[#This Row],[销量]]</f>
        <v>24465</v>
      </c>
      <c r="N3067" t="str">
        <f>IF(TB[[#This Row],[售价]]&lt;1000,"低价商品",IF(TB[[#This Row],[售价]]&lt;5000,"中价商品",IF(TB[[#This Row],[售价]]&lt;10000,"高价商品","超高价商品")))</f>
        <v>中价商品</v>
      </c>
    </row>
    <row r="3068" spans="1:14" x14ac:dyDescent="0.2">
      <c r="A3068">
        <v>192</v>
      </c>
      <c r="B3068">
        <v>101</v>
      </c>
      <c r="C3068" t="s">
        <v>14</v>
      </c>
      <c r="D3068" t="s">
        <v>52</v>
      </c>
      <c r="E3068" t="s">
        <v>31</v>
      </c>
      <c r="F3068">
        <v>4</v>
      </c>
      <c r="G3068" t="s">
        <v>13</v>
      </c>
      <c r="H3068" s="1">
        <v>45987.442361111112</v>
      </c>
      <c r="I3068" s="5">
        <f>INT(TB[[#This Row],[时间戳]])</f>
        <v>45987</v>
      </c>
      <c r="J3068" s="2">
        <f>HOUR(TB[[#This Row],[时间戳]])</f>
        <v>10</v>
      </c>
      <c r="K3068">
        <v>50</v>
      </c>
      <c r="L3068">
        <v>5</v>
      </c>
      <c r="M3068">
        <f>TB[[#This Row],[售价]]*TB[[#This Row],[销量]]</f>
        <v>250</v>
      </c>
      <c r="N3068" t="str">
        <f>IF(TB[[#This Row],[售价]]&lt;1000,"低价商品",IF(TB[[#This Row],[售价]]&lt;5000,"中价商品",IF(TB[[#This Row],[售价]]&lt;10000,"高价商品","超高价商品")))</f>
        <v>低价商品</v>
      </c>
    </row>
    <row r="3069" spans="1:14" x14ac:dyDescent="0.2">
      <c r="A3069">
        <v>571</v>
      </c>
      <c r="B3069">
        <v>135</v>
      </c>
      <c r="C3069" t="s">
        <v>20</v>
      </c>
      <c r="D3069" t="s">
        <v>85</v>
      </c>
      <c r="E3069" t="s">
        <v>31</v>
      </c>
      <c r="F3069">
        <v>4</v>
      </c>
      <c r="G3069" t="s">
        <v>13</v>
      </c>
      <c r="H3069" s="1">
        <v>45987.504166666666</v>
      </c>
      <c r="I3069" s="5">
        <f>INT(TB[[#This Row],[时间戳]])</f>
        <v>45987</v>
      </c>
      <c r="J3069" s="2">
        <f>HOUR(TB[[#This Row],[时间戳]])</f>
        <v>12</v>
      </c>
      <c r="K3069">
        <v>1100</v>
      </c>
      <c r="L3069">
        <v>2</v>
      </c>
      <c r="M3069">
        <f>TB[[#This Row],[售价]]*TB[[#This Row],[销量]]</f>
        <v>2200</v>
      </c>
      <c r="N3069" t="str">
        <f>IF(TB[[#This Row],[售价]]&lt;1000,"低价商品",IF(TB[[#This Row],[售价]]&lt;5000,"中价商品",IF(TB[[#This Row],[售价]]&lt;10000,"高价商品","超高价商品")))</f>
        <v>中价商品</v>
      </c>
    </row>
    <row r="3070" spans="1:14" x14ac:dyDescent="0.2">
      <c r="A3070">
        <v>424</v>
      </c>
      <c r="B3070">
        <v>60</v>
      </c>
      <c r="C3070" t="s">
        <v>26</v>
      </c>
      <c r="D3070" t="s">
        <v>270</v>
      </c>
      <c r="E3070" t="s">
        <v>16</v>
      </c>
      <c r="F3070">
        <v>6</v>
      </c>
      <c r="G3070" t="s">
        <v>42</v>
      </c>
      <c r="H3070" s="1">
        <v>45987.509722222225</v>
      </c>
      <c r="I3070" s="5">
        <f>INT(TB[[#This Row],[时间戳]])</f>
        <v>45987</v>
      </c>
      <c r="J3070" s="2">
        <f>HOUR(TB[[#This Row],[时间戳]])</f>
        <v>12</v>
      </c>
      <c r="K3070">
        <v>9663</v>
      </c>
      <c r="L3070">
        <v>0</v>
      </c>
      <c r="M3070">
        <f>TB[[#This Row],[售价]]*TB[[#This Row],[销量]]</f>
        <v>0</v>
      </c>
      <c r="N3070" t="str">
        <f>IF(TB[[#This Row],[售价]]&lt;1000,"低价商品",IF(TB[[#This Row],[售价]]&lt;5000,"中价商品",IF(TB[[#This Row],[售价]]&lt;10000,"高价商品","超高价商品")))</f>
        <v>高价商品</v>
      </c>
    </row>
    <row r="3071" spans="1:14" x14ac:dyDescent="0.2">
      <c r="A3071">
        <v>151</v>
      </c>
      <c r="B3071">
        <v>154</v>
      </c>
      <c r="C3071" t="s">
        <v>32</v>
      </c>
      <c r="D3071" t="s">
        <v>314</v>
      </c>
      <c r="E3071" t="s">
        <v>16</v>
      </c>
      <c r="F3071">
        <v>6</v>
      </c>
      <c r="G3071" t="s">
        <v>13</v>
      </c>
      <c r="H3071" s="1">
        <v>45987.530555555553</v>
      </c>
      <c r="I3071" s="5">
        <f>INT(TB[[#This Row],[时间戳]])</f>
        <v>45987</v>
      </c>
      <c r="J3071" s="2">
        <f>HOUR(TB[[#This Row],[时间戳]])</f>
        <v>12</v>
      </c>
      <c r="K3071">
        <v>10989</v>
      </c>
      <c r="L3071">
        <v>5</v>
      </c>
      <c r="M3071">
        <f>TB[[#This Row],[售价]]*TB[[#This Row],[销量]]</f>
        <v>54945</v>
      </c>
      <c r="N3071" t="str">
        <f>IF(TB[[#This Row],[售价]]&lt;1000,"低价商品",IF(TB[[#This Row],[售价]]&lt;5000,"中价商品",IF(TB[[#This Row],[售价]]&lt;10000,"高价商品","超高价商品")))</f>
        <v>超高价商品</v>
      </c>
    </row>
    <row r="3072" spans="1:14" x14ac:dyDescent="0.2">
      <c r="A3072">
        <v>381</v>
      </c>
      <c r="B3072">
        <v>31</v>
      </c>
      <c r="C3072" t="s">
        <v>17</v>
      </c>
      <c r="D3072" t="s">
        <v>370</v>
      </c>
      <c r="E3072" t="s">
        <v>31</v>
      </c>
      <c r="F3072">
        <v>4</v>
      </c>
      <c r="G3072" t="s">
        <v>13</v>
      </c>
      <c r="H3072" s="1">
        <v>45987.552777777775</v>
      </c>
      <c r="I3072" s="5">
        <f>INT(TB[[#This Row],[时间戳]])</f>
        <v>45987</v>
      </c>
      <c r="J3072" s="2">
        <f>HOUR(TB[[#This Row],[时间戳]])</f>
        <v>13</v>
      </c>
      <c r="K3072">
        <v>504</v>
      </c>
      <c r="L3072">
        <v>5</v>
      </c>
      <c r="M3072">
        <f>TB[[#This Row],[售价]]*TB[[#This Row],[销量]]</f>
        <v>2520</v>
      </c>
      <c r="N3072" t="str">
        <f>IF(TB[[#This Row],[售价]]&lt;1000,"低价商品",IF(TB[[#This Row],[售价]]&lt;5000,"中价商品",IF(TB[[#This Row],[售价]]&lt;10000,"高价商品","超高价商品")))</f>
        <v>低价商品</v>
      </c>
    </row>
    <row r="3073" spans="1:14" x14ac:dyDescent="0.2">
      <c r="A3073">
        <v>682</v>
      </c>
      <c r="B3073">
        <v>137</v>
      </c>
      <c r="C3073" t="s">
        <v>14</v>
      </c>
      <c r="D3073" t="s">
        <v>52</v>
      </c>
      <c r="E3073" t="s">
        <v>31</v>
      </c>
      <c r="F3073">
        <v>4</v>
      </c>
      <c r="G3073" t="s">
        <v>42</v>
      </c>
      <c r="H3073" s="1">
        <v>45987.570138888892</v>
      </c>
      <c r="I3073" s="5">
        <f>INT(TB[[#This Row],[时间戳]])</f>
        <v>45987</v>
      </c>
      <c r="J3073" s="2">
        <f>HOUR(TB[[#This Row],[时间戳]])</f>
        <v>13</v>
      </c>
      <c r="K3073">
        <v>900</v>
      </c>
      <c r="L3073">
        <v>0</v>
      </c>
      <c r="M3073">
        <f>TB[[#This Row],[售价]]*TB[[#This Row],[销量]]</f>
        <v>0</v>
      </c>
      <c r="N3073" t="str">
        <f>IF(TB[[#This Row],[售价]]&lt;1000,"低价商品",IF(TB[[#This Row],[售价]]&lt;5000,"中价商品",IF(TB[[#This Row],[售价]]&lt;10000,"高价商品","超高价商品")))</f>
        <v>低价商品</v>
      </c>
    </row>
    <row r="3074" spans="1:14" x14ac:dyDescent="0.2">
      <c r="A3074">
        <v>141</v>
      </c>
      <c r="B3074">
        <v>164</v>
      </c>
      <c r="C3074" t="s">
        <v>10</v>
      </c>
      <c r="D3074" t="s">
        <v>329</v>
      </c>
      <c r="E3074" t="s">
        <v>39</v>
      </c>
      <c r="F3074">
        <v>5</v>
      </c>
      <c r="G3074" t="s">
        <v>42</v>
      </c>
      <c r="H3074" s="1">
        <v>45987.57708333333</v>
      </c>
      <c r="I3074" s="5">
        <f>INT(TB[[#This Row],[时间戳]])</f>
        <v>45987</v>
      </c>
      <c r="J3074" s="2">
        <f>HOUR(TB[[#This Row],[时间戳]])</f>
        <v>13</v>
      </c>
      <c r="K3074">
        <v>3269</v>
      </c>
      <c r="L3074">
        <v>0</v>
      </c>
      <c r="M3074">
        <f>TB[[#This Row],[售价]]*TB[[#This Row],[销量]]</f>
        <v>0</v>
      </c>
      <c r="N3074" t="str">
        <f>IF(TB[[#This Row],[售价]]&lt;1000,"低价商品",IF(TB[[#This Row],[售价]]&lt;5000,"中价商品",IF(TB[[#This Row],[售价]]&lt;10000,"高价商品","超高价商品")))</f>
        <v>中价商品</v>
      </c>
    </row>
    <row r="3075" spans="1:14" x14ac:dyDescent="0.2">
      <c r="A3075">
        <v>680</v>
      </c>
      <c r="B3075">
        <v>244</v>
      </c>
      <c r="C3075" t="s">
        <v>32</v>
      </c>
      <c r="D3075" t="s">
        <v>170</v>
      </c>
      <c r="E3075" t="s">
        <v>31</v>
      </c>
      <c r="F3075">
        <v>4</v>
      </c>
      <c r="G3075" t="s">
        <v>13</v>
      </c>
      <c r="H3075" s="1">
        <v>45987.582638888889</v>
      </c>
      <c r="I3075" s="5">
        <f>INT(TB[[#This Row],[时间戳]])</f>
        <v>45987</v>
      </c>
      <c r="J3075" s="2">
        <f>HOUR(TB[[#This Row],[时间戳]])</f>
        <v>13</v>
      </c>
      <c r="K3075">
        <v>594</v>
      </c>
      <c r="L3075">
        <v>5</v>
      </c>
      <c r="M3075">
        <f>TB[[#This Row],[售价]]*TB[[#This Row],[销量]]</f>
        <v>2970</v>
      </c>
      <c r="N3075" t="str">
        <f>IF(TB[[#This Row],[售价]]&lt;1000,"低价商品",IF(TB[[#This Row],[售价]]&lt;5000,"中价商品",IF(TB[[#This Row],[售价]]&lt;10000,"高价商品","超高价商品")))</f>
        <v>低价商品</v>
      </c>
    </row>
    <row r="3076" spans="1:14" x14ac:dyDescent="0.2">
      <c r="A3076">
        <v>177</v>
      </c>
      <c r="B3076">
        <v>199</v>
      </c>
      <c r="C3076" t="s">
        <v>32</v>
      </c>
      <c r="D3076" t="s">
        <v>381</v>
      </c>
      <c r="E3076" t="s">
        <v>19</v>
      </c>
      <c r="F3076">
        <v>3</v>
      </c>
      <c r="G3076" t="s">
        <v>13</v>
      </c>
      <c r="H3076" s="1">
        <v>45987.599305555559</v>
      </c>
      <c r="I3076" s="5">
        <f>INT(TB[[#This Row],[时间戳]])</f>
        <v>45987</v>
      </c>
      <c r="J3076" s="2">
        <f>HOUR(TB[[#This Row],[时间戳]])</f>
        <v>14</v>
      </c>
      <c r="K3076">
        <v>5463</v>
      </c>
      <c r="L3076">
        <v>2</v>
      </c>
      <c r="M3076">
        <f>TB[[#This Row],[售价]]*TB[[#This Row],[销量]]</f>
        <v>10926</v>
      </c>
      <c r="N3076" t="str">
        <f>IF(TB[[#This Row],[售价]]&lt;1000,"低价商品",IF(TB[[#This Row],[售价]]&lt;5000,"中价商品",IF(TB[[#This Row],[售价]]&lt;10000,"高价商品","超高价商品")))</f>
        <v>高价商品</v>
      </c>
    </row>
    <row r="3077" spans="1:14" x14ac:dyDescent="0.2">
      <c r="A3077">
        <v>523</v>
      </c>
      <c r="B3077">
        <v>75</v>
      </c>
      <c r="C3077" t="s">
        <v>26</v>
      </c>
      <c r="D3077" t="s">
        <v>360</v>
      </c>
      <c r="E3077" t="s">
        <v>19</v>
      </c>
      <c r="F3077">
        <v>3</v>
      </c>
      <c r="G3077" t="s">
        <v>13</v>
      </c>
      <c r="H3077" s="1">
        <v>45987.636805555558</v>
      </c>
      <c r="I3077" s="5">
        <f>INT(TB[[#This Row],[时间戳]])</f>
        <v>45987</v>
      </c>
      <c r="J3077" s="2">
        <f>HOUR(TB[[#This Row],[时间戳]])</f>
        <v>15</v>
      </c>
      <c r="K3077">
        <v>5771</v>
      </c>
      <c r="L3077">
        <v>5</v>
      </c>
      <c r="M3077">
        <f>TB[[#This Row],[售价]]*TB[[#This Row],[销量]]</f>
        <v>28855</v>
      </c>
      <c r="N3077" t="str">
        <f>IF(TB[[#This Row],[售价]]&lt;1000,"低价商品",IF(TB[[#This Row],[售价]]&lt;5000,"中价商品",IF(TB[[#This Row],[售价]]&lt;10000,"高价商品","超高价商品")))</f>
        <v>高价商品</v>
      </c>
    </row>
    <row r="3078" spans="1:14" x14ac:dyDescent="0.2">
      <c r="A3078">
        <v>75</v>
      </c>
      <c r="B3078">
        <v>290</v>
      </c>
      <c r="C3078" t="s">
        <v>44</v>
      </c>
      <c r="D3078" t="s">
        <v>301</v>
      </c>
      <c r="E3078" t="s">
        <v>22</v>
      </c>
      <c r="F3078">
        <v>1</v>
      </c>
      <c r="G3078" t="s">
        <v>13</v>
      </c>
      <c r="H3078" s="1">
        <v>45987.69027777778</v>
      </c>
      <c r="I3078" s="5">
        <f>INT(TB[[#This Row],[时间戳]])</f>
        <v>45987</v>
      </c>
      <c r="J3078" s="2">
        <f>HOUR(TB[[#This Row],[时间戳]])</f>
        <v>16</v>
      </c>
      <c r="K3078">
        <v>7064</v>
      </c>
      <c r="L3078">
        <v>5</v>
      </c>
      <c r="M3078">
        <f>TB[[#This Row],[售价]]*TB[[#This Row],[销量]]</f>
        <v>35320</v>
      </c>
      <c r="N3078" t="str">
        <f>IF(TB[[#This Row],[售价]]&lt;1000,"低价商品",IF(TB[[#This Row],[售价]]&lt;5000,"中价商品",IF(TB[[#This Row],[售价]]&lt;10000,"高价商品","超高价商品")))</f>
        <v>高价商品</v>
      </c>
    </row>
    <row r="3079" spans="1:14" x14ac:dyDescent="0.2">
      <c r="A3079">
        <v>371</v>
      </c>
      <c r="B3079">
        <v>116</v>
      </c>
      <c r="C3079" t="s">
        <v>17</v>
      </c>
      <c r="D3079" t="s">
        <v>369</v>
      </c>
      <c r="E3079" t="s">
        <v>16</v>
      </c>
      <c r="F3079">
        <v>6</v>
      </c>
      <c r="G3079" t="s">
        <v>13</v>
      </c>
      <c r="H3079" s="1">
        <v>45987.692361111112</v>
      </c>
      <c r="I3079" s="5">
        <f>INT(TB[[#This Row],[时间戳]])</f>
        <v>45987</v>
      </c>
      <c r="J3079" s="2">
        <f>HOUR(TB[[#This Row],[时间戳]])</f>
        <v>16</v>
      </c>
      <c r="K3079">
        <v>4624</v>
      </c>
      <c r="L3079">
        <v>5</v>
      </c>
      <c r="M3079">
        <f>TB[[#This Row],[售价]]*TB[[#This Row],[销量]]</f>
        <v>23120</v>
      </c>
      <c r="N3079" t="str">
        <f>IF(TB[[#This Row],[售价]]&lt;1000,"低价商品",IF(TB[[#This Row],[售价]]&lt;5000,"中价商品",IF(TB[[#This Row],[售价]]&lt;10000,"高价商品","超高价商品")))</f>
        <v>中价商品</v>
      </c>
    </row>
    <row r="3080" spans="1:14" x14ac:dyDescent="0.2">
      <c r="A3080">
        <v>44</v>
      </c>
      <c r="B3080">
        <v>165</v>
      </c>
      <c r="C3080" t="s">
        <v>10</v>
      </c>
      <c r="D3080" t="s">
        <v>256</v>
      </c>
      <c r="E3080" t="s">
        <v>19</v>
      </c>
      <c r="F3080">
        <v>3</v>
      </c>
      <c r="G3080" t="s">
        <v>13</v>
      </c>
      <c r="H3080" s="1">
        <v>45987.695833333331</v>
      </c>
      <c r="I3080" s="5">
        <f>INT(TB[[#This Row],[时间戳]])</f>
        <v>45987</v>
      </c>
      <c r="J3080" s="2">
        <f>HOUR(TB[[#This Row],[时间戳]])</f>
        <v>16</v>
      </c>
      <c r="K3080">
        <v>3658</v>
      </c>
      <c r="L3080">
        <v>2</v>
      </c>
      <c r="M3080">
        <f>TB[[#This Row],[售价]]*TB[[#This Row],[销量]]</f>
        <v>7316</v>
      </c>
      <c r="N3080" t="str">
        <f>IF(TB[[#This Row],[售价]]&lt;1000,"低价商品",IF(TB[[#This Row],[售价]]&lt;5000,"中价商品",IF(TB[[#This Row],[售价]]&lt;10000,"高价商品","超高价商品")))</f>
        <v>中价商品</v>
      </c>
    </row>
    <row r="3081" spans="1:14" x14ac:dyDescent="0.2">
      <c r="A3081">
        <v>401</v>
      </c>
      <c r="B3081">
        <v>231</v>
      </c>
      <c r="C3081" t="s">
        <v>32</v>
      </c>
      <c r="D3081" t="s">
        <v>107</v>
      </c>
      <c r="E3081" t="s">
        <v>31</v>
      </c>
      <c r="F3081">
        <v>4</v>
      </c>
      <c r="G3081" t="s">
        <v>13</v>
      </c>
      <c r="H3081" s="1">
        <v>45987.749305555553</v>
      </c>
      <c r="I3081" s="5">
        <f>INT(TB[[#This Row],[时间戳]])</f>
        <v>45987</v>
      </c>
      <c r="J3081" s="2">
        <f>HOUR(TB[[#This Row],[时间戳]])</f>
        <v>17</v>
      </c>
      <c r="K3081">
        <v>672</v>
      </c>
      <c r="L3081">
        <v>5</v>
      </c>
      <c r="M3081">
        <f>TB[[#This Row],[售价]]*TB[[#This Row],[销量]]</f>
        <v>3360</v>
      </c>
      <c r="N3081" t="str">
        <f>IF(TB[[#This Row],[售价]]&lt;1000,"低价商品",IF(TB[[#This Row],[售价]]&lt;5000,"中价商品",IF(TB[[#This Row],[售价]]&lt;10000,"高价商品","超高价商品")))</f>
        <v>低价商品</v>
      </c>
    </row>
    <row r="3082" spans="1:14" x14ac:dyDescent="0.2">
      <c r="A3082">
        <v>630</v>
      </c>
      <c r="B3082">
        <v>261</v>
      </c>
      <c r="C3082" t="s">
        <v>26</v>
      </c>
      <c r="D3082" t="s">
        <v>299</v>
      </c>
      <c r="E3082" t="s">
        <v>19</v>
      </c>
      <c r="F3082">
        <v>3</v>
      </c>
      <c r="G3082" t="s">
        <v>42</v>
      </c>
      <c r="H3082" s="1">
        <v>45987.773611111108</v>
      </c>
      <c r="I3082" s="5">
        <f>INT(TB[[#This Row],[时间戳]])</f>
        <v>45987</v>
      </c>
      <c r="J3082" s="2">
        <f>HOUR(TB[[#This Row],[时间戳]])</f>
        <v>18</v>
      </c>
      <c r="K3082">
        <v>3523</v>
      </c>
      <c r="L3082">
        <v>0</v>
      </c>
      <c r="M3082">
        <f>TB[[#This Row],[售价]]*TB[[#This Row],[销量]]</f>
        <v>0</v>
      </c>
      <c r="N3082" t="str">
        <f>IF(TB[[#This Row],[售价]]&lt;1000,"低价商品",IF(TB[[#This Row],[售价]]&lt;5000,"中价商品",IF(TB[[#This Row],[售价]]&lt;10000,"高价商品","超高价商品")))</f>
        <v>中价商品</v>
      </c>
    </row>
    <row r="3083" spans="1:14" x14ac:dyDescent="0.2">
      <c r="A3083">
        <v>614</v>
      </c>
      <c r="B3083">
        <v>267</v>
      </c>
      <c r="C3083" t="s">
        <v>26</v>
      </c>
      <c r="D3083" t="s">
        <v>182</v>
      </c>
      <c r="E3083" t="s">
        <v>31</v>
      </c>
      <c r="F3083">
        <v>4</v>
      </c>
      <c r="G3083" t="s">
        <v>13</v>
      </c>
      <c r="H3083" s="1">
        <v>45987.813194444447</v>
      </c>
      <c r="I3083" s="5">
        <f>INT(TB[[#This Row],[时间戳]])</f>
        <v>45987</v>
      </c>
      <c r="J3083" s="2">
        <f>HOUR(TB[[#This Row],[时间戳]])</f>
        <v>19</v>
      </c>
      <c r="K3083">
        <v>1012</v>
      </c>
      <c r="L3083">
        <v>2</v>
      </c>
      <c r="M3083">
        <f>TB[[#This Row],[售价]]*TB[[#This Row],[销量]]</f>
        <v>2024</v>
      </c>
      <c r="N3083" t="str">
        <f>IF(TB[[#This Row],[售价]]&lt;1000,"低价商品",IF(TB[[#This Row],[售价]]&lt;5000,"中价商品",IF(TB[[#This Row],[售价]]&lt;10000,"高价商品","超高价商品")))</f>
        <v>中价商品</v>
      </c>
    </row>
    <row r="3084" spans="1:14" x14ac:dyDescent="0.2">
      <c r="A3084">
        <v>615</v>
      </c>
      <c r="B3084">
        <v>16</v>
      </c>
      <c r="C3084" t="s">
        <v>14</v>
      </c>
      <c r="D3084" t="s">
        <v>202</v>
      </c>
      <c r="E3084" t="s">
        <v>31</v>
      </c>
      <c r="F3084">
        <v>4</v>
      </c>
      <c r="G3084" t="s">
        <v>13</v>
      </c>
      <c r="H3084" s="1">
        <v>45987.817361111112</v>
      </c>
      <c r="I3084" s="5">
        <f>INT(TB[[#This Row],[时间戳]])</f>
        <v>45987</v>
      </c>
      <c r="J3084" s="2">
        <f>HOUR(TB[[#This Row],[时间戳]])</f>
        <v>19</v>
      </c>
      <c r="K3084">
        <v>693</v>
      </c>
      <c r="L3084">
        <v>2</v>
      </c>
      <c r="M3084">
        <f>TB[[#This Row],[售价]]*TB[[#This Row],[销量]]</f>
        <v>1386</v>
      </c>
      <c r="N3084" t="str">
        <f>IF(TB[[#This Row],[售价]]&lt;1000,"低价商品",IF(TB[[#This Row],[售价]]&lt;5000,"中价商品",IF(TB[[#This Row],[售价]]&lt;10000,"高价商品","超高价商品")))</f>
        <v>低价商品</v>
      </c>
    </row>
    <row r="3085" spans="1:14" x14ac:dyDescent="0.2">
      <c r="A3085">
        <v>722</v>
      </c>
      <c r="B3085">
        <v>75</v>
      </c>
      <c r="C3085" t="s">
        <v>20</v>
      </c>
      <c r="D3085" t="s">
        <v>333</v>
      </c>
      <c r="E3085" t="s">
        <v>16</v>
      </c>
      <c r="F3085">
        <v>6</v>
      </c>
      <c r="G3085" t="s">
        <v>13</v>
      </c>
      <c r="H3085" s="1">
        <v>45987.833333333336</v>
      </c>
      <c r="I3085" s="5">
        <f>INT(TB[[#This Row],[时间戳]])</f>
        <v>45987</v>
      </c>
      <c r="J3085" s="2">
        <f>HOUR(TB[[#This Row],[时间戳]])</f>
        <v>20</v>
      </c>
      <c r="K3085">
        <v>8670</v>
      </c>
      <c r="L3085">
        <v>5</v>
      </c>
      <c r="M3085">
        <f>TB[[#This Row],[售价]]*TB[[#This Row],[销量]]</f>
        <v>43350</v>
      </c>
      <c r="N3085" t="str">
        <f>IF(TB[[#This Row],[售价]]&lt;1000,"低价商品",IF(TB[[#This Row],[售价]]&lt;5000,"中价商品",IF(TB[[#This Row],[售价]]&lt;10000,"高价商品","超高价商品")))</f>
        <v>高价商品</v>
      </c>
    </row>
    <row r="3086" spans="1:14" x14ac:dyDescent="0.2">
      <c r="A3086">
        <v>403</v>
      </c>
      <c r="B3086">
        <v>144</v>
      </c>
      <c r="C3086" t="s">
        <v>34</v>
      </c>
      <c r="D3086" t="s">
        <v>86</v>
      </c>
      <c r="E3086" t="s">
        <v>12</v>
      </c>
      <c r="F3086">
        <v>2</v>
      </c>
      <c r="G3086" t="s">
        <v>42</v>
      </c>
      <c r="H3086" s="1">
        <v>45987.855555555558</v>
      </c>
      <c r="I3086" s="5">
        <f>INT(TB[[#This Row],[时间戳]])</f>
        <v>45987</v>
      </c>
      <c r="J3086" s="2">
        <f>HOUR(TB[[#This Row],[时间戳]])</f>
        <v>20</v>
      </c>
      <c r="K3086">
        <v>14328</v>
      </c>
      <c r="L3086">
        <v>0</v>
      </c>
      <c r="M3086">
        <f>TB[[#This Row],[售价]]*TB[[#This Row],[销量]]</f>
        <v>0</v>
      </c>
      <c r="N3086" t="str">
        <f>IF(TB[[#This Row],[售价]]&lt;1000,"低价商品",IF(TB[[#This Row],[售价]]&lt;5000,"中价商品",IF(TB[[#This Row],[售价]]&lt;10000,"高价商品","超高价商品")))</f>
        <v>超高价商品</v>
      </c>
    </row>
    <row r="3087" spans="1:14" x14ac:dyDescent="0.2">
      <c r="A3087">
        <v>549</v>
      </c>
      <c r="B3087">
        <v>168</v>
      </c>
      <c r="C3087" t="s">
        <v>34</v>
      </c>
      <c r="D3087" t="s">
        <v>365</v>
      </c>
      <c r="E3087" t="s">
        <v>16</v>
      </c>
      <c r="F3087">
        <v>6</v>
      </c>
      <c r="G3087" t="s">
        <v>13</v>
      </c>
      <c r="H3087" s="1">
        <v>45987.876388888886</v>
      </c>
      <c r="I3087" s="5">
        <f>INT(TB[[#This Row],[时间戳]])</f>
        <v>45987</v>
      </c>
      <c r="J3087" s="2">
        <f>HOUR(TB[[#This Row],[时间戳]])</f>
        <v>21</v>
      </c>
      <c r="K3087">
        <v>9742</v>
      </c>
      <c r="L3087">
        <v>2</v>
      </c>
      <c r="M3087">
        <f>TB[[#This Row],[售价]]*TB[[#This Row],[销量]]</f>
        <v>19484</v>
      </c>
      <c r="N3087" t="str">
        <f>IF(TB[[#This Row],[售价]]&lt;1000,"低价商品",IF(TB[[#This Row],[售价]]&lt;5000,"中价商品",IF(TB[[#This Row],[售价]]&lt;10000,"高价商品","超高价商品")))</f>
        <v>高价商品</v>
      </c>
    </row>
    <row r="3088" spans="1:14" x14ac:dyDescent="0.2">
      <c r="A3088">
        <v>396</v>
      </c>
      <c r="B3088">
        <v>287</v>
      </c>
      <c r="C3088" t="s">
        <v>20</v>
      </c>
      <c r="D3088" t="s">
        <v>97</v>
      </c>
      <c r="E3088" t="s">
        <v>19</v>
      </c>
      <c r="F3088">
        <v>3</v>
      </c>
      <c r="G3088" t="s">
        <v>13</v>
      </c>
      <c r="H3088" s="1">
        <v>45987.886111111111</v>
      </c>
      <c r="I3088" s="5">
        <f>INT(TB[[#This Row],[时间戳]])</f>
        <v>45987</v>
      </c>
      <c r="J3088" s="2">
        <f>HOUR(TB[[#This Row],[时间戳]])</f>
        <v>21</v>
      </c>
      <c r="K3088">
        <v>4064</v>
      </c>
      <c r="L3088">
        <v>5</v>
      </c>
      <c r="M3088">
        <f>TB[[#This Row],[售价]]*TB[[#This Row],[销量]]</f>
        <v>20320</v>
      </c>
      <c r="N3088" t="str">
        <f>IF(TB[[#This Row],[售价]]&lt;1000,"低价商品",IF(TB[[#This Row],[售价]]&lt;5000,"中价商品",IF(TB[[#This Row],[售价]]&lt;10000,"高价商品","超高价商品")))</f>
        <v>中价商品</v>
      </c>
    </row>
    <row r="3089" spans="1:14" x14ac:dyDescent="0.2">
      <c r="A3089">
        <v>588</v>
      </c>
      <c r="B3089">
        <v>71</v>
      </c>
      <c r="C3089" t="s">
        <v>46</v>
      </c>
      <c r="D3089" t="s">
        <v>209</v>
      </c>
      <c r="E3089" t="s">
        <v>22</v>
      </c>
      <c r="F3089">
        <v>1</v>
      </c>
      <c r="G3089" t="s">
        <v>42</v>
      </c>
      <c r="H3089" s="1">
        <v>45987.886805555558</v>
      </c>
      <c r="I3089" s="5">
        <f>INT(TB[[#This Row],[时间戳]])</f>
        <v>45987</v>
      </c>
      <c r="J3089" s="2">
        <f>HOUR(TB[[#This Row],[时间戳]])</f>
        <v>21</v>
      </c>
      <c r="K3089">
        <v>6697</v>
      </c>
      <c r="L3089">
        <v>0</v>
      </c>
      <c r="M3089">
        <f>TB[[#This Row],[售价]]*TB[[#This Row],[销量]]</f>
        <v>0</v>
      </c>
      <c r="N3089" t="str">
        <f>IF(TB[[#This Row],[售价]]&lt;1000,"低价商品",IF(TB[[#This Row],[售价]]&lt;5000,"中价商品",IF(TB[[#This Row],[售价]]&lt;10000,"高价商品","超高价商品")))</f>
        <v>高价商品</v>
      </c>
    </row>
    <row r="3090" spans="1:14" x14ac:dyDescent="0.2">
      <c r="A3090">
        <v>502</v>
      </c>
      <c r="B3090">
        <v>176</v>
      </c>
      <c r="C3090" t="s">
        <v>14</v>
      </c>
      <c r="D3090" t="s">
        <v>223</v>
      </c>
      <c r="E3090" t="s">
        <v>22</v>
      </c>
      <c r="F3090">
        <v>1</v>
      </c>
      <c r="G3090" t="s">
        <v>42</v>
      </c>
      <c r="H3090" s="1">
        <v>45987.902777777781</v>
      </c>
      <c r="I3090" s="5">
        <f>INT(TB[[#This Row],[时间戳]])</f>
        <v>45987</v>
      </c>
      <c r="J3090" s="2">
        <f>HOUR(TB[[#This Row],[时间戳]])</f>
        <v>21</v>
      </c>
      <c r="K3090">
        <v>4816</v>
      </c>
      <c r="L3090">
        <v>0</v>
      </c>
      <c r="M3090">
        <f>TB[[#This Row],[售价]]*TB[[#This Row],[销量]]</f>
        <v>0</v>
      </c>
      <c r="N3090" t="str">
        <f>IF(TB[[#This Row],[售价]]&lt;1000,"低价商品",IF(TB[[#This Row],[售价]]&lt;5000,"中价商品",IF(TB[[#This Row],[售价]]&lt;10000,"高价商品","超高价商品")))</f>
        <v>中价商品</v>
      </c>
    </row>
    <row r="3091" spans="1:14" x14ac:dyDescent="0.2">
      <c r="A3091">
        <v>258</v>
      </c>
      <c r="B3091">
        <v>138</v>
      </c>
      <c r="C3091" t="s">
        <v>46</v>
      </c>
      <c r="D3091" t="s">
        <v>180</v>
      </c>
      <c r="E3091" t="s">
        <v>31</v>
      </c>
      <c r="F3091">
        <v>4</v>
      </c>
      <c r="G3091" t="s">
        <v>42</v>
      </c>
      <c r="H3091" s="1">
        <v>45987.908333333333</v>
      </c>
      <c r="I3091" s="5">
        <f>INT(TB[[#This Row],[时间戳]])</f>
        <v>45987</v>
      </c>
      <c r="J3091" s="2">
        <f>HOUR(TB[[#This Row],[时间戳]])</f>
        <v>21</v>
      </c>
      <c r="K3091">
        <v>1205</v>
      </c>
      <c r="L3091">
        <v>0</v>
      </c>
      <c r="M3091">
        <f>TB[[#This Row],[售价]]*TB[[#This Row],[销量]]</f>
        <v>0</v>
      </c>
      <c r="N3091" t="str">
        <f>IF(TB[[#This Row],[售价]]&lt;1000,"低价商品",IF(TB[[#This Row],[售价]]&lt;5000,"中价商品",IF(TB[[#This Row],[售价]]&lt;10000,"高价商品","超高价商品")))</f>
        <v>中价商品</v>
      </c>
    </row>
    <row r="3092" spans="1:14" x14ac:dyDescent="0.2">
      <c r="A3092">
        <v>234</v>
      </c>
      <c r="B3092">
        <v>161</v>
      </c>
      <c r="C3092" t="s">
        <v>46</v>
      </c>
      <c r="D3092" t="s">
        <v>141</v>
      </c>
      <c r="E3092" t="s">
        <v>22</v>
      </c>
      <c r="F3092">
        <v>1</v>
      </c>
      <c r="G3092" t="s">
        <v>13</v>
      </c>
      <c r="H3092" s="1">
        <v>45987.918749999997</v>
      </c>
      <c r="I3092" s="5">
        <f>INT(TB[[#This Row],[时间戳]])</f>
        <v>45987</v>
      </c>
      <c r="J3092" s="2">
        <f>HOUR(TB[[#This Row],[时间戳]])</f>
        <v>22</v>
      </c>
      <c r="K3092">
        <v>3169</v>
      </c>
      <c r="L3092">
        <v>5</v>
      </c>
      <c r="M3092">
        <f>TB[[#This Row],[售价]]*TB[[#This Row],[销量]]</f>
        <v>15845</v>
      </c>
      <c r="N3092" t="str">
        <f>IF(TB[[#This Row],[售价]]&lt;1000,"低价商品",IF(TB[[#This Row],[售价]]&lt;5000,"中价商品",IF(TB[[#This Row],[售价]]&lt;10000,"高价商品","超高价商品")))</f>
        <v>中价商品</v>
      </c>
    </row>
    <row r="3093" spans="1:14" x14ac:dyDescent="0.2">
      <c r="A3093">
        <v>357</v>
      </c>
      <c r="B3093">
        <v>157</v>
      </c>
      <c r="C3093" t="s">
        <v>46</v>
      </c>
      <c r="D3093" t="s">
        <v>157</v>
      </c>
      <c r="E3093" t="s">
        <v>12</v>
      </c>
      <c r="F3093">
        <v>2</v>
      </c>
      <c r="G3093" t="s">
        <v>42</v>
      </c>
      <c r="H3093" s="1">
        <v>45987.977083333331</v>
      </c>
      <c r="I3093" s="5">
        <f>INT(TB[[#This Row],[时间戳]])</f>
        <v>45987</v>
      </c>
      <c r="J3093" s="2">
        <f>HOUR(TB[[#This Row],[时间戳]])</f>
        <v>23</v>
      </c>
      <c r="K3093">
        <v>9233</v>
      </c>
      <c r="L3093">
        <v>0</v>
      </c>
      <c r="M3093">
        <f>TB[[#This Row],[售价]]*TB[[#This Row],[销量]]</f>
        <v>0</v>
      </c>
      <c r="N3093" t="str">
        <f>IF(TB[[#This Row],[售价]]&lt;1000,"低价商品",IF(TB[[#This Row],[售价]]&lt;5000,"中价商品",IF(TB[[#This Row],[售价]]&lt;10000,"高价商品","超高价商品")))</f>
        <v>高价商品</v>
      </c>
    </row>
    <row r="3094" spans="1:14" x14ac:dyDescent="0.2">
      <c r="A3094">
        <v>422</v>
      </c>
      <c r="B3094">
        <v>143</v>
      </c>
      <c r="C3094" t="s">
        <v>20</v>
      </c>
      <c r="D3094" t="s">
        <v>276</v>
      </c>
      <c r="E3094" t="s">
        <v>16</v>
      </c>
      <c r="F3094">
        <v>6</v>
      </c>
      <c r="G3094" t="s">
        <v>13</v>
      </c>
      <c r="H3094" s="1">
        <v>45987.986805555556</v>
      </c>
      <c r="I3094" s="5">
        <f>INT(TB[[#This Row],[时间戳]])</f>
        <v>45987</v>
      </c>
      <c r="J3094" s="2">
        <f>HOUR(TB[[#This Row],[时间戳]])</f>
        <v>23</v>
      </c>
      <c r="K3094">
        <v>5114</v>
      </c>
      <c r="L3094">
        <v>2</v>
      </c>
      <c r="M3094">
        <f>TB[[#This Row],[售价]]*TB[[#This Row],[销量]]</f>
        <v>10228</v>
      </c>
      <c r="N3094" t="str">
        <f>IF(TB[[#This Row],[售价]]&lt;1000,"低价商品",IF(TB[[#This Row],[售价]]&lt;5000,"中价商品",IF(TB[[#This Row],[售价]]&lt;10000,"高价商品","超高价商品")))</f>
        <v>高价商品</v>
      </c>
    </row>
    <row r="3095" spans="1:14" x14ac:dyDescent="0.2">
      <c r="A3095">
        <v>787</v>
      </c>
      <c r="B3095">
        <v>72</v>
      </c>
      <c r="C3095" t="s">
        <v>17</v>
      </c>
      <c r="D3095" t="s">
        <v>390</v>
      </c>
      <c r="E3095" t="s">
        <v>39</v>
      </c>
      <c r="F3095">
        <v>5</v>
      </c>
      <c r="G3095" t="s">
        <v>13</v>
      </c>
      <c r="H3095" s="1">
        <v>45988.020138888889</v>
      </c>
      <c r="I3095" s="5">
        <f>INT(TB[[#This Row],[时间戳]])</f>
        <v>45988</v>
      </c>
      <c r="J3095" s="2">
        <f>HOUR(TB[[#This Row],[时间戳]])</f>
        <v>0</v>
      </c>
      <c r="K3095">
        <v>1986</v>
      </c>
      <c r="L3095">
        <v>5</v>
      </c>
      <c r="M3095">
        <f>TB[[#This Row],[售价]]*TB[[#This Row],[销量]]</f>
        <v>9930</v>
      </c>
      <c r="N3095" t="str">
        <f>IF(TB[[#This Row],[售价]]&lt;1000,"低价商品",IF(TB[[#This Row],[售价]]&lt;5000,"中价商品",IF(TB[[#This Row],[售价]]&lt;10000,"高价商品","超高价商品")))</f>
        <v>中价商品</v>
      </c>
    </row>
    <row r="3096" spans="1:14" x14ac:dyDescent="0.2">
      <c r="A3096">
        <v>556</v>
      </c>
      <c r="B3096">
        <v>284</v>
      </c>
      <c r="C3096" t="s">
        <v>34</v>
      </c>
      <c r="D3096" t="s">
        <v>105</v>
      </c>
      <c r="E3096" t="s">
        <v>12</v>
      </c>
      <c r="F3096">
        <v>2</v>
      </c>
      <c r="G3096" t="s">
        <v>13</v>
      </c>
      <c r="H3096" s="1">
        <v>45988.024305555555</v>
      </c>
      <c r="I3096" s="5">
        <f>INT(TB[[#This Row],[时间戳]])</f>
        <v>45988</v>
      </c>
      <c r="J3096" s="2">
        <f>HOUR(TB[[#This Row],[时间戳]])</f>
        <v>0</v>
      </c>
      <c r="K3096">
        <v>8730</v>
      </c>
      <c r="L3096">
        <v>5</v>
      </c>
      <c r="M3096">
        <f>TB[[#This Row],[售价]]*TB[[#This Row],[销量]]</f>
        <v>43650</v>
      </c>
      <c r="N3096" t="str">
        <f>IF(TB[[#This Row],[售价]]&lt;1000,"低价商品",IF(TB[[#This Row],[售价]]&lt;5000,"中价商品",IF(TB[[#This Row],[售价]]&lt;10000,"高价商品","超高价商品")))</f>
        <v>高价商品</v>
      </c>
    </row>
    <row r="3097" spans="1:14" x14ac:dyDescent="0.2">
      <c r="A3097">
        <v>533</v>
      </c>
      <c r="B3097">
        <v>89</v>
      </c>
      <c r="C3097" t="s">
        <v>44</v>
      </c>
      <c r="D3097" t="s">
        <v>301</v>
      </c>
      <c r="E3097" t="s">
        <v>22</v>
      </c>
      <c r="F3097">
        <v>1</v>
      </c>
      <c r="G3097" t="s">
        <v>13</v>
      </c>
      <c r="H3097" s="1">
        <v>45988.044444444444</v>
      </c>
      <c r="I3097" s="5">
        <f>INT(TB[[#This Row],[时间戳]])</f>
        <v>45988</v>
      </c>
      <c r="J3097" s="2">
        <f>HOUR(TB[[#This Row],[时间戳]])</f>
        <v>1</v>
      </c>
      <c r="K3097">
        <v>3534</v>
      </c>
      <c r="L3097">
        <v>2</v>
      </c>
      <c r="M3097">
        <f>TB[[#This Row],[售价]]*TB[[#This Row],[销量]]</f>
        <v>7068</v>
      </c>
      <c r="N3097" t="str">
        <f>IF(TB[[#This Row],[售价]]&lt;1000,"低价商品",IF(TB[[#This Row],[售价]]&lt;5000,"中价商品",IF(TB[[#This Row],[售价]]&lt;10000,"高价商品","超高价商品")))</f>
        <v>中价商品</v>
      </c>
    </row>
    <row r="3098" spans="1:14" x14ac:dyDescent="0.2">
      <c r="A3098">
        <v>211</v>
      </c>
      <c r="B3098">
        <v>173</v>
      </c>
      <c r="C3098" t="s">
        <v>36</v>
      </c>
      <c r="D3098" t="s">
        <v>317</v>
      </c>
      <c r="E3098" t="s">
        <v>19</v>
      </c>
      <c r="F3098">
        <v>3</v>
      </c>
      <c r="G3098" t="s">
        <v>13</v>
      </c>
      <c r="H3098" s="1">
        <v>45988.113888888889</v>
      </c>
      <c r="I3098" s="5">
        <f>INT(TB[[#This Row],[时间戳]])</f>
        <v>45988</v>
      </c>
      <c r="J3098" s="2">
        <f>HOUR(TB[[#This Row],[时间戳]])</f>
        <v>2</v>
      </c>
      <c r="K3098">
        <v>2630</v>
      </c>
      <c r="L3098">
        <v>2</v>
      </c>
      <c r="M3098">
        <f>TB[[#This Row],[售价]]*TB[[#This Row],[销量]]</f>
        <v>5260</v>
      </c>
      <c r="N3098" t="str">
        <f>IF(TB[[#This Row],[售价]]&lt;1000,"低价商品",IF(TB[[#This Row],[售价]]&lt;5000,"中价商品",IF(TB[[#This Row],[售价]]&lt;10000,"高价商品","超高价商品")))</f>
        <v>中价商品</v>
      </c>
    </row>
    <row r="3099" spans="1:14" x14ac:dyDescent="0.2">
      <c r="A3099">
        <v>252</v>
      </c>
      <c r="B3099">
        <v>201</v>
      </c>
      <c r="C3099" t="s">
        <v>44</v>
      </c>
      <c r="D3099" t="s">
        <v>272</v>
      </c>
      <c r="E3099" t="s">
        <v>16</v>
      </c>
      <c r="F3099">
        <v>6</v>
      </c>
      <c r="G3099" t="s">
        <v>13</v>
      </c>
      <c r="H3099" s="1">
        <v>45988.115972222222</v>
      </c>
      <c r="I3099" s="5">
        <f>INT(TB[[#This Row],[时间戳]])</f>
        <v>45988</v>
      </c>
      <c r="J3099" s="2">
        <f>HOUR(TB[[#This Row],[时间戳]])</f>
        <v>2</v>
      </c>
      <c r="K3099">
        <v>5130</v>
      </c>
      <c r="L3099">
        <v>5</v>
      </c>
      <c r="M3099">
        <f>TB[[#This Row],[售价]]*TB[[#This Row],[销量]]</f>
        <v>25650</v>
      </c>
      <c r="N3099" t="str">
        <f>IF(TB[[#This Row],[售价]]&lt;1000,"低价商品",IF(TB[[#This Row],[售价]]&lt;5000,"中价商品",IF(TB[[#This Row],[售价]]&lt;10000,"高价商品","超高价商品")))</f>
        <v>高价商品</v>
      </c>
    </row>
    <row r="3100" spans="1:14" x14ac:dyDescent="0.2">
      <c r="A3100">
        <v>471</v>
      </c>
      <c r="B3100">
        <v>276</v>
      </c>
      <c r="C3100" t="s">
        <v>36</v>
      </c>
      <c r="D3100" t="s">
        <v>54</v>
      </c>
      <c r="E3100" t="s">
        <v>12</v>
      </c>
      <c r="F3100">
        <v>2</v>
      </c>
      <c r="G3100" t="s">
        <v>13</v>
      </c>
      <c r="H3100" s="1">
        <v>45988.115972222222</v>
      </c>
      <c r="I3100" s="5">
        <f>INT(TB[[#This Row],[时间戳]])</f>
        <v>45988</v>
      </c>
      <c r="J3100" s="2">
        <f>HOUR(TB[[#This Row],[时间戳]])</f>
        <v>2</v>
      </c>
      <c r="K3100">
        <v>12102</v>
      </c>
      <c r="L3100">
        <v>2</v>
      </c>
      <c r="M3100">
        <f>TB[[#This Row],[售价]]*TB[[#This Row],[销量]]</f>
        <v>24204</v>
      </c>
      <c r="N3100" t="str">
        <f>IF(TB[[#This Row],[售价]]&lt;1000,"低价商品",IF(TB[[#This Row],[售价]]&lt;5000,"中价商品",IF(TB[[#This Row],[售价]]&lt;10000,"高价商品","超高价商品")))</f>
        <v>超高价商品</v>
      </c>
    </row>
    <row r="3101" spans="1:14" x14ac:dyDescent="0.2">
      <c r="A3101">
        <v>74</v>
      </c>
      <c r="B3101">
        <v>130</v>
      </c>
      <c r="C3101" t="s">
        <v>36</v>
      </c>
      <c r="D3101" t="s">
        <v>192</v>
      </c>
      <c r="E3101" t="s">
        <v>22</v>
      </c>
      <c r="F3101">
        <v>1</v>
      </c>
      <c r="G3101" t="s">
        <v>42</v>
      </c>
      <c r="H3101" s="1">
        <v>45988.126388888886</v>
      </c>
      <c r="I3101" s="5">
        <f>INT(TB[[#This Row],[时间戳]])</f>
        <v>45988</v>
      </c>
      <c r="J3101" s="2">
        <f>HOUR(TB[[#This Row],[时间戳]])</f>
        <v>3</v>
      </c>
      <c r="K3101">
        <v>3670</v>
      </c>
      <c r="L3101">
        <v>0</v>
      </c>
      <c r="M3101">
        <f>TB[[#This Row],[售价]]*TB[[#This Row],[销量]]</f>
        <v>0</v>
      </c>
      <c r="N3101" t="str">
        <f>IF(TB[[#This Row],[售价]]&lt;1000,"低价商品",IF(TB[[#This Row],[售价]]&lt;5000,"中价商品",IF(TB[[#This Row],[售价]]&lt;10000,"高价商品","超高价商品")))</f>
        <v>中价商品</v>
      </c>
    </row>
    <row r="3102" spans="1:14" x14ac:dyDescent="0.2">
      <c r="A3102">
        <v>4</v>
      </c>
      <c r="B3102">
        <v>35</v>
      </c>
      <c r="C3102" t="s">
        <v>20</v>
      </c>
      <c r="D3102" t="s">
        <v>353</v>
      </c>
      <c r="E3102" t="s">
        <v>25</v>
      </c>
      <c r="F3102">
        <v>7</v>
      </c>
      <c r="G3102" t="s">
        <v>13</v>
      </c>
      <c r="H3102" s="1">
        <v>45988.128472222219</v>
      </c>
      <c r="I3102" s="5">
        <f>INT(TB[[#This Row],[时间戳]])</f>
        <v>45988</v>
      </c>
      <c r="J3102" s="2">
        <f>HOUR(TB[[#This Row],[时间戳]])</f>
        <v>3</v>
      </c>
      <c r="K3102">
        <v>2511</v>
      </c>
      <c r="L3102">
        <v>5</v>
      </c>
      <c r="M3102">
        <f>TB[[#This Row],[售价]]*TB[[#This Row],[销量]]</f>
        <v>12555</v>
      </c>
      <c r="N3102" t="str">
        <f>IF(TB[[#This Row],[售价]]&lt;1000,"低价商品",IF(TB[[#This Row],[售价]]&lt;5000,"中价商品",IF(TB[[#This Row],[售价]]&lt;10000,"高价商品","超高价商品")))</f>
        <v>中价商品</v>
      </c>
    </row>
    <row r="3103" spans="1:14" x14ac:dyDescent="0.2">
      <c r="A3103">
        <v>564</v>
      </c>
      <c r="B3103">
        <v>299</v>
      </c>
      <c r="C3103" t="s">
        <v>44</v>
      </c>
      <c r="D3103" t="s">
        <v>169</v>
      </c>
      <c r="E3103" t="s">
        <v>31</v>
      </c>
      <c r="F3103">
        <v>4</v>
      </c>
      <c r="G3103" t="s">
        <v>42</v>
      </c>
      <c r="H3103" s="1">
        <v>45988.154166666667</v>
      </c>
      <c r="I3103" s="5">
        <f>INT(TB[[#This Row],[时间戳]])</f>
        <v>45988</v>
      </c>
      <c r="J3103" s="2">
        <f>HOUR(TB[[#This Row],[时间戳]])</f>
        <v>3</v>
      </c>
      <c r="K3103">
        <v>366</v>
      </c>
      <c r="L3103">
        <v>0</v>
      </c>
      <c r="M3103">
        <f>TB[[#This Row],[售价]]*TB[[#This Row],[销量]]</f>
        <v>0</v>
      </c>
      <c r="N3103" t="str">
        <f>IF(TB[[#This Row],[售价]]&lt;1000,"低价商品",IF(TB[[#This Row],[售价]]&lt;5000,"中价商品",IF(TB[[#This Row],[售价]]&lt;10000,"高价商品","超高价商品")))</f>
        <v>低价商品</v>
      </c>
    </row>
    <row r="3104" spans="1:14" x14ac:dyDescent="0.2">
      <c r="A3104">
        <v>204</v>
      </c>
      <c r="B3104">
        <v>137</v>
      </c>
      <c r="C3104" t="s">
        <v>46</v>
      </c>
      <c r="D3104" t="s">
        <v>316</v>
      </c>
      <c r="E3104" t="s">
        <v>25</v>
      </c>
      <c r="F3104">
        <v>7</v>
      </c>
      <c r="G3104" t="s">
        <v>13</v>
      </c>
      <c r="H3104" s="1">
        <v>45988.199305555558</v>
      </c>
      <c r="I3104" s="5">
        <f>INT(TB[[#This Row],[时间戳]])</f>
        <v>45988</v>
      </c>
      <c r="J3104" s="2">
        <f>HOUR(TB[[#This Row],[时间戳]])</f>
        <v>4</v>
      </c>
      <c r="K3104">
        <v>3830</v>
      </c>
      <c r="L3104">
        <v>2</v>
      </c>
      <c r="M3104">
        <f>TB[[#This Row],[售价]]*TB[[#This Row],[销量]]</f>
        <v>7660</v>
      </c>
      <c r="N3104" t="str">
        <f>IF(TB[[#This Row],[售价]]&lt;1000,"低价商品",IF(TB[[#This Row],[售价]]&lt;5000,"中价商品",IF(TB[[#This Row],[售价]]&lt;10000,"高价商品","超高价商品")))</f>
        <v>中价商品</v>
      </c>
    </row>
    <row r="3105" spans="1:14" x14ac:dyDescent="0.2">
      <c r="A3105">
        <v>111</v>
      </c>
      <c r="B3105">
        <v>244</v>
      </c>
      <c r="C3105" t="s">
        <v>44</v>
      </c>
      <c r="D3105" t="s">
        <v>301</v>
      </c>
      <c r="E3105" t="s">
        <v>22</v>
      </c>
      <c r="F3105">
        <v>1</v>
      </c>
      <c r="G3105" t="s">
        <v>42</v>
      </c>
      <c r="H3105" s="1">
        <v>45988.209722222222</v>
      </c>
      <c r="I3105" s="5">
        <f>INT(TB[[#This Row],[时间戳]])</f>
        <v>45988</v>
      </c>
      <c r="J3105" s="2">
        <f>HOUR(TB[[#This Row],[时间戳]])</f>
        <v>5</v>
      </c>
      <c r="K3105">
        <v>1435</v>
      </c>
      <c r="L3105">
        <v>0</v>
      </c>
      <c r="M3105">
        <f>TB[[#This Row],[售价]]*TB[[#This Row],[销量]]</f>
        <v>0</v>
      </c>
      <c r="N3105" t="str">
        <f>IF(TB[[#This Row],[售价]]&lt;1000,"低价商品",IF(TB[[#This Row],[售价]]&lt;5000,"中价商品",IF(TB[[#This Row],[售价]]&lt;10000,"高价商品","超高价商品")))</f>
        <v>中价商品</v>
      </c>
    </row>
    <row r="3106" spans="1:14" x14ac:dyDescent="0.2">
      <c r="A3106">
        <v>144</v>
      </c>
      <c r="B3106">
        <v>93</v>
      </c>
      <c r="C3106" t="s">
        <v>34</v>
      </c>
      <c r="D3106" t="s">
        <v>325</v>
      </c>
      <c r="E3106" t="s">
        <v>25</v>
      </c>
      <c r="F3106">
        <v>7</v>
      </c>
      <c r="G3106" t="s">
        <v>13</v>
      </c>
      <c r="H3106" s="1">
        <v>45988.215277777781</v>
      </c>
      <c r="I3106" s="5">
        <f>INT(TB[[#This Row],[时间戳]])</f>
        <v>45988</v>
      </c>
      <c r="J3106" s="2">
        <f>HOUR(TB[[#This Row],[时间戳]])</f>
        <v>5</v>
      </c>
      <c r="K3106">
        <v>5079</v>
      </c>
      <c r="L3106">
        <v>5</v>
      </c>
      <c r="M3106">
        <f>TB[[#This Row],[售价]]*TB[[#This Row],[销量]]</f>
        <v>25395</v>
      </c>
      <c r="N3106" t="str">
        <f>IF(TB[[#This Row],[售价]]&lt;1000,"低价商品",IF(TB[[#This Row],[售价]]&lt;5000,"中价商品",IF(TB[[#This Row],[售价]]&lt;10000,"高价商品","超高价商品")))</f>
        <v>高价商品</v>
      </c>
    </row>
    <row r="3107" spans="1:14" x14ac:dyDescent="0.2">
      <c r="A3107">
        <v>72</v>
      </c>
      <c r="B3107">
        <v>143</v>
      </c>
      <c r="C3107" t="s">
        <v>10</v>
      </c>
      <c r="D3107" t="s">
        <v>201</v>
      </c>
      <c r="E3107" t="s">
        <v>31</v>
      </c>
      <c r="F3107">
        <v>4</v>
      </c>
      <c r="G3107" t="s">
        <v>13</v>
      </c>
      <c r="H3107" s="1">
        <v>45988.225694444445</v>
      </c>
      <c r="I3107" s="5">
        <f>INT(TB[[#This Row],[时间戳]])</f>
        <v>45988</v>
      </c>
      <c r="J3107" s="2">
        <f>HOUR(TB[[#This Row],[时间戳]])</f>
        <v>5</v>
      </c>
      <c r="K3107">
        <v>286</v>
      </c>
      <c r="L3107">
        <v>5</v>
      </c>
      <c r="M3107">
        <f>TB[[#This Row],[售价]]*TB[[#This Row],[销量]]</f>
        <v>1430</v>
      </c>
      <c r="N3107" t="str">
        <f>IF(TB[[#This Row],[售价]]&lt;1000,"低价商品",IF(TB[[#This Row],[售价]]&lt;5000,"中价商品",IF(TB[[#This Row],[售价]]&lt;10000,"高价商品","超高价商品")))</f>
        <v>低价商品</v>
      </c>
    </row>
    <row r="3108" spans="1:14" x14ac:dyDescent="0.2">
      <c r="A3108">
        <v>131</v>
      </c>
      <c r="B3108">
        <v>50</v>
      </c>
      <c r="C3108" t="s">
        <v>20</v>
      </c>
      <c r="D3108" t="s">
        <v>103</v>
      </c>
      <c r="E3108" t="s">
        <v>16</v>
      </c>
      <c r="F3108">
        <v>6</v>
      </c>
      <c r="G3108" t="s">
        <v>13</v>
      </c>
      <c r="H3108" s="1">
        <v>45988.249305555553</v>
      </c>
      <c r="I3108" s="5">
        <f>INT(TB[[#This Row],[时间戳]])</f>
        <v>45988</v>
      </c>
      <c r="J3108" s="2">
        <f>HOUR(TB[[#This Row],[时间戳]])</f>
        <v>5</v>
      </c>
      <c r="K3108">
        <v>3840</v>
      </c>
      <c r="L3108">
        <v>5</v>
      </c>
      <c r="M3108">
        <f>TB[[#This Row],[售价]]*TB[[#This Row],[销量]]</f>
        <v>19200</v>
      </c>
      <c r="N3108" t="str">
        <f>IF(TB[[#This Row],[售价]]&lt;1000,"低价商品",IF(TB[[#This Row],[售价]]&lt;5000,"中价商品",IF(TB[[#This Row],[售价]]&lt;10000,"高价商品","超高价商品")))</f>
        <v>中价商品</v>
      </c>
    </row>
    <row r="3109" spans="1:14" x14ac:dyDescent="0.2">
      <c r="A3109">
        <v>677</v>
      </c>
      <c r="B3109">
        <v>291</v>
      </c>
      <c r="C3109" t="s">
        <v>32</v>
      </c>
      <c r="D3109" t="s">
        <v>58</v>
      </c>
      <c r="E3109" t="s">
        <v>31</v>
      </c>
      <c r="F3109">
        <v>4</v>
      </c>
      <c r="G3109" t="s">
        <v>13</v>
      </c>
      <c r="H3109" s="1">
        <v>45988.249305555553</v>
      </c>
      <c r="I3109" s="5">
        <f>INT(TB[[#This Row],[时间戳]])</f>
        <v>45988</v>
      </c>
      <c r="J3109" s="2">
        <f>HOUR(TB[[#This Row],[时间戳]])</f>
        <v>5</v>
      </c>
      <c r="K3109">
        <v>1472</v>
      </c>
      <c r="L3109">
        <v>5</v>
      </c>
      <c r="M3109">
        <f>TB[[#This Row],[售价]]*TB[[#This Row],[销量]]</f>
        <v>7360</v>
      </c>
      <c r="N3109" t="str">
        <f>IF(TB[[#This Row],[售价]]&lt;1000,"低价商品",IF(TB[[#This Row],[售价]]&lt;5000,"中价商品",IF(TB[[#This Row],[售价]]&lt;10000,"高价商品","超高价商品")))</f>
        <v>中价商品</v>
      </c>
    </row>
    <row r="3110" spans="1:14" x14ac:dyDescent="0.2">
      <c r="A3110">
        <v>640</v>
      </c>
      <c r="B3110">
        <v>142</v>
      </c>
      <c r="C3110" t="s">
        <v>14</v>
      </c>
      <c r="D3110" t="s">
        <v>228</v>
      </c>
      <c r="E3110" t="s">
        <v>31</v>
      </c>
      <c r="F3110">
        <v>4</v>
      </c>
      <c r="G3110" t="s">
        <v>13</v>
      </c>
      <c r="H3110" s="1">
        <v>45988.265972222223</v>
      </c>
      <c r="I3110" s="5">
        <f>INT(TB[[#This Row],[时间戳]])</f>
        <v>45988</v>
      </c>
      <c r="J3110" s="2">
        <f>HOUR(TB[[#This Row],[时间戳]])</f>
        <v>6</v>
      </c>
      <c r="K3110">
        <v>50</v>
      </c>
      <c r="L3110">
        <v>5</v>
      </c>
      <c r="M3110">
        <f>TB[[#This Row],[售价]]*TB[[#This Row],[销量]]</f>
        <v>250</v>
      </c>
      <c r="N3110" t="str">
        <f>IF(TB[[#This Row],[售价]]&lt;1000,"低价商品",IF(TB[[#This Row],[售价]]&lt;5000,"中价商品",IF(TB[[#This Row],[售价]]&lt;10000,"高价商品","超高价商品")))</f>
        <v>低价商品</v>
      </c>
    </row>
    <row r="3111" spans="1:14" x14ac:dyDescent="0.2">
      <c r="A3111">
        <v>226</v>
      </c>
      <c r="B3111">
        <v>293</v>
      </c>
      <c r="C3111" t="s">
        <v>32</v>
      </c>
      <c r="D3111" t="s">
        <v>208</v>
      </c>
      <c r="E3111" t="s">
        <v>12</v>
      </c>
      <c r="F3111">
        <v>2</v>
      </c>
      <c r="G3111" t="s">
        <v>13</v>
      </c>
      <c r="H3111" s="1">
        <v>45988.283333333333</v>
      </c>
      <c r="I3111" s="5">
        <f>INT(TB[[#This Row],[时间戳]])</f>
        <v>45988</v>
      </c>
      <c r="J3111" s="2">
        <f>HOUR(TB[[#This Row],[时间戳]])</f>
        <v>6</v>
      </c>
      <c r="K3111">
        <v>8676</v>
      </c>
      <c r="L3111">
        <v>2</v>
      </c>
      <c r="M3111">
        <f>TB[[#This Row],[售价]]*TB[[#This Row],[销量]]</f>
        <v>17352</v>
      </c>
      <c r="N3111" t="str">
        <f>IF(TB[[#This Row],[售价]]&lt;1000,"低价商品",IF(TB[[#This Row],[售价]]&lt;5000,"中价商品",IF(TB[[#This Row],[售价]]&lt;10000,"高价商品","超高价商品")))</f>
        <v>高价商品</v>
      </c>
    </row>
    <row r="3112" spans="1:14" x14ac:dyDescent="0.2">
      <c r="A3112">
        <v>156</v>
      </c>
      <c r="B3112">
        <v>12</v>
      </c>
      <c r="C3112" t="s">
        <v>34</v>
      </c>
      <c r="D3112" t="s">
        <v>339</v>
      </c>
      <c r="E3112" t="s">
        <v>12</v>
      </c>
      <c r="F3112">
        <v>2</v>
      </c>
      <c r="G3112" t="s">
        <v>42</v>
      </c>
      <c r="H3112" s="1">
        <v>45988.302083333336</v>
      </c>
      <c r="I3112" s="5">
        <f>INT(TB[[#This Row],[时间戳]])</f>
        <v>45988</v>
      </c>
      <c r="J3112" s="2">
        <f>HOUR(TB[[#This Row],[时间戳]])</f>
        <v>7</v>
      </c>
      <c r="K3112">
        <v>8452</v>
      </c>
      <c r="L3112">
        <v>0</v>
      </c>
      <c r="M3112">
        <f>TB[[#This Row],[售价]]*TB[[#This Row],[销量]]</f>
        <v>0</v>
      </c>
      <c r="N3112" t="str">
        <f>IF(TB[[#This Row],[售价]]&lt;1000,"低价商品",IF(TB[[#This Row],[售价]]&lt;5000,"中价商品",IF(TB[[#This Row],[售价]]&lt;10000,"高价商品","超高价商品")))</f>
        <v>高价商品</v>
      </c>
    </row>
    <row r="3113" spans="1:14" x14ac:dyDescent="0.2">
      <c r="A3113">
        <v>176</v>
      </c>
      <c r="B3113">
        <v>197</v>
      </c>
      <c r="C3113" t="s">
        <v>34</v>
      </c>
      <c r="D3113" t="s">
        <v>308</v>
      </c>
      <c r="E3113" t="s">
        <v>25</v>
      </c>
      <c r="F3113">
        <v>7</v>
      </c>
      <c r="G3113" t="s">
        <v>13</v>
      </c>
      <c r="H3113" s="1">
        <v>45988.306944444441</v>
      </c>
      <c r="I3113" s="5">
        <f>INT(TB[[#This Row],[时间戳]])</f>
        <v>45988</v>
      </c>
      <c r="J3113" s="2">
        <f>HOUR(TB[[#This Row],[时间戳]])</f>
        <v>7</v>
      </c>
      <c r="K3113">
        <v>6134</v>
      </c>
      <c r="L3113">
        <v>5</v>
      </c>
      <c r="M3113">
        <f>TB[[#This Row],[售价]]*TB[[#This Row],[销量]]</f>
        <v>30670</v>
      </c>
      <c r="N3113" t="str">
        <f>IF(TB[[#This Row],[售价]]&lt;1000,"低价商品",IF(TB[[#This Row],[售价]]&lt;5000,"中价商品",IF(TB[[#This Row],[售价]]&lt;10000,"高价商品","超高价商品")))</f>
        <v>高价商品</v>
      </c>
    </row>
    <row r="3114" spans="1:14" x14ac:dyDescent="0.2">
      <c r="A3114">
        <v>165</v>
      </c>
      <c r="B3114">
        <v>47</v>
      </c>
      <c r="C3114" t="s">
        <v>46</v>
      </c>
      <c r="D3114" t="s">
        <v>80</v>
      </c>
      <c r="E3114" t="s">
        <v>22</v>
      </c>
      <c r="F3114">
        <v>1</v>
      </c>
      <c r="G3114" t="s">
        <v>13</v>
      </c>
      <c r="H3114" s="1">
        <v>45988.329861111109</v>
      </c>
      <c r="I3114" s="5">
        <f>INT(TB[[#This Row],[时间戳]])</f>
        <v>45988</v>
      </c>
      <c r="J3114" s="2">
        <f>HOUR(TB[[#This Row],[时间戳]])</f>
        <v>7</v>
      </c>
      <c r="K3114">
        <v>2741</v>
      </c>
      <c r="L3114">
        <v>5</v>
      </c>
      <c r="M3114">
        <f>TB[[#This Row],[售价]]*TB[[#This Row],[销量]]</f>
        <v>13705</v>
      </c>
      <c r="N3114" t="str">
        <f>IF(TB[[#This Row],[售价]]&lt;1000,"低价商品",IF(TB[[#This Row],[售价]]&lt;5000,"中价商品",IF(TB[[#This Row],[售价]]&lt;10000,"高价商品","超高价商品")))</f>
        <v>中价商品</v>
      </c>
    </row>
    <row r="3115" spans="1:14" x14ac:dyDescent="0.2">
      <c r="A3115">
        <v>498</v>
      </c>
      <c r="B3115">
        <v>64</v>
      </c>
      <c r="C3115" t="s">
        <v>46</v>
      </c>
      <c r="D3115" t="s">
        <v>142</v>
      </c>
      <c r="E3115" t="s">
        <v>31</v>
      </c>
      <c r="F3115">
        <v>4</v>
      </c>
      <c r="G3115" t="s">
        <v>13</v>
      </c>
      <c r="H3115" s="1">
        <v>45988.331944444442</v>
      </c>
      <c r="I3115" s="5">
        <f>INT(TB[[#This Row],[时间戳]])</f>
        <v>45988</v>
      </c>
      <c r="J3115" s="2">
        <f>HOUR(TB[[#This Row],[时间戳]])</f>
        <v>7</v>
      </c>
      <c r="K3115">
        <v>1398</v>
      </c>
      <c r="L3115">
        <v>2</v>
      </c>
      <c r="M3115">
        <f>TB[[#This Row],[售价]]*TB[[#This Row],[销量]]</f>
        <v>2796</v>
      </c>
      <c r="N3115" t="str">
        <f>IF(TB[[#This Row],[售价]]&lt;1000,"低价商品",IF(TB[[#This Row],[售价]]&lt;5000,"中价商品",IF(TB[[#This Row],[售价]]&lt;10000,"高价商品","超高价商品")))</f>
        <v>中价商品</v>
      </c>
    </row>
    <row r="3116" spans="1:14" x14ac:dyDescent="0.2">
      <c r="A3116">
        <v>248</v>
      </c>
      <c r="B3116">
        <v>236</v>
      </c>
      <c r="C3116" t="s">
        <v>17</v>
      </c>
      <c r="D3116" t="s">
        <v>320</v>
      </c>
      <c r="E3116" t="s">
        <v>16</v>
      </c>
      <c r="F3116">
        <v>6</v>
      </c>
      <c r="G3116" t="s">
        <v>13</v>
      </c>
      <c r="H3116" s="1">
        <v>45988.336111111108</v>
      </c>
      <c r="I3116" s="5">
        <f>INT(TB[[#This Row],[时间戳]])</f>
        <v>45988</v>
      </c>
      <c r="J3116" s="2">
        <f>HOUR(TB[[#This Row],[时间戳]])</f>
        <v>8</v>
      </c>
      <c r="K3116">
        <v>3493</v>
      </c>
      <c r="L3116">
        <v>5</v>
      </c>
      <c r="M3116">
        <f>TB[[#This Row],[售价]]*TB[[#This Row],[销量]]</f>
        <v>17465</v>
      </c>
      <c r="N3116" t="str">
        <f>IF(TB[[#This Row],[售价]]&lt;1000,"低价商品",IF(TB[[#This Row],[售价]]&lt;5000,"中价商品",IF(TB[[#This Row],[售价]]&lt;10000,"高价商品","超高价商品")))</f>
        <v>中价商品</v>
      </c>
    </row>
    <row r="3117" spans="1:14" x14ac:dyDescent="0.2">
      <c r="A3117">
        <v>287</v>
      </c>
      <c r="B3117">
        <v>55</v>
      </c>
      <c r="C3117" t="s">
        <v>26</v>
      </c>
      <c r="D3117" t="s">
        <v>345</v>
      </c>
      <c r="E3117" t="s">
        <v>12</v>
      </c>
      <c r="F3117">
        <v>2</v>
      </c>
      <c r="G3117" t="s">
        <v>42</v>
      </c>
      <c r="H3117" s="1">
        <v>45988.374305555553</v>
      </c>
      <c r="I3117" s="5">
        <f>INT(TB[[#This Row],[时间戳]])</f>
        <v>45988</v>
      </c>
      <c r="J3117" s="2">
        <f>HOUR(TB[[#This Row],[时间戳]])</f>
        <v>8</v>
      </c>
      <c r="K3117">
        <v>13871</v>
      </c>
      <c r="L3117">
        <v>0</v>
      </c>
      <c r="M3117">
        <f>TB[[#This Row],[售价]]*TB[[#This Row],[销量]]</f>
        <v>0</v>
      </c>
      <c r="N3117" t="str">
        <f>IF(TB[[#This Row],[售价]]&lt;1000,"低价商品",IF(TB[[#This Row],[售价]]&lt;5000,"中价商品",IF(TB[[#This Row],[售价]]&lt;10000,"高价商品","超高价商品")))</f>
        <v>超高价商品</v>
      </c>
    </row>
    <row r="3118" spans="1:14" x14ac:dyDescent="0.2">
      <c r="A3118">
        <v>594</v>
      </c>
      <c r="B3118">
        <v>198</v>
      </c>
      <c r="C3118" t="s">
        <v>36</v>
      </c>
      <c r="D3118" t="s">
        <v>284</v>
      </c>
      <c r="E3118" t="s">
        <v>39</v>
      </c>
      <c r="F3118">
        <v>5</v>
      </c>
      <c r="G3118" t="s">
        <v>42</v>
      </c>
      <c r="H3118" s="1">
        <v>45988.399305555555</v>
      </c>
      <c r="I3118" s="5">
        <f>INT(TB[[#This Row],[时间戳]])</f>
        <v>45988</v>
      </c>
      <c r="J3118" s="2">
        <f>HOUR(TB[[#This Row],[时间戳]])</f>
        <v>9</v>
      </c>
      <c r="K3118">
        <v>800</v>
      </c>
      <c r="L3118">
        <v>0</v>
      </c>
      <c r="M3118">
        <f>TB[[#This Row],[售价]]*TB[[#This Row],[销量]]</f>
        <v>0</v>
      </c>
      <c r="N3118" t="str">
        <f>IF(TB[[#This Row],[售价]]&lt;1000,"低价商品",IF(TB[[#This Row],[售价]]&lt;5000,"中价商品",IF(TB[[#This Row],[售价]]&lt;10000,"高价商品","超高价商品")))</f>
        <v>低价商品</v>
      </c>
    </row>
    <row r="3119" spans="1:14" x14ac:dyDescent="0.2">
      <c r="A3119">
        <v>84</v>
      </c>
      <c r="B3119">
        <v>210</v>
      </c>
      <c r="C3119" t="s">
        <v>32</v>
      </c>
      <c r="D3119" t="s">
        <v>411</v>
      </c>
      <c r="E3119" t="s">
        <v>39</v>
      </c>
      <c r="F3119">
        <v>5</v>
      </c>
      <c r="G3119" t="s">
        <v>13</v>
      </c>
      <c r="H3119" s="1">
        <v>45988.399305555555</v>
      </c>
      <c r="I3119" s="5">
        <f>INT(TB[[#This Row],[时间戳]])</f>
        <v>45988</v>
      </c>
      <c r="J3119" s="2">
        <f>HOUR(TB[[#This Row],[时间戳]])</f>
        <v>9</v>
      </c>
      <c r="K3119">
        <v>2536</v>
      </c>
      <c r="L3119">
        <v>2</v>
      </c>
      <c r="M3119">
        <f>TB[[#This Row],[售价]]*TB[[#This Row],[销量]]</f>
        <v>5072</v>
      </c>
      <c r="N3119" t="str">
        <f>IF(TB[[#This Row],[售价]]&lt;1000,"低价商品",IF(TB[[#This Row],[售价]]&lt;5000,"中价商品",IF(TB[[#This Row],[售价]]&lt;10000,"高价商品","超高价商品")))</f>
        <v>中价商品</v>
      </c>
    </row>
    <row r="3120" spans="1:14" x14ac:dyDescent="0.2">
      <c r="A3120">
        <v>394</v>
      </c>
      <c r="B3120">
        <v>195</v>
      </c>
      <c r="C3120" t="s">
        <v>26</v>
      </c>
      <c r="D3120" t="s">
        <v>409</v>
      </c>
      <c r="E3120" t="s">
        <v>12</v>
      </c>
      <c r="F3120">
        <v>2</v>
      </c>
      <c r="G3120" t="s">
        <v>42</v>
      </c>
      <c r="H3120" s="1">
        <v>45988.404861111114</v>
      </c>
      <c r="I3120" s="5">
        <f>INT(TB[[#This Row],[时间戳]])</f>
        <v>45988</v>
      </c>
      <c r="J3120" s="2">
        <f>HOUR(TB[[#This Row],[时间戳]])</f>
        <v>9</v>
      </c>
      <c r="K3120">
        <v>11302</v>
      </c>
      <c r="L3120">
        <v>0</v>
      </c>
      <c r="M3120">
        <f>TB[[#This Row],[售价]]*TB[[#This Row],[销量]]</f>
        <v>0</v>
      </c>
      <c r="N3120" t="str">
        <f>IF(TB[[#This Row],[售价]]&lt;1000,"低价商品",IF(TB[[#This Row],[售价]]&lt;5000,"中价商品",IF(TB[[#This Row],[售价]]&lt;10000,"高价商品","超高价商品")))</f>
        <v>超高价商品</v>
      </c>
    </row>
    <row r="3121" spans="1:14" x14ac:dyDescent="0.2">
      <c r="A3121">
        <v>690</v>
      </c>
      <c r="B3121">
        <v>252</v>
      </c>
      <c r="C3121" t="s">
        <v>36</v>
      </c>
      <c r="D3121" t="s">
        <v>238</v>
      </c>
      <c r="E3121" t="s">
        <v>12</v>
      </c>
      <c r="F3121">
        <v>2</v>
      </c>
      <c r="G3121" t="s">
        <v>13</v>
      </c>
      <c r="H3121" s="1">
        <v>45988.40902777778</v>
      </c>
      <c r="I3121" s="5">
        <f>INT(TB[[#This Row],[时间戳]])</f>
        <v>45988</v>
      </c>
      <c r="J3121" s="2">
        <f>HOUR(TB[[#This Row],[时间戳]])</f>
        <v>9</v>
      </c>
      <c r="K3121">
        <v>4454</v>
      </c>
      <c r="L3121">
        <v>5</v>
      </c>
      <c r="M3121">
        <f>TB[[#This Row],[售价]]*TB[[#This Row],[销量]]</f>
        <v>22270</v>
      </c>
      <c r="N3121" t="str">
        <f>IF(TB[[#This Row],[售价]]&lt;1000,"低价商品",IF(TB[[#This Row],[售价]]&lt;5000,"中价商品",IF(TB[[#This Row],[售价]]&lt;10000,"高价商品","超高价商品")))</f>
        <v>中价商品</v>
      </c>
    </row>
    <row r="3122" spans="1:14" x14ac:dyDescent="0.2">
      <c r="A3122">
        <v>22</v>
      </c>
      <c r="B3122">
        <v>256</v>
      </c>
      <c r="C3122" t="s">
        <v>34</v>
      </c>
      <c r="D3122" t="s">
        <v>86</v>
      </c>
      <c r="E3122" t="s">
        <v>12</v>
      </c>
      <c r="F3122">
        <v>2</v>
      </c>
      <c r="G3122" t="s">
        <v>13</v>
      </c>
      <c r="H3122" s="1">
        <v>45988.415277777778</v>
      </c>
      <c r="I3122" s="5">
        <f>INT(TB[[#This Row],[时间戳]])</f>
        <v>45988</v>
      </c>
      <c r="J3122" s="2">
        <f>HOUR(TB[[#This Row],[时间戳]])</f>
        <v>9</v>
      </c>
      <c r="K3122">
        <v>11222</v>
      </c>
      <c r="L3122">
        <v>2</v>
      </c>
      <c r="M3122">
        <f>TB[[#This Row],[售价]]*TB[[#This Row],[销量]]</f>
        <v>22444</v>
      </c>
      <c r="N3122" t="str">
        <f>IF(TB[[#This Row],[售价]]&lt;1000,"低价商品",IF(TB[[#This Row],[售价]]&lt;5000,"中价商品",IF(TB[[#This Row],[售价]]&lt;10000,"高价商品","超高价商品")))</f>
        <v>超高价商品</v>
      </c>
    </row>
    <row r="3123" spans="1:14" x14ac:dyDescent="0.2">
      <c r="A3123">
        <v>622</v>
      </c>
      <c r="B3123">
        <v>106</v>
      </c>
      <c r="C3123" t="s">
        <v>17</v>
      </c>
      <c r="D3123" t="s">
        <v>126</v>
      </c>
      <c r="E3123" t="s">
        <v>39</v>
      </c>
      <c r="F3123">
        <v>5</v>
      </c>
      <c r="G3123" t="s">
        <v>13</v>
      </c>
      <c r="H3123" s="1">
        <v>45988.420138888891</v>
      </c>
      <c r="I3123" s="5">
        <f>INT(TB[[#This Row],[时间戳]])</f>
        <v>45988</v>
      </c>
      <c r="J3123" s="2">
        <f>HOUR(TB[[#This Row],[时间戳]])</f>
        <v>10</v>
      </c>
      <c r="K3123">
        <v>2993</v>
      </c>
      <c r="L3123">
        <v>5</v>
      </c>
      <c r="M3123">
        <f>TB[[#This Row],[售价]]*TB[[#This Row],[销量]]</f>
        <v>14965</v>
      </c>
      <c r="N3123" t="str">
        <f>IF(TB[[#This Row],[售价]]&lt;1000,"低价商品",IF(TB[[#This Row],[售价]]&lt;5000,"中价商品",IF(TB[[#This Row],[售价]]&lt;10000,"高价商品","超高价商品")))</f>
        <v>中价商品</v>
      </c>
    </row>
    <row r="3124" spans="1:14" x14ac:dyDescent="0.2">
      <c r="A3124">
        <v>716</v>
      </c>
      <c r="B3124">
        <v>194</v>
      </c>
      <c r="C3124" t="s">
        <v>14</v>
      </c>
      <c r="D3124" t="s">
        <v>52</v>
      </c>
      <c r="E3124" t="s">
        <v>31</v>
      </c>
      <c r="F3124">
        <v>4</v>
      </c>
      <c r="G3124" t="s">
        <v>13</v>
      </c>
      <c r="H3124" s="1">
        <v>45988.421527777777</v>
      </c>
      <c r="I3124" s="5">
        <f>INT(TB[[#This Row],[时间戳]])</f>
        <v>45988</v>
      </c>
      <c r="J3124" s="2">
        <f>HOUR(TB[[#This Row],[时间戳]])</f>
        <v>10</v>
      </c>
      <c r="K3124">
        <v>686</v>
      </c>
      <c r="L3124">
        <v>5</v>
      </c>
      <c r="M3124">
        <f>TB[[#This Row],[售价]]*TB[[#This Row],[销量]]</f>
        <v>3430</v>
      </c>
      <c r="N3124" t="str">
        <f>IF(TB[[#This Row],[售价]]&lt;1000,"低价商品",IF(TB[[#This Row],[售价]]&lt;5000,"中价商品",IF(TB[[#This Row],[售价]]&lt;10000,"高价商品","超高价商品")))</f>
        <v>低价商品</v>
      </c>
    </row>
    <row r="3125" spans="1:14" x14ac:dyDescent="0.2">
      <c r="A3125">
        <v>322</v>
      </c>
      <c r="B3125">
        <v>181</v>
      </c>
      <c r="C3125" t="s">
        <v>32</v>
      </c>
      <c r="D3125" t="s">
        <v>118</v>
      </c>
      <c r="E3125" t="s">
        <v>19</v>
      </c>
      <c r="F3125">
        <v>3</v>
      </c>
      <c r="G3125" t="s">
        <v>13</v>
      </c>
      <c r="H3125" s="1">
        <v>45988.432638888888</v>
      </c>
      <c r="I3125" s="5">
        <f>INT(TB[[#This Row],[时间戳]])</f>
        <v>45988</v>
      </c>
      <c r="J3125" s="2">
        <f>HOUR(TB[[#This Row],[时间戳]])</f>
        <v>10</v>
      </c>
      <c r="K3125">
        <v>2885</v>
      </c>
      <c r="L3125">
        <v>2</v>
      </c>
      <c r="M3125">
        <f>TB[[#This Row],[售价]]*TB[[#This Row],[销量]]</f>
        <v>5770</v>
      </c>
      <c r="N3125" t="str">
        <f>IF(TB[[#This Row],[售价]]&lt;1000,"低价商品",IF(TB[[#This Row],[售价]]&lt;5000,"中价商品",IF(TB[[#This Row],[售价]]&lt;10000,"高价商品","超高价商品")))</f>
        <v>中价商品</v>
      </c>
    </row>
    <row r="3126" spans="1:14" x14ac:dyDescent="0.2">
      <c r="A3126">
        <v>298</v>
      </c>
      <c r="B3126">
        <v>119</v>
      </c>
      <c r="C3126" t="s">
        <v>32</v>
      </c>
      <c r="D3126" t="s">
        <v>193</v>
      </c>
      <c r="E3126" t="s">
        <v>22</v>
      </c>
      <c r="F3126">
        <v>1</v>
      </c>
      <c r="G3126" t="s">
        <v>42</v>
      </c>
      <c r="H3126" s="1">
        <v>45988.456944444442</v>
      </c>
      <c r="I3126" s="5">
        <f>INT(TB[[#This Row],[时间戳]])</f>
        <v>45988</v>
      </c>
      <c r="J3126" s="2">
        <f>HOUR(TB[[#This Row],[时间戳]])</f>
        <v>10</v>
      </c>
      <c r="K3126">
        <v>4258</v>
      </c>
      <c r="L3126">
        <v>0</v>
      </c>
      <c r="M3126">
        <f>TB[[#This Row],[售价]]*TB[[#This Row],[销量]]</f>
        <v>0</v>
      </c>
      <c r="N3126" t="str">
        <f>IF(TB[[#This Row],[售价]]&lt;1000,"低价商品",IF(TB[[#This Row],[售价]]&lt;5000,"中价商品",IF(TB[[#This Row],[售价]]&lt;10000,"高价商品","超高价商品")))</f>
        <v>中价商品</v>
      </c>
    </row>
    <row r="3127" spans="1:14" x14ac:dyDescent="0.2">
      <c r="A3127">
        <v>703</v>
      </c>
      <c r="B3127">
        <v>289</v>
      </c>
      <c r="C3127" t="s">
        <v>44</v>
      </c>
      <c r="D3127" t="s">
        <v>243</v>
      </c>
      <c r="E3127" t="s">
        <v>31</v>
      </c>
      <c r="F3127">
        <v>4</v>
      </c>
      <c r="G3127" t="s">
        <v>13</v>
      </c>
      <c r="H3127" s="1">
        <v>45988.474305555559</v>
      </c>
      <c r="I3127" s="5">
        <f>INT(TB[[#This Row],[时间戳]])</f>
        <v>45988</v>
      </c>
      <c r="J3127" s="2">
        <f>HOUR(TB[[#This Row],[时间戳]])</f>
        <v>11</v>
      </c>
      <c r="K3127">
        <v>934</v>
      </c>
      <c r="L3127">
        <v>5</v>
      </c>
      <c r="M3127">
        <f>TB[[#This Row],[售价]]*TB[[#This Row],[销量]]</f>
        <v>4670</v>
      </c>
      <c r="N3127" t="str">
        <f>IF(TB[[#This Row],[售价]]&lt;1000,"低价商品",IF(TB[[#This Row],[售价]]&lt;5000,"中价商品",IF(TB[[#This Row],[售价]]&lt;10000,"高价商品","超高价商品")))</f>
        <v>低价商品</v>
      </c>
    </row>
    <row r="3128" spans="1:14" x14ac:dyDescent="0.2">
      <c r="A3128">
        <v>731</v>
      </c>
      <c r="B3128">
        <v>12</v>
      </c>
      <c r="C3128" t="s">
        <v>14</v>
      </c>
      <c r="D3128" t="s">
        <v>99</v>
      </c>
      <c r="E3128" t="s">
        <v>39</v>
      </c>
      <c r="F3128">
        <v>5</v>
      </c>
      <c r="G3128" t="s">
        <v>13</v>
      </c>
      <c r="H3128" s="1">
        <v>45988.494444444441</v>
      </c>
      <c r="I3128" s="5">
        <f>INT(TB[[#This Row],[时间戳]])</f>
        <v>45988</v>
      </c>
      <c r="J3128" s="2">
        <f>HOUR(TB[[#This Row],[时间戳]])</f>
        <v>11</v>
      </c>
      <c r="K3128">
        <v>1929</v>
      </c>
      <c r="L3128">
        <v>5</v>
      </c>
      <c r="M3128">
        <f>TB[[#This Row],[售价]]*TB[[#This Row],[销量]]</f>
        <v>9645</v>
      </c>
      <c r="N3128" t="str">
        <f>IF(TB[[#This Row],[售价]]&lt;1000,"低价商品",IF(TB[[#This Row],[售价]]&lt;5000,"中价商品",IF(TB[[#This Row],[售价]]&lt;10000,"高价商品","超高价商品")))</f>
        <v>中价商品</v>
      </c>
    </row>
    <row r="3129" spans="1:14" x14ac:dyDescent="0.2">
      <c r="A3129">
        <v>391</v>
      </c>
      <c r="B3129">
        <v>11</v>
      </c>
      <c r="C3129" t="s">
        <v>34</v>
      </c>
      <c r="D3129" t="s">
        <v>291</v>
      </c>
      <c r="E3129" t="s">
        <v>31</v>
      </c>
      <c r="F3129">
        <v>4</v>
      </c>
      <c r="G3129" t="s">
        <v>13</v>
      </c>
      <c r="H3129" s="1">
        <v>45988.496527777781</v>
      </c>
      <c r="I3129" s="5">
        <f>INT(TB[[#This Row],[时间戳]])</f>
        <v>45988</v>
      </c>
      <c r="J3129" s="2">
        <f>HOUR(TB[[#This Row],[时间戳]])</f>
        <v>11</v>
      </c>
      <c r="K3129">
        <v>938</v>
      </c>
      <c r="L3129">
        <v>5</v>
      </c>
      <c r="M3129">
        <f>TB[[#This Row],[售价]]*TB[[#This Row],[销量]]</f>
        <v>4690</v>
      </c>
      <c r="N3129" t="str">
        <f>IF(TB[[#This Row],[售价]]&lt;1000,"低价商品",IF(TB[[#This Row],[售价]]&lt;5000,"中价商品",IF(TB[[#This Row],[售价]]&lt;10000,"高价商品","超高价商品")))</f>
        <v>低价商品</v>
      </c>
    </row>
    <row r="3130" spans="1:14" x14ac:dyDescent="0.2">
      <c r="A3130">
        <v>92</v>
      </c>
      <c r="B3130">
        <v>224</v>
      </c>
      <c r="C3130" t="s">
        <v>44</v>
      </c>
      <c r="D3130" t="s">
        <v>66</v>
      </c>
      <c r="E3130" t="s">
        <v>22</v>
      </c>
      <c r="F3130">
        <v>1</v>
      </c>
      <c r="G3130" t="s">
        <v>13</v>
      </c>
      <c r="H3130" s="1">
        <v>45988.552083333336</v>
      </c>
      <c r="I3130" s="5">
        <f>INT(TB[[#This Row],[时间戳]])</f>
        <v>45988</v>
      </c>
      <c r="J3130" s="2">
        <f>HOUR(TB[[#This Row],[时间戳]])</f>
        <v>13</v>
      </c>
      <c r="K3130">
        <v>5044</v>
      </c>
      <c r="L3130">
        <v>5</v>
      </c>
      <c r="M3130">
        <f>TB[[#This Row],[售价]]*TB[[#This Row],[销量]]</f>
        <v>25220</v>
      </c>
      <c r="N3130" t="str">
        <f>IF(TB[[#This Row],[售价]]&lt;1000,"低价商品",IF(TB[[#This Row],[售价]]&lt;5000,"中价商品",IF(TB[[#This Row],[售价]]&lt;10000,"高价商品","超高价商品")))</f>
        <v>高价商品</v>
      </c>
    </row>
    <row r="3131" spans="1:14" x14ac:dyDescent="0.2">
      <c r="A3131">
        <v>376</v>
      </c>
      <c r="B3131">
        <v>134</v>
      </c>
      <c r="C3131" t="s">
        <v>32</v>
      </c>
      <c r="D3131" t="s">
        <v>115</v>
      </c>
      <c r="E3131" t="s">
        <v>19</v>
      </c>
      <c r="F3131">
        <v>3</v>
      </c>
      <c r="G3131" t="s">
        <v>42</v>
      </c>
      <c r="H3131" s="1">
        <v>45988.585416666669</v>
      </c>
      <c r="I3131" s="5">
        <f>INT(TB[[#This Row],[时间戳]])</f>
        <v>45988</v>
      </c>
      <c r="J3131" s="2">
        <f>HOUR(TB[[#This Row],[时间戳]])</f>
        <v>14</v>
      </c>
      <c r="K3131">
        <v>3566</v>
      </c>
      <c r="L3131">
        <v>0</v>
      </c>
      <c r="M3131">
        <f>TB[[#This Row],[售价]]*TB[[#This Row],[销量]]</f>
        <v>0</v>
      </c>
      <c r="N3131" t="str">
        <f>IF(TB[[#This Row],[售价]]&lt;1000,"低价商品",IF(TB[[#This Row],[售价]]&lt;5000,"中价商品",IF(TB[[#This Row],[售价]]&lt;10000,"高价商品","超高价商品")))</f>
        <v>中价商品</v>
      </c>
    </row>
    <row r="3132" spans="1:14" x14ac:dyDescent="0.2">
      <c r="A3132">
        <v>600</v>
      </c>
      <c r="B3132">
        <v>265</v>
      </c>
      <c r="C3132" t="s">
        <v>26</v>
      </c>
      <c r="D3132" t="s">
        <v>149</v>
      </c>
      <c r="E3132" t="s">
        <v>39</v>
      </c>
      <c r="F3132">
        <v>5</v>
      </c>
      <c r="G3132" t="s">
        <v>13</v>
      </c>
      <c r="H3132" s="1">
        <v>45988.615277777775</v>
      </c>
      <c r="I3132" s="5">
        <f>INT(TB[[#This Row],[时间戳]])</f>
        <v>45988</v>
      </c>
      <c r="J3132" s="2">
        <f>HOUR(TB[[#This Row],[时间戳]])</f>
        <v>14</v>
      </c>
      <c r="K3132">
        <v>2640</v>
      </c>
      <c r="L3132">
        <v>2</v>
      </c>
      <c r="M3132">
        <f>TB[[#This Row],[售价]]*TB[[#This Row],[销量]]</f>
        <v>5280</v>
      </c>
      <c r="N3132" t="str">
        <f>IF(TB[[#This Row],[售价]]&lt;1000,"低价商品",IF(TB[[#This Row],[售价]]&lt;5000,"中价商品",IF(TB[[#This Row],[售价]]&lt;10000,"高价商品","超高价商品")))</f>
        <v>中价商品</v>
      </c>
    </row>
    <row r="3133" spans="1:14" x14ac:dyDescent="0.2">
      <c r="A3133">
        <v>391</v>
      </c>
      <c r="B3133">
        <v>187</v>
      </c>
      <c r="C3133" t="s">
        <v>32</v>
      </c>
      <c r="D3133" t="s">
        <v>58</v>
      </c>
      <c r="E3133" t="s">
        <v>31</v>
      </c>
      <c r="F3133">
        <v>4</v>
      </c>
      <c r="G3133" t="s">
        <v>42</v>
      </c>
      <c r="H3133" s="1">
        <v>45988.647222222222</v>
      </c>
      <c r="I3133" s="5">
        <f>INT(TB[[#This Row],[时间戳]])</f>
        <v>45988</v>
      </c>
      <c r="J3133" s="2">
        <f>HOUR(TB[[#This Row],[时间戳]])</f>
        <v>15</v>
      </c>
      <c r="K3133">
        <v>1347</v>
      </c>
      <c r="L3133">
        <v>0</v>
      </c>
      <c r="M3133">
        <f>TB[[#This Row],[售价]]*TB[[#This Row],[销量]]</f>
        <v>0</v>
      </c>
      <c r="N3133" t="str">
        <f>IF(TB[[#This Row],[售价]]&lt;1000,"低价商品",IF(TB[[#This Row],[售价]]&lt;5000,"中价商品",IF(TB[[#This Row],[售价]]&lt;10000,"高价商品","超高价商品")))</f>
        <v>中价商品</v>
      </c>
    </row>
    <row r="3134" spans="1:14" x14ac:dyDescent="0.2">
      <c r="A3134">
        <v>725</v>
      </c>
      <c r="B3134">
        <v>82</v>
      </c>
      <c r="C3134" t="s">
        <v>32</v>
      </c>
      <c r="D3134" t="s">
        <v>286</v>
      </c>
      <c r="E3134" t="s">
        <v>22</v>
      </c>
      <c r="F3134">
        <v>1</v>
      </c>
      <c r="G3134" t="s">
        <v>13</v>
      </c>
      <c r="H3134" s="1">
        <v>45988.697222222225</v>
      </c>
      <c r="I3134" s="5">
        <f>INT(TB[[#This Row],[时间戳]])</f>
        <v>45988</v>
      </c>
      <c r="J3134" s="2">
        <f>HOUR(TB[[#This Row],[时间戳]])</f>
        <v>16</v>
      </c>
      <c r="K3134">
        <v>1582</v>
      </c>
      <c r="L3134">
        <v>5</v>
      </c>
      <c r="M3134">
        <f>TB[[#This Row],[售价]]*TB[[#This Row],[销量]]</f>
        <v>7910</v>
      </c>
      <c r="N3134" t="str">
        <f>IF(TB[[#This Row],[售价]]&lt;1000,"低价商品",IF(TB[[#This Row],[售价]]&lt;5000,"中价商品",IF(TB[[#This Row],[售价]]&lt;10000,"高价商品","超高价商品")))</f>
        <v>中价商品</v>
      </c>
    </row>
    <row r="3135" spans="1:14" x14ac:dyDescent="0.2">
      <c r="A3135">
        <v>257</v>
      </c>
      <c r="B3135">
        <v>41</v>
      </c>
      <c r="C3135" t="s">
        <v>20</v>
      </c>
      <c r="D3135" t="s">
        <v>394</v>
      </c>
      <c r="E3135" t="s">
        <v>39</v>
      </c>
      <c r="F3135">
        <v>5</v>
      </c>
      <c r="G3135" t="s">
        <v>42</v>
      </c>
      <c r="H3135" s="1">
        <v>45988.711805555555</v>
      </c>
      <c r="I3135" s="5">
        <f>INT(TB[[#This Row],[时间戳]])</f>
        <v>45988</v>
      </c>
      <c r="J3135" s="2">
        <f>HOUR(TB[[#This Row],[时间戳]])</f>
        <v>17</v>
      </c>
      <c r="K3135">
        <v>1293</v>
      </c>
      <c r="L3135">
        <v>0</v>
      </c>
      <c r="M3135">
        <f>TB[[#This Row],[售价]]*TB[[#This Row],[销量]]</f>
        <v>0</v>
      </c>
      <c r="N3135" t="str">
        <f>IF(TB[[#This Row],[售价]]&lt;1000,"低价商品",IF(TB[[#This Row],[售价]]&lt;5000,"中价商品",IF(TB[[#This Row],[售价]]&lt;10000,"高价商品","超高价商品")))</f>
        <v>中价商品</v>
      </c>
    </row>
    <row r="3136" spans="1:14" x14ac:dyDescent="0.2">
      <c r="A3136">
        <v>301</v>
      </c>
      <c r="B3136">
        <v>73</v>
      </c>
      <c r="C3136" t="s">
        <v>44</v>
      </c>
      <c r="D3136" t="s">
        <v>70</v>
      </c>
      <c r="E3136" t="s">
        <v>12</v>
      </c>
      <c r="F3136">
        <v>2</v>
      </c>
      <c r="G3136" t="s">
        <v>13</v>
      </c>
      <c r="H3136" s="1">
        <v>45988.71597222222</v>
      </c>
      <c r="I3136" s="5">
        <f>INT(TB[[#This Row],[时间戳]])</f>
        <v>45988</v>
      </c>
      <c r="J3136" s="2">
        <f>HOUR(TB[[#This Row],[时间戳]])</f>
        <v>17</v>
      </c>
      <c r="K3136">
        <v>12535</v>
      </c>
      <c r="L3136">
        <v>5</v>
      </c>
      <c r="M3136">
        <f>TB[[#This Row],[售价]]*TB[[#This Row],[销量]]</f>
        <v>62675</v>
      </c>
      <c r="N3136" t="str">
        <f>IF(TB[[#This Row],[售价]]&lt;1000,"低价商品",IF(TB[[#This Row],[售价]]&lt;5000,"中价商品",IF(TB[[#This Row],[售价]]&lt;10000,"高价商品","超高价商品")))</f>
        <v>超高价商品</v>
      </c>
    </row>
    <row r="3137" spans="1:14" x14ac:dyDescent="0.2">
      <c r="A3137">
        <v>420</v>
      </c>
      <c r="B3137">
        <v>160</v>
      </c>
      <c r="C3137" t="s">
        <v>26</v>
      </c>
      <c r="D3137" t="s">
        <v>182</v>
      </c>
      <c r="E3137" t="s">
        <v>31</v>
      </c>
      <c r="F3137">
        <v>4</v>
      </c>
      <c r="G3137" t="s">
        <v>13</v>
      </c>
      <c r="H3137" s="1">
        <v>45988.73333333333</v>
      </c>
      <c r="I3137" s="5">
        <f>INT(TB[[#This Row],[时间戳]])</f>
        <v>45988</v>
      </c>
      <c r="J3137" s="2">
        <f>HOUR(TB[[#This Row],[时间戳]])</f>
        <v>17</v>
      </c>
      <c r="K3137">
        <v>884</v>
      </c>
      <c r="L3137">
        <v>2</v>
      </c>
      <c r="M3137">
        <f>TB[[#This Row],[售价]]*TB[[#This Row],[销量]]</f>
        <v>1768</v>
      </c>
      <c r="N3137" t="str">
        <f>IF(TB[[#This Row],[售价]]&lt;1000,"低价商品",IF(TB[[#This Row],[售价]]&lt;5000,"中价商品",IF(TB[[#This Row],[售价]]&lt;10000,"高价商品","超高价商品")))</f>
        <v>低价商品</v>
      </c>
    </row>
    <row r="3138" spans="1:14" x14ac:dyDescent="0.2">
      <c r="A3138">
        <v>95</v>
      </c>
      <c r="B3138">
        <v>27</v>
      </c>
      <c r="C3138" t="s">
        <v>14</v>
      </c>
      <c r="D3138" t="s">
        <v>190</v>
      </c>
      <c r="E3138" t="s">
        <v>12</v>
      </c>
      <c r="F3138">
        <v>2</v>
      </c>
      <c r="G3138" t="s">
        <v>13</v>
      </c>
      <c r="H3138" s="1">
        <v>45988.758333333331</v>
      </c>
      <c r="I3138" s="5">
        <f>INT(TB[[#This Row],[时间戳]])</f>
        <v>45988</v>
      </c>
      <c r="J3138" s="2">
        <f>HOUR(TB[[#This Row],[时间戳]])</f>
        <v>18</v>
      </c>
      <c r="K3138">
        <v>6796</v>
      </c>
      <c r="L3138">
        <v>5</v>
      </c>
      <c r="M3138">
        <f>TB[[#This Row],[售价]]*TB[[#This Row],[销量]]</f>
        <v>33980</v>
      </c>
      <c r="N3138" t="str">
        <f>IF(TB[[#This Row],[售价]]&lt;1000,"低价商品",IF(TB[[#This Row],[售价]]&lt;5000,"中价商品",IF(TB[[#This Row],[售价]]&lt;10000,"高价商品","超高价商品")))</f>
        <v>高价商品</v>
      </c>
    </row>
    <row r="3139" spans="1:14" x14ac:dyDescent="0.2">
      <c r="A3139">
        <v>562</v>
      </c>
      <c r="B3139">
        <v>241</v>
      </c>
      <c r="C3139" t="s">
        <v>26</v>
      </c>
      <c r="D3139" t="s">
        <v>219</v>
      </c>
      <c r="E3139" t="s">
        <v>22</v>
      </c>
      <c r="F3139">
        <v>1</v>
      </c>
      <c r="G3139" t="s">
        <v>42</v>
      </c>
      <c r="H3139" s="1">
        <v>45988.782638888886</v>
      </c>
      <c r="I3139" s="5">
        <f>INT(TB[[#This Row],[时间戳]])</f>
        <v>45988</v>
      </c>
      <c r="J3139" s="2">
        <f>HOUR(TB[[#This Row],[时间戳]])</f>
        <v>18</v>
      </c>
      <c r="K3139">
        <v>5825</v>
      </c>
      <c r="L3139">
        <v>0</v>
      </c>
      <c r="M3139">
        <f>TB[[#This Row],[售价]]*TB[[#This Row],[销量]]</f>
        <v>0</v>
      </c>
      <c r="N3139" t="str">
        <f>IF(TB[[#This Row],[售价]]&lt;1000,"低价商品",IF(TB[[#This Row],[售价]]&lt;5000,"中价商品",IF(TB[[#This Row],[售价]]&lt;10000,"高价商品","超高价商品")))</f>
        <v>高价商品</v>
      </c>
    </row>
    <row r="3140" spans="1:14" x14ac:dyDescent="0.2">
      <c r="A3140">
        <v>201</v>
      </c>
      <c r="B3140">
        <v>40</v>
      </c>
      <c r="C3140" t="s">
        <v>32</v>
      </c>
      <c r="D3140" t="s">
        <v>58</v>
      </c>
      <c r="E3140" t="s">
        <v>31</v>
      </c>
      <c r="F3140">
        <v>4</v>
      </c>
      <c r="G3140" t="s">
        <v>13</v>
      </c>
      <c r="H3140" s="1">
        <v>45988.796527777777</v>
      </c>
      <c r="I3140" s="5">
        <f>INT(TB[[#This Row],[时间戳]])</f>
        <v>45988</v>
      </c>
      <c r="J3140" s="2">
        <f>HOUR(TB[[#This Row],[时间戳]])</f>
        <v>19</v>
      </c>
      <c r="K3140">
        <v>801</v>
      </c>
      <c r="L3140">
        <v>5</v>
      </c>
      <c r="M3140">
        <f>TB[[#This Row],[售价]]*TB[[#This Row],[销量]]</f>
        <v>4005</v>
      </c>
      <c r="N3140" t="str">
        <f>IF(TB[[#This Row],[售价]]&lt;1000,"低价商品",IF(TB[[#This Row],[售价]]&lt;5000,"中价商品",IF(TB[[#This Row],[售价]]&lt;10000,"高价商品","超高价商品")))</f>
        <v>低价商品</v>
      </c>
    </row>
    <row r="3141" spans="1:14" x14ac:dyDescent="0.2">
      <c r="A3141">
        <v>184</v>
      </c>
      <c r="B3141">
        <v>274</v>
      </c>
      <c r="C3141" t="s">
        <v>14</v>
      </c>
      <c r="D3141" t="s">
        <v>228</v>
      </c>
      <c r="E3141" t="s">
        <v>31</v>
      </c>
      <c r="F3141">
        <v>4</v>
      </c>
      <c r="G3141" t="s">
        <v>42</v>
      </c>
      <c r="H3141" s="1">
        <v>45988.79791666667</v>
      </c>
      <c r="I3141" s="5">
        <f>INT(TB[[#This Row],[时间戳]])</f>
        <v>45988</v>
      </c>
      <c r="J3141" s="2">
        <f>HOUR(TB[[#This Row],[时间戳]])</f>
        <v>19</v>
      </c>
      <c r="K3141">
        <v>382</v>
      </c>
      <c r="L3141">
        <v>0</v>
      </c>
      <c r="M3141">
        <f>TB[[#This Row],[售价]]*TB[[#This Row],[销量]]</f>
        <v>0</v>
      </c>
      <c r="N3141" t="str">
        <f>IF(TB[[#This Row],[售价]]&lt;1000,"低价商品",IF(TB[[#This Row],[售价]]&lt;5000,"中价商品",IF(TB[[#This Row],[售价]]&lt;10000,"高价商品","超高价商品")))</f>
        <v>低价商品</v>
      </c>
    </row>
    <row r="3142" spans="1:14" x14ac:dyDescent="0.2">
      <c r="A3142">
        <v>780</v>
      </c>
      <c r="B3142">
        <v>189</v>
      </c>
      <c r="C3142" t="s">
        <v>44</v>
      </c>
      <c r="D3142" t="s">
        <v>301</v>
      </c>
      <c r="E3142" t="s">
        <v>22</v>
      </c>
      <c r="F3142">
        <v>1</v>
      </c>
      <c r="G3142" t="s">
        <v>13</v>
      </c>
      <c r="H3142" s="1">
        <v>45988.806250000001</v>
      </c>
      <c r="I3142" s="5">
        <f>INT(TB[[#This Row],[时间戳]])</f>
        <v>45988</v>
      </c>
      <c r="J3142" s="2">
        <f>HOUR(TB[[#This Row],[时间戳]])</f>
        <v>19</v>
      </c>
      <c r="K3142">
        <v>2214</v>
      </c>
      <c r="L3142">
        <v>5</v>
      </c>
      <c r="M3142">
        <f>TB[[#This Row],[售价]]*TB[[#This Row],[销量]]</f>
        <v>11070</v>
      </c>
      <c r="N3142" t="str">
        <f>IF(TB[[#This Row],[售价]]&lt;1000,"低价商品",IF(TB[[#This Row],[售价]]&lt;5000,"中价商品",IF(TB[[#This Row],[售价]]&lt;10000,"高价商品","超高价商品")))</f>
        <v>中价商品</v>
      </c>
    </row>
    <row r="3143" spans="1:14" x14ac:dyDescent="0.2">
      <c r="A3143">
        <v>252</v>
      </c>
      <c r="B3143">
        <v>5</v>
      </c>
      <c r="C3143" t="s">
        <v>20</v>
      </c>
      <c r="D3143" t="s">
        <v>152</v>
      </c>
      <c r="E3143" t="s">
        <v>16</v>
      </c>
      <c r="F3143">
        <v>6</v>
      </c>
      <c r="G3143" t="s">
        <v>42</v>
      </c>
      <c r="H3143" s="1">
        <v>45988.852777777778</v>
      </c>
      <c r="I3143" s="5">
        <f>INT(TB[[#This Row],[时间戳]])</f>
        <v>45988</v>
      </c>
      <c r="J3143" s="2">
        <f>HOUR(TB[[#This Row],[时间戳]])</f>
        <v>20</v>
      </c>
      <c r="K3143">
        <v>4809</v>
      </c>
      <c r="L3143">
        <v>0</v>
      </c>
      <c r="M3143">
        <f>TB[[#This Row],[售价]]*TB[[#This Row],[销量]]</f>
        <v>0</v>
      </c>
      <c r="N3143" t="str">
        <f>IF(TB[[#This Row],[售价]]&lt;1000,"低价商品",IF(TB[[#This Row],[售价]]&lt;5000,"中价商品",IF(TB[[#This Row],[售价]]&lt;10000,"高价商品","超高价商品")))</f>
        <v>中价商品</v>
      </c>
    </row>
    <row r="3144" spans="1:14" x14ac:dyDescent="0.2">
      <c r="A3144">
        <v>22</v>
      </c>
      <c r="B3144">
        <v>257</v>
      </c>
      <c r="C3144" t="s">
        <v>36</v>
      </c>
      <c r="D3144" t="s">
        <v>55</v>
      </c>
      <c r="E3144" t="s">
        <v>39</v>
      </c>
      <c r="F3144">
        <v>5</v>
      </c>
      <c r="G3144" t="s">
        <v>13</v>
      </c>
      <c r="H3144" s="1">
        <v>45988.869444444441</v>
      </c>
      <c r="I3144" s="5">
        <f>INT(TB[[#This Row],[时间戳]])</f>
        <v>45988</v>
      </c>
      <c r="J3144" s="2">
        <f>HOUR(TB[[#This Row],[时间戳]])</f>
        <v>20</v>
      </c>
      <c r="K3144">
        <v>2020</v>
      </c>
      <c r="L3144">
        <v>5</v>
      </c>
      <c r="M3144">
        <f>TB[[#This Row],[售价]]*TB[[#This Row],[销量]]</f>
        <v>10100</v>
      </c>
      <c r="N3144" t="str">
        <f>IF(TB[[#This Row],[售价]]&lt;1000,"低价商品",IF(TB[[#This Row],[售价]]&lt;5000,"中价商品",IF(TB[[#This Row],[售价]]&lt;10000,"高价商品","超高价商品")))</f>
        <v>中价商品</v>
      </c>
    </row>
    <row r="3145" spans="1:14" x14ac:dyDescent="0.2">
      <c r="A3145">
        <v>172</v>
      </c>
      <c r="B3145">
        <v>25</v>
      </c>
      <c r="C3145" t="s">
        <v>17</v>
      </c>
      <c r="D3145" t="s">
        <v>320</v>
      </c>
      <c r="E3145" t="s">
        <v>16</v>
      </c>
      <c r="F3145">
        <v>6</v>
      </c>
      <c r="G3145" t="s">
        <v>13</v>
      </c>
      <c r="H3145" s="1">
        <v>45988.883333333331</v>
      </c>
      <c r="I3145" s="5">
        <f>INT(TB[[#This Row],[时间戳]])</f>
        <v>45988</v>
      </c>
      <c r="J3145" s="2">
        <f>HOUR(TB[[#This Row],[时间戳]])</f>
        <v>21</v>
      </c>
      <c r="K3145">
        <v>10094</v>
      </c>
      <c r="L3145">
        <v>5</v>
      </c>
      <c r="M3145">
        <f>TB[[#This Row],[售价]]*TB[[#This Row],[销量]]</f>
        <v>50470</v>
      </c>
      <c r="N3145" t="str">
        <f>IF(TB[[#This Row],[售价]]&lt;1000,"低价商品",IF(TB[[#This Row],[售价]]&lt;5000,"中价商品",IF(TB[[#This Row],[售价]]&lt;10000,"高价商品","超高价商品")))</f>
        <v>超高价商品</v>
      </c>
    </row>
    <row r="3146" spans="1:14" x14ac:dyDescent="0.2">
      <c r="A3146">
        <v>624</v>
      </c>
      <c r="B3146">
        <v>189</v>
      </c>
      <c r="C3146" t="s">
        <v>26</v>
      </c>
      <c r="D3146" t="s">
        <v>27</v>
      </c>
      <c r="E3146" t="s">
        <v>22</v>
      </c>
      <c r="F3146">
        <v>1</v>
      </c>
      <c r="G3146" t="s">
        <v>13</v>
      </c>
      <c r="H3146" s="1">
        <v>45988.888888888891</v>
      </c>
      <c r="I3146" s="5">
        <f>INT(TB[[#This Row],[时间戳]])</f>
        <v>45988</v>
      </c>
      <c r="J3146" s="2">
        <f>HOUR(TB[[#This Row],[时间戳]])</f>
        <v>21</v>
      </c>
      <c r="K3146">
        <v>4721</v>
      </c>
      <c r="L3146">
        <v>5</v>
      </c>
      <c r="M3146">
        <f>TB[[#This Row],[售价]]*TB[[#This Row],[销量]]</f>
        <v>23605</v>
      </c>
      <c r="N3146" t="str">
        <f>IF(TB[[#This Row],[售价]]&lt;1000,"低价商品",IF(TB[[#This Row],[售价]]&lt;5000,"中价商品",IF(TB[[#This Row],[售价]]&lt;10000,"高价商品","超高价商品")))</f>
        <v>中价商品</v>
      </c>
    </row>
    <row r="3147" spans="1:14" x14ac:dyDescent="0.2">
      <c r="A3147">
        <v>252</v>
      </c>
      <c r="B3147">
        <v>233</v>
      </c>
      <c r="C3147" t="s">
        <v>36</v>
      </c>
      <c r="D3147" t="s">
        <v>265</v>
      </c>
      <c r="E3147" t="s">
        <v>31</v>
      </c>
      <c r="F3147">
        <v>4</v>
      </c>
      <c r="G3147" t="s">
        <v>13</v>
      </c>
      <c r="H3147" s="1">
        <v>45988.897916666669</v>
      </c>
      <c r="I3147" s="5">
        <f>INT(TB[[#This Row],[时间戳]])</f>
        <v>45988</v>
      </c>
      <c r="J3147" s="2">
        <f>HOUR(TB[[#This Row],[时间戳]])</f>
        <v>21</v>
      </c>
      <c r="K3147">
        <v>1425</v>
      </c>
      <c r="L3147">
        <v>5</v>
      </c>
      <c r="M3147">
        <f>TB[[#This Row],[售价]]*TB[[#This Row],[销量]]</f>
        <v>7125</v>
      </c>
      <c r="N3147" t="str">
        <f>IF(TB[[#This Row],[售价]]&lt;1000,"低价商品",IF(TB[[#This Row],[售价]]&lt;5000,"中价商品",IF(TB[[#This Row],[售价]]&lt;10000,"高价商品","超高价商品")))</f>
        <v>中价商品</v>
      </c>
    </row>
    <row r="3148" spans="1:14" x14ac:dyDescent="0.2">
      <c r="A3148">
        <v>255</v>
      </c>
      <c r="B3148">
        <v>83</v>
      </c>
      <c r="C3148" t="s">
        <v>14</v>
      </c>
      <c r="D3148" t="s">
        <v>223</v>
      </c>
      <c r="E3148" t="s">
        <v>22</v>
      </c>
      <c r="F3148">
        <v>1</v>
      </c>
      <c r="G3148" t="s">
        <v>13</v>
      </c>
      <c r="H3148" s="1">
        <v>45988.938888888886</v>
      </c>
      <c r="I3148" s="5">
        <f>INT(TB[[#This Row],[时间戳]])</f>
        <v>45988</v>
      </c>
      <c r="J3148" s="2">
        <f>HOUR(TB[[#This Row],[时间戳]])</f>
        <v>22</v>
      </c>
      <c r="K3148">
        <v>2597</v>
      </c>
      <c r="L3148">
        <v>5</v>
      </c>
      <c r="M3148">
        <f>TB[[#This Row],[售价]]*TB[[#This Row],[销量]]</f>
        <v>12985</v>
      </c>
      <c r="N3148" t="str">
        <f>IF(TB[[#This Row],[售价]]&lt;1000,"低价商品",IF(TB[[#This Row],[售价]]&lt;5000,"中价商品",IF(TB[[#This Row],[售价]]&lt;10000,"高价商品","超高价商品")))</f>
        <v>中价商品</v>
      </c>
    </row>
    <row r="3149" spans="1:14" x14ac:dyDescent="0.2">
      <c r="A3149">
        <v>387</v>
      </c>
      <c r="B3149">
        <v>70</v>
      </c>
      <c r="C3149" t="s">
        <v>10</v>
      </c>
      <c r="D3149" t="s">
        <v>134</v>
      </c>
      <c r="E3149" t="s">
        <v>22</v>
      </c>
      <c r="F3149">
        <v>1</v>
      </c>
      <c r="G3149" t="s">
        <v>13</v>
      </c>
      <c r="H3149" s="1">
        <v>45988.959027777775</v>
      </c>
      <c r="I3149" s="5">
        <f>INT(TB[[#This Row],[时间戳]])</f>
        <v>45988</v>
      </c>
      <c r="J3149" s="2">
        <f>HOUR(TB[[#This Row],[时间戳]])</f>
        <v>23</v>
      </c>
      <c r="K3149">
        <v>6353</v>
      </c>
      <c r="L3149">
        <v>2</v>
      </c>
      <c r="M3149">
        <f>TB[[#This Row],[售价]]*TB[[#This Row],[销量]]</f>
        <v>12706</v>
      </c>
      <c r="N3149" t="str">
        <f>IF(TB[[#This Row],[售价]]&lt;1000,"低价商品",IF(TB[[#This Row],[售价]]&lt;5000,"中价商品",IF(TB[[#This Row],[售价]]&lt;10000,"高价商品","超高价商品")))</f>
        <v>高价商品</v>
      </c>
    </row>
    <row r="3150" spans="1:14" x14ac:dyDescent="0.2">
      <c r="A3150">
        <v>502</v>
      </c>
      <c r="B3150">
        <v>203</v>
      </c>
      <c r="C3150" t="s">
        <v>44</v>
      </c>
      <c r="D3150" t="s">
        <v>379</v>
      </c>
      <c r="E3150" t="s">
        <v>16</v>
      </c>
      <c r="F3150">
        <v>6</v>
      </c>
      <c r="G3150" t="s">
        <v>13</v>
      </c>
      <c r="H3150" s="1">
        <v>45988.987500000003</v>
      </c>
      <c r="I3150" s="5">
        <f>INT(TB[[#This Row],[时间戳]])</f>
        <v>45988</v>
      </c>
      <c r="J3150" s="2">
        <f>HOUR(TB[[#This Row],[时间戳]])</f>
        <v>23</v>
      </c>
      <c r="K3150">
        <v>2000</v>
      </c>
      <c r="L3150">
        <v>5</v>
      </c>
      <c r="M3150">
        <f>TB[[#This Row],[售价]]*TB[[#This Row],[销量]]</f>
        <v>10000</v>
      </c>
      <c r="N3150" t="str">
        <f>IF(TB[[#This Row],[售价]]&lt;1000,"低价商品",IF(TB[[#This Row],[售价]]&lt;5000,"中价商品",IF(TB[[#This Row],[售价]]&lt;10000,"高价商品","超高价商品")))</f>
        <v>中价商品</v>
      </c>
    </row>
    <row r="3151" spans="1:14" x14ac:dyDescent="0.2">
      <c r="A3151">
        <v>478</v>
      </c>
      <c r="B3151">
        <v>267</v>
      </c>
      <c r="C3151" t="s">
        <v>17</v>
      </c>
      <c r="D3151" t="s">
        <v>93</v>
      </c>
      <c r="E3151" t="s">
        <v>12</v>
      </c>
      <c r="F3151">
        <v>2</v>
      </c>
      <c r="G3151" t="s">
        <v>13</v>
      </c>
      <c r="H3151" s="1">
        <v>45988.999305555553</v>
      </c>
      <c r="I3151" s="5">
        <f>INT(TB[[#This Row],[时间戳]])</f>
        <v>45988</v>
      </c>
      <c r="J3151" s="2">
        <f>HOUR(TB[[#This Row],[时间戳]])</f>
        <v>23</v>
      </c>
      <c r="K3151">
        <v>13093</v>
      </c>
      <c r="L3151">
        <v>5</v>
      </c>
      <c r="M3151">
        <f>TB[[#This Row],[售价]]*TB[[#This Row],[销量]]</f>
        <v>65465</v>
      </c>
      <c r="N3151" t="str">
        <f>IF(TB[[#This Row],[售价]]&lt;1000,"低价商品",IF(TB[[#This Row],[售价]]&lt;5000,"中价商品",IF(TB[[#This Row],[售价]]&lt;10000,"高价商品","超高价商品")))</f>
        <v>超高价商品</v>
      </c>
    </row>
    <row r="3152" spans="1:14" x14ac:dyDescent="0.2">
      <c r="A3152">
        <v>770</v>
      </c>
      <c r="B3152">
        <v>129</v>
      </c>
      <c r="C3152" t="s">
        <v>46</v>
      </c>
      <c r="D3152" t="s">
        <v>211</v>
      </c>
      <c r="E3152" t="s">
        <v>31</v>
      </c>
      <c r="F3152">
        <v>4</v>
      </c>
      <c r="G3152" t="s">
        <v>13</v>
      </c>
      <c r="H3152" s="1">
        <v>45989.017361111109</v>
      </c>
      <c r="I3152" s="5">
        <f>INT(TB[[#This Row],[时间戳]])</f>
        <v>45989</v>
      </c>
      <c r="J3152" s="2">
        <f>HOUR(TB[[#This Row],[时间戳]])</f>
        <v>0</v>
      </c>
      <c r="K3152">
        <v>884</v>
      </c>
      <c r="L3152">
        <v>5</v>
      </c>
      <c r="M3152">
        <f>TB[[#This Row],[售价]]*TB[[#This Row],[销量]]</f>
        <v>4420</v>
      </c>
      <c r="N3152" t="str">
        <f>IF(TB[[#This Row],[售价]]&lt;1000,"低价商品",IF(TB[[#This Row],[售价]]&lt;5000,"中价商品",IF(TB[[#This Row],[售价]]&lt;10000,"高价商品","超高价商品")))</f>
        <v>低价商品</v>
      </c>
    </row>
    <row r="3153" spans="1:14" x14ac:dyDescent="0.2">
      <c r="A3153">
        <v>512</v>
      </c>
      <c r="B3153">
        <v>65</v>
      </c>
      <c r="C3153" t="s">
        <v>26</v>
      </c>
      <c r="D3153" t="s">
        <v>364</v>
      </c>
      <c r="E3153" t="s">
        <v>39</v>
      </c>
      <c r="F3153">
        <v>5</v>
      </c>
      <c r="G3153" t="s">
        <v>13</v>
      </c>
      <c r="H3153" s="1">
        <v>45989.022222222222</v>
      </c>
      <c r="I3153" s="5">
        <f>INT(TB[[#This Row],[时间戳]])</f>
        <v>45989</v>
      </c>
      <c r="J3153" s="2">
        <f>HOUR(TB[[#This Row],[时间戳]])</f>
        <v>0</v>
      </c>
      <c r="K3153">
        <v>2952</v>
      </c>
      <c r="L3153">
        <v>5</v>
      </c>
      <c r="M3153">
        <f>TB[[#This Row],[售价]]*TB[[#This Row],[销量]]</f>
        <v>14760</v>
      </c>
      <c r="N3153" t="str">
        <f>IF(TB[[#This Row],[售价]]&lt;1000,"低价商品",IF(TB[[#This Row],[售价]]&lt;5000,"中价商品",IF(TB[[#This Row],[售价]]&lt;10000,"高价商品","超高价商品")))</f>
        <v>中价商品</v>
      </c>
    </row>
    <row r="3154" spans="1:14" x14ac:dyDescent="0.2">
      <c r="A3154">
        <v>377</v>
      </c>
      <c r="B3154">
        <v>153</v>
      </c>
      <c r="C3154" t="s">
        <v>14</v>
      </c>
      <c r="D3154" t="s">
        <v>295</v>
      </c>
      <c r="E3154" t="s">
        <v>39</v>
      </c>
      <c r="F3154">
        <v>5</v>
      </c>
      <c r="G3154" t="s">
        <v>13</v>
      </c>
      <c r="H3154" s="1">
        <v>45989.045138888891</v>
      </c>
      <c r="I3154" s="5">
        <f>INT(TB[[#This Row],[时间戳]])</f>
        <v>45989</v>
      </c>
      <c r="J3154" s="2">
        <f>HOUR(TB[[#This Row],[时间戳]])</f>
        <v>1</v>
      </c>
      <c r="K3154">
        <v>854</v>
      </c>
      <c r="L3154">
        <v>5</v>
      </c>
      <c r="M3154">
        <f>TB[[#This Row],[售价]]*TB[[#This Row],[销量]]</f>
        <v>4270</v>
      </c>
      <c r="N3154" t="str">
        <f>IF(TB[[#This Row],[售价]]&lt;1000,"低价商品",IF(TB[[#This Row],[售价]]&lt;5000,"中价商品",IF(TB[[#This Row],[售价]]&lt;10000,"高价商品","超高价商品")))</f>
        <v>低价商品</v>
      </c>
    </row>
    <row r="3155" spans="1:14" x14ac:dyDescent="0.2">
      <c r="A3155">
        <v>385</v>
      </c>
      <c r="B3155">
        <v>154</v>
      </c>
      <c r="C3155" t="s">
        <v>17</v>
      </c>
      <c r="D3155" t="s">
        <v>137</v>
      </c>
      <c r="E3155" t="s">
        <v>31</v>
      </c>
      <c r="F3155">
        <v>4</v>
      </c>
      <c r="G3155" t="s">
        <v>13</v>
      </c>
      <c r="H3155" s="1">
        <v>45989.055555555555</v>
      </c>
      <c r="I3155" s="5">
        <f>INT(TB[[#This Row],[时间戳]])</f>
        <v>45989</v>
      </c>
      <c r="J3155" s="2">
        <f>HOUR(TB[[#This Row],[时间戳]])</f>
        <v>1</v>
      </c>
      <c r="K3155">
        <v>395</v>
      </c>
      <c r="L3155">
        <v>5</v>
      </c>
      <c r="M3155">
        <f>TB[[#This Row],[售价]]*TB[[#This Row],[销量]]</f>
        <v>1975</v>
      </c>
      <c r="N3155" t="str">
        <f>IF(TB[[#This Row],[售价]]&lt;1000,"低价商品",IF(TB[[#This Row],[售价]]&lt;5000,"中价商品",IF(TB[[#This Row],[售价]]&lt;10000,"高价商品","超高价商品")))</f>
        <v>低价商品</v>
      </c>
    </row>
    <row r="3156" spans="1:14" x14ac:dyDescent="0.2">
      <c r="A3156">
        <v>204</v>
      </c>
      <c r="B3156">
        <v>9</v>
      </c>
      <c r="C3156" t="s">
        <v>34</v>
      </c>
      <c r="D3156" t="s">
        <v>402</v>
      </c>
      <c r="E3156" t="s">
        <v>16</v>
      </c>
      <c r="F3156">
        <v>6</v>
      </c>
      <c r="G3156" t="s">
        <v>13</v>
      </c>
      <c r="H3156" s="1">
        <v>45989.065972222219</v>
      </c>
      <c r="I3156" s="5">
        <f>INT(TB[[#This Row],[时间戳]])</f>
        <v>45989</v>
      </c>
      <c r="J3156" s="2">
        <f>HOUR(TB[[#This Row],[时间戳]])</f>
        <v>1</v>
      </c>
      <c r="K3156">
        <v>7933</v>
      </c>
      <c r="L3156">
        <v>5</v>
      </c>
      <c r="M3156">
        <f>TB[[#This Row],[售价]]*TB[[#This Row],[销量]]</f>
        <v>39665</v>
      </c>
      <c r="N3156" t="str">
        <f>IF(TB[[#This Row],[售价]]&lt;1000,"低价商品",IF(TB[[#This Row],[售价]]&lt;5000,"中价商品",IF(TB[[#This Row],[售价]]&lt;10000,"高价商品","超高价商品")))</f>
        <v>高价商品</v>
      </c>
    </row>
    <row r="3157" spans="1:14" x14ac:dyDescent="0.2">
      <c r="A3157">
        <v>605</v>
      </c>
      <c r="B3157">
        <v>72</v>
      </c>
      <c r="C3157" t="s">
        <v>26</v>
      </c>
      <c r="D3157" t="s">
        <v>122</v>
      </c>
      <c r="E3157" t="s">
        <v>31</v>
      </c>
      <c r="F3157">
        <v>4</v>
      </c>
      <c r="G3157" t="s">
        <v>13</v>
      </c>
      <c r="H3157" s="1">
        <v>45989.085416666669</v>
      </c>
      <c r="I3157" s="5">
        <f>INT(TB[[#This Row],[时间戳]])</f>
        <v>45989</v>
      </c>
      <c r="J3157" s="2">
        <f>HOUR(TB[[#This Row],[时间戳]])</f>
        <v>2</v>
      </c>
      <c r="K3157">
        <v>513</v>
      </c>
      <c r="L3157">
        <v>5</v>
      </c>
      <c r="M3157">
        <f>TB[[#This Row],[售价]]*TB[[#This Row],[销量]]</f>
        <v>2565</v>
      </c>
      <c r="N3157" t="str">
        <f>IF(TB[[#This Row],[售价]]&lt;1000,"低价商品",IF(TB[[#This Row],[售价]]&lt;5000,"中价商品",IF(TB[[#This Row],[售价]]&lt;10000,"高价商品","超高价商品")))</f>
        <v>低价商品</v>
      </c>
    </row>
    <row r="3158" spans="1:14" x14ac:dyDescent="0.2">
      <c r="A3158">
        <v>146</v>
      </c>
      <c r="B3158">
        <v>9</v>
      </c>
      <c r="C3158" t="s">
        <v>17</v>
      </c>
      <c r="D3158" t="s">
        <v>119</v>
      </c>
      <c r="E3158" t="s">
        <v>12</v>
      </c>
      <c r="F3158">
        <v>2</v>
      </c>
      <c r="G3158" t="s">
        <v>13</v>
      </c>
      <c r="H3158" s="1">
        <v>45989.136111111111</v>
      </c>
      <c r="I3158" s="5">
        <f>INT(TB[[#This Row],[时间戳]])</f>
        <v>45989</v>
      </c>
      <c r="J3158" s="2">
        <f>HOUR(TB[[#This Row],[时间戳]])</f>
        <v>3</v>
      </c>
      <c r="K3158">
        <v>14588</v>
      </c>
      <c r="L3158">
        <v>2</v>
      </c>
      <c r="M3158">
        <f>TB[[#This Row],[售价]]*TB[[#This Row],[销量]]</f>
        <v>29176</v>
      </c>
      <c r="N3158" t="str">
        <f>IF(TB[[#This Row],[售价]]&lt;1000,"低价商品",IF(TB[[#This Row],[售价]]&lt;5000,"中价商品",IF(TB[[#This Row],[售价]]&lt;10000,"高价商品","超高价商品")))</f>
        <v>超高价商品</v>
      </c>
    </row>
    <row r="3159" spans="1:14" x14ac:dyDescent="0.2">
      <c r="A3159">
        <v>409</v>
      </c>
      <c r="B3159">
        <v>239</v>
      </c>
      <c r="C3159" t="s">
        <v>36</v>
      </c>
      <c r="D3159" t="s">
        <v>83</v>
      </c>
      <c r="E3159" t="s">
        <v>22</v>
      </c>
      <c r="F3159">
        <v>1</v>
      </c>
      <c r="G3159" t="s">
        <v>13</v>
      </c>
      <c r="H3159" s="1">
        <v>45989.137499999997</v>
      </c>
      <c r="I3159" s="5">
        <f>INT(TB[[#This Row],[时间戳]])</f>
        <v>45989</v>
      </c>
      <c r="J3159" s="2">
        <f>HOUR(TB[[#This Row],[时间戳]])</f>
        <v>3</v>
      </c>
      <c r="K3159">
        <v>2884</v>
      </c>
      <c r="L3159">
        <v>2</v>
      </c>
      <c r="M3159">
        <f>TB[[#This Row],[售价]]*TB[[#This Row],[销量]]</f>
        <v>5768</v>
      </c>
      <c r="N3159" t="str">
        <f>IF(TB[[#This Row],[售价]]&lt;1000,"低价商品",IF(TB[[#This Row],[售价]]&lt;5000,"中价商品",IF(TB[[#This Row],[售价]]&lt;10000,"高价商品","超高价商品")))</f>
        <v>中价商品</v>
      </c>
    </row>
    <row r="3160" spans="1:14" x14ac:dyDescent="0.2">
      <c r="A3160">
        <v>475</v>
      </c>
      <c r="B3160">
        <v>67</v>
      </c>
      <c r="C3160" t="s">
        <v>34</v>
      </c>
      <c r="D3160" t="s">
        <v>323</v>
      </c>
      <c r="E3160" t="s">
        <v>39</v>
      </c>
      <c r="F3160">
        <v>5</v>
      </c>
      <c r="G3160" t="s">
        <v>13</v>
      </c>
      <c r="H3160" s="1">
        <v>45989.169444444444</v>
      </c>
      <c r="I3160" s="5">
        <f>INT(TB[[#This Row],[时间戳]])</f>
        <v>45989</v>
      </c>
      <c r="J3160" s="2">
        <f>HOUR(TB[[#This Row],[时间戳]])</f>
        <v>4</v>
      </c>
      <c r="K3160">
        <v>3757</v>
      </c>
      <c r="L3160">
        <v>5</v>
      </c>
      <c r="M3160">
        <f>TB[[#This Row],[售价]]*TB[[#This Row],[销量]]</f>
        <v>18785</v>
      </c>
      <c r="N3160" t="str">
        <f>IF(TB[[#This Row],[售价]]&lt;1000,"低价商品",IF(TB[[#This Row],[售价]]&lt;5000,"中价商品",IF(TB[[#This Row],[售价]]&lt;10000,"高价商品","超高价商品")))</f>
        <v>中价商品</v>
      </c>
    </row>
    <row r="3161" spans="1:14" x14ac:dyDescent="0.2">
      <c r="A3161">
        <v>656</v>
      </c>
      <c r="B3161">
        <v>52</v>
      </c>
      <c r="C3161" t="s">
        <v>32</v>
      </c>
      <c r="D3161" t="s">
        <v>314</v>
      </c>
      <c r="E3161" t="s">
        <v>16</v>
      </c>
      <c r="F3161">
        <v>6</v>
      </c>
      <c r="G3161" t="s">
        <v>42</v>
      </c>
      <c r="H3161" s="1">
        <v>45989.175694444442</v>
      </c>
      <c r="I3161" s="5">
        <f>INT(TB[[#This Row],[时间戳]])</f>
        <v>45989</v>
      </c>
      <c r="J3161" s="2">
        <f>HOUR(TB[[#This Row],[时间戳]])</f>
        <v>4</v>
      </c>
      <c r="K3161">
        <v>8638</v>
      </c>
      <c r="L3161">
        <v>0</v>
      </c>
      <c r="M3161">
        <f>TB[[#This Row],[售价]]*TB[[#This Row],[销量]]</f>
        <v>0</v>
      </c>
      <c r="N3161" t="str">
        <f>IF(TB[[#This Row],[售价]]&lt;1000,"低价商品",IF(TB[[#This Row],[售价]]&lt;5000,"中价商品",IF(TB[[#This Row],[售价]]&lt;10000,"高价商品","超高价商品")))</f>
        <v>高价商品</v>
      </c>
    </row>
    <row r="3162" spans="1:14" x14ac:dyDescent="0.2">
      <c r="A3162">
        <v>477</v>
      </c>
      <c r="B3162">
        <v>198</v>
      </c>
      <c r="C3162" t="s">
        <v>10</v>
      </c>
      <c r="D3162" t="s">
        <v>247</v>
      </c>
      <c r="E3162" t="s">
        <v>31</v>
      </c>
      <c r="F3162">
        <v>4</v>
      </c>
      <c r="G3162" t="s">
        <v>13</v>
      </c>
      <c r="H3162" s="1">
        <v>45989.186111111114</v>
      </c>
      <c r="I3162" s="5">
        <f>INT(TB[[#This Row],[时间戳]])</f>
        <v>45989</v>
      </c>
      <c r="J3162" s="2">
        <f>HOUR(TB[[#This Row],[时间戳]])</f>
        <v>4</v>
      </c>
      <c r="K3162">
        <v>646</v>
      </c>
      <c r="L3162">
        <v>5</v>
      </c>
      <c r="M3162">
        <f>TB[[#This Row],[售价]]*TB[[#This Row],[销量]]</f>
        <v>3230</v>
      </c>
      <c r="N3162" t="str">
        <f>IF(TB[[#This Row],[售价]]&lt;1000,"低价商品",IF(TB[[#This Row],[售价]]&lt;5000,"中价商品",IF(TB[[#This Row],[售价]]&lt;10000,"高价商品","超高价商品")))</f>
        <v>低价商品</v>
      </c>
    </row>
    <row r="3163" spans="1:14" x14ac:dyDescent="0.2">
      <c r="A3163">
        <v>302</v>
      </c>
      <c r="B3163">
        <v>182</v>
      </c>
      <c r="C3163" t="s">
        <v>14</v>
      </c>
      <c r="D3163" t="s">
        <v>29</v>
      </c>
      <c r="E3163" t="s">
        <v>22</v>
      </c>
      <c r="F3163">
        <v>1</v>
      </c>
      <c r="G3163" t="s">
        <v>13</v>
      </c>
      <c r="H3163" s="1">
        <v>45989.186805555553</v>
      </c>
      <c r="I3163" s="5">
        <f>INT(TB[[#This Row],[时间戳]])</f>
        <v>45989</v>
      </c>
      <c r="J3163" s="2">
        <f>HOUR(TB[[#This Row],[时间戳]])</f>
        <v>4</v>
      </c>
      <c r="K3163">
        <v>6373</v>
      </c>
      <c r="L3163">
        <v>5</v>
      </c>
      <c r="M3163">
        <f>TB[[#This Row],[售价]]*TB[[#This Row],[销量]]</f>
        <v>31865</v>
      </c>
      <c r="N3163" t="str">
        <f>IF(TB[[#This Row],[售价]]&lt;1000,"低价商品",IF(TB[[#This Row],[售价]]&lt;5000,"中价商品",IF(TB[[#This Row],[售价]]&lt;10000,"高价商品","超高价商品")))</f>
        <v>高价商品</v>
      </c>
    </row>
    <row r="3164" spans="1:14" x14ac:dyDescent="0.2">
      <c r="A3164">
        <v>42</v>
      </c>
      <c r="B3164">
        <v>246</v>
      </c>
      <c r="C3164" t="s">
        <v>20</v>
      </c>
      <c r="D3164" t="s">
        <v>261</v>
      </c>
      <c r="E3164" t="s">
        <v>22</v>
      </c>
      <c r="F3164">
        <v>1</v>
      </c>
      <c r="G3164" t="s">
        <v>13</v>
      </c>
      <c r="H3164" s="1">
        <v>45989.193749999999</v>
      </c>
      <c r="I3164" s="5">
        <f>INT(TB[[#This Row],[时间戳]])</f>
        <v>45989</v>
      </c>
      <c r="J3164" s="2">
        <f>HOUR(TB[[#This Row],[时间戳]])</f>
        <v>4</v>
      </c>
      <c r="K3164">
        <v>7788</v>
      </c>
      <c r="L3164">
        <v>5</v>
      </c>
      <c r="M3164">
        <f>TB[[#This Row],[售价]]*TB[[#This Row],[销量]]</f>
        <v>38940</v>
      </c>
      <c r="N3164" t="str">
        <f>IF(TB[[#This Row],[售价]]&lt;1000,"低价商品",IF(TB[[#This Row],[售价]]&lt;5000,"中价商品",IF(TB[[#This Row],[售价]]&lt;10000,"高价商品","超高价商品")))</f>
        <v>高价商品</v>
      </c>
    </row>
    <row r="3165" spans="1:14" x14ac:dyDescent="0.2">
      <c r="A3165">
        <v>318</v>
      </c>
      <c r="B3165">
        <v>260</v>
      </c>
      <c r="C3165" t="s">
        <v>34</v>
      </c>
      <c r="D3165" t="s">
        <v>35</v>
      </c>
      <c r="E3165" t="s">
        <v>19</v>
      </c>
      <c r="F3165">
        <v>3</v>
      </c>
      <c r="G3165" t="s">
        <v>13</v>
      </c>
      <c r="H3165" s="1">
        <v>45989.206250000003</v>
      </c>
      <c r="I3165" s="5">
        <f>INT(TB[[#This Row],[时间戳]])</f>
        <v>45989</v>
      </c>
      <c r="J3165" s="2">
        <f>HOUR(TB[[#This Row],[时间戳]])</f>
        <v>4</v>
      </c>
      <c r="K3165">
        <v>2035</v>
      </c>
      <c r="L3165">
        <v>5</v>
      </c>
      <c r="M3165">
        <f>TB[[#This Row],[售价]]*TB[[#This Row],[销量]]</f>
        <v>10175</v>
      </c>
      <c r="N3165" t="str">
        <f>IF(TB[[#This Row],[售价]]&lt;1000,"低价商品",IF(TB[[#This Row],[售价]]&lt;5000,"中价商品",IF(TB[[#This Row],[售价]]&lt;10000,"高价商品","超高价商品")))</f>
        <v>中价商品</v>
      </c>
    </row>
    <row r="3166" spans="1:14" x14ac:dyDescent="0.2">
      <c r="A3166">
        <v>763</v>
      </c>
      <c r="B3166">
        <v>288</v>
      </c>
      <c r="C3166" t="s">
        <v>14</v>
      </c>
      <c r="D3166" t="s">
        <v>43</v>
      </c>
      <c r="E3166" t="s">
        <v>31</v>
      </c>
      <c r="F3166">
        <v>4</v>
      </c>
      <c r="G3166" t="s">
        <v>13</v>
      </c>
      <c r="H3166" s="1">
        <v>45989.207638888889</v>
      </c>
      <c r="I3166" s="5">
        <f>INT(TB[[#This Row],[时间戳]])</f>
        <v>45989</v>
      </c>
      <c r="J3166" s="2">
        <f>HOUR(TB[[#This Row],[时间戳]])</f>
        <v>4</v>
      </c>
      <c r="K3166">
        <v>194</v>
      </c>
      <c r="L3166">
        <v>5</v>
      </c>
      <c r="M3166">
        <f>TB[[#This Row],[售价]]*TB[[#This Row],[销量]]</f>
        <v>970</v>
      </c>
      <c r="N3166" t="str">
        <f>IF(TB[[#This Row],[售价]]&lt;1000,"低价商品",IF(TB[[#This Row],[售价]]&lt;5000,"中价商品",IF(TB[[#This Row],[售价]]&lt;10000,"高价商品","超高价商品")))</f>
        <v>低价商品</v>
      </c>
    </row>
    <row r="3167" spans="1:14" x14ac:dyDescent="0.2">
      <c r="A3167">
        <v>224</v>
      </c>
      <c r="B3167">
        <v>267</v>
      </c>
      <c r="C3167" t="s">
        <v>10</v>
      </c>
      <c r="D3167" t="s">
        <v>352</v>
      </c>
      <c r="E3167" t="s">
        <v>12</v>
      </c>
      <c r="F3167">
        <v>2</v>
      </c>
      <c r="G3167" t="s">
        <v>13</v>
      </c>
      <c r="H3167" s="1">
        <v>45989.219444444447</v>
      </c>
      <c r="I3167" s="5">
        <f>INT(TB[[#This Row],[时间戳]])</f>
        <v>45989</v>
      </c>
      <c r="J3167" s="2">
        <f>HOUR(TB[[#This Row],[时间戳]])</f>
        <v>5</v>
      </c>
      <c r="K3167">
        <v>8247</v>
      </c>
      <c r="L3167">
        <v>5</v>
      </c>
      <c r="M3167">
        <f>TB[[#This Row],[售价]]*TB[[#This Row],[销量]]</f>
        <v>41235</v>
      </c>
      <c r="N3167" t="str">
        <f>IF(TB[[#This Row],[售价]]&lt;1000,"低价商品",IF(TB[[#This Row],[售价]]&lt;5000,"中价商品",IF(TB[[#This Row],[售价]]&lt;10000,"高价商品","超高价商品")))</f>
        <v>高价商品</v>
      </c>
    </row>
    <row r="3168" spans="1:14" x14ac:dyDescent="0.2">
      <c r="A3168">
        <v>343</v>
      </c>
      <c r="B3168">
        <v>236</v>
      </c>
      <c r="C3168" t="s">
        <v>44</v>
      </c>
      <c r="D3168" t="s">
        <v>45</v>
      </c>
      <c r="E3168" t="s">
        <v>19</v>
      </c>
      <c r="F3168">
        <v>3</v>
      </c>
      <c r="G3168" t="s">
        <v>13</v>
      </c>
      <c r="H3168" s="1">
        <v>45989.268055555556</v>
      </c>
      <c r="I3168" s="5">
        <f>INT(TB[[#This Row],[时间戳]])</f>
        <v>45989</v>
      </c>
      <c r="J3168" s="2">
        <f>HOUR(TB[[#This Row],[时间戳]])</f>
        <v>6</v>
      </c>
      <c r="K3168">
        <v>4353</v>
      </c>
      <c r="L3168">
        <v>5</v>
      </c>
      <c r="M3168">
        <f>TB[[#This Row],[售价]]*TB[[#This Row],[销量]]</f>
        <v>21765</v>
      </c>
      <c r="N3168" t="str">
        <f>IF(TB[[#This Row],[售价]]&lt;1000,"低价商品",IF(TB[[#This Row],[售价]]&lt;5000,"中价商品",IF(TB[[#This Row],[售价]]&lt;10000,"高价商品","超高价商品")))</f>
        <v>中价商品</v>
      </c>
    </row>
    <row r="3169" spans="1:14" x14ac:dyDescent="0.2">
      <c r="A3169">
        <v>377</v>
      </c>
      <c r="B3169">
        <v>27</v>
      </c>
      <c r="C3169" t="s">
        <v>34</v>
      </c>
      <c r="D3169" t="s">
        <v>291</v>
      </c>
      <c r="E3169" t="s">
        <v>31</v>
      </c>
      <c r="F3169">
        <v>4</v>
      </c>
      <c r="G3169" t="s">
        <v>13</v>
      </c>
      <c r="H3169" s="1">
        <v>45989.270138888889</v>
      </c>
      <c r="I3169" s="5">
        <f>INT(TB[[#This Row],[时间戳]])</f>
        <v>45989</v>
      </c>
      <c r="J3169" s="2">
        <f>HOUR(TB[[#This Row],[时间戳]])</f>
        <v>6</v>
      </c>
      <c r="K3169">
        <v>878</v>
      </c>
      <c r="L3169">
        <v>5</v>
      </c>
      <c r="M3169">
        <f>TB[[#This Row],[售价]]*TB[[#This Row],[销量]]</f>
        <v>4390</v>
      </c>
      <c r="N3169" t="str">
        <f>IF(TB[[#This Row],[售价]]&lt;1000,"低价商品",IF(TB[[#This Row],[售价]]&lt;5000,"中价商品",IF(TB[[#This Row],[售价]]&lt;10000,"高价商品","超高价商品")))</f>
        <v>低价商品</v>
      </c>
    </row>
    <row r="3170" spans="1:14" x14ac:dyDescent="0.2">
      <c r="A3170">
        <v>449</v>
      </c>
      <c r="B3170">
        <v>250</v>
      </c>
      <c r="C3170" t="s">
        <v>46</v>
      </c>
      <c r="D3170" t="s">
        <v>80</v>
      </c>
      <c r="E3170" t="s">
        <v>22</v>
      </c>
      <c r="F3170">
        <v>1</v>
      </c>
      <c r="G3170" t="s">
        <v>42</v>
      </c>
      <c r="H3170" s="1">
        <v>45989.296527777777</v>
      </c>
      <c r="I3170" s="5">
        <f>INT(TB[[#This Row],[时间戳]])</f>
        <v>45989</v>
      </c>
      <c r="J3170" s="2">
        <f>HOUR(TB[[#This Row],[时间戳]])</f>
        <v>7</v>
      </c>
      <c r="K3170">
        <v>7627</v>
      </c>
      <c r="L3170">
        <v>0</v>
      </c>
      <c r="M3170">
        <f>TB[[#This Row],[售价]]*TB[[#This Row],[销量]]</f>
        <v>0</v>
      </c>
      <c r="N3170" t="str">
        <f>IF(TB[[#This Row],[售价]]&lt;1000,"低价商品",IF(TB[[#This Row],[售价]]&lt;5000,"中价商品",IF(TB[[#This Row],[售价]]&lt;10000,"高价商品","超高价商品")))</f>
        <v>高价商品</v>
      </c>
    </row>
    <row r="3171" spans="1:14" x14ac:dyDescent="0.2">
      <c r="A3171">
        <v>683</v>
      </c>
      <c r="B3171">
        <v>281</v>
      </c>
      <c r="C3171" t="s">
        <v>20</v>
      </c>
      <c r="D3171" t="s">
        <v>319</v>
      </c>
      <c r="E3171" t="s">
        <v>31</v>
      </c>
      <c r="F3171">
        <v>4</v>
      </c>
      <c r="G3171" t="s">
        <v>13</v>
      </c>
      <c r="H3171" s="1">
        <v>45989.306250000001</v>
      </c>
      <c r="I3171" s="5">
        <f>INT(TB[[#This Row],[时间戳]])</f>
        <v>45989</v>
      </c>
      <c r="J3171" s="2">
        <f>HOUR(TB[[#This Row],[时间戳]])</f>
        <v>7</v>
      </c>
      <c r="K3171">
        <v>1127</v>
      </c>
      <c r="L3171">
        <v>2</v>
      </c>
      <c r="M3171">
        <f>TB[[#This Row],[售价]]*TB[[#This Row],[销量]]</f>
        <v>2254</v>
      </c>
      <c r="N3171" t="str">
        <f>IF(TB[[#This Row],[售价]]&lt;1000,"低价商品",IF(TB[[#This Row],[售价]]&lt;5000,"中价商品",IF(TB[[#This Row],[售价]]&lt;10000,"高价商品","超高价商品")))</f>
        <v>中价商品</v>
      </c>
    </row>
    <row r="3172" spans="1:14" x14ac:dyDescent="0.2">
      <c r="A3172">
        <v>387</v>
      </c>
      <c r="B3172">
        <v>170</v>
      </c>
      <c r="C3172" t="s">
        <v>14</v>
      </c>
      <c r="D3172" t="s">
        <v>43</v>
      </c>
      <c r="E3172" t="s">
        <v>31</v>
      </c>
      <c r="F3172">
        <v>4</v>
      </c>
      <c r="G3172" t="s">
        <v>42</v>
      </c>
      <c r="H3172" s="1">
        <v>45989.325694444444</v>
      </c>
      <c r="I3172" s="5">
        <f>INT(TB[[#This Row],[时间戳]])</f>
        <v>45989</v>
      </c>
      <c r="J3172" s="2">
        <f>HOUR(TB[[#This Row],[时间戳]])</f>
        <v>7</v>
      </c>
      <c r="K3172">
        <v>1268</v>
      </c>
      <c r="L3172">
        <v>0</v>
      </c>
      <c r="M3172">
        <f>TB[[#This Row],[售价]]*TB[[#This Row],[销量]]</f>
        <v>0</v>
      </c>
      <c r="N3172" t="str">
        <f>IF(TB[[#This Row],[售价]]&lt;1000,"低价商品",IF(TB[[#This Row],[售价]]&lt;5000,"中价商品",IF(TB[[#This Row],[售价]]&lt;10000,"高价商品","超高价商品")))</f>
        <v>中价商品</v>
      </c>
    </row>
    <row r="3173" spans="1:14" x14ac:dyDescent="0.2">
      <c r="A3173">
        <v>148</v>
      </c>
      <c r="B3173">
        <v>73</v>
      </c>
      <c r="C3173" t="s">
        <v>44</v>
      </c>
      <c r="D3173" t="s">
        <v>158</v>
      </c>
      <c r="E3173" t="s">
        <v>31</v>
      </c>
      <c r="F3173">
        <v>4</v>
      </c>
      <c r="G3173" t="s">
        <v>42</v>
      </c>
      <c r="H3173" s="1">
        <v>45989.331250000003</v>
      </c>
      <c r="I3173" s="5">
        <f>INT(TB[[#This Row],[时间戳]])</f>
        <v>45989</v>
      </c>
      <c r="J3173" s="2">
        <f>HOUR(TB[[#This Row],[时间戳]])</f>
        <v>7</v>
      </c>
      <c r="K3173">
        <v>1500</v>
      </c>
      <c r="L3173">
        <v>0</v>
      </c>
      <c r="M3173">
        <f>TB[[#This Row],[售价]]*TB[[#This Row],[销量]]</f>
        <v>0</v>
      </c>
      <c r="N3173" t="str">
        <f>IF(TB[[#This Row],[售价]]&lt;1000,"低价商品",IF(TB[[#This Row],[售价]]&lt;5000,"中价商品",IF(TB[[#This Row],[售价]]&lt;10000,"高价商品","超高价商品")))</f>
        <v>中价商品</v>
      </c>
    </row>
    <row r="3174" spans="1:14" x14ac:dyDescent="0.2">
      <c r="A3174">
        <v>394</v>
      </c>
      <c r="B3174">
        <v>142</v>
      </c>
      <c r="C3174" t="s">
        <v>14</v>
      </c>
      <c r="D3174" t="s">
        <v>29</v>
      </c>
      <c r="E3174" t="s">
        <v>22</v>
      </c>
      <c r="F3174">
        <v>1</v>
      </c>
      <c r="G3174" t="s">
        <v>13</v>
      </c>
      <c r="H3174" s="1">
        <v>45989.334722222222</v>
      </c>
      <c r="I3174" s="5">
        <f>INT(TB[[#This Row],[时间戳]])</f>
        <v>45989</v>
      </c>
      <c r="J3174" s="2">
        <f>HOUR(TB[[#This Row],[时间戳]])</f>
        <v>8</v>
      </c>
      <c r="K3174">
        <v>7143</v>
      </c>
      <c r="L3174">
        <v>5</v>
      </c>
      <c r="M3174">
        <f>TB[[#This Row],[售价]]*TB[[#This Row],[销量]]</f>
        <v>35715</v>
      </c>
      <c r="N3174" t="str">
        <f>IF(TB[[#This Row],[售价]]&lt;1000,"低价商品",IF(TB[[#This Row],[售价]]&lt;5000,"中价商品",IF(TB[[#This Row],[售价]]&lt;10000,"高价商品","超高价商品")))</f>
        <v>高价商品</v>
      </c>
    </row>
    <row r="3175" spans="1:14" x14ac:dyDescent="0.2">
      <c r="A3175">
        <v>311</v>
      </c>
      <c r="B3175">
        <v>7</v>
      </c>
      <c r="C3175" t="s">
        <v>10</v>
      </c>
      <c r="D3175" t="s">
        <v>201</v>
      </c>
      <c r="E3175" t="s">
        <v>31</v>
      </c>
      <c r="F3175">
        <v>4</v>
      </c>
      <c r="G3175" t="s">
        <v>13</v>
      </c>
      <c r="H3175" s="1">
        <v>45989.338194444441</v>
      </c>
      <c r="I3175" s="5">
        <f>INT(TB[[#This Row],[时间戳]])</f>
        <v>45989</v>
      </c>
      <c r="J3175" s="2">
        <f>HOUR(TB[[#This Row],[时间戳]])</f>
        <v>8</v>
      </c>
      <c r="K3175">
        <v>769</v>
      </c>
      <c r="L3175">
        <v>5</v>
      </c>
      <c r="M3175">
        <f>TB[[#This Row],[售价]]*TB[[#This Row],[销量]]</f>
        <v>3845</v>
      </c>
      <c r="N3175" t="str">
        <f>IF(TB[[#This Row],[售价]]&lt;1000,"低价商品",IF(TB[[#This Row],[售价]]&lt;5000,"中价商品",IF(TB[[#This Row],[售价]]&lt;10000,"高价商品","超高价商品")))</f>
        <v>低价商品</v>
      </c>
    </row>
    <row r="3176" spans="1:14" x14ac:dyDescent="0.2">
      <c r="A3176">
        <v>199</v>
      </c>
      <c r="B3176">
        <v>214</v>
      </c>
      <c r="C3176" t="s">
        <v>17</v>
      </c>
      <c r="D3176" t="s">
        <v>50</v>
      </c>
      <c r="E3176" t="s">
        <v>22</v>
      </c>
      <c r="F3176">
        <v>1</v>
      </c>
      <c r="G3176" t="s">
        <v>13</v>
      </c>
      <c r="H3176" s="1">
        <v>45989.338888888888</v>
      </c>
      <c r="I3176" s="5">
        <f>INT(TB[[#This Row],[时间戳]])</f>
        <v>45989</v>
      </c>
      <c r="J3176" s="2">
        <f>HOUR(TB[[#This Row],[时间戳]])</f>
        <v>8</v>
      </c>
      <c r="K3176">
        <v>1988</v>
      </c>
      <c r="L3176">
        <v>5</v>
      </c>
      <c r="M3176">
        <f>TB[[#This Row],[售价]]*TB[[#This Row],[销量]]</f>
        <v>9940</v>
      </c>
      <c r="N3176" t="str">
        <f>IF(TB[[#This Row],[售价]]&lt;1000,"低价商品",IF(TB[[#This Row],[售价]]&lt;5000,"中价商品",IF(TB[[#This Row],[售价]]&lt;10000,"高价商品","超高价商品")))</f>
        <v>中价商品</v>
      </c>
    </row>
    <row r="3177" spans="1:14" x14ac:dyDescent="0.2">
      <c r="A3177">
        <v>262</v>
      </c>
      <c r="B3177">
        <v>108</v>
      </c>
      <c r="C3177" t="s">
        <v>20</v>
      </c>
      <c r="D3177" t="s">
        <v>399</v>
      </c>
      <c r="E3177" t="s">
        <v>31</v>
      </c>
      <c r="F3177">
        <v>4</v>
      </c>
      <c r="G3177" t="s">
        <v>13</v>
      </c>
      <c r="H3177" s="1">
        <v>45989.343055555553</v>
      </c>
      <c r="I3177" s="5">
        <f>INT(TB[[#This Row],[时间戳]])</f>
        <v>45989</v>
      </c>
      <c r="J3177" s="2">
        <f>HOUR(TB[[#This Row],[时间戳]])</f>
        <v>8</v>
      </c>
      <c r="K3177">
        <v>378</v>
      </c>
      <c r="L3177">
        <v>2</v>
      </c>
      <c r="M3177">
        <f>TB[[#This Row],[售价]]*TB[[#This Row],[销量]]</f>
        <v>756</v>
      </c>
      <c r="N3177" t="str">
        <f>IF(TB[[#This Row],[售价]]&lt;1000,"低价商品",IF(TB[[#This Row],[售价]]&lt;5000,"中价商品",IF(TB[[#This Row],[售价]]&lt;10000,"高价商品","超高价商品")))</f>
        <v>低价商品</v>
      </c>
    </row>
    <row r="3178" spans="1:14" x14ac:dyDescent="0.2">
      <c r="A3178">
        <v>272</v>
      </c>
      <c r="B3178">
        <v>248</v>
      </c>
      <c r="C3178" t="s">
        <v>26</v>
      </c>
      <c r="D3178" t="s">
        <v>225</v>
      </c>
      <c r="E3178" t="s">
        <v>31</v>
      </c>
      <c r="F3178">
        <v>4</v>
      </c>
      <c r="G3178" t="s">
        <v>13</v>
      </c>
      <c r="H3178" s="1">
        <v>45989.363194444442</v>
      </c>
      <c r="I3178" s="5">
        <f>INT(TB[[#This Row],[时间戳]])</f>
        <v>45989</v>
      </c>
      <c r="J3178" s="2">
        <f>HOUR(TB[[#This Row],[时间戳]])</f>
        <v>8</v>
      </c>
      <c r="K3178">
        <v>50</v>
      </c>
      <c r="L3178">
        <v>2</v>
      </c>
      <c r="M3178">
        <f>TB[[#This Row],[售价]]*TB[[#This Row],[销量]]</f>
        <v>100</v>
      </c>
      <c r="N3178" t="str">
        <f>IF(TB[[#This Row],[售价]]&lt;1000,"低价商品",IF(TB[[#This Row],[售价]]&lt;5000,"中价商品",IF(TB[[#This Row],[售价]]&lt;10000,"高价商品","超高价商品")))</f>
        <v>低价商品</v>
      </c>
    </row>
    <row r="3179" spans="1:14" x14ac:dyDescent="0.2">
      <c r="A3179">
        <v>689</v>
      </c>
      <c r="B3179">
        <v>253</v>
      </c>
      <c r="C3179" t="s">
        <v>44</v>
      </c>
      <c r="D3179" t="s">
        <v>415</v>
      </c>
      <c r="E3179" t="s">
        <v>39</v>
      </c>
      <c r="F3179">
        <v>5</v>
      </c>
      <c r="G3179" t="s">
        <v>13</v>
      </c>
      <c r="H3179" s="1">
        <v>45989.402083333334</v>
      </c>
      <c r="I3179" s="5">
        <f>INT(TB[[#This Row],[时间戳]])</f>
        <v>45989</v>
      </c>
      <c r="J3179" s="2">
        <f>HOUR(TB[[#This Row],[时间戳]])</f>
        <v>9</v>
      </c>
      <c r="K3179">
        <v>982</v>
      </c>
      <c r="L3179">
        <v>5</v>
      </c>
      <c r="M3179">
        <f>TB[[#This Row],[售价]]*TB[[#This Row],[销量]]</f>
        <v>4910</v>
      </c>
      <c r="N3179" t="str">
        <f>IF(TB[[#This Row],[售价]]&lt;1000,"低价商品",IF(TB[[#This Row],[售价]]&lt;5000,"中价商品",IF(TB[[#This Row],[售价]]&lt;10000,"高价商品","超高价商品")))</f>
        <v>低价商品</v>
      </c>
    </row>
    <row r="3180" spans="1:14" x14ac:dyDescent="0.2">
      <c r="A3180">
        <v>632</v>
      </c>
      <c r="B3180">
        <v>191</v>
      </c>
      <c r="C3180" t="s">
        <v>44</v>
      </c>
      <c r="D3180" t="s">
        <v>158</v>
      </c>
      <c r="E3180" t="s">
        <v>31</v>
      </c>
      <c r="F3180">
        <v>4</v>
      </c>
      <c r="G3180" t="s">
        <v>13</v>
      </c>
      <c r="H3180" s="1">
        <v>45989.433333333334</v>
      </c>
      <c r="I3180" s="5">
        <f>INT(TB[[#This Row],[时间戳]])</f>
        <v>45989</v>
      </c>
      <c r="J3180" s="2">
        <f>HOUR(TB[[#This Row],[时间戳]])</f>
        <v>10</v>
      </c>
      <c r="K3180">
        <v>123</v>
      </c>
      <c r="L3180">
        <v>5</v>
      </c>
      <c r="M3180">
        <f>TB[[#This Row],[售价]]*TB[[#This Row],[销量]]</f>
        <v>615</v>
      </c>
      <c r="N3180" t="str">
        <f>IF(TB[[#This Row],[售价]]&lt;1000,"低价商品",IF(TB[[#This Row],[售价]]&lt;5000,"中价商品",IF(TB[[#This Row],[售价]]&lt;10000,"高价商品","超高价商品")))</f>
        <v>低价商品</v>
      </c>
    </row>
    <row r="3181" spans="1:14" x14ac:dyDescent="0.2">
      <c r="A3181">
        <v>562</v>
      </c>
      <c r="B3181">
        <v>170</v>
      </c>
      <c r="C3181" t="s">
        <v>46</v>
      </c>
      <c r="D3181" t="s">
        <v>84</v>
      </c>
      <c r="E3181" t="s">
        <v>39</v>
      </c>
      <c r="F3181">
        <v>5</v>
      </c>
      <c r="G3181" t="s">
        <v>13</v>
      </c>
      <c r="H3181" s="1">
        <v>45989.454861111109</v>
      </c>
      <c r="I3181" s="5">
        <f>INT(TB[[#This Row],[时间戳]])</f>
        <v>45989</v>
      </c>
      <c r="J3181" s="2">
        <f>HOUR(TB[[#This Row],[时间戳]])</f>
        <v>10</v>
      </c>
      <c r="K3181">
        <v>2652</v>
      </c>
      <c r="L3181">
        <v>5</v>
      </c>
      <c r="M3181">
        <f>TB[[#This Row],[售价]]*TB[[#This Row],[销量]]</f>
        <v>13260</v>
      </c>
      <c r="N3181" t="str">
        <f>IF(TB[[#This Row],[售价]]&lt;1000,"低价商品",IF(TB[[#This Row],[售价]]&lt;5000,"中价商品",IF(TB[[#This Row],[售价]]&lt;10000,"高价商品","超高价商品")))</f>
        <v>中价商品</v>
      </c>
    </row>
    <row r="3182" spans="1:14" x14ac:dyDescent="0.2">
      <c r="A3182">
        <v>160</v>
      </c>
      <c r="B3182">
        <v>267</v>
      </c>
      <c r="C3182" t="s">
        <v>34</v>
      </c>
      <c r="D3182" t="s">
        <v>199</v>
      </c>
      <c r="E3182" t="s">
        <v>39</v>
      </c>
      <c r="F3182">
        <v>5</v>
      </c>
      <c r="G3182" t="s">
        <v>13</v>
      </c>
      <c r="H3182" s="1">
        <v>45989.456944444442</v>
      </c>
      <c r="I3182" s="5">
        <f>INT(TB[[#This Row],[时间戳]])</f>
        <v>45989</v>
      </c>
      <c r="J3182" s="2">
        <f>HOUR(TB[[#This Row],[时间戳]])</f>
        <v>10</v>
      </c>
      <c r="K3182">
        <v>3526</v>
      </c>
      <c r="L3182">
        <v>5</v>
      </c>
      <c r="M3182">
        <f>TB[[#This Row],[售价]]*TB[[#This Row],[销量]]</f>
        <v>17630</v>
      </c>
      <c r="N3182" t="str">
        <f>IF(TB[[#This Row],[售价]]&lt;1000,"低价商品",IF(TB[[#This Row],[售价]]&lt;5000,"中价商品",IF(TB[[#This Row],[售价]]&lt;10000,"高价商品","超高价商品")))</f>
        <v>中价商品</v>
      </c>
    </row>
    <row r="3183" spans="1:14" x14ac:dyDescent="0.2">
      <c r="A3183">
        <v>23</v>
      </c>
      <c r="B3183">
        <v>223</v>
      </c>
      <c r="C3183" t="s">
        <v>32</v>
      </c>
      <c r="D3183" t="s">
        <v>208</v>
      </c>
      <c r="E3183" t="s">
        <v>12</v>
      </c>
      <c r="F3183">
        <v>2</v>
      </c>
      <c r="G3183" t="s">
        <v>13</v>
      </c>
      <c r="H3183" s="1">
        <v>45989.463194444441</v>
      </c>
      <c r="I3183" s="5">
        <f>INT(TB[[#This Row],[时间戳]])</f>
        <v>45989</v>
      </c>
      <c r="J3183" s="2">
        <f>HOUR(TB[[#This Row],[时间戳]])</f>
        <v>11</v>
      </c>
      <c r="K3183">
        <v>8674</v>
      </c>
      <c r="L3183">
        <v>5</v>
      </c>
      <c r="M3183">
        <f>TB[[#This Row],[售价]]*TB[[#This Row],[销量]]</f>
        <v>43370</v>
      </c>
      <c r="N3183" t="str">
        <f>IF(TB[[#This Row],[售价]]&lt;1000,"低价商品",IF(TB[[#This Row],[售价]]&lt;5000,"中价商品",IF(TB[[#This Row],[售价]]&lt;10000,"高价商品","超高价商品")))</f>
        <v>高价商品</v>
      </c>
    </row>
    <row r="3184" spans="1:14" x14ac:dyDescent="0.2">
      <c r="A3184">
        <v>308</v>
      </c>
      <c r="B3184">
        <v>256</v>
      </c>
      <c r="C3184" t="s">
        <v>34</v>
      </c>
      <c r="D3184" t="s">
        <v>168</v>
      </c>
      <c r="E3184" t="s">
        <v>19</v>
      </c>
      <c r="F3184">
        <v>3</v>
      </c>
      <c r="G3184" t="s">
        <v>42</v>
      </c>
      <c r="H3184" s="1">
        <v>45989.470138888886</v>
      </c>
      <c r="I3184" s="5">
        <f>INT(TB[[#This Row],[时间戳]])</f>
        <v>45989</v>
      </c>
      <c r="J3184" s="2">
        <f>HOUR(TB[[#This Row],[时间戳]])</f>
        <v>11</v>
      </c>
      <c r="K3184">
        <v>5398</v>
      </c>
      <c r="L3184">
        <v>0</v>
      </c>
      <c r="M3184">
        <f>TB[[#This Row],[售价]]*TB[[#This Row],[销量]]</f>
        <v>0</v>
      </c>
      <c r="N3184" t="str">
        <f>IF(TB[[#This Row],[售价]]&lt;1000,"低价商品",IF(TB[[#This Row],[售价]]&lt;5000,"中价商品",IF(TB[[#This Row],[售价]]&lt;10000,"高价商品","超高价商品")))</f>
        <v>高价商品</v>
      </c>
    </row>
    <row r="3185" spans="1:14" x14ac:dyDescent="0.2">
      <c r="A3185">
        <v>264</v>
      </c>
      <c r="B3185">
        <v>55</v>
      </c>
      <c r="C3185" t="s">
        <v>46</v>
      </c>
      <c r="D3185" t="s">
        <v>142</v>
      </c>
      <c r="E3185" t="s">
        <v>31</v>
      </c>
      <c r="F3185">
        <v>4</v>
      </c>
      <c r="G3185" t="s">
        <v>13</v>
      </c>
      <c r="H3185" s="1">
        <v>45989.474999999999</v>
      </c>
      <c r="I3185" s="5">
        <f>INT(TB[[#This Row],[时间戳]])</f>
        <v>45989</v>
      </c>
      <c r="J3185" s="2">
        <f>HOUR(TB[[#This Row],[时间戳]])</f>
        <v>11</v>
      </c>
      <c r="K3185">
        <v>704</v>
      </c>
      <c r="L3185">
        <v>2</v>
      </c>
      <c r="M3185">
        <f>TB[[#This Row],[售价]]*TB[[#This Row],[销量]]</f>
        <v>1408</v>
      </c>
      <c r="N3185" t="str">
        <f>IF(TB[[#This Row],[售价]]&lt;1000,"低价商品",IF(TB[[#This Row],[售价]]&lt;5000,"中价商品",IF(TB[[#This Row],[售价]]&lt;10000,"高价商品","超高价商品")))</f>
        <v>低价商品</v>
      </c>
    </row>
    <row r="3186" spans="1:14" x14ac:dyDescent="0.2">
      <c r="A3186">
        <v>255</v>
      </c>
      <c r="B3186">
        <v>238</v>
      </c>
      <c r="C3186" t="s">
        <v>32</v>
      </c>
      <c r="D3186" t="s">
        <v>118</v>
      </c>
      <c r="E3186" t="s">
        <v>19</v>
      </c>
      <c r="F3186">
        <v>3</v>
      </c>
      <c r="G3186" t="s">
        <v>13</v>
      </c>
      <c r="H3186" s="1">
        <v>45989.488194444442</v>
      </c>
      <c r="I3186" s="5">
        <f>INT(TB[[#This Row],[时间戳]])</f>
        <v>45989</v>
      </c>
      <c r="J3186" s="2">
        <f>HOUR(TB[[#This Row],[时间戳]])</f>
        <v>11</v>
      </c>
      <c r="K3186">
        <v>2796</v>
      </c>
      <c r="L3186">
        <v>5</v>
      </c>
      <c r="M3186">
        <f>TB[[#This Row],[售价]]*TB[[#This Row],[销量]]</f>
        <v>13980</v>
      </c>
      <c r="N3186" t="str">
        <f>IF(TB[[#This Row],[售价]]&lt;1000,"低价商品",IF(TB[[#This Row],[售价]]&lt;5000,"中价商品",IF(TB[[#This Row],[售价]]&lt;10000,"高价商品","超高价商品")))</f>
        <v>中价商品</v>
      </c>
    </row>
    <row r="3187" spans="1:14" x14ac:dyDescent="0.2">
      <c r="A3187">
        <v>372</v>
      </c>
      <c r="B3187">
        <v>212</v>
      </c>
      <c r="C3187" t="s">
        <v>20</v>
      </c>
      <c r="D3187" t="s">
        <v>21</v>
      </c>
      <c r="E3187" t="s">
        <v>22</v>
      </c>
      <c r="F3187">
        <v>1</v>
      </c>
      <c r="G3187" t="s">
        <v>13</v>
      </c>
      <c r="H3187" s="1">
        <v>45989.50277777778</v>
      </c>
      <c r="I3187" s="5">
        <f>INT(TB[[#This Row],[时间戳]])</f>
        <v>45989</v>
      </c>
      <c r="J3187" s="2">
        <f>HOUR(TB[[#This Row],[时间戳]])</f>
        <v>12</v>
      </c>
      <c r="K3187">
        <v>2105</v>
      </c>
      <c r="L3187">
        <v>5</v>
      </c>
      <c r="M3187">
        <f>TB[[#This Row],[售价]]*TB[[#This Row],[销量]]</f>
        <v>10525</v>
      </c>
      <c r="N3187" t="str">
        <f>IF(TB[[#This Row],[售价]]&lt;1000,"低价商品",IF(TB[[#This Row],[售价]]&lt;5000,"中价商品",IF(TB[[#This Row],[售价]]&lt;10000,"高价商品","超高价商品")))</f>
        <v>中价商品</v>
      </c>
    </row>
    <row r="3188" spans="1:14" x14ac:dyDescent="0.2">
      <c r="A3188">
        <v>340</v>
      </c>
      <c r="B3188">
        <v>154</v>
      </c>
      <c r="C3188" t="s">
        <v>17</v>
      </c>
      <c r="D3188" t="s">
        <v>191</v>
      </c>
      <c r="E3188" t="s">
        <v>39</v>
      </c>
      <c r="F3188">
        <v>5</v>
      </c>
      <c r="G3188" t="s">
        <v>13</v>
      </c>
      <c r="H3188" s="1">
        <v>45989.510416666664</v>
      </c>
      <c r="I3188" s="5">
        <f>INT(TB[[#This Row],[时间戳]])</f>
        <v>45989</v>
      </c>
      <c r="J3188" s="2">
        <f>HOUR(TB[[#This Row],[时间戳]])</f>
        <v>12</v>
      </c>
      <c r="K3188">
        <v>3845</v>
      </c>
      <c r="L3188">
        <v>5</v>
      </c>
      <c r="M3188">
        <f>TB[[#This Row],[售价]]*TB[[#This Row],[销量]]</f>
        <v>19225</v>
      </c>
      <c r="N3188" t="str">
        <f>IF(TB[[#This Row],[售价]]&lt;1000,"低价商品",IF(TB[[#This Row],[售价]]&lt;5000,"中价商品",IF(TB[[#This Row],[售价]]&lt;10000,"高价商品","超高价商品")))</f>
        <v>中价商品</v>
      </c>
    </row>
    <row r="3189" spans="1:14" x14ac:dyDescent="0.2">
      <c r="A3189">
        <v>493</v>
      </c>
      <c r="B3189">
        <v>34</v>
      </c>
      <c r="C3189" t="s">
        <v>26</v>
      </c>
      <c r="D3189" t="s">
        <v>364</v>
      </c>
      <c r="E3189" t="s">
        <v>39</v>
      </c>
      <c r="F3189">
        <v>5</v>
      </c>
      <c r="G3189" t="s">
        <v>13</v>
      </c>
      <c r="H3189" s="1">
        <v>45989.518750000003</v>
      </c>
      <c r="I3189" s="5">
        <f>INT(TB[[#This Row],[时间戳]])</f>
        <v>45989</v>
      </c>
      <c r="J3189" s="2">
        <f>HOUR(TB[[#This Row],[时间戳]])</f>
        <v>12</v>
      </c>
      <c r="K3189">
        <v>1056</v>
      </c>
      <c r="L3189">
        <v>5</v>
      </c>
      <c r="M3189">
        <f>TB[[#This Row],[售价]]*TB[[#This Row],[销量]]</f>
        <v>5280</v>
      </c>
      <c r="N3189" t="str">
        <f>IF(TB[[#This Row],[售价]]&lt;1000,"低价商品",IF(TB[[#This Row],[售价]]&lt;5000,"中价商品",IF(TB[[#This Row],[售价]]&lt;10000,"高价商品","超高价商品")))</f>
        <v>中价商品</v>
      </c>
    </row>
    <row r="3190" spans="1:14" x14ac:dyDescent="0.2">
      <c r="A3190">
        <v>443</v>
      </c>
      <c r="B3190">
        <v>79</v>
      </c>
      <c r="C3190" t="s">
        <v>17</v>
      </c>
      <c r="D3190" t="s">
        <v>226</v>
      </c>
      <c r="E3190" t="s">
        <v>16</v>
      </c>
      <c r="F3190">
        <v>6</v>
      </c>
      <c r="G3190" t="s">
        <v>13</v>
      </c>
      <c r="H3190" s="1">
        <v>45989.551388888889</v>
      </c>
      <c r="I3190" s="5">
        <f>INT(TB[[#This Row],[时间戳]])</f>
        <v>45989</v>
      </c>
      <c r="J3190" s="2">
        <f>HOUR(TB[[#This Row],[时间戳]])</f>
        <v>13</v>
      </c>
      <c r="K3190">
        <v>6972</v>
      </c>
      <c r="L3190">
        <v>5</v>
      </c>
      <c r="M3190">
        <f>TB[[#This Row],[售价]]*TB[[#This Row],[销量]]</f>
        <v>34860</v>
      </c>
      <c r="N3190" t="str">
        <f>IF(TB[[#This Row],[售价]]&lt;1000,"低价商品",IF(TB[[#This Row],[售价]]&lt;5000,"中价商品",IF(TB[[#This Row],[售价]]&lt;10000,"高价商品","超高价商品")))</f>
        <v>高价商品</v>
      </c>
    </row>
    <row r="3191" spans="1:14" x14ac:dyDescent="0.2">
      <c r="A3191">
        <v>380</v>
      </c>
      <c r="B3191">
        <v>61</v>
      </c>
      <c r="C3191" t="s">
        <v>10</v>
      </c>
      <c r="D3191" t="s">
        <v>329</v>
      </c>
      <c r="E3191" t="s">
        <v>39</v>
      </c>
      <c r="F3191">
        <v>5</v>
      </c>
      <c r="G3191" t="s">
        <v>13</v>
      </c>
      <c r="H3191" s="1">
        <v>45989.579861111109</v>
      </c>
      <c r="I3191" s="5">
        <f>INT(TB[[#This Row],[时间戳]])</f>
        <v>45989</v>
      </c>
      <c r="J3191" s="2">
        <f>HOUR(TB[[#This Row],[时间戳]])</f>
        <v>13</v>
      </c>
      <c r="K3191">
        <v>2538</v>
      </c>
      <c r="L3191">
        <v>5</v>
      </c>
      <c r="M3191">
        <f>TB[[#This Row],[售价]]*TB[[#This Row],[销量]]</f>
        <v>12690</v>
      </c>
      <c r="N3191" t="str">
        <f>IF(TB[[#This Row],[售价]]&lt;1000,"低价商品",IF(TB[[#This Row],[售价]]&lt;5000,"中价商品",IF(TB[[#This Row],[售价]]&lt;10000,"高价商品","超高价商品")))</f>
        <v>中价商品</v>
      </c>
    </row>
    <row r="3192" spans="1:14" x14ac:dyDescent="0.2">
      <c r="A3192">
        <v>406</v>
      </c>
      <c r="B3192">
        <v>110</v>
      </c>
      <c r="C3192" t="s">
        <v>44</v>
      </c>
      <c r="D3192" t="s">
        <v>66</v>
      </c>
      <c r="E3192" t="s">
        <v>22</v>
      </c>
      <c r="F3192">
        <v>1</v>
      </c>
      <c r="G3192" t="s">
        <v>13</v>
      </c>
      <c r="H3192" s="1">
        <v>45989.586805555555</v>
      </c>
      <c r="I3192" s="5">
        <f>INT(TB[[#This Row],[时间戳]])</f>
        <v>45989</v>
      </c>
      <c r="J3192" s="2">
        <f>HOUR(TB[[#This Row],[时间戳]])</f>
        <v>14</v>
      </c>
      <c r="K3192">
        <v>3443</v>
      </c>
      <c r="L3192">
        <v>2</v>
      </c>
      <c r="M3192">
        <f>TB[[#This Row],[售价]]*TB[[#This Row],[销量]]</f>
        <v>6886</v>
      </c>
      <c r="N3192" t="str">
        <f>IF(TB[[#This Row],[售价]]&lt;1000,"低价商品",IF(TB[[#This Row],[售价]]&lt;5000,"中价商品",IF(TB[[#This Row],[售价]]&lt;10000,"高价商品","超高价商品")))</f>
        <v>中价商品</v>
      </c>
    </row>
    <row r="3193" spans="1:14" x14ac:dyDescent="0.2">
      <c r="A3193">
        <v>250</v>
      </c>
      <c r="B3193">
        <v>85</v>
      </c>
      <c r="C3193" t="s">
        <v>32</v>
      </c>
      <c r="D3193" t="s">
        <v>288</v>
      </c>
      <c r="E3193" t="s">
        <v>22</v>
      </c>
      <c r="F3193">
        <v>1</v>
      </c>
      <c r="G3193" t="s">
        <v>13</v>
      </c>
      <c r="H3193" s="1">
        <v>45989.631944444445</v>
      </c>
      <c r="I3193" s="5">
        <f>INT(TB[[#This Row],[时间戳]])</f>
        <v>45989</v>
      </c>
      <c r="J3193" s="2">
        <f>HOUR(TB[[#This Row],[时间戳]])</f>
        <v>15</v>
      </c>
      <c r="K3193">
        <v>4340</v>
      </c>
      <c r="L3193">
        <v>2</v>
      </c>
      <c r="M3193">
        <f>TB[[#This Row],[售价]]*TB[[#This Row],[销量]]</f>
        <v>8680</v>
      </c>
      <c r="N3193" t="str">
        <f>IF(TB[[#This Row],[售价]]&lt;1000,"低价商品",IF(TB[[#This Row],[售价]]&lt;5000,"中价商品",IF(TB[[#This Row],[售价]]&lt;10000,"高价商品","超高价商品")))</f>
        <v>中价商品</v>
      </c>
    </row>
    <row r="3194" spans="1:14" x14ac:dyDescent="0.2">
      <c r="A3194">
        <v>608</v>
      </c>
      <c r="B3194">
        <v>193</v>
      </c>
      <c r="C3194" t="s">
        <v>46</v>
      </c>
      <c r="D3194" t="s">
        <v>104</v>
      </c>
      <c r="E3194" t="s">
        <v>12</v>
      </c>
      <c r="F3194">
        <v>2</v>
      </c>
      <c r="G3194" t="s">
        <v>13</v>
      </c>
      <c r="H3194" s="1">
        <v>45989.6875</v>
      </c>
      <c r="I3194" s="5">
        <f>INT(TB[[#This Row],[时间戳]])</f>
        <v>45989</v>
      </c>
      <c r="J3194" s="2">
        <f>HOUR(TB[[#This Row],[时间戳]])</f>
        <v>16</v>
      </c>
      <c r="K3194">
        <v>9387</v>
      </c>
      <c r="L3194">
        <v>5</v>
      </c>
      <c r="M3194">
        <f>TB[[#This Row],[售价]]*TB[[#This Row],[销量]]</f>
        <v>46935</v>
      </c>
      <c r="N3194" t="str">
        <f>IF(TB[[#This Row],[售价]]&lt;1000,"低价商品",IF(TB[[#This Row],[售价]]&lt;5000,"中价商品",IF(TB[[#This Row],[售价]]&lt;10000,"高价商品","超高价商品")))</f>
        <v>高价商品</v>
      </c>
    </row>
    <row r="3195" spans="1:14" x14ac:dyDescent="0.2">
      <c r="A3195">
        <v>756</v>
      </c>
      <c r="B3195">
        <v>5</v>
      </c>
      <c r="C3195" t="s">
        <v>14</v>
      </c>
      <c r="D3195" t="s">
        <v>30</v>
      </c>
      <c r="E3195" t="s">
        <v>31</v>
      </c>
      <c r="F3195">
        <v>4</v>
      </c>
      <c r="G3195" t="s">
        <v>13</v>
      </c>
      <c r="H3195" s="1">
        <v>45989.695138888892</v>
      </c>
      <c r="I3195" s="5">
        <f>INT(TB[[#This Row],[时间戳]])</f>
        <v>45989</v>
      </c>
      <c r="J3195" s="2">
        <f>HOUR(TB[[#This Row],[时间戳]])</f>
        <v>16</v>
      </c>
      <c r="K3195">
        <v>70</v>
      </c>
      <c r="L3195">
        <v>5</v>
      </c>
      <c r="M3195">
        <f>TB[[#This Row],[售价]]*TB[[#This Row],[销量]]</f>
        <v>350</v>
      </c>
      <c r="N3195" t="str">
        <f>IF(TB[[#This Row],[售价]]&lt;1000,"低价商品",IF(TB[[#This Row],[售价]]&lt;5000,"中价商品",IF(TB[[#This Row],[售价]]&lt;10000,"高价商品","超高价商品")))</f>
        <v>低价商品</v>
      </c>
    </row>
    <row r="3196" spans="1:14" x14ac:dyDescent="0.2">
      <c r="A3196">
        <v>95</v>
      </c>
      <c r="B3196">
        <v>78</v>
      </c>
      <c r="C3196" t="s">
        <v>17</v>
      </c>
      <c r="D3196" t="s">
        <v>156</v>
      </c>
      <c r="E3196" t="s">
        <v>19</v>
      </c>
      <c r="F3196">
        <v>3</v>
      </c>
      <c r="G3196" t="s">
        <v>13</v>
      </c>
      <c r="H3196" s="1">
        <v>45989.703472222223</v>
      </c>
      <c r="I3196" s="5">
        <f>INT(TB[[#This Row],[时间戳]])</f>
        <v>45989</v>
      </c>
      <c r="J3196" s="2">
        <f>HOUR(TB[[#This Row],[时间戳]])</f>
        <v>16</v>
      </c>
      <c r="K3196">
        <v>2805</v>
      </c>
      <c r="L3196">
        <v>2</v>
      </c>
      <c r="M3196">
        <f>TB[[#This Row],[售价]]*TB[[#This Row],[销量]]</f>
        <v>5610</v>
      </c>
      <c r="N3196" t="str">
        <f>IF(TB[[#This Row],[售价]]&lt;1000,"低价商品",IF(TB[[#This Row],[售价]]&lt;5000,"中价商品",IF(TB[[#This Row],[售价]]&lt;10000,"高价商品","超高价商品")))</f>
        <v>中价商品</v>
      </c>
    </row>
    <row r="3197" spans="1:14" x14ac:dyDescent="0.2">
      <c r="A3197">
        <v>34</v>
      </c>
      <c r="B3197">
        <v>69</v>
      </c>
      <c r="C3197" t="s">
        <v>44</v>
      </c>
      <c r="D3197" t="s">
        <v>76</v>
      </c>
      <c r="E3197" t="s">
        <v>31</v>
      </c>
      <c r="F3197">
        <v>4</v>
      </c>
      <c r="G3197" t="s">
        <v>13</v>
      </c>
      <c r="H3197" s="1">
        <v>45989.71597222222</v>
      </c>
      <c r="I3197" s="5">
        <f>INT(TB[[#This Row],[时间戳]])</f>
        <v>45989</v>
      </c>
      <c r="J3197" s="2">
        <f>HOUR(TB[[#This Row],[时间戳]])</f>
        <v>17</v>
      </c>
      <c r="K3197">
        <v>50</v>
      </c>
      <c r="L3197">
        <v>5</v>
      </c>
      <c r="M3197">
        <f>TB[[#This Row],[售价]]*TB[[#This Row],[销量]]</f>
        <v>250</v>
      </c>
      <c r="N3197" t="str">
        <f>IF(TB[[#This Row],[售价]]&lt;1000,"低价商品",IF(TB[[#This Row],[售价]]&lt;5000,"中价商品",IF(TB[[#This Row],[售价]]&lt;10000,"高价商品","超高价商品")))</f>
        <v>低价商品</v>
      </c>
    </row>
    <row r="3198" spans="1:14" x14ac:dyDescent="0.2">
      <c r="A3198">
        <v>586</v>
      </c>
      <c r="B3198">
        <v>45</v>
      </c>
      <c r="C3198" t="s">
        <v>34</v>
      </c>
      <c r="D3198" t="s">
        <v>105</v>
      </c>
      <c r="E3198" t="s">
        <v>12</v>
      </c>
      <c r="F3198">
        <v>2</v>
      </c>
      <c r="G3198" t="s">
        <v>13</v>
      </c>
      <c r="H3198" s="1">
        <v>45989.768055555556</v>
      </c>
      <c r="I3198" s="5">
        <f>INT(TB[[#This Row],[时间戳]])</f>
        <v>45989</v>
      </c>
      <c r="J3198" s="2">
        <f>HOUR(TB[[#This Row],[时间戳]])</f>
        <v>18</v>
      </c>
      <c r="K3198">
        <v>8761</v>
      </c>
      <c r="L3198">
        <v>2</v>
      </c>
      <c r="M3198">
        <f>TB[[#This Row],[售价]]*TB[[#This Row],[销量]]</f>
        <v>17522</v>
      </c>
      <c r="N3198" t="str">
        <f>IF(TB[[#This Row],[售价]]&lt;1000,"低价商品",IF(TB[[#This Row],[售价]]&lt;5000,"中价商品",IF(TB[[#This Row],[售价]]&lt;10000,"高价商品","超高价商品")))</f>
        <v>高价商品</v>
      </c>
    </row>
    <row r="3199" spans="1:14" x14ac:dyDescent="0.2">
      <c r="A3199">
        <v>103</v>
      </c>
      <c r="B3199">
        <v>20</v>
      </c>
      <c r="C3199" t="s">
        <v>36</v>
      </c>
      <c r="D3199" t="s">
        <v>213</v>
      </c>
      <c r="E3199" t="s">
        <v>39</v>
      </c>
      <c r="F3199">
        <v>5</v>
      </c>
      <c r="G3199" t="s">
        <v>13</v>
      </c>
      <c r="H3199" s="1">
        <v>45989.806944444441</v>
      </c>
      <c r="I3199" s="5">
        <f>INT(TB[[#This Row],[时间戳]])</f>
        <v>45989</v>
      </c>
      <c r="J3199" s="2">
        <f>HOUR(TB[[#This Row],[时间戳]])</f>
        <v>19</v>
      </c>
      <c r="K3199">
        <v>849</v>
      </c>
      <c r="L3199">
        <v>2</v>
      </c>
      <c r="M3199">
        <f>TB[[#This Row],[售价]]*TB[[#This Row],[销量]]</f>
        <v>1698</v>
      </c>
      <c r="N3199" t="str">
        <f>IF(TB[[#This Row],[售价]]&lt;1000,"低价商品",IF(TB[[#This Row],[售价]]&lt;5000,"中价商品",IF(TB[[#This Row],[售价]]&lt;10000,"高价商品","超高价商品")))</f>
        <v>低价商品</v>
      </c>
    </row>
    <row r="3200" spans="1:14" x14ac:dyDescent="0.2">
      <c r="A3200">
        <v>1</v>
      </c>
      <c r="B3200">
        <v>99</v>
      </c>
      <c r="C3200" t="s">
        <v>10</v>
      </c>
      <c r="D3200" t="s">
        <v>363</v>
      </c>
      <c r="E3200" t="s">
        <v>25</v>
      </c>
      <c r="F3200">
        <v>7</v>
      </c>
      <c r="G3200" t="s">
        <v>13</v>
      </c>
      <c r="H3200" s="1">
        <v>45989.809027777781</v>
      </c>
      <c r="I3200" s="5">
        <f>INT(TB[[#This Row],[时间戳]])</f>
        <v>45989</v>
      </c>
      <c r="J3200" s="2">
        <f>HOUR(TB[[#This Row],[时间戳]])</f>
        <v>19</v>
      </c>
      <c r="K3200">
        <v>6116</v>
      </c>
      <c r="L3200">
        <v>5</v>
      </c>
      <c r="M3200">
        <f>TB[[#This Row],[售价]]*TB[[#This Row],[销量]]</f>
        <v>30580</v>
      </c>
      <c r="N3200" t="str">
        <f>IF(TB[[#This Row],[售价]]&lt;1000,"低价商品",IF(TB[[#This Row],[售价]]&lt;5000,"中价商品",IF(TB[[#This Row],[售价]]&lt;10000,"高价商品","超高价商品")))</f>
        <v>高价商品</v>
      </c>
    </row>
    <row r="3201" spans="1:14" x14ac:dyDescent="0.2">
      <c r="A3201">
        <v>274</v>
      </c>
      <c r="B3201">
        <v>150</v>
      </c>
      <c r="C3201" t="s">
        <v>44</v>
      </c>
      <c r="D3201" t="s">
        <v>222</v>
      </c>
      <c r="E3201" t="s">
        <v>12</v>
      </c>
      <c r="F3201">
        <v>2</v>
      </c>
      <c r="G3201" t="s">
        <v>13</v>
      </c>
      <c r="H3201" s="1">
        <v>45989.818055555559</v>
      </c>
      <c r="I3201" s="5">
        <f>INT(TB[[#This Row],[时间戳]])</f>
        <v>45989</v>
      </c>
      <c r="J3201" s="2">
        <f>HOUR(TB[[#This Row],[时间戳]])</f>
        <v>19</v>
      </c>
      <c r="K3201">
        <v>6784</v>
      </c>
      <c r="L3201">
        <v>2</v>
      </c>
      <c r="M3201">
        <f>TB[[#This Row],[售价]]*TB[[#This Row],[销量]]</f>
        <v>13568</v>
      </c>
      <c r="N3201" t="str">
        <f>IF(TB[[#This Row],[售价]]&lt;1000,"低价商品",IF(TB[[#This Row],[售价]]&lt;5000,"中价商品",IF(TB[[#This Row],[售价]]&lt;10000,"高价商品","超高价商品")))</f>
        <v>高价商品</v>
      </c>
    </row>
    <row r="3202" spans="1:14" x14ac:dyDescent="0.2">
      <c r="A3202">
        <v>292</v>
      </c>
      <c r="B3202">
        <v>71</v>
      </c>
      <c r="C3202" t="s">
        <v>14</v>
      </c>
      <c r="D3202" t="s">
        <v>295</v>
      </c>
      <c r="E3202" t="s">
        <v>39</v>
      </c>
      <c r="F3202">
        <v>5</v>
      </c>
      <c r="G3202" t="s">
        <v>13</v>
      </c>
      <c r="H3202" s="1">
        <v>45989.832638888889</v>
      </c>
      <c r="I3202" s="5">
        <f>INT(TB[[#This Row],[时间戳]])</f>
        <v>45989</v>
      </c>
      <c r="J3202" s="2">
        <f>HOUR(TB[[#This Row],[时间戳]])</f>
        <v>19</v>
      </c>
      <c r="K3202">
        <v>3389</v>
      </c>
      <c r="L3202">
        <v>5</v>
      </c>
      <c r="M3202">
        <f>TB[[#This Row],[售价]]*TB[[#This Row],[销量]]</f>
        <v>16945</v>
      </c>
      <c r="N3202" t="str">
        <f>IF(TB[[#This Row],[售价]]&lt;1000,"低价商品",IF(TB[[#This Row],[售价]]&lt;5000,"中价商品",IF(TB[[#This Row],[售价]]&lt;10000,"高价商品","超高价商品")))</f>
        <v>中价商品</v>
      </c>
    </row>
    <row r="3203" spans="1:14" x14ac:dyDescent="0.2">
      <c r="A3203">
        <v>162</v>
      </c>
      <c r="B3203">
        <v>264</v>
      </c>
      <c r="C3203" t="s">
        <v>46</v>
      </c>
      <c r="D3203" t="s">
        <v>303</v>
      </c>
      <c r="E3203" t="s">
        <v>19</v>
      </c>
      <c r="F3203">
        <v>3</v>
      </c>
      <c r="G3203" t="s">
        <v>13</v>
      </c>
      <c r="H3203" s="1">
        <v>45989.845833333333</v>
      </c>
      <c r="I3203" s="5">
        <f>INT(TB[[#This Row],[时间戳]])</f>
        <v>45989</v>
      </c>
      <c r="J3203" s="2">
        <f>HOUR(TB[[#This Row],[时间戳]])</f>
        <v>20</v>
      </c>
      <c r="K3203">
        <v>2068</v>
      </c>
      <c r="L3203">
        <v>5</v>
      </c>
      <c r="M3203">
        <f>TB[[#This Row],[售价]]*TB[[#This Row],[销量]]</f>
        <v>10340</v>
      </c>
      <c r="N3203" t="str">
        <f>IF(TB[[#This Row],[售价]]&lt;1000,"低价商品",IF(TB[[#This Row],[售价]]&lt;5000,"中价商品",IF(TB[[#This Row],[售价]]&lt;10000,"高价商品","超高价商品")))</f>
        <v>中价商品</v>
      </c>
    </row>
    <row r="3204" spans="1:14" x14ac:dyDescent="0.2">
      <c r="A3204">
        <v>706</v>
      </c>
      <c r="B3204">
        <v>146</v>
      </c>
      <c r="C3204" t="s">
        <v>46</v>
      </c>
      <c r="D3204" t="s">
        <v>135</v>
      </c>
      <c r="E3204" t="s">
        <v>22</v>
      </c>
      <c r="F3204">
        <v>1</v>
      </c>
      <c r="G3204" t="s">
        <v>13</v>
      </c>
      <c r="H3204" s="1">
        <v>45989.849305555559</v>
      </c>
      <c r="I3204" s="5">
        <f>INT(TB[[#This Row],[时间戳]])</f>
        <v>45989</v>
      </c>
      <c r="J3204" s="2">
        <f>HOUR(TB[[#This Row],[时间戳]])</f>
        <v>20</v>
      </c>
      <c r="K3204">
        <v>1841</v>
      </c>
      <c r="L3204">
        <v>5</v>
      </c>
      <c r="M3204">
        <f>TB[[#This Row],[售价]]*TB[[#This Row],[销量]]</f>
        <v>9205</v>
      </c>
      <c r="N3204" t="str">
        <f>IF(TB[[#This Row],[售价]]&lt;1000,"低价商品",IF(TB[[#This Row],[售价]]&lt;5000,"中价商品",IF(TB[[#This Row],[售价]]&lt;10000,"高价商品","超高价商品")))</f>
        <v>中价商品</v>
      </c>
    </row>
    <row r="3205" spans="1:14" x14ac:dyDescent="0.2">
      <c r="A3205">
        <v>167</v>
      </c>
      <c r="B3205">
        <v>243</v>
      </c>
      <c r="C3205" t="s">
        <v>34</v>
      </c>
      <c r="D3205" t="s">
        <v>105</v>
      </c>
      <c r="E3205" t="s">
        <v>12</v>
      </c>
      <c r="F3205">
        <v>2</v>
      </c>
      <c r="G3205" t="s">
        <v>13</v>
      </c>
      <c r="H3205" s="1">
        <v>45989.885416666664</v>
      </c>
      <c r="I3205" s="5">
        <f>INT(TB[[#This Row],[时间戳]])</f>
        <v>45989</v>
      </c>
      <c r="J3205" s="2">
        <f>HOUR(TB[[#This Row],[时间戳]])</f>
        <v>21</v>
      </c>
      <c r="K3205">
        <v>4525</v>
      </c>
      <c r="L3205">
        <v>2</v>
      </c>
      <c r="M3205">
        <f>TB[[#This Row],[售价]]*TB[[#This Row],[销量]]</f>
        <v>9050</v>
      </c>
      <c r="N3205" t="str">
        <f>IF(TB[[#This Row],[售价]]&lt;1000,"低价商品",IF(TB[[#This Row],[售价]]&lt;5000,"中价商品",IF(TB[[#This Row],[售价]]&lt;10000,"高价商品","超高价商品")))</f>
        <v>中价商品</v>
      </c>
    </row>
    <row r="3206" spans="1:14" x14ac:dyDescent="0.2">
      <c r="A3206">
        <v>314</v>
      </c>
      <c r="B3206">
        <v>151</v>
      </c>
      <c r="C3206" t="s">
        <v>34</v>
      </c>
      <c r="D3206" t="s">
        <v>164</v>
      </c>
      <c r="E3206" t="s">
        <v>22</v>
      </c>
      <c r="F3206">
        <v>1</v>
      </c>
      <c r="G3206" t="s">
        <v>13</v>
      </c>
      <c r="H3206" s="1">
        <v>45989.90625</v>
      </c>
      <c r="I3206" s="5">
        <f>INT(TB[[#This Row],[时间戳]])</f>
        <v>45989</v>
      </c>
      <c r="J3206" s="2">
        <f>HOUR(TB[[#This Row],[时间戳]])</f>
        <v>21</v>
      </c>
      <c r="K3206">
        <v>7668</v>
      </c>
      <c r="L3206">
        <v>5</v>
      </c>
      <c r="M3206">
        <f>TB[[#This Row],[售价]]*TB[[#This Row],[销量]]</f>
        <v>38340</v>
      </c>
      <c r="N3206" t="str">
        <f>IF(TB[[#This Row],[售价]]&lt;1000,"低价商品",IF(TB[[#This Row],[售价]]&lt;5000,"中价商品",IF(TB[[#This Row],[售价]]&lt;10000,"高价商品","超高价商品")))</f>
        <v>高价商品</v>
      </c>
    </row>
    <row r="3207" spans="1:14" x14ac:dyDescent="0.2">
      <c r="A3207">
        <v>241</v>
      </c>
      <c r="B3207">
        <v>159</v>
      </c>
      <c r="C3207" t="s">
        <v>17</v>
      </c>
      <c r="D3207" t="s">
        <v>391</v>
      </c>
      <c r="E3207" t="s">
        <v>25</v>
      </c>
      <c r="F3207">
        <v>7</v>
      </c>
      <c r="G3207" t="s">
        <v>13</v>
      </c>
      <c r="H3207" s="1">
        <v>45989.939583333333</v>
      </c>
      <c r="I3207" s="5">
        <f>INT(TB[[#This Row],[时间戳]])</f>
        <v>45989</v>
      </c>
      <c r="J3207" s="2">
        <f>HOUR(TB[[#This Row],[时间戳]])</f>
        <v>22</v>
      </c>
      <c r="K3207">
        <v>7014</v>
      </c>
      <c r="L3207">
        <v>5</v>
      </c>
      <c r="M3207">
        <f>TB[[#This Row],[售价]]*TB[[#This Row],[销量]]</f>
        <v>35070</v>
      </c>
      <c r="N3207" t="str">
        <f>IF(TB[[#This Row],[售价]]&lt;1000,"低价商品",IF(TB[[#This Row],[售价]]&lt;5000,"中价商品",IF(TB[[#This Row],[售价]]&lt;10000,"高价商品","超高价商品")))</f>
        <v>高价商品</v>
      </c>
    </row>
    <row r="3208" spans="1:14" x14ac:dyDescent="0.2">
      <c r="A3208">
        <v>473</v>
      </c>
      <c r="B3208">
        <v>77</v>
      </c>
      <c r="C3208" t="s">
        <v>32</v>
      </c>
      <c r="D3208" t="s">
        <v>275</v>
      </c>
      <c r="E3208" t="s">
        <v>22</v>
      </c>
      <c r="F3208">
        <v>1</v>
      </c>
      <c r="G3208" t="s">
        <v>13</v>
      </c>
      <c r="H3208" s="1">
        <v>45989.975694444445</v>
      </c>
      <c r="I3208" s="5">
        <f>INT(TB[[#This Row],[时间戳]])</f>
        <v>45989</v>
      </c>
      <c r="J3208" s="2">
        <f>HOUR(TB[[#This Row],[时间戳]])</f>
        <v>23</v>
      </c>
      <c r="K3208">
        <v>6424</v>
      </c>
      <c r="L3208">
        <v>2</v>
      </c>
      <c r="M3208">
        <f>TB[[#This Row],[售价]]*TB[[#This Row],[销量]]</f>
        <v>12848</v>
      </c>
      <c r="N3208" t="str">
        <f>IF(TB[[#This Row],[售价]]&lt;1000,"低价商品",IF(TB[[#This Row],[售价]]&lt;5000,"中价商品",IF(TB[[#This Row],[售价]]&lt;10000,"高价商品","超高价商品")))</f>
        <v>高价商品</v>
      </c>
    </row>
    <row r="3209" spans="1:14" x14ac:dyDescent="0.2">
      <c r="A3209">
        <v>61</v>
      </c>
      <c r="B3209">
        <v>61</v>
      </c>
      <c r="C3209" t="s">
        <v>10</v>
      </c>
      <c r="D3209" t="s">
        <v>201</v>
      </c>
      <c r="E3209" t="s">
        <v>31</v>
      </c>
      <c r="F3209">
        <v>4</v>
      </c>
      <c r="G3209" t="s">
        <v>13</v>
      </c>
      <c r="H3209" s="1">
        <v>45990.001388888886</v>
      </c>
      <c r="I3209" s="5">
        <f>INT(TB[[#This Row],[时间戳]])</f>
        <v>45990</v>
      </c>
      <c r="J3209" s="2">
        <f>HOUR(TB[[#This Row],[时间戳]])</f>
        <v>0</v>
      </c>
      <c r="K3209">
        <v>1369</v>
      </c>
      <c r="L3209">
        <v>2</v>
      </c>
      <c r="M3209">
        <f>TB[[#This Row],[售价]]*TB[[#This Row],[销量]]</f>
        <v>2738</v>
      </c>
      <c r="N3209" t="str">
        <f>IF(TB[[#This Row],[售价]]&lt;1000,"低价商品",IF(TB[[#This Row],[售价]]&lt;5000,"中价商品",IF(TB[[#This Row],[售价]]&lt;10000,"高价商品","超高价商品")))</f>
        <v>中价商品</v>
      </c>
    </row>
    <row r="3210" spans="1:14" x14ac:dyDescent="0.2">
      <c r="A3210">
        <v>153</v>
      </c>
      <c r="B3210">
        <v>38</v>
      </c>
      <c r="C3210" t="s">
        <v>44</v>
      </c>
      <c r="D3210" t="s">
        <v>143</v>
      </c>
      <c r="E3210" t="s">
        <v>19</v>
      </c>
      <c r="F3210">
        <v>3</v>
      </c>
      <c r="G3210" t="s">
        <v>42</v>
      </c>
      <c r="H3210" s="1">
        <v>45990.011805555558</v>
      </c>
      <c r="I3210" s="5">
        <f>INT(TB[[#This Row],[时间戳]])</f>
        <v>45990</v>
      </c>
      <c r="J3210" s="2">
        <f>HOUR(TB[[#This Row],[时间戳]])</f>
        <v>0</v>
      </c>
      <c r="K3210">
        <v>2564</v>
      </c>
      <c r="L3210">
        <v>0</v>
      </c>
      <c r="M3210">
        <f>TB[[#This Row],[售价]]*TB[[#This Row],[销量]]</f>
        <v>0</v>
      </c>
      <c r="N3210" t="str">
        <f>IF(TB[[#This Row],[售价]]&lt;1000,"低价商品",IF(TB[[#This Row],[售价]]&lt;5000,"中价商品",IF(TB[[#This Row],[售价]]&lt;10000,"高价商品","超高价商品")))</f>
        <v>中价商品</v>
      </c>
    </row>
    <row r="3211" spans="1:14" x14ac:dyDescent="0.2">
      <c r="A3211">
        <v>328</v>
      </c>
      <c r="B3211">
        <v>297</v>
      </c>
      <c r="C3211" t="s">
        <v>34</v>
      </c>
      <c r="D3211" t="s">
        <v>232</v>
      </c>
      <c r="E3211" t="s">
        <v>22</v>
      </c>
      <c r="F3211">
        <v>1</v>
      </c>
      <c r="G3211" t="s">
        <v>13</v>
      </c>
      <c r="H3211" s="1">
        <v>45990.029166666667</v>
      </c>
      <c r="I3211" s="5">
        <f>INT(TB[[#This Row],[时间戳]])</f>
        <v>45990</v>
      </c>
      <c r="J3211" s="2">
        <f>HOUR(TB[[#This Row],[时间戳]])</f>
        <v>0</v>
      </c>
      <c r="K3211">
        <v>3508</v>
      </c>
      <c r="L3211">
        <v>2</v>
      </c>
      <c r="M3211">
        <f>TB[[#This Row],[售价]]*TB[[#This Row],[销量]]</f>
        <v>7016</v>
      </c>
      <c r="N3211" t="str">
        <f>IF(TB[[#This Row],[售价]]&lt;1000,"低价商品",IF(TB[[#This Row],[售价]]&lt;5000,"中价商品",IF(TB[[#This Row],[售价]]&lt;10000,"高价商品","超高价商品")))</f>
        <v>中价商品</v>
      </c>
    </row>
    <row r="3212" spans="1:14" x14ac:dyDescent="0.2">
      <c r="A3212">
        <v>420</v>
      </c>
      <c r="B3212">
        <v>63</v>
      </c>
      <c r="C3212" t="s">
        <v>44</v>
      </c>
      <c r="D3212" t="s">
        <v>169</v>
      </c>
      <c r="E3212" t="s">
        <v>31</v>
      </c>
      <c r="F3212">
        <v>4</v>
      </c>
      <c r="G3212" t="s">
        <v>13</v>
      </c>
      <c r="H3212" s="1">
        <v>45990.032638888886</v>
      </c>
      <c r="I3212" s="5">
        <f>INT(TB[[#This Row],[时间戳]])</f>
        <v>45990</v>
      </c>
      <c r="J3212" s="2">
        <f>HOUR(TB[[#This Row],[时间戳]])</f>
        <v>0</v>
      </c>
      <c r="K3212">
        <v>706</v>
      </c>
      <c r="L3212">
        <v>3</v>
      </c>
      <c r="M3212">
        <f>TB[[#This Row],[售价]]*TB[[#This Row],[销量]]</f>
        <v>2118</v>
      </c>
      <c r="N3212" t="str">
        <f>IF(TB[[#This Row],[售价]]&lt;1000,"低价商品",IF(TB[[#This Row],[售价]]&lt;5000,"中价商品",IF(TB[[#This Row],[售价]]&lt;10000,"高价商品","超高价商品")))</f>
        <v>低价商品</v>
      </c>
    </row>
    <row r="3213" spans="1:14" x14ac:dyDescent="0.2">
      <c r="A3213">
        <v>310</v>
      </c>
      <c r="B3213">
        <v>108</v>
      </c>
      <c r="C3213" t="s">
        <v>20</v>
      </c>
      <c r="D3213" t="s">
        <v>355</v>
      </c>
      <c r="E3213" t="s">
        <v>39</v>
      </c>
      <c r="F3213">
        <v>5</v>
      </c>
      <c r="G3213" t="s">
        <v>13</v>
      </c>
      <c r="H3213" s="1">
        <v>45990.052777777775</v>
      </c>
      <c r="I3213" s="5">
        <f>INT(TB[[#This Row],[时间戳]])</f>
        <v>45990</v>
      </c>
      <c r="J3213" s="2">
        <f>HOUR(TB[[#This Row],[时间戳]])</f>
        <v>1</v>
      </c>
      <c r="K3213">
        <v>3581</v>
      </c>
      <c r="L3213">
        <v>5</v>
      </c>
      <c r="M3213">
        <f>TB[[#This Row],[售价]]*TB[[#This Row],[销量]]</f>
        <v>17905</v>
      </c>
      <c r="N3213" t="str">
        <f>IF(TB[[#This Row],[售价]]&lt;1000,"低价商品",IF(TB[[#This Row],[售价]]&lt;5000,"中价商品",IF(TB[[#This Row],[售价]]&lt;10000,"高价商品","超高价商品")))</f>
        <v>中价商品</v>
      </c>
    </row>
    <row r="3214" spans="1:14" x14ac:dyDescent="0.2">
      <c r="A3214">
        <v>161</v>
      </c>
      <c r="B3214">
        <v>201</v>
      </c>
      <c r="C3214" t="s">
        <v>10</v>
      </c>
      <c r="D3214" t="s">
        <v>262</v>
      </c>
      <c r="E3214" t="s">
        <v>25</v>
      </c>
      <c r="F3214">
        <v>7</v>
      </c>
      <c r="G3214" t="s">
        <v>13</v>
      </c>
      <c r="H3214" s="1">
        <v>45990.056944444441</v>
      </c>
      <c r="I3214" s="5">
        <f>INT(TB[[#This Row],[时间戳]])</f>
        <v>45990</v>
      </c>
      <c r="J3214" s="2">
        <f>HOUR(TB[[#This Row],[时间戳]])</f>
        <v>1</v>
      </c>
      <c r="K3214">
        <v>5511</v>
      </c>
      <c r="L3214">
        <v>2</v>
      </c>
      <c r="M3214">
        <f>TB[[#This Row],[售价]]*TB[[#This Row],[销量]]</f>
        <v>11022</v>
      </c>
      <c r="N3214" t="str">
        <f>IF(TB[[#This Row],[售价]]&lt;1000,"低价商品",IF(TB[[#This Row],[售价]]&lt;5000,"中价商品",IF(TB[[#This Row],[售价]]&lt;10000,"高价商品","超高价商品")))</f>
        <v>高价商品</v>
      </c>
    </row>
    <row r="3215" spans="1:14" x14ac:dyDescent="0.2">
      <c r="A3215">
        <v>33</v>
      </c>
      <c r="B3215">
        <v>130</v>
      </c>
      <c r="C3215" t="s">
        <v>14</v>
      </c>
      <c r="D3215" t="s">
        <v>349</v>
      </c>
      <c r="E3215" t="s">
        <v>25</v>
      </c>
      <c r="F3215">
        <v>7</v>
      </c>
      <c r="G3215" t="s">
        <v>13</v>
      </c>
      <c r="H3215" s="1">
        <v>45990.078472222223</v>
      </c>
      <c r="I3215" s="5">
        <f>INT(TB[[#This Row],[时间戳]])</f>
        <v>45990</v>
      </c>
      <c r="J3215" s="2">
        <f>HOUR(TB[[#This Row],[时间戳]])</f>
        <v>1</v>
      </c>
      <c r="K3215">
        <v>3044</v>
      </c>
      <c r="L3215">
        <v>2</v>
      </c>
      <c r="M3215">
        <f>TB[[#This Row],[售价]]*TB[[#This Row],[销量]]</f>
        <v>6088</v>
      </c>
      <c r="N3215" t="str">
        <f>IF(TB[[#This Row],[售价]]&lt;1000,"低价商品",IF(TB[[#This Row],[售价]]&lt;5000,"中价商品",IF(TB[[#This Row],[售价]]&lt;10000,"高价商品","超高价商品")))</f>
        <v>中价商品</v>
      </c>
    </row>
    <row r="3216" spans="1:14" x14ac:dyDescent="0.2">
      <c r="A3216">
        <v>675</v>
      </c>
      <c r="B3216">
        <v>204</v>
      </c>
      <c r="C3216" t="s">
        <v>44</v>
      </c>
      <c r="D3216" t="s">
        <v>73</v>
      </c>
      <c r="E3216" t="s">
        <v>39</v>
      </c>
      <c r="F3216">
        <v>5</v>
      </c>
      <c r="G3216" t="s">
        <v>13</v>
      </c>
      <c r="H3216" s="1">
        <v>45990.083333333336</v>
      </c>
      <c r="I3216" s="5">
        <f>INT(TB[[#This Row],[时间戳]])</f>
        <v>45990</v>
      </c>
      <c r="J3216" s="2">
        <f>HOUR(TB[[#This Row],[时间戳]])</f>
        <v>2</v>
      </c>
      <c r="K3216">
        <v>2290</v>
      </c>
      <c r="L3216">
        <v>2</v>
      </c>
      <c r="M3216">
        <f>TB[[#This Row],[售价]]*TB[[#This Row],[销量]]</f>
        <v>4580</v>
      </c>
      <c r="N3216" t="str">
        <f>IF(TB[[#This Row],[售价]]&lt;1000,"低价商品",IF(TB[[#This Row],[售价]]&lt;5000,"中价商品",IF(TB[[#This Row],[售价]]&lt;10000,"高价商品","超高价商品")))</f>
        <v>中价商品</v>
      </c>
    </row>
    <row r="3217" spans="1:14" x14ac:dyDescent="0.2">
      <c r="A3217">
        <v>764</v>
      </c>
      <c r="B3217">
        <v>217</v>
      </c>
      <c r="C3217" t="s">
        <v>26</v>
      </c>
      <c r="D3217" t="s">
        <v>92</v>
      </c>
      <c r="E3217" t="s">
        <v>19</v>
      </c>
      <c r="F3217">
        <v>3</v>
      </c>
      <c r="G3217" t="s">
        <v>13</v>
      </c>
      <c r="H3217" s="1">
        <v>45990.085416666669</v>
      </c>
      <c r="I3217" s="5">
        <f>INT(TB[[#This Row],[时间戳]])</f>
        <v>45990</v>
      </c>
      <c r="J3217" s="2">
        <f>HOUR(TB[[#This Row],[时间戳]])</f>
        <v>2</v>
      </c>
      <c r="K3217">
        <v>4180</v>
      </c>
      <c r="L3217">
        <v>2</v>
      </c>
      <c r="M3217">
        <f>TB[[#This Row],[售价]]*TB[[#This Row],[销量]]</f>
        <v>8360</v>
      </c>
      <c r="N3217" t="str">
        <f>IF(TB[[#This Row],[售价]]&lt;1000,"低价商品",IF(TB[[#This Row],[售价]]&lt;5000,"中价商品",IF(TB[[#This Row],[售价]]&lt;10000,"高价商品","超高价商品")))</f>
        <v>中价商品</v>
      </c>
    </row>
    <row r="3218" spans="1:14" x14ac:dyDescent="0.2">
      <c r="A3218">
        <v>189</v>
      </c>
      <c r="B3218">
        <v>4</v>
      </c>
      <c r="C3218" t="s">
        <v>46</v>
      </c>
      <c r="D3218" t="s">
        <v>266</v>
      </c>
      <c r="E3218" t="s">
        <v>12</v>
      </c>
      <c r="F3218">
        <v>2</v>
      </c>
      <c r="G3218" t="s">
        <v>13</v>
      </c>
      <c r="H3218" s="1">
        <v>45990.088888888888</v>
      </c>
      <c r="I3218" s="5">
        <f>INT(TB[[#This Row],[时间戳]])</f>
        <v>45990</v>
      </c>
      <c r="J3218" s="2">
        <f>HOUR(TB[[#This Row],[时间戳]])</f>
        <v>2</v>
      </c>
      <c r="K3218">
        <v>14748</v>
      </c>
      <c r="L3218">
        <v>1</v>
      </c>
      <c r="M3218">
        <f>TB[[#This Row],[售价]]*TB[[#This Row],[销量]]</f>
        <v>14748</v>
      </c>
      <c r="N3218" t="str">
        <f>IF(TB[[#This Row],[售价]]&lt;1000,"低价商品",IF(TB[[#This Row],[售价]]&lt;5000,"中价商品",IF(TB[[#This Row],[售价]]&lt;10000,"高价商品","超高价商品")))</f>
        <v>超高价商品</v>
      </c>
    </row>
    <row r="3219" spans="1:14" x14ac:dyDescent="0.2">
      <c r="A3219">
        <v>96</v>
      </c>
      <c r="B3219">
        <v>250</v>
      </c>
      <c r="C3219" t="s">
        <v>36</v>
      </c>
      <c r="D3219" t="s">
        <v>83</v>
      </c>
      <c r="E3219" t="s">
        <v>22</v>
      </c>
      <c r="F3219">
        <v>1</v>
      </c>
      <c r="G3219" t="s">
        <v>42</v>
      </c>
      <c r="H3219" s="1">
        <v>45990.088888888888</v>
      </c>
      <c r="I3219" s="5">
        <f>INT(TB[[#This Row],[时间戳]])</f>
        <v>45990</v>
      </c>
      <c r="J3219" s="2">
        <f>HOUR(TB[[#This Row],[时间戳]])</f>
        <v>2</v>
      </c>
      <c r="K3219">
        <v>7300</v>
      </c>
      <c r="L3219">
        <v>0</v>
      </c>
      <c r="M3219">
        <f>TB[[#This Row],[售价]]*TB[[#This Row],[销量]]</f>
        <v>0</v>
      </c>
      <c r="N3219" t="str">
        <f>IF(TB[[#This Row],[售价]]&lt;1000,"低价商品",IF(TB[[#This Row],[售价]]&lt;5000,"中价商品",IF(TB[[#This Row],[售价]]&lt;10000,"高价商品","超高价商品")))</f>
        <v>高价商品</v>
      </c>
    </row>
    <row r="3220" spans="1:14" x14ac:dyDescent="0.2">
      <c r="A3220">
        <v>246</v>
      </c>
      <c r="B3220">
        <v>263</v>
      </c>
      <c r="C3220" t="s">
        <v>10</v>
      </c>
      <c r="D3220" t="s">
        <v>116</v>
      </c>
      <c r="E3220" t="s">
        <v>31</v>
      </c>
      <c r="F3220">
        <v>4</v>
      </c>
      <c r="G3220" t="s">
        <v>13</v>
      </c>
      <c r="H3220" s="1">
        <v>45990.112500000003</v>
      </c>
      <c r="I3220" s="5">
        <f>INT(TB[[#This Row],[时间戳]])</f>
        <v>45990</v>
      </c>
      <c r="J3220" s="2">
        <f>HOUR(TB[[#This Row],[时间戳]])</f>
        <v>2</v>
      </c>
      <c r="K3220">
        <v>610</v>
      </c>
      <c r="L3220">
        <v>4</v>
      </c>
      <c r="M3220">
        <f>TB[[#This Row],[售价]]*TB[[#This Row],[销量]]</f>
        <v>2440</v>
      </c>
      <c r="N3220" t="str">
        <f>IF(TB[[#This Row],[售价]]&lt;1000,"低价商品",IF(TB[[#This Row],[售价]]&lt;5000,"中价商品",IF(TB[[#This Row],[售价]]&lt;10000,"高价商品","超高价商品")))</f>
        <v>低价商品</v>
      </c>
    </row>
    <row r="3221" spans="1:14" x14ac:dyDescent="0.2">
      <c r="A3221">
        <v>739</v>
      </c>
      <c r="B3221">
        <v>93</v>
      </c>
      <c r="C3221" t="s">
        <v>36</v>
      </c>
      <c r="D3221" t="s">
        <v>238</v>
      </c>
      <c r="E3221" t="s">
        <v>12</v>
      </c>
      <c r="F3221">
        <v>2</v>
      </c>
      <c r="G3221" t="s">
        <v>42</v>
      </c>
      <c r="H3221" s="1">
        <v>45990.136805555558</v>
      </c>
      <c r="I3221" s="5">
        <f>INT(TB[[#This Row],[时间戳]])</f>
        <v>45990</v>
      </c>
      <c r="J3221" s="2">
        <f>HOUR(TB[[#This Row],[时间戳]])</f>
        <v>3</v>
      </c>
      <c r="K3221">
        <v>13947</v>
      </c>
      <c r="L3221">
        <v>0</v>
      </c>
      <c r="M3221">
        <f>TB[[#This Row],[售价]]*TB[[#This Row],[销量]]</f>
        <v>0</v>
      </c>
      <c r="N3221" t="str">
        <f>IF(TB[[#This Row],[售价]]&lt;1000,"低价商品",IF(TB[[#This Row],[售价]]&lt;5000,"中价商品",IF(TB[[#This Row],[售价]]&lt;10000,"高价商品","超高价商品")))</f>
        <v>超高价商品</v>
      </c>
    </row>
    <row r="3222" spans="1:14" x14ac:dyDescent="0.2">
      <c r="A3222">
        <v>370</v>
      </c>
      <c r="B3222">
        <v>176</v>
      </c>
      <c r="C3222" t="s">
        <v>10</v>
      </c>
      <c r="D3222" t="s">
        <v>11</v>
      </c>
      <c r="E3222" t="s">
        <v>12</v>
      </c>
      <c r="F3222">
        <v>2</v>
      </c>
      <c r="G3222" t="s">
        <v>13</v>
      </c>
      <c r="H3222" s="1">
        <v>45990.15</v>
      </c>
      <c r="I3222" s="5">
        <f>INT(TB[[#This Row],[时间戳]])</f>
        <v>45990</v>
      </c>
      <c r="J3222" s="2">
        <f>HOUR(TB[[#This Row],[时间戳]])</f>
        <v>3</v>
      </c>
      <c r="K3222">
        <v>10665</v>
      </c>
      <c r="L3222">
        <v>1</v>
      </c>
      <c r="M3222">
        <f>TB[[#This Row],[售价]]*TB[[#This Row],[销量]]</f>
        <v>10665</v>
      </c>
      <c r="N3222" t="str">
        <f>IF(TB[[#This Row],[售价]]&lt;1000,"低价商品",IF(TB[[#This Row],[售价]]&lt;5000,"中价商品",IF(TB[[#This Row],[售价]]&lt;10000,"高价商品","超高价商品")))</f>
        <v>超高价商品</v>
      </c>
    </row>
    <row r="3223" spans="1:14" x14ac:dyDescent="0.2">
      <c r="A3223">
        <v>3</v>
      </c>
      <c r="B3223">
        <v>54</v>
      </c>
      <c r="C3223" t="s">
        <v>34</v>
      </c>
      <c r="D3223" t="s">
        <v>248</v>
      </c>
      <c r="E3223" t="s">
        <v>22</v>
      </c>
      <c r="F3223">
        <v>1</v>
      </c>
      <c r="G3223" t="s">
        <v>42</v>
      </c>
      <c r="H3223" s="1">
        <v>45990.152777777781</v>
      </c>
      <c r="I3223" s="5">
        <f>INT(TB[[#This Row],[时间戳]])</f>
        <v>45990</v>
      </c>
      <c r="J3223" s="2">
        <f>HOUR(TB[[#This Row],[时间戳]])</f>
        <v>3</v>
      </c>
      <c r="K3223">
        <v>7669</v>
      </c>
      <c r="L3223">
        <v>0</v>
      </c>
      <c r="M3223">
        <f>TB[[#This Row],[售价]]*TB[[#This Row],[销量]]</f>
        <v>0</v>
      </c>
      <c r="N3223" t="str">
        <f>IF(TB[[#This Row],[售价]]&lt;1000,"低价商品",IF(TB[[#This Row],[售价]]&lt;5000,"中价商品",IF(TB[[#This Row],[售价]]&lt;10000,"高价商品","超高价商品")))</f>
        <v>高价商品</v>
      </c>
    </row>
    <row r="3224" spans="1:14" x14ac:dyDescent="0.2">
      <c r="A3224">
        <v>217</v>
      </c>
      <c r="B3224">
        <v>76</v>
      </c>
      <c r="C3224" t="s">
        <v>20</v>
      </c>
      <c r="D3224" t="s">
        <v>277</v>
      </c>
      <c r="E3224" t="s">
        <v>12</v>
      </c>
      <c r="F3224">
        <v>2</v>
      </c>
      <c r="G3224" t="s">
        <v>42</v>
      </c>
      <c r="H3224" s="1">
        <v>45990.154861111114</v>
      </c>
      <c r="I3224" s="5">
        <f>INT(TB[[#This Row],[时间戳]])</f>
        <v>45990</v>
      </c>
      <c r="J3224" s="2">
        <f>HOUR(TB[[#This Row],[时间戳]])</f>
        <v>3</v>
      </c>
      <c r="K3224">
        <v>12105</v>
      </c>
      <c r="L3224">
        <v>0</v>
      </c>
      <c r="M3224">
        <f>TB[[#This Row],[售价]]*TB[[#This Row],[销量]]</f>
        <v>0</v>
      </c>
      <c r="N3224" t="str">
        <f>IF(TB[[#This Row],[售价]]&lt;1000,"低价商品",IF(TB[[#This Row],[售价]]&lt;5000,"中价商品",IF(TB[[#This Row],[售价]]&lt;10000,"高价商品","超高价商品")))</f>
        <v>超高价商品</v>
      </c>
    </row>
    <row r="3225" spans="1:14" x14ac:dyDescent="0.2">
      <c r="A3225">
        <v>544</v>
      </c>
      <c r="B3225">
        <v>201</v>
      </c>
      <c r="C3225" t="s">
        <v>20</v>
      </c>
      <c r="D3225" t="s">
        <v>296</v>
      </c>
      <c r="E3225" t="s">
        <v>25</v>
      </c>
      <c r="F3225">
        <v>7</v>
      </c>
      <c r="G3225" t="s">
        <v>13</v>
      </c>
      <c r="H3225" s="1">
        <v>45990.154861111114</v>
      </c>
      <c r="I3225" s="5">
        <f>INT(TB[[#This Row],[时间戳]])</f>
        <v>45990</v>
      </c>
      <c r="J3225" s="2">
        <f>HOUR(TB[[#This Row],[时间戳]])</f>
        <v>3</v>
      </c>
      <c r="K3225">
        <v>4371</v>
      </c>
      <c r="L3225">
        <v>1</v>
      </c>
      <c r="M3225">
        <f>TB[[#This Row],[售价]]*TB[[#This Row],[销量]]</f>
        <v>4371</v>
      </c>
      <c r="N3225" t="str">
        <f>IF(TB[[#This Row],[售价]]&lt;1000,"低价商品",IF(TB[[#This Row],[售价]]&lt;5000,"中价商品",IF(TB[[#This Row],[售价]]&lt;10000,"高价商品","超高价商品")))</f>
        <v>中价商品</v>
      </c>
    </row>
    <row r="3226" spans="1:14" x14ac:dyDescent="0.2">
      <c r="A3226">
        <v>202</v>
      </c>
      <c r="B3226">
        <v>223</v>
      </c>
      <c r="C3226" t="s">
        <v>46</v>
      </c>
      <c r="D3226" t="s">
        <v>141</v>
      </c>
      <c r="E3226" t="s">
        <v>22</v>
      </c>
      <c r="F3226">
        <v>1</v>
      </c>
      <c r="G3226" t="s">
        <v>13</v>
      </c>
      <c r="H3226" s="1">
        <v>45990.158333333333</v>
      </c>
      <c r="I3226" s="5">
        <f>INT(TB[[#This Row],[时间戳]])</f>
        <v>45990</v>
      </c>
      <c r="J3226" s="2">
        <f>HOUR(TB[[#This Row],[时间戳]])</f>
        <v>3</v>
      </c>
      <c r="K3226">
        <v>5433</v>
      </c>
      <c r="L3226">
        <v>2</v>
      </c>
      <c r="M3226">
        <f>TB[[#This Row],[售价]]*TB[[#This Row],[销量]]</f>
        <v>10866</v>
      </c>
      <c r="N3226" t="str">
        <f>IF(TB[[#This Row],[售价]]&lt;1000,"低价商品",IF(TB[[#This Row],[售价]]&lt;5000,"中价商品",IF(TB[[#This Row],[售价]]&lt;10000,"高价商品","超高价商品")))</f>
        <v>高价商品</v>
      </c>
    </row>
    <row r="3227" spans="1:14" x14ac:dyDescent="0.2">
      <c r="A3227">
        <v>298</v>
      </c>
      <c r="B3227">
        <v>276</v>
      </c>
      <c r="C3227" t="s">
        <v>46</v>
      </c>
      <c r="D3227" t="s">
        <v>77</v>
      </c>
      <c r="E3227" t="s">
        <v>19</v>
      </c>
      <c r="F3227">
        <v>3</v>
      </c>
      <c r="G3227" t="s">
        <v>42</v>
      </c>
      <c r="H3227" s="1">
        <v>45990.199305555558</v>
      </c>
      <c r="I3227" s="5">
        <f>INT(TB[[#This Row],[时间戳]])</f>
        <v>45990</v>
      </c>
      <c r="J3227" s="2">
        <f>HOUR(TB[[#This Row],[时间戳]])</f>
        <v>4</v>
      </c>
      <c r="K3227">
        <v>1854</v>
      </c>
      <c r="L3227">
        <v>0</v>
      </c>
      <c r="M3227">
        <f>TB[[#This Row],[售价]]*TB[[#This Row],[销量]]</f>
        <v>0</v>
      </c>
      <c r="N3227" t="str">
        <f>IF(TB[[#This Row],[售价]]&lt;1000,"低价商品",IF(TB[[#This Row],[售价]]&lt;5000,"中价商品",IF(TB[[#This Row],[售价]]&lt;10000,"高价商品","超高价商品")))</f>
        <v>中价商品</v>
      </c>
    </row>
    <row r="3228" spans="1:14" x14ac:dyDescent="0.2">
      <c r="A3228">
        <v>19</v>
      </c>
      <c r="B3228">
        <v>209</v>
      </c>
      <c r="C3228" t="s">
        <v>36</v>
      </c>
      <c r="D3228" t="s">
        <v>210</v>
      </c>
      <c r="E3228" t="s">
        <v>31</v>
      </c>
      <c r="F3228">
        <v>4</v>
      </c>
      <c r="G3228" t="s">
        <v>13</v>
      </c>
      <c r="H3228" s="1">
        <v>45990.20416666667</v>
      </c>
      <c r="I3228" s="5">
        <f>INT(TB[[#This Row],[时间戳]])</f>
        <v>45990</v>
      </c>
      <c r="J3228" s="2">
        <f>HOUR(TB[[#This Row],[时间戳]])</f>
        <v>4</v>
      </c>
      <c r="K3228">
        <v>806</v>
      </c>
      <c r="L3228">
        <v>2</v>
      </c>
      <c r="M3228">
        <f>TB[[#This Row],[售价]]*TB[[#This Row],[销量]]</f>
        <v>1612</v>
      </c>
      <c r="N3228" t="str">
        <f>IF(TB[[#This Row],[售价]]&lt;1000,"低价商品",IF(TB[[#This Row],[售价]]&lt;5000,"中价商品",IF(TB[[#This Row],[售价]]&lt;10000,"高价商品","超高价商品")))</f>
        <v>低价商品</v>
      </c>
    </row>
    <row r="3229" spans="1:14" x14ac:dyDescent="0.2">
      <c r="A3229">
        <v>428</v>
      </c>
      <c r="B3229">
        <v>238</v>
      </c>
      <c r="C3229" t="s">
        <v>14</v>
      </c>
      <c r="D3229" t="s">
        <v>106</v>
      </c>
      <c r="E3229" t="s">
        <v>22</v>
      </c>
      <c r="F3229">
        <v>1</v>
      </c>
      <c r="G3229" t="s">
        <v>13</v>
      </c>
      <c r="H3229" s="1">
        <v>45990.212500000001</v>
      </c>
      <c r="I3229" s="5">
        <f>INT(TB[[#This Row],[时间戳]])</f>
        <v>45990</v>
      </c>
      <c r="J3229" s="2">
        <f>HOUR(TB[[#This Row],[时间戳]])</f>
        <v>5</v>
      </c>
      <c r="K3229">
        <v>5948</v>
      </c>
      <c r="L3229">
        <v>1</v>
      </c>
      <c r="M3229">
        <f>TB[[#This Row],[售价]]*TB[[#This Row],[销量]]</f>
        <v>5948</v>
      </c>
      <c r="N3229" t="str">
        <f>IF(TB[[#This Row],[售价]]&lt;1000,"低价商品",IF(TB[[#This Row],[售价]]&lt;5000,"中价商品",IF(TB[[#This Row],[售价]]&lt;10000,"高价商品","超高价商品")))</f>
        <v>高价商品</v>
      </c>
    </row>
    <row r="3230" spans="1:14" x14ac:dyDescent="0.2">
      <c r="A3230">
        <v>606</v>
      </c>
      <c r="B3230">
        <v>115</v>
      </c>
      <c r="C3230" t="s">
        <v>32</v>
      </c>
      <c r="D3230" t="s">
        <v>107</v>
      </c>
      <c r="E3230" t="s">
        <v>31</v>
      </c>
      <c r="F3230">
        <v>4</v>
      </c>
      <c r="G3230" t="s">
        <v>13</v>
      </c>
      <c r="H3230" s="1">
        <v>45990.214583333334</v>
      </c>
      <c r="I3230" s="5">
        <f>INT(TB[[#This Row],[时间戳]])</f>
        <v>45990</v>
      </c>
      <c r="J3230" s="2">
        <f>HOUR(TB[[#This Row],[时间戳]])</f>
        <v>5</v>
      </c>
      <c r="K3230">
        <v>1388</v>
      </c>
      <c r="L3230">
        <v>3</v>
      </c>
      <c r="M3230">
        <f>TB[[#This Row],[售价]]*TB[[#This Row],[销量]]</f>
        <v>4164</v>
      </c>
      <c r="N3230" t="str">
        <f>IF(TB[[#This Row],[售价]]&lt;1000,"低价商品",IF(TB[[#This Row],[售价]]&lt;5000,"中价商品",IF(TB[[#This Row],[售价]]&lt;10000,"高价商品","超高价商品")))</f>
        <v>中价商品</v>
      </c>
    </row>
    <row r="3231" spans="1:14" x14ac:dyDescent="0.2">
      <c r="A3231">
        <v>235</v>
      </c>
      <c r="B3231">
        <v>297</v>
      </c>
      <c r="C3231" t="s">
        <v>36</v>
      </c>
      <c r="D3231" t="s">
        <v>37</v>
      </c>
      <c r="E3231" t="s">
        <v>31</v>
      </c>
      <c r="F3231">
        <v>4</v>
      </c>
      <c r="G3231" t="s">
        <v>13</v>
      </c>
      <c r="H3231" s="1">
        <v>45990.21875</v>
      </c>
      <c r="I3231" s="5">
        <f>INT(TB[[#This Row],[时间戳]])</f>
        <v>45990</v>
      </c>
      <c r="J3231" s="2">
        <f>HOUR(TB[[#This Row],[时间戳]])</f>
        <v>5</v>
      </c>
      <c r="K3231">
        <v>905</v>
      </c>
      <c r="L3231">
        <v>2</v>
      </c>
      <c r="M3231">
        <f>TB[[#This Row],[售价]]*TB[[#This Row],[销量]]</f>
        <v>1810</v>
      </c>
      <c r="N3231" t="str">
        <f>IF(TB[[#This Row],[售价]]&lt;1000,"低价商品",IF(TB[[#This Row],[售价]]&lt;5000,"中价商品",IF(TB[[#This Row],[售价]]&lt;10000,"高价商品","超高价商品")))</f>
        <v>低价商品</v>
      </c>
    </row>
    <row r="3232" spans="1:14" x14ac:dyDescent="0.2">
      <c r="A3232">
        <v>544</v>
      </c>
      <c r="B3232">
        <v>118</v>
      </c>
      <c r="C3232" t="s">
        <v>36</v>
      </c>
      <c r="D3232" t="s">
        <v>181</v>
      </c>
      <c r="E3232" t="s">
        <v>25</v>
      </c>
      <c r="F3232">
        <v>7</v>
      </c>
      <c r="G3232" t="s">
        <v>13</v>
      </c>
      <c r="H3232" s="1">
        <v>45990.232638888891</v>
      </c>
      <c r="I3232" s="5">
        <f>INT(TB[[#This Row],[时间戳]])</f>
        <v>45990</v>
      </c>
      <c r="J3232" s="2">
        <f>HOUR(TB[[#This Row],[时间戳]])</f>
        <v>5</v>
      </c>
      <c r="K3232">
        <v>3583</v>
      </c>
      <c r="L3232">
        <v>1</v>
      </c>
      <c r="M3232">
        <f>TB[[#This Row],[售价]]*TB[[#This Row],[销量]]</f>
        <v>3583</v>
      </c>
      <c r="N3232" t="str">
        <f>IF(TB[[#This Row],[售价]]&lt;1000,"低价商品",IF(TB[[#This Row],[售价]]&lt;5000,"中价商品",IF(TB[[#This Row],[售价]]&lt;10000,"高价商品","超高价商品")))</f>
        <v>中价商品</v>
      </c>
    </row>
    <row r="3233" spans="1:14" x14ac:dyDescent="0.2">
      <c r="A3233">
        <v>407</v>
      </c>
      <c r="B3233">
        <v>2</v>
      </c>
      <c r="C3233" t="s">
        <v>44</v>
      </c>
      <c r="D3233" t="s">
        <v>70</v>
      </c>
      <c r="E3233" t="s">
        <v>12</v>
      </c>
      <c r="F3233">
        <v>2</v>
      </c>
      <c r="G3233" t="s">
        <v>13</v>
      </c>
      <c r="H3233" s="1">
        <v>45990.249305555553</v>
      </c>
      <c r="I3233" s="5">
        <f>INT(TB[[#This Row],[时间戳]])</f>
        <v>45990</v>
      </c>
      <c r="J3233" s="2">
        <f>HOUR(TB[[#This Row],[时间戳]])</f>
        <v>5</v>
      </c>
      <c r="K3233">
        <v>4577</v>
      </c>
      <c r="L3233">
        <v>1</v>
      </c>
      <c r="M3233">
        <f>TB[[#This Row],[售价]]*TB[[#This Row],[销量]]</f>
        <v>4577</v>
      </c>
      <c r="N3233" t="str">
        <f>IF(TB[[#This Row],[售价]]&lt;1000,"低价商品",IF(TB[[#This Row],[售价]]&lt;5000,"中价商品",IF(TB[[#This Row],[售价]]&lt;10000,"高价商品","超高价商品")))</f>
        <v>中价商品</v>
      </c>
    </row>
    <row r="3234" spans="1:14" x14ac:dyDescent="0.2">
      <c r="A3234">
        <v>549</v>
      </c>
      <c r="B3234">
        <v>280</v>
      </c>
      <c r="C3234" t="s">
        <v>14</v>
      </c>
      <c r="D3234" t="s">
        <v>228</v>
      </c>
      <c r="E3234" t="s">
        <v>31</v>
      </c>
      <c r="F3234">
        <v>4</v>
      </c>
      <c r="G3234" t="s">
        <v>13</v>
      </c>
      <c r="H3234" s="1">
        <v>45990.254861111112</v>
      </c>
      <c r="I3234" s="5">
        <f>INT(TB[[#This Row],[时间戳]])</f>
        <v>45990</v>
      </c>
      <c r="J3234" s="2">
        <f>HOUR(TB[[#This Row],[时间戳]])</f>
        <v>6</v>
      </c>
      <c r="K3234">
        <v>754</v>
      </c>
      <c r="L3234">
        <v>2</v>
      </c>
      <c r="M3234">
        <f>TB[[#This Row],[售价]]*TB[[#This Row],[销量]]</f>
        <v>1508</v>
      </c>
      <c r="N3234" t="str">
        <f>IF(TB[[#This Row],[售价]]&lt;1000,"低价商品",IF(TB[[#This Row],[售价]]&lt;5000,"中价商品",IF(TB[[#This Row],[售价]]&lt;10000,"高价商品","超高价商品")))</f>
        <v>低价商品</v>
      </c>
    </row>
    <row r="3235" spans="1:14" x14ac:dyDescent="0.2">
      <c r="A3235">
        <v>788</v>
      </c>
      <c r="B3235">
        <v>27</v>
      </c>
      <c r="C3235" t="s">
        <v>20</v>
      </c>
      <c r="D3235" t="s">
        <v>88</v>
      </c>
      <c r="E3235" t="s">
        <v>19</v>
      </c>
      <c r="F3235">
        <v>3</v>
      </c>
      <c r="G3235" t="s">
        <v>13</v>
      </c>
      <c r="H3235" s="1">
        <v>45990.256249999999</v>
      </c>
      <c r="I3235" s="5">
        <f>INT(TB[[#This Row],[时间戳]])</f>
        <v>45990</v>
      </c>
      <c r="J3235" s="2">
        <f>HOUR(TB[[#This Row],[时间戳]])</f>
        <v>6</v>
      </c>
      <c r="K3235">
        <v>4722</v>
      </c>
      <c r="L3235">
        <v>3</v>
      </c>
      <c r="M3235">
        <f>TB[[#This Row],[售价]]*TB[[#This Row],[销量]]</f>
        <v>14166</v>
      </c>
      <c r="N3235" t="str">
        <f>IF(TB[[#This Row],[售价]]&lt;1000,"低价商品",IF(TB[[#This Row],[售价]]&lt;5000,"中价商品",IF(TB[[#This Row],[售价]]&lt;10000,"高价商品","超高价商品")))</f>
        <v>中价商品</v>
      </c>
    </row>
    <row r="3236" spans="1:14" x14ac:dyDescent="0.2">
      <c r="A3236">
        <v>678</v>
      </c>
      <c r="B3236">
        <v>283</v>
      </c>
      <c r="C3236" t="s">
        <v>32</v>
      </c>
      <c r="D3236" t="s">
        <v>63</v>
      </c>
      <c r="E3236" t="s">
        <v>12</v>
      </c>
      <c r="F3236">
        <v>2</v>
      </c>
      <c r="G3236" t="s">
        <v>13</v>
      </c>
      <c r="H3236" s="1">
        <v>45990.265277777777</v>
      </c>
      <c r="I3236" s="5">
        <f>INT(TB[[#This Row],[时间戳]])</f>
        <v>45990</v>
      </c>
      <c r="J3236" s="2">
        <f>HOUR(TB[[#This Row],[时间戳]])</f>
        <v>6</v>
      </c>
      <c r="K3236">
        <v>12233</v>
      </c>
      <c r="L3236">
        <v>2</v>
      </c>
      <c r="M3236">
        <f>TB[[#This Row],[售价]]*TB[[#This Row],[销量]]</f>
        <v>24466</v>
      </c>
      <c r="N3236" t="str">
        <f>IF(TB[[#This Row],[售价]]&lt;1000,"低价商品",IF(TB[[#This Row],[售价]]&lt;5000,"中价商品",IF(TB[[#This Row],[售价]]&lt;10000,"高价商品","超高价商品")))</f>
        <v>超高价商品</v>
      </c>
    </row>
    <row r="3237" spans="1:14" x14ac:dyDescent="0.2">
      <c r="A3237">
        <v>399</v>
      </c>
      <c r="B3237">
        <v>288</v>
      </c>
      <c r="C3237" t="s">
        <v>14</v>
      </c>
      <c r="D3237" t="s">
        <v>49</v>
      </c>
      <c r="E3237" t="s">
        <v>22</v>
      </c>
      <c r="F3237">
        <v>1</v>
      </c>
      <c r="G3237" t="s">
        <v>13</v>
      </c>
      <c r="H3237" s="1">
        <v>45990.270138888889</v>
      </c>
      <c r="I3237" s="5">
        <f>INT(TB[[#This Row],[时间戳]])</f>
        <v>45990</v>
      </c>
      <c r="J3237" s="2">
        <f>HOUR(TB[[#This Row],[时间戳]])</f>
        <v>6</v>
      </c>
      <c r="K3237">
        <v>3554</v>
      </c>
      <c r="L3237">
        <v>3</v>
      </c>
      <c r="M3237">
        <f>TB[[#This Row],[售价]]*TB[[#This Row],[销量]]</f>
        <v>10662</v>
      </c>
      <c r="N3237" t="str">
        <f>IF(TB[[#This Row],[售价]]&lt;1000,"低价商品",IF(TB[[#This Row],[售价]]&lt;5000,"中价商品",IF(TB[[#This Row],[售价]]&lt;10000,"高价商品","超高价商品")))</f>
        <v>中价商品</v>
      </c>
    </row>
    <row r="3238" spans="1:14" x14ac:dyDescent="0.2">
      <c r="A3238">
        <v>15</v>
      </c>
      <c r="B3238">
        <v>220</v>
      </c>
      <c r="C3238" t="s">
        <v>20</v>
      </c>
      <c r="D3238" t="s">
        <v>64</v>
      </c>
      <c r="E3238" t="s">
        <v>31</v>
      </c>
      <c r="F3238">
        <v>4</v>
      </c>
      <c r="G3238" t="s">
        <v>42</v>
      </c>
      <c r="H3238" s="1">
        <v>45990.274305555555</v>
      </c>
      <c r="I3238" s="5">
        <f>INT(TB[[#This Row],[时间戳]])</f>
        <v>45990</v>
      </c>
      <c r="J3238" s="2">
        <f>HOUR(TB[[#This Row],[时间戳]])</f>
        <v>6</v>
      </c>
      <c r="K3238">
        <v>612</v>
      </c>
      <c r="L3238">
        <v>0</v>
      </c>
      <c r="M3238">
        <f>TB[[#This Row],[售价]]*TB[[#This Row],[销量]]</f>
        <v>0</v>
      </c>
      <c r="N3238" t="str">
        <f>IF(TB[[#This Row],[售价]]&lt;1000,"低价商品",IF(TB[[#This Row],[售价]]&lt;5000,"中价商品",IF(TB[[#This Row],[售价]]&lt;10000,"高价商品","超高价商品")))</f>
        <v>低价商品</v>
      </c>
    </row>
    <row r="3239" spans="1:14" x14ac:dyDescent="0.2">
      <c r="A3239">
        <v>22</v>
      </c>
      <c r="B3239">
        <v>51</v>
      </c>
      <c r="C3239" t="s">
        <v>32</v>
      </c>
      <c r="D3239" t="s">
        <v>101</v>
      </c>
      <c r="E3239" t="s">
        <v>39</v>
      </c>
      <c r="F3239">
        <v>5</v>
      </c>
      <c r="G3239" t="s">
        <v>13</v>
      </c>
      <c r="H3239" s="1">
        <v>45990.333333333336</v>
      </c>
      <c r="I3239" s="5">
        <f>INT(TB[[#This Row],[时间戳]])</f>
        <v>45990</v>
      </c>
      <c r="J3239" s="2">
        <f>HOUR(TB[[#This Row],[时间戳]])</f>
        <v>8</v>
      </c>
      <c r="K3239">
        <v>1094</v>
      </c>
      <c r="L3239">
        <v>2</v>
      </c>
      <c r="M3239">
        <f>TB[[#This Row],[售价]]*TB[[#This Row],[销量]]</f>
        <v>2188</v>
      </c>
      <c r="N3239" t="str">
        <f>IF(TB[[#This Row],[售价]]&lt;1000,"低价商品",IF(TB[[#This Row],[售价]]&lt;5000,"中价商品",IF(TB[[#This Row],[售价]]&lt;10000,"高价商品","超高价商品")))</f>
        <v>中价商品</v>
      </c>
    </row>
    <row r="3240" spans="1:14" x14ac:dyDescent="0.2">
      <c r="A3240">
        <v>674</v>
      </c>
      <c r="B3240">
        <v>150</v>
      </c>
      <c r="C3240" t="s">
        <v>36</v>
      </c>
      <c r="D3240" t="s">
        <v>317</v>
      </c>
      <c r="E3240" t="s">
        <v>19</v>
      </c>
      <c r="F3240">
        <v>3</v>
      </c>
      <c r="G3240" t="s">
        <v>13</v>
      </c>
      <c r="H3240" s="1">
        <v>45990.351388888892</v>
      </c>
      <c r="I3240" s="5">
        <f>INT(TB[[#This Row],[时间戳]])</f>
        <v>45990</v>
      </c>
      <c r="J3240" s="2">
        <f>HOUR(TB[[#This Row],[时间戳]])</f>
        <v>8</v>
      </c>
      <c r="K3240">
        <v>2746</v>
      </c>
      <c r="L3240">
        <v>4</v>
      </c>
      <c r="M3240">
        <f>TB[[#This Row],[售价]]*TB[[#This Row],[销量]]</f>
        <v>10984</v>
      </c>
      <c r="N3240" t="str">
        <f>IF(TB[[#This Row],[售价]]&lt;1000,"低价商品",IF(TB[[#This Row],[售价]]&lt;5000,"中价商品",IF(TB[[#This Row],[售价]]&lt;10000,"高价商品","超高价商品")))</f>
        <v>中价商品</v>
      </c>
    </row>
    <row r="3241" spans="1:14" x14ac:dyDescent="0.2">
      <c r="A3241">
        <v>437</v>
      </c>
      <c r="B3241">
        <v>105</v>
      </c>
      <c r="C3241" t="s">
        <v>17</v>
      </c>
      <c r="D3241" t="s">
        <v>285</v>
      </c>
      <c r="E3241" t="s">
        <v>25</v>
      </c>
      <c r="F3241">
        <v>7</v>
      </c>
      <c r="G3241" t="s">
        <v>13</v>
      </c>
      <c r="H3241" s="1">
        <v>45990.365972222222</v>
      </c>
      <c r="I3241" s="5">
        <f>INT(TB[[#This Row],[时间戳]])</f>
        <v>45990</v>
      </c>
      <c r="J3241" s="2">
        <f>HOUR(TB[[#This Row],[时间戳]])</f>
        <v>8</v>
      </c>
      <c r="K3241">
        <v>6934</v>
      </c>
      <c r="L3241">
        <v>1</v>
      </c>
      <c r="M3241">
        <f>TB[[#This Row],[售价]]*TB[[#This Row],[销量]]</f>
        <v>6934</v>
      </c>
      <c r="N3241" t="str">
        <f>IF(TB[[#This Row],[售价]]&lt;1000,"低价商品",IF(TB[[#This Row],[售价]]&lt;5000,"中价商品",IF(TB[[#This Row],[售价]]&lt;10000,"高价商品","超高价商品")))</f>
        <v>高价商品</v>
      </c>
    </row>
    <row r="3242" spans="1:14" x14ac:dyDescent="0.2">
      <c r="A3242">
        <v>317</v>
      </c>
      <c r="B3242">
        <v>278</v>
      </c>
      <c r="C3242" t="s">
        <v>14</v>
      </c>
      <c r="D3242" t="s">
        <v>228</v>
      </c>
      <c r="E3242" t="s">
        <v>31</v>
      </c>
      <c r="F3242">
        <v>4</v>
      </c>
      <c r="G3242" t="s">
        <v>13</v>
      </c>
      <c r="H3242" s="1">
        <v>45990.376388888886</v>
      </c>
      <c r="I3242" s="5">
        <f>INT(TB[[#This Row],[时间戳]])</f>
        <v>45990</v>
      </c>
      <c r="J3242" s="2">
        <f>HOUR(TB[[#This Row],[时间戳]])</f>
        <v>9</v>
      </c>
      <c r="K3242">
        <v>370</v>
      </c>
      <c r="L3242">
        <v>2</v>
      </c>
      <c r="M3242">
        <f>TB[[#This Row],[售价]]*TB[[#This Row],[销量]]</f>
        <v>740</v>
      </c>
      <c r="N3242" t="str">
        <f>IF(TB[[#This Row],[售价]]&lt;1000,"低价商品",IF(TB[[#This Row],[售价]]&lt;5000,"中价商品",IF(TB[[#This Row],[售价]]&lt;10000,"高价商品","超高价商品")))</f>
        <v>低价商品</v>
      </c>
    </row>
    <row r="3243" spans="1:14" x14ac:dyDescent="0.2">
      <c r="A3243">
        <v>160</v>
      </c>
      <c r="B3243">
        <v>63</v>
      </c>
      <c r="C3243" t="s">
        <v>14</v>
      </c>
      <c r="D3243" t="s">
        <v>349</v>
      </c>
      <c r="E3243" t="s">
        <v>25</v>
      </c>
      <c r="F3243">
        <v>7</v>
      </c>
      <c r="G3243" t="s">
        <v>13</v>
      </c>
      <c r="H3243" s="1">
        <v>45990.386805555558</v>
      </c>
      <c r="I3243" s="5">
        <f>INT(TB[[#This Row],[时间戳]])</f>
        <v>45990</v>
      </c>
      <c r="J3243" s="2">
        <f>HOUR(TB[[#This Row],[时间戳]])</f>
        <v>9</v>
      </c>
      <c r="K3243">
        <v>7245</v>
      </c>
      <c r="L3243">
        <v>1</v>
      </c>
      <c r="M3243">
        <f>TB[[#This Row],[售价]]*TB[[#This Row],[销量]]</f>
        <v>7245</v>
      </c>
      <c r="N3243" t="str">
        <f>IF(TB[[#This Row],[售价]]&lt;1000,"低价商品",IF(TB[[#This Row],[售价]]&lt;5000,"中价商品",IF(TB[[#This Row],[售价]]&lt;10000,"高价商品","超高价商品")))</f>
        <v>高价商品</v>
      </c>
    </row>
    <row r="3244" spans="1:14" x14ac:dyDescent="0.2">
      <c r="A3244">
        <v>184</v>
      </c>
      <c r="B3244">
        <v>59</v>
      </c>
      <c r="C3244" t="s">
        <v>14</v>
      </c>
      <c r="D3244" t="s">
        <v>305</v>
      </c>
      <c r="E3244" t="s">
        <v>25</v>
      </c>
      <c r="F3244">
        <v>7</v>
      </c>
      <c r="G3244" t="s">
        <v>13</v>
      </c>
      <c r="H3244" s="1">
        <v>45990.400694444441</v>
      </c>
      <c r="I3244" s="5">
        <f>INT(TB[[#This Row],[时间戳]])</f>
        <v>45990</v>
      </c>
      <c r="J3244" s="2">
        <f>HOUR(TB[[#This Row],[时间戳]])</f>
        <v>9</v>
      </c>
      <c r="K3244">
        <v>1500</v>
      </c>
      <c r="L3244">
        <v>3</v>
      </c>
      <c r="M3244">
        <f>TB[[#This Row],[售价]]*TB[[#This Row],[销量]]</f>
        <v>4500</v>
      </c>
      <c r="N3244" t="str">
        <f>IF(TB[[#This Row],[售价]]&lt;1000,"低价商品",IF(TB[[#This Row],[售价]]&lt;5000,"中价商品",IF(TB[[#This Row],[售价]]&lt;10000,"高价商品","超高价商品")))</f>
        <v>中价商品</v>
      </c>
    </row>
    <row r="3245" spans="1:14" x14ac:dyDescent="0.2">
      <c r="A3245">
        <v>785</v>
      </c>
      <c r="B3245">
        <v>274</v>
      </c>
      <c r="C3245" t="s">
        <v>14</v>
      </c>
      <c r="D3245" t="s">
        <v>52</v>
      </c>
      <c r="E3245" t="s">
        <v>31</v>
      </c>
      <c r="F3245">
        <v>4</v>
      </c>
      <c r="G3245" t="s">
        <v>13</v>
      </c>
      <c r="H3245" s="1">
        <v>45990.42291666667</v>
      </c>
      <c r="I3245" s="5">
        <f>INT(TB[[#This Row],[时间戳]])</f>
        <v>45990</v>
      </c>
      <c r="J3245" s="2">
        <f>HOUR(TB[[#This Row],[时间戳]])</f>
        <v>10</v>
      </c>
      <c r="K3245">
        <v>946</v>
      </c>
      <c r="L3245">
        <v>2</v>
      </c>
      <c r="M3245">
        <f>TB[[#This Row],[售价]]*TB[[#This Row],[销量]]</f>
        <v>1892</v>
      </c>
      <c r="N3245" t="str">
        <f>IF(TB[[#This Row],[售价]]&lt;1000,"低价商品",IF(TB[[#This Row],[售价]]&lt;5000,"中价商品",IF(TB[[#This Row],[售价]]&lt;10000,"高价商品","超高价商品")))</f>
        <v>低价商品</v>
      </c>
    </row>
    <row r="3246" spans="1:14" x14ac:dyDescent="0.2">
      <c r="A3246">
        <v>685</v>
      </c>
      <c r="B3246">
        <v>143</v>
      </c>
      <c r="C3246" t="s">
        <v>14</v>
      </c>
      <c r="D3246" t="s">
        <v>405</v>
      </c>
      <c r="E3246" t="s">
        <v>19</v>
      </c>
      <c r="F3246">
        <v>3</v>
      </c>
      <c r="G3246" t="s">
        <v>13</v>
      </c>
      <c r="H3246" s="1">
        <v>45990.445138888892</v>
      </c>
      <c r="I3246" s="5">
        <f>INT(TB[[#This Row],[时间戳]])</f>
        <v>45990</v>
      </c>
      <c r="J3246" s="2">
        <f>HOUR(TB[[#This Row],[时间戳]])</f>
        <v>10</v>
      </c>
      <c r="K3246">
        <v>5372</v>
      </c>
      <c r="L3246">
        <v>4</v>
      </c>
      <c r="M3246">
        <f>TB[[#This Row],[售价]]*TB[[#This Row],[销量]]</f>
        <v>21488</v>
      </c>
      <c r="N3246" t="str">
        <f>IF(TB[[#This Row],[售价]]&lt;1000,"低价商品",IF(TB[[#This Row],[售价]]&lt;5000,"中价商品",IF(TB[[#This Row],[售价]]&lt;10000,"高价商品","超高价商品")))</f>
        <v>高价商品</v>
      </c>
    </row>
    <row r="3247" spans="1:14" x14ac:dyDescent="0.2">
      <c r="A3247">
        <v>181</v>
      </c>
      <c r="B3247">
        <v>199</v>
      </c>
      <c r="C3247" t="s">
        <v>14</v>
      </c>
      <c r="D3247" t="s">
        <v>228</v>
      </c>
      <c r="E3247" t="s">
        <v>31</v>
      </c>
      <c r="F3247">
        <v>4</v>
      </c>
      <c r="G3247" t="s">
        <v>42</v>
      </c>
      <c r="H3247" s="1">
        <v>45990.448611111111</v>
      </c>
      <c r="I3247" s="5">
        <f>INT(TB[[#This Row],[时间戳]])</f>
        <v>45990</v>
      </c>
      <c r="J3247" s="2">
        <f>HOUR(TB[[#This Row],[时间戳]])</f>
        <v>10</v>
      </c>
      <c r="K3247">
        <v>202</v>
      </c>
      <c r="L3247">
        <v>0</v>
      </c>
      <c r="M3247">
        <f>TB[[#This Row],[售价]]*TB[[#This Row],[销量]]</f>
        <v>0</v>
      </c>
      <c r="N3247" t="str">
        <f>IF(TB[[#This Row],[售价]]&lt;1000,"低价商品",IF(TB[[#This Row],[售价]]&lt;5000,"中价商品",IF(TB[[#This Row],[售价]]&lt;10000,"高价商品","超高价商品")))</f>
        <v>低价商品</v>
      </c>
    </row>
    <row r="3248" spans="1:14" x14ac:dyDescent="0.2">
      <c r="A3248">
        <v>636</v>
      </c>
      <c r="B3248">
        <v>45</v>
      </c>
      <c r="C3248" t="s">
        <v>36</v>
      </c>
      <c r="D3248" t="s">
        <v>173</v>
      </c>
      <c r="E3248" t="s">
        <v>19</v>
      </c>
      <c r="F3248">
        <v>3</v>
      </c>
      <c r="G3248" t="s">
        <v>13</v>
      </c>
      <c r="H3248" s="1">
        <v>45990.461111111108</v>
      </c>
      <c r="I3248" s="5">
        <f>INT(TB[[#This Row],[时间戳]])</f>
        <v>45990</v>
      </c>
      <c r="J3248" s="2">
        <f>HOUR(TB[[#This Row],[时间戳]])</f>
        <v>11</v>
      </c>
      <c r="K3248">
        <v>3129</v>
      </c>
      <c r="L3248">
        <v>2</v>
      </c>
      <c r="M3248">
        <f>TB[[#This Row],[售价]]*TB[[#This Row],[销量]]</f>
        <v>6258</v>
      </c>
      <c r="N3248" t="str">
        <f>IF(TB[[#This Row],[售价]]&lt;1000,"低价商品",IF(TB[[#This Row],[售价]]&lt;5000,"中价商品",IF(TB[[#This Row],[售价]]&lt;10000,"高价商品","超高价商品")))</f>
        <v>中价商品</v>
      </c>
    </row>
    <row r="3249" spans="1:14" x14ac:dyDescent="0.2">
      <c r="A3249">
        <v>165</v>
      </c>
      <c r="B3249">
        <v>268</v>
      </c>
      <c r="C3249" t="s">
        <v>26</v>
      </c>
      <c r="D3249" t="s">
        <v>392</v>
      </c>
      <c r="E3249" t="s">
        <v>16</v>
      </c>
      <c r="F3249">
        <v>6</v>
      </c>
      <c r="G3249" t="s">
        <v>13</v>
      </c>
      <c r="H3249" s="1">
        <v>45990.470833333333</v>
      </c>
      <c r="I3249" s="5">
        <f>INT(TB[[#This Row],[时间戳]])</f>
        <v>45990</v>
      </c>
      <c r="J3249" s="2">
        <f>HOUR(TB[[#This Row],[时间戳]])</f>
        <v>11</v>
      </c>
      <c r="K3249">
        <v>2922</v>
      </c>
      <c r="L3249">
        <v>5</v>
      </c>
      <c r="M3249">
        <f>TB[[#This Row],[售价]]*TB[[#This Row],[销量]]</f>
        <v>14610</v>
      </c>
      <c r="N3249" t="str">
        <f>IF(TB[[#This Row],[售价]]&lt;1000,"低价商品",IF(TB[[#This Row],[售价]]&lt;5000,"中价商品",IF(TB[[#This Row],[售价]]&lt;10000,"高价商品","超高价商品")))</f>
        <v>中价商品</v>
      </c>
    </row>
    <row r="3250" spans="1:14" x14ac:dyDescent="0.2">
      <c r="A3250">
        <v>776</v>
      </c>
      <c r="B3250">
        <v>180</v>
      </c>
      <c r="C3250" t="s">
        <v>32</v>
      </c>
      <c r="D3250" t="s">
        <v>79</v>
      </c>
      <c r="E3250" t="s">
        <v>31</v>
      </c>
      <c r="F3250">
        <v>4</v>
      </c>
      <c r="G3250" t="s">
        <v>13</v>
      </c>
      <c r="H3250" s="1">
        <v>45990.508333333331</v>
      </c>
      <c r="I3250" s="5">
        <f>INT(TB[[#This Row],[时间戳]])</f>
        <v>45990</v>
      </c>
      <c r="J3250" s="2">
        <f>HOUR(TB[[#This Row],[时间戳]])</f>
        <v>12</v>
      </c>
      <c r="K3250">
        <v>1500</v>
      </c>
      <c r="L3250">
        <v>5</v>
      </c>
      <c r="M3250">
        <f>TB[[#This Row],[售价]]*TB[[#This Row],[销量]]</f>
        <v>7500</v>
      </c>
      <c r="N3250" t="str">
        <f>IF(TB[[#This Row],[售价]]&lt;1000,"低价商品",IF(TB[[#This Row],[售价]]&lt;5000,"中价商品",IF(TB[[#This Row],[售价]]&lt;10000,"高价商品","超高价商品")))</f>
        <v>中价商品</v>
      </c>
    </row>
    <row r="3251" spans="1:14" x14ac:dyDescent="0.2">
      <c r="A3251">
        <v>107</v>
      </c>
      <c r="B3251">
        <v>263</v>
      </c>
      <c r="C3251" t="s">
        <v>17</v>
      </c>
      <c r="D3251" t="s">
        <v>226</v>
      </c>
      <c r="E3251" t="s">
        <v>16</v>
      </c>
      <c r="F3251">
        <v>6</v>
      </c>
      <c r="G3251" t="s">
        <v>42</v>
      </c>
      <c r="H3251" s="1">
        <v>45990.527083333334</v>
      </c>
      <c r="I3251" s="5">
        <f>INT(TB[[#This Row],[时间戳]])</f>
        <v>45990</v>
      </c>
      <c r="J3251" s="2">
        <f>HOUR(TB[[#This Row],[时间戳]])</f>
        <v>12</v>
      </c>
      <c r="K3251">
        <v>2462</v>
      </c>
      <c r="L3251">
        <v>0</v>
      </c>
      <c r="M3251">
        <f>TB[[#This Row],[售价]]*TB[[#This Row],[销量]]</f>
        <v>0</v>
      </c>
      <c r="N3251" t="str">
        <f>IF(TB[[#This Row],[售价]]&lt;1000,"低价商品",IF(TB[[#This Row],[售价]]&lt;5000,"中价商品",IF(TB[[#This Row],[售价]]&lt;10000,"高价商品","超高价商品")))</f>
        <v>中价商品</v>
      </c>
    </row>
    <row r="3252" spans="1:14" x14ac:dyDescent="0.2">
      <c r="A3252">
        <v>636</v>
      </c>
      <c r="B3252">
        <v>248</v>
      </c>
      <c r="C3252" t="s">
        <v>26</v>
      </c>
      <c r="D3252" t="s">
        <v>345</v>
      </c>
      <c r="E3252" t="s">
        <v>12</v>
      </c>
      <c r="F3252">
        <v>2</v>
      </c>
      <c r="G3252" t="s">
        <v>13</v>
      </c>
      <c r="H3252" s="1">
        <v>45990.540972222225</v>
      </c>
      <c r="I3252" s="5">
        <f>INT(TB[[#This Row],[时间戳]])</f>
        <v>45990</v>
      </c>
      <c r="J3252" s="2">
        <f>HOUR(TB[[#This Row],[时间戳]])</f>
        <v>12</v>
      </c>
      <c r="K3252">
        <v>10501</v>
      </c>
      <c r="L3252">
        <v>4</v>
      </c>
      <c r="M3252">
        <f>TB[[#This Row],[售价]]*TB[[#This Row],[销量]]</f>
        <v>42004</v>
      </c>
      <c r="N3252" t="str">
        <f>IF(TB[[#This Row],[售价]]&lt;1000,"低价商品",IF(TB[[#This Row],[售价]]&lt;5000,"中价商品",IF(TB[[#This Row],[售价]]&lt;10000,"高价商品","超高价商品")))</f>
        <v>超高价商品</v>
      </c>
    </row>
    <row r="3253" spans="1:14" x14ac:dyDescent="0.2">
      <c r="A3253">
        <v>673</v>
      </c>
      <c r="B3253">
        <v>254</v>
      </c>
      <c r="C3253" t="s">
        <v>14</v>
      </c>
      <c r="D3253" t="s">
        <v>384</v>
      </c>
      <c r="E3253" t="s">
        <v>39</v>
      </c>
      <c r="F3253">
        <v>5</v>
      </c>
      <c r="G3253" t="s">
        <v>13</v>
      </c>
      <c r="H3253" s="1">
        <v>45990.543055555558</v>
      </c>
      <c r="I3253" s="5">
        <f>INT(TB[[#This Row],[时间戳]])</f>
        <v>45990</v>
      </c>
      <c r="J3253" s="2">
        <f>HOUR(TB[[#This Row],[时间戳]])</f>
        <v>13</v>
      </c>
      <c r="K3253">
        <v>4000</v>
      </c>
      <c r="L3253">
        <v>3</v>
      </c>
      <c r="M3253">
        <f>TB[[#This Row],[售价]]*TB[[#This Row],[销量]]</f>
        <v>12000</v>
      </c>
      <c r="N3253" t="str">
        <f>IF(TB[[#This Row],[售价]]&lt;1000,"低价商品",IF(TB[[#This Row],[售价]]&lt;5000,"中价商品",IF(TB[[#This Row],[售价]]&lt;10000,"高价商品","超高价商品")))</f>
        <v>中价商品</v>
      </c>
    </row>
    <row r="3254" spans="1:14" x14ac:dyDescent="0.2">
      <c r="A3254">
        <v>204</v>
      </c>
      <c r="B3254">
        <v>22</v>
      </c>
      <c r="C3254" t="s">
        <v>34</v>
      </c>
      <c r="D3254" t="s">
        <v>400</v>
      </c>
      <c r="E3254" t="s">
        <v>19</v>
      </c>
      <c r="F3254">
        <v>3</v>
      </c>
      <c r="G3254" t="s">
        <v>13</v>
      </c>
      <c r="H3254" s="1">
        <v>45990.560416666667</v>
      </c>
      <c r="I3254" s="5">
        <f>INT(TB[[#This Row],[时间戳]])</f>
        <v>45990</v>
      </c>
      <c r="J3254" s="2">
        <f>HOUR(TB[[#This Row],[时间戳]])</f>
        <v>13</v>
      </c>
      <c r="K3254">
        <v>5248</v>
      </c>
      <c r="L3254">
        <v>2</v>
      </c>
      <c r="M3254">
        <f>TB[[#This Row],[售价]]*TB[[#This Row],[销量]]</f>
        <v>10496</v>
      </c>
      <c r="N3254" t="str">
        <f>IF(TB[[#This Row],[售价]]&lt;1000,"低价商品",IF(TB[[#This Row],[售价]]&lt;5000,"中价商品",IF(TB[[#This Row],[售价]]&lt;10000,"高价商品","超高价商品")))</f>
        <v>高价商品</v>
      </c>
    </row>
    <row r="3255" spans="1:14" x14ac:dyDescent="0.2">
      <c r="A3255">
        <v>585</v>
      </c>
      <c r="B3255">
        <v>182</v>
      </c>
      <c r="C3255" t="s">
        <v>32</v>
      </c>
      <c r="D3255" t="s">
        <v>71</v>
      </c>
      <c r="E3255" t="s">
        <v>25</v>
      </c>
      <c r="F3255">
        <v>7</v>
      </c>
      <c r="G3255" t="s">
        <v>13</v>
      </c>
      <c r="H3255" s="1">
        <v>45990.5625</v>
      </c>
      <c r="I3255" s="5">
        <f>INT(TB[[#This Row],[时间戳]])</f>
        <v>45990</v>
      </c>
      <c r="J3255" s="2">
        <f>HOUR(TB[[#This Row],[时间戳]])</f>
        <v>13</v>
      </c>
      <c r="K3255">
        <v>1829</v>
      </c>
      <c r="L3255">
        <v>2</v>
      </c>
      <c r="M3255">
        <f>TB[[#This Row],[售价]]*TB[[#This Row],[销量]]</f>
        <v>3658</v>
      </c>
      <c r="N3255" t="str">
        <f>IF(TB[[#This Row],[售价]]&lt;1000,"低价商品",IF(TB[[#This Row],[售价]]&lt;5000,"中价商品",IF(TB[[#This Row],[售价]]&lt;10000,"高价商品","超高价商品")))</f>
        <v>中价商品</v>
      </c>
    </row>
    <row r="3256" spans="1:14" x14ac:dyDescent="0.2">
      <c r="A3256">
        <v>426</v>
      </c>
      <c r="B3256">
        <v>4</v>
      </c>
      <c r="C3256" t="s">
        <v>34</v>
      </c>
      <c r="D3256" t="s">
        <v>291</v>
      </c>
      <c r="E3256" t="s">
        <v>31</v>
      </c>
      <c r="F3256">
        <v>4</v>
      </c>
      <c r="G3256" t="s">
        <v>42</v>
      </c>
      <c r="H3256" s="1">
        <v>45990.570138888892</v>
      </c>
      <c r="I3256" s="5">
        <f>INT(TB[[#This Row],[时间戳]])</f>
        <v>45990</v>
      </c>
      <c r="J3256" s="2">
        <f>HOUR(TB[[#This Row],[时间戳]])</f>
        <v>13</v>
      </c>
      <c r="K3256">
        <v>225</v>
      </c>
      <c r="L3256">
        <v>0</v>
      </c>
      <c r="M3256">
        <f>TB[[#This Row],[售价]]*TB[[#This Row],[销量]]</f>
        <v>0</v>
      </c>
      <c r="N3256" t="str">
        <f>IF(TB[[#This Row],[售价]]&lt;1000,"低价商品",IF(TB[[#This Row],[售价]]&lt;5000,"中价商品",IF(TB[[#This Row],[售价]]&lt;10000,"高价商品","超高价商品")))</f>
        <v>低价商品</v>
      </c>
    </row>
    <row r="3257" spans="1:14" x14ac:dyDescent="0.2">
      <c r="A3257">
        <v>99</v>
      </c>
      <c r="B3257">
        <v>267</v>
      </c>
      <c r="C3257" t="s">
        <v>14</v>
      </c>
      <c r="D3257" t="s">
        <v>43</v>
      </c>
      <c r="E3257" t="s">
        <v>31</v>
      </c>
      <c r="F3257">
        <v>4</v>
      </c>
      <c r="G3257" t="s">
        <v>13</v>
      </c>
      <c r="H3257" s="1">
        <v>45990.572916666664</v>
      </c>
      <c r="I3257" s="5">
        <f>INT(TB[[#This Row],[时间戳]])</f>
        <v>45990</v>
      </c>
      <c r="J3257" s="2">
        <f>HOUR(TB[[#This Row],[时间戳]])</f>
        <v>13</v>
      </c>
      <c r="K3257">
        <v>732</v>
      </c>
      <c r="L3257">
        <v>2</v>
      </c>
      <c r="M3257">
        <f>TB[[#This Row],[售价]]*TB[[#This Row],[销量]]</f>
        <v>1464</v>
      </c>
      <c r="N3257" t="str">
        <f>IF(TB[[#This Row],[售价]]&lt;1000,"低价商品",IF(TB[[#This Row],[售价]]&lt;5000,"中价商品",IF(TB[[#This Row],[售价]]&lt;10000,"高价商品","超高价商品")))</f>
        <v>低价商品</v>
      </c>
    </row>
    <row r="3258" spans="1:14" x14ac:dyDescent="0.2">
      <c r="A3258">
        <v>140</v>
      </c>
      <c r="B3258">
        <v>243</v>
      </c>
      <c r="C3258" t="s">
        <v>14</v>
      </c>
      <c r="D3258" t="s">
        <v>295</v>
      </c>
      <c r="E3258" t="s">
        <v>39</v>
      </c>
      <c r="F3258">
        <v>5</v>
      </c>
      <c r="G3258" t="s">
        <v>13</v>
      </c>
      <c r="H3258" s="1">
        <v>45990.594444444447</v>
      </c>
      <c r="I3258" s="5">
        <f>INT(TB[[#This Row],[时间戳]])</f>
        <v>45990</v>
      </c>
      <c r="J3258" s="2">
        <f>HOUR(TB[[#This Row],[时间戳]])</f>
        <v>14</v>
      </c>
      <c r="K3258">
        <v>3291</v>
      </c>
      <c r="L3258">
        <v>5</v>
      </c>
      <c r="M3258">
        <f>TB[[#This Row],[售价]]*TB[[#This Row],[销量]]</f>
        <v>16455</v>
      </c>
      <c r="N3258" t="str">
        <f>IF(TB[[#This Row],[售价]]&lt;1000,"低价商品",IF(TB[[#This Row],[售价]]&lt;5000,"中价商品",IF(TB[[#This Row],[售价]]&lt;10000,"高价商品","超高价商品")))</f>
        <v>中价商品</v>
      </c>
    </row>
    <row r="3259" spans="1:14" x14ac:dyDescent="0.2">
      <c r="A3259">
        <v>780</v>
      </c>
      <c r="B3259">
        <v>175</v>
      </c>
      <c r="C3259" t="s">
        <v>20</v>
      </c>
      <c r="D3259" t="s">
        <v>334</v>
      </c>
      <c r="E3259" t="s">
        <v>22</v>
      </c>
      <c r="F3259">
        <v>1</v>
      </c>
      <c r="G3259" t="s">
        <v>13</v>
      </c>
      <c r="H3259" s="1">
        <v>45990.599305555559</v>
      </c>
      <c r="I3259" s="5">
        <f>INT(TB[[#This Row],[时间戳]])</f>
        <v>45990</v>
      </c>
      <c r="J3259" s="2">
        <f>HOUR(TB[[#This Row],[时间戳]])</f>
        <v>14</v>
      </c>
      <c r="K3259">
        <v>5132</v>
      </c>
      <c r="L3259">
        <v>2</v>
      </c>
      <c r="M3259">
        <f>TB[[#This Row],[售价]]*TB[[#This Row],[销量]]</f>
        <v>10264</v>
      </c>
      <c r="N3259" t="str">
        <f>IF(TB[[#This Row],[售价]]&lt;1000,"低价商品",IF(TB[[#This Row],[售价]]&lt;5000,"中价商品",IF(TB[[#This Row],[售价]]&lt;10000,"高价商品","超高价商品")))</f>
        <v>高价商品</v>
      </c>
    </row>
    <row r="3260" spans="1:14" x14ac:dyDescent="0.2">
      <c r="A3260">
        <v>325</v>
      </c>
      <c r="B3260">
        <v>126</v>
      </c>
      <c r="C3260" t="s">
        <v>10</v>
      </c>
      <c r="D3260" t="s">
        <v>68</v>
      </c>
      <c r="E3260" t="s">
        <v>22</v>
      </c>
      <c r="F3260">
        <v>1</v>
      </c>
      <c r="G3260" t="s">
        <v>13</v>
      </c>
      <c r="H3260" s="1">
        <v>45990.60833333333</v>
      </c>
      <c r="I3260" s="5">
        <f>INT(TB[[#This Row],[时间戳]])</f>
        <v>45990</v>
      </c>
      <c r="J3260" s="2">
        <f>HOUR(TB[[#This Row],[时间戳]])</f>
        <v>14</v>
      </c>
      <c r="K3260">
        <v>2100</v>
      </c>
      <c r="L3260">
        <v>3</v>
      </c>
      <c r="M3260">
        <f>TB[[#This Row],[售价]]*TB[[#This Row],[销量]]</f>
        <v>6300</v>
      </c>
      <c r="N3260" t="str">
        <f>IF(TB[[#This Row],[售价]]&lt;1000,"低价商品",IF(TB[[#This Row],[售价]]&lt;5000,"中价商品",IF(TB[[#This Row],[售价]]&lt;10000,"高价商品","超高价商品")))</f>
        <v>中价商品</v>
      </c>
    </row>
    <row r="3261" spans="1:14" x14ac:dyDescent="0.2">
      <c r="A3261">
        <v>40</v>
      </c>
      <c r="B3261">
        <v>55</v>
      </c>
      <c r="C3261" t="s">
        <v>17</v>
      </c>
      <c r="D3261" t="s">
        <v>279</v>
      </c>
      <c r="E3261" t="s">
        <v>22</v>
      </c>
      <c r="F3261">
        <v>1</v>
      </c>
      <c r="G3261" t="s">
        <v>13</v>
      </c>
      <c r="H3261" s="1">
        <v>45990.65</v>
      </c>
      <c r="I3261" s="5">
        <f>INT(TB[[#This Row],[时间戳]])</f>
        <v>45990</v>
      </c>
      <c r="J3261" s="2">
        <f>HOUR(TB[[#This Row],[时间戳]])</f>
        <v>15</v>
      </c>
      <c r="K3261">
        <v>3630</v>
      </c>
      <c r="L3261">
        <v>2</v>
      </c>
      <c r="M3261">
        <f>TB[[#This Row],[售价]]*TB[[#This Row],[销量]]</f>
        <v>7260</v>
      </c>
      <c r="N3261" t="str">
        <f>IF(TB[[#This Row],[售价]]&lt;1000,"低价商品",IF(TB[[#This Row],[售价]]&lt;5000,"中价商品",IF(TB[[#This Row],[售价]]&lt;10000,"高价商品","超高价商品")))</f>
        <v>中价商品</v>
      </c>
    </row>
    <row r="3262" spans="1:14" x14ac:dyDescent="0.2">
      <c r="A3262">
        <v>389</v>
      </c>
      <c r="B3262">
        <v>79</v>
      </c>
      <c r="C3262" t="s">
        <v>26</v>
      </c>
      <c r="D3262" t="s">
        <v>306</v>
      </c>
      <c r="E3262" t="s">
        <v>31</v>
      </c>
      <c r="F3262">
        <v>4</v>
      </c>
      <c r="G3262" t="s">
        <v>13</v>
      </c>
      <c r="H3262" s="1">
        <v>45990.654166666667</v>
      </c>
      <c r="I3262" s="5">
        <f>INT(TB[[#This Row],[时间戳]])</f>
        <v>45990</v>
      </c>
      <c r="J3262" s="2">
        <f>HOUR(TB[[#This Row],[时间戳]])</f>
        <v>15</v>
      </c>
      <c r="K3262">
        <v>115</v>
      </c>
      <c r="L3262">
        <v>2</v>
      </c>
      <c r="M3262">
        <f>TB[[#This Row],[售价]]*TB[[#This Row],[销量]]</f>
        <v>230</v>
      </c>
      <c r="N3262" t="str">
        <f>IF(TB[[#This Row],[售价]]&lt;1000,"低价商品",IF(TB[[#This Row],[售价]]&lt;5000,"中价商品",IF(TB[[#This Row],[售价]]&lt;10000,"高价商品","超高价商品")))</f>
        <v>低价商品</v>
      </c>
    </row>
    <row r="3263" spans="1:14" x14ac:dyDescent="0.2">
      <c r="A3263">
        <v>544</v>
      </c>
      <c r="B3263">
        <v>187</v>
      </c>
      <c r="C3263" t="s">
        <v>17</v>
      </c>
      <c r="D3263" t="s">
        <v>28</v>
      </c>
      <c r="E3263" t="s">
        <v>12</v>
      </c>
      <c r="F3263">
        <v>2</v>
      </c>
      <c r="G3263" t="s">
        <v>13</v>
      </c>
      <c r="H3263" s="1">
        <v>45990.666666666664</v>
      </c>
      <c r="I3263" s="5">
        <f>INT(TB[[#This Row],[时间戳]])</f>
        <v>45990</v>
      </c>
      <c r="J3263" s="2">
        <f>HOUR(TB[[#This Row],[时间戳]])</f>
        <v>16</v>
      </c>
      <c r="K3263">
        <v>8572</v>
      </c>
      <c r="L3263">
        <v>1</v>
      </c>
      <c r="M3263">
        <f>TB[[#This Row],[售价]]*TB[[#This Row],[销量]]</f>
        <v>8572</v>
      </c>
      <c r="N3263" t="str">
        <f>IF(TB[[#This Row],[售价]]&lt;1000,"低价商品",IF(TB[[#This Row],[售价]]&lt;5000,"中价商品",IF(TB[[#This Row],[售价]]&lt;10000,"高价商品","超高价商品")))</f>
        <v>高价商品</v>
      </c>
    </row>
    <row r="3264" spans="1:14" x14ac:dyDescent="0.2">
      <c r="A3264">
        <v>308</v>
      </c>
      <c r="B3264">
        <v>209</v>
      </c>
      <c r="C3264" t="s">
        <v>36</v>
      </c>
      <c r="D3264" t="s">
        <v>146</v>
      </c>
      <c r="E3264" t="s">
        <v>22</v>
      </c>
      <c r="F3264">
        <v>1</v>
      </c>
      <c r="G3264" t="s">
        <v>13</v>
      </c>
      <c r="H3264" s="1">
        <v>45990.677083333336</v>
      </c>
      <c r="I3264" s="5">
        <f>INT(TB[[#This Row],[时间戳]])</f>
        <v>45990</v>
      </c>
      <c r="J3264" s="2">
        <f>HOUR(TB[[#This Row],[时间戳]])</f>
        <v>16</v>
      </c>
      <c r="K3264">
        <v>1670</v>
      </c>
      <c r="L3264">
        <v>2</v>
      </c>
      <c r="M3264">
        <f>TB[[#This Row],[售价]]*TB[[#This Row],[销量]]</f>
        <v>3340</v>
      </c>
      <c r="N3264" t="str">
        <f>IF(TB[[#This Row],[售价]]&lt;1000,"低价商品",IF(TB[[#This Row],[售价]]&lt;5000,"中价商品",IF(TB[[#This Row],[售价]]&lt;10000,"高价商品","超高价商品")))</f>
        <v>中价商品</v>
      </c>
    </row>
    <row r="3265" spans="1:14" x14ac:dyDescent="0.2">
      <c r="A3265">
        <v>190</v>
      </c>
      <c r="B3265">
        <v>48</v>
      </c>
      <c r="C3265" t="s">
        <v>36</v>
      </c>
      <c r="D3265" t="s">
        <v>112</v>
      </c>
      <c r="E3265" t="s">
        <v>22</v>
      </c>
      <c r="F3265">
        <v>1</v>
      </c>
      <c r="G3265" t="s">
        <v>13</v>
      </c>
      <c r="H3265" s="1">
        <v>45990.677083333336</v>
      </c>
      <c r="I3265" s="5">
        <f>INT(TB[[#This Row],[时间戳]])</f>
        <v>45990</v>
      </c>
      <c r="J3265" s="2">
        <f>HOUR(TB[[#This Row],[时间戳]])</f>
        <v>16</v>
      </c>
      <c r="K3265">
        <v>1000</v>
      </c>
      <c r="L3265">
        <v>2</v>
      </c>
      <c r="M3265">
        <f>TB[[#This Row],[售价]]*TB[[#This Row],[销量]]</f>
        <v>2000</v>
      </c>
      <c r="N3265" t="str">
        <f>IF(TB[[#This Row],[售价]]&lt;1000,"低价商品",IF(TB[[#This Row],[售价]]&lt;5000,"中价商品",IF(TB[[#This Row],[售价]]&lt;10000,"高价商品","超高价商品")))</f>
        <v>中价商品</v>
      </c>
    </row>
    <row r="3266" spans="1:14" x14ac:dyDescent="0.2">
      <c r="A3266">
        <v>103</v>
      </c>
      <c r="B3266">
        <v>186</v>
      </c>
      <c r="C3266" t="s">
        <v>46</v>
      </c>
      <c r="D3266" t="s">
        <v>129</v>
      </c>
      <c r="E3266" t="s">
        <v>31</v>
      </c>
      <c r="F3266">
        <v>4</v>
      </c>
      <c r="G3266" t="s">
        <v>13</v>
      </c>
      <c r="H3266" s="1">
        <v>45990.706250000003</v>
      </c>
      <c r="I3266" s="5">
        <f>INT(TB[[#This Row],[时间戳]])</f>
        <v>45990</v>
      </c>
      <c r="J3266" s="2">
        <f>HOUR(TB[[#This Row],[时间戳]])</f>
        <v>16</v>
      </c>
      <c r="K3266">
        <v>399</v>
      </c>
      <c r="L3266">
        <v>2</v>
      </c>
      <c r="M3266">
        <f>TB[[#This Row],[售价]]*TB[[#This Row],[销量]]</f>
        <v>798</v>
      </c>
      <c r="N3266" t="str">
        <f>IF(TB[[#This Row],[售价]]&lt;1000,"低价商品",IF(TB[[#This Row],[售价]]&lt;5000,"中价商品",IF(TB[[#This Row],[售价]]&lt;10000,"高价商品","超高价商品")))</f>
        <v>低价商品</v>
      </c>
    </row>
    <row r="3267" spans="1:14" x14ac:dyDescent="0.2">
      <c r="A3267">
        <v>326</v>
      </c>
      <c r="B3267">
        <v>64</v>
      </c>
      <c r="C3267" t="s">
        <v>36</v>
      </c>
      <c r="D3267" t="s">
        <v>377</v>
      </c>
      <c r="E3267" t="s">
        <v>12</v>
      </c>
      <c r="F3267">
        <v>2</v>
      </c>
      <c r="G3267" t="s">
        <v>13</v>
      </c>
      <c r="H3267" s="1">
        <v>45990.707638888889</v>
      </c>
      <c r="I3267" s="5">
        <f>INT(TB[[#This Row],[时间戳]])</f>
        <v>45990</v>
      </c>
      <c r="J3267" s="2">
        <f>HOUR(TB[[#This Row],[时间戳]])</f>
        <v>16</v>
      </c>
      <c r="K3267">
        <v>5705</v>
      </c>
      <c r="L3267">
        <v>2</v>
      </c>
      <c r="M3267">
        <f>TB[[#This Row],[售价]]*TB[[#This Row],[销量]]</f>
        <v>11410</v>
      </c>
      <c r="N3267" t="str">
        <f>IF(TB[[#This Row],[售价]]&lt;1000,"低价商品",IF(TB[[#This Row],[售价]]&lt;5000,"中价商品",IF(TB[[#This Row],[售价]]&lt;10000,"高价商品","超高价商品")))</f>
        <v>高价商品</v>
      </c>
    </row>
    <row r="3268" spans="1:14" x14ac:dyDescent="0.2">
      <c r="A3268">
        <v>81</v>
      </c>
      <c r="B3268">
        <v>119</v>
      </c>
      <c r="C3268" t="s">
        <v>32</v>
      </c>
      <c r="D3268" t="s">
        <v>287</v>
      </c>
      <c r="E3268" t="s">
        <v>19</v>
      </c>
      <c r="F3268">
        <v>3</v>
      </c>
      <c r="G3268" t="s">
        <v>13</v>
      </c>
      <c r="H3268" s="1">
        <v>45990.719444444447</v>
      </c>
      <c r="I3268" s="5">
        <f>INT(TB[[#This Row],[时间戳]])</f>
        <v>45990</v>
      </c>
      <c r="J3268" s="2">
        <f>HOUR(TB[[#This Row],[时间戳]])</f>
        <v>17</v>
      </c>
      <c r="K3268">
        <v>3091</v>
      </c>
      <c r="L3268">
        <v>2</v>
      </c>
      <c r="M3268">
        <f>TB[[#This Row],[售价]]*TB[[#This Row],[销量]]</f>
        <v>6182</v>
      </c>
      <c r="N3268" t="str">
        <f>IF(TB[[#This Row],[售价]]&lt;1000,"低价商品",IF(TB[[#This Row],[售价]]&lt;5000,"中价商品",IF(TB[[#This Row],[售价]]&lt;10000,"高价商品","超高价商品")))</f>
        <v>中价商品</v>
      </c>
    </row>
    <row r="3269" spans="1:14" x14ac:dyDescent="0.2">
      <c r="A3269">
        <v>773</v>
      </c>
      <c r="B3269">
        <v>278</v>
      </c>
      <c r="C3269" t="s">
        <v>36</v>
      </c>
      <c r="D3269" t="s">
        <v>54</v>
      </c>
      <c r="E3269" t="s">
        <v>12</v>
      </c>
      <c r="F3269">
        <v>2</v>
      </c>
      <c r="G3269" t="s">
        <v>13</v>
      </c>
      <c r="H3269" s="1">
        <v>45990.734722222223</v>
      </c>
      <c r="I3269" s="5">
        <f>INT(TB[[#This Row],[时间戳]])</f>
        <v>45990</v>
      </c>
      <c r="J3269" s="2">
        <f>HOUR(TB[[#This Row],[时间戳]])</f>
        <v>17</v>
      </c>
      <c r="K3269">
        <v>4745</v>
      </c>
      <c r="L3269">
        <v>2</v>
      </c>
      <c r="M3269">
        <f>TB[[#This Row],[售价]]*TB[[#This Row],[销量]]</f>
        <v>9490</v>
      </c>
      <c r="N3269" t="str">
        <f>IF(TB[[#This Row],[售价]]&lt;1000,"低价商品",IF(TB[[#This Row],[售价]]&lt;5000,"中价商品",IF(TB[[#This Row],[售价]]&lt;10000,"高价商品","超高价商品")))</f>
        <v>中价商品</v>
      </c>
    </row>
    <row r="3270" spans="1:14" x14ac:dyDescent="0.2">
      <c r="A3270">
        <v>708</v>
      </c>
      <c r="B3270">
        <v>280</v>
      </c>
      <c r="C3270" t="s">
        <v>20</v>
      </c>
      <c r="D3270" t="s">
        <v>399</v>
      </c>
      <c r="E3270" t="s">
        <v>31</v>
      </c>
      <c r="F3270">
        <v>4</v>
      </c>
      <c r="G3270" t="s">
        <v>42</v>
      </c>
      <c r="H3270" s="1">
        <v>45990.75277777778</v>
      </c>
      <c r="I3270" s="5">
        <f>INT(TB[[#This Row],[时间戳]])</f>
        <v>45990</v>
      </c>
      <c r="J3270" s="2">
        <f>HOUR(TB[[#This Row],[时间戳]])</f>
        <v>18</v>
      </c>
      <c r="K3270">
        <v>377</v>
      </c>
      <c r="L3270">
        <v>0</v>
      </c>
      <c r="M3270">
        <f>TB[[#This Row],[售价]]*TB[[#This Row],[销量]]</f>
        <v>0</v>
      </c>
      <c r="N3270" t="str">
        <f>IF(TB[[#This Row],[售价]]&lt;1000,"低价商品",IF(TB[[#This Row],[售价]]&lt;5000,"中价商品",IF(TB[[#This Row],[售价]]&lt;10000,"高价商品","超高价商品")))</f>
        <v>低价商品</v>
      </c>
    </row>
    <row r="3271" spans="1:14" x14ac:dyDescent="0.2">
      <c r="A3271">
        <v>414</v>
      </c>
      <c r="B3271">
        <v>21</v>
      </c>
      <c r="C3271" t="s">
        <v>36</v>
      </c>
      <c r="D3271" t="s">
        <v>386</v>
      </c>
      <c r="E3271" t="s">
        <v>22</v>
      </c>
      <c r="F3271">
        <v>1</v>
      </c>
      <c r="G3271" t="s">
        <v>13</v>
      </c>
      <c r="H3271" s="1">
        <v>45990.774305555555</v>
      </c>
      <c r="I3271" s="5">
        <f>INT(TB[[#This Row],[时间戳]])</f>
        <v>45990</v>
      </c>
      <c r="J3271" s="2">
        <f>HOUR(TB[[#This Row],[时间戳]])</f>
        <v>18</v>
      </c>
      <c r="K3271">
        <v>3516</v>
      </c>
      <c r="L3271">
        <v>4</v>
      </c>
      <c r="M3271">
        <f>TB[[#This Row],[售价]]*TB[[#This Row],[销量]]</f>
        <v>14064</v>
      </c>
      <c r="N3271" t="str">
        <f>IF(TB[[#This Row],[售价]]&lt;1000,"低价商品",IF(TB[[#This Row],[售价]]&lt;5000,"中价商品",IF(TB[[#This Row],[售价]]&lt;10000,"高价商品","超高价商品")))</f>
        <v>中价商品</v>
      </c>
    </row>
    <row r="3272" spans="1:14" x14ac:dyDescent="0.2">
      <c r="A3272">
        <v>276</v>
      </c>
      <c r="B3272">
        <v>27</v>
      </c>
      <c r="C3272" t="s">
        <v>14</v>
      </c>
      <c r="D3272" t="s">
        <v>124</v>
      </c>
      <c r="E3272" t="s">
        <v>19</v>
      </c>
      <c r="F3272">
        <v>3</v>
      </c>
      <c r="G3272" t="s">
        <v>13</v>
      </c>
      <c r="H3272" s="1">
        <v>45990.779861111114</v>
      </c>
      <c r="I3272" s="5">
        <f>INT(TB[[#This Row],[时间戳]])</f>
        <v>45990</v>
      </c>
      <c r="J3272" s="2">
        <f>HOUR(TB[[#This Row],[时间戳]])</f>
        <v>18</v>
      </c>
      <c r="K3272">
        <v>4070</v>
      </c>
      <c r="L3272">
        <v>4</v>
      </c>
      <c r="M3272">
        <f>TB[[#This Row],[售价]]*TB[[#This Row],[销量]]</f>
        <v>16280</v>
      </c>
      <c r="N3272" t="str">
        <f>IF(TB[[#This Row],[售价]]&lt;1000,"低价商品",IF(TB[[#This Row],[售价]]&lt;5000,"中价商品",IF(TB[[#This Row],[售价]]&lt;10000,"高价商品","超高价商品")))</f>
        <v>中价商品</v>
      </c>
    </row>
    <row r="3273" spans="1:14" x14ac:dyDescent="0.2">
      <c r="A3273">
        <v>5</v>
      </c>
      <c r="B3273">
        <v>55</v>
      </c>
      <c r="C3273" t="s">
        <v>14</v>
      </c>
      <c r="D3273" t="s">
        <v>388</v>
      </c>
      <c r="E3273" t="s">
        <v>19</v>
      </c>
      <c r="F3273">
        <v>3</v>
      </c>
      <c r="G3273" t="s">
        <v>13</v>
      </c>
      <c r="H3273" s="1">
        <v>45990.779861111114</v>
      </c>
      <c r="I3273" s="5">
        <f>INT(TB[[#This Row],[时间戳]])</f>
        <v>45990</v>
      </c>
      <c r="J3273" s="2">
        <f>HOUR(TB[[#This Row],[时间戳]])</f>
        <v>18</v>
      </c>
      <c r="K3273">
        <v>2456</v>
      </c>
      <c r="L3273">
        <v>2</v>
      </c>
      <c r="M3273">
        <f>TB[[#This Row],[售价]]*TB[[#This Row],[销量]]</f>
        <v>4912</v>
      </c>
      <c r="N3273" t="str">
        <f>IF(TB[[#This Row],[售价]]&lt;1000,"低价商品",IF(TB[[#This Row],[售价]]&lt;5000,"中价商品",IF(TB[[#This Row],[售价]]&lt;10000,"高价商品","超高价商品")))</f>
        <v>中价商品</v>
      </c>
    </row>
    <row r="3274" spans="1:14" x14ac:dyDescent="0.2">
      <c r="A3274">
        <v>416</v>
      </c>
      <c r="B3274">
        <v>278</v>
      </c>
      <c r="C3274" t="s">
        <v>44</v>
      </c>
      <c r="D3274" t="s">
        <v>100</v>
      </c>
      <c r="E3274" t="s">
        <v>19</v>
      </c>
      <c r="F3274">
        <v>3</v>
      </c>
      <c r="G3274" t="s">
        <v>13</v>
      </c>
      <c r="H3274" s="1">
        <v>45990.803472222222</v>
      </c>
      <c r="I3274" s="5">
        <f>INT(TB[[#This Row],[时间戳]])</f>
        <v>45990</v>
      </c>
      <c r="J3274" s="2">
        <f>HOUR(TB[[#This Row],[时间戳]])</f>
        <v>19</v>
      </c>
      <c r="K3274">
        <v>5228</v>
      </c>
      <c r="L3274">
        <v>1</v>
      </c>
      <c r="M3274">
        <f>TB[[#This Row],[售价]]*TB[[#This Row],[销量]]</f>
        <v>5228</v>
      </c>
      <c r="N3274" t="str">
        <f>IF(TB[[#This Row],[售价]]&lt;1000,"低价商品",IF(TB[[#This Row],[售价]]&lt;5000,"中价商品",IF(TB[[#This Row],[售价]]&lt;10000,"高价商品","超高价商品")))</f>
        <v>高价商品</v>
      </c>
    </row>
    <row r="3275" spans="1:14" x14ac:dyDescent="0.2">
      <c r="A3275">
        <v>575</v>
      </c>
      <c r="B3275">
        <v>127</v>
      </c>
      <c r="C3275" t="s">
        <v>26</v>
      </c>
      <c r="D3275" t="s">
        <v>160</v>
      </c>
      <c r="E3275" t="s">
        <v>19</v>
      </c>
      <c r="F3275">
        <v>3</v>
      </c>
      <c r="G3275" t="s">
        <v>13</v>
      </c>
      <c r="H3275" s="1">
        <v>45990.817361111112</v>
      </c>
      <c r="I3275" s="5">
        <f>INT(TB[[#This Row],[时间戳]])</f>
        <v>45990</v>
      </c>
      <c r="J3275" s="2">
        <f>HOUR(TB[[#This Row],[时间戳]])</f>
        <v>19</v>
      </c>
      <c r="K3275">
        <v>2310</v>
      </c>
      <c r="L3275">
        <v>1</v>
      </c>
      <c r="M3275">
        <f>TB[[#This Row],[售价]]*TB[[#This Row],[销量]]</f>
        <v>2310</v>
      </c>
      <c r="N3275" t="str">
        <f>IF(TB[[#This Row],[售价]]&lt;1000,"低价商品",IF(TB[[#This Row],[售价]]&lt;5000,"中价商品",IF(TB[[#This Row],[售价]]&lt;10000,"高价商品","超高价商品")))</f>
        <v>中价商品</v>
      </c>
    </row>
    <row r="3276" spans="1:14" x14ac:dyDescent="0.2">
      <c r="A3276">
        <v>665</v>
      </c>
      <c r="B3276">
        <v>292</v>
      </c>
      <c r="C3276" t="s">
        <v>26</v>
      </c>
      <c r="D3276" t="s">
        <v>182</v>
      </c>
      <c r="E3276" t="s">
        <v>31</v>
      </c>
      <c r="F3276">
        <v>4</v>
      </c>
      <c r="G3276" t="s">
        <v>13</v>
      </c>
      <c r="H3276" s="1">
        <v>45990.850694444445</v>
      </c>
      <c r="I3276" s="5">
        <f>INT(TB[[#This Row],[时间戳]])</f>
        <v>45990</v>
      </c>
      <c r="J3276" s="2">
        <f>HOUR(TB[[#This Row],[时间戳]])</f>
        <v>20</v>
      </c>
      <c r="K3276">
        <v>188</v>
      </c>
      <c r="L3276">
        <v>1</v>
      </c>
      <c r="M3276">
        <f>TB[[#This Row],[售价]]*TB[[#This Row],[销量]]</f>
        <v>188</v>
      </c>
      <c r="N3276" t="str">
        <f>IF(TB[[#This Row],[售价]]&lt;1000,"低价商品",IF(TB[[#This Row],[售价]]&lt;5000,"中价商品",IF(TB[[#This Row],[售价]]&lt;10000,"高价商品","超高价商品")))</f>
        <v>低价商品</v>
      </c>
    </row>
    <row r="3277" spans="1:14" x14ac:dyDescent="0.2">
      <c r="A3277">
        <v>224</v>
      </c>
      <c r="B3277">
        <v>65</v>
      </c>
      <c r="C3277" t="s">
        <v>10</v>
      </c>
      <c r="D3277" t="s">
        <v>283</v>
      </c>
      <c r="E3277" t="s">
        <v>25</v>
      </c>
      <c r="F3277">
        <v>7</v>
      </c>
      <c r="G3277" t="s">
        <v>42</v>
      </c>
      <c r="H3277" s="1">
        <v>45990.882638888892</v>
      </c>
      <c r="I3277" s="5">
        <f>INT(TB[[#This Row],[时间戳]])</f>
        <v>45990</v>
      </c>
      <c r="J3277" s="2">
        <f>HOUR(TB[[#This Row],[时间戳]])</f>
        <v>21</v>
      </c>
      <c r="K3277">
        <v>7093</v>
      </c>
      <c r="L3277">
        <v>0</v>
      </c>
      <c r="M3277">
        <f>TB[[#This Row],[售价]]*TB[[#This Row],[销量]]</f>
        <v>0</v>
      </c>
      <c r="N3277" t="str">
        <f>IF(TB[[#This Row],[售价]]&lt;1000,"低价商品",IF(TB[[#This Row],[售价]]&lt;5000,"中价商品",IF(TB[[#This Row],[售价]]&lt;10000,"高价商品","超高价商品")))</f>
        <v>高价商品</v>
      </c>
    </row>
    <row r="3278" spans="1:14" x14ac:dyDescent="0.2">
      <c r="A3278">
        <v>418</v>
      </c>
      <c r="B3278">
        <v>3</v>
      </c>
      <c r="C3278" t="s">
        <v>20</v>
      </c>
      <c r="D3278" t="s">
        <v>120</v>
      </c>
      <c r="E3278" t="s">
        <v>22</v>
      </c>
      <c r="F3278">
        <v>1</v>
      </c>
      <c r="G3278" t="s">
        <v>13</v>
      </c>
      <c r="H3278" s="1">
        <v>45990.916666666664</v>
      </c>
      <c r="I3278" s="5">
        <f>INT(TB[[#This Row],[时间戳]])</f>
        <v>45990</v>
      </c>
      <c r="J3278" s="2">
        <f>HOUR(TB[[#This Row],[时间戳]])</f>
        <v>22</v>
      </c>
      <c r="K3278">
        <v>2564</v>
      </c>
      <c r="L3278">
        <v>3</v>
      </c>
      <c r="M3278">
        <f>TB[[#This Row],[售价]]*TB[[#This Row],[销量]]</f>
        <v>7692</v>
      </c>
      <c r="N3278" t="str">
        <f>IF(TB[[#This Row],[售价]]&lt;1000,"低价商品",IF(TB[[#This Row],[售价]]&lt;5000,"中价商品",IF(TB[[#This Row],[售价]]&lt;10000,"高价商品","超高价商品")))</f>
        <v>中价商品</v>
      </c>
    </row>
    <row r="3279" spans="1:14" x14ac:dyDescent="0.2">
      <c r="A3279">
        <v>748</v>
      </c>
      <c r="B3279">
        <v>97</v>
      </c>
      <c r="C3279" t="s">
        <v>36</v>
      </c>
      <c r="D3279" t="s">
        <v>192</v>
      </c>
      <c r="E3279" t="s">
        <v>22</v>
      </c>
      <c r="F3279">
        <v>1</v>
      </c>
      <c r="G3279" t="s">
        <v>13</v>
      </c>
      <c r="H3279" s="1">
        <v>45990.929166666669</v>
      </c>
      <c r="I3279" s="5">
        <f>INT(TB[[#This Row],[时间戳]])</f>
        <v>45990</v>
      </c>
      <c r="J3279" s="2">
        <f>HOUR(TB[[#This Row],[时间戳]])</f>
        <v>22</v>
      </c>
      <c r="K3279">
        <v>6649</v>
      </c>
      <c r="L3279">
        <v>2</v>
      </c>
      <c r="M3279">
        <f>TB[[#This Row],[售价]]*TB[[#This Row],[销量]]</f>
        <v>13298</v>
      </c>
      <c r="N3279" t="str">
        <f>IF(TB[[#This Row],[售价]]&lt;1000,"低价商品",IF(TB[[#This Row],[售价]]&lt;5000,"中价商品",IF(TB[[#This Row],[售价]]&lt;10000,"高价商品","超高价商品")))</f>
        <v>高价商品</v>
      </c>
    </row>
    <row r="3280" spans="1:14" x14ac:dyDescent="0.2">
      <c r="A3280">
        <v>441</v>
      </c>
      <c r="B3280">
        <v>109</v>
      </c>
      <c r="C3280" t="s">
        <v>32</v>
      </c>
      <c r="D3280" t="s">
        <v>411</v>
      </c>
      <c r="E3280" t="s">
        <v>39</v>
      </c>
      <c r="F3280">
        <v>5</v>
      </c>
      <c r="G3280" t="s">
        <v>13</v>
      </c>
      <c r="H3280" s="1">
        <v>45990.936111111114</v>
      </c>
      <c r="I3280" s="5">
        <f>INT(TB[[#This Row],[时间戳]])</f>
        <v>45990</v>
      </c>
      <c r="J3280" s="2">
        <f>HOUR(TB[[#This Row],[时间戳]])</f>
        <v>22</v>
      </c>
      <c r="K3280">
        <v>2897</v>
      </c>
      <c r="L3280">
        <v>2</v>
      </c>
      <c r="M3280">
        <f>TB[[#This Row],[售价]]*TB[[#This Row],[销量]]</f>
        <v>5794</v>
      </c>
      <c r="N3280" t="str">
        <f>IF(TB[[#This Row],[售价]]&lt;1000,"低价商品",IF(TB[[#This Row],[售价]]&lt;5000,"中价商品",IF(TB[[#This Row],[售价]]&lt;10000,"高价商品","超高价商品")))</f>
        <v>中价商品</v>
      </c>
    </row>
    <row r="3281" spans="1:14" x14ac:dyDescent="0.2">
      <c r="A3281">
        <v>541</v>
      </c>
      <c r="B3281">
        <v>150</v>
      </c>
      <c r="C3281" t="s">
        <v>17</v>
      </c>
      <c r="D3281" t="s">
        <v>285</v>
      </c>
      <c r="E3281" t="s">
        <v>25</v>
      </c>
      <c r="F3281">
        <v>7</v>
      </c>
      <c r="G3281" t="s">
        <v>13</v>
      </c>
      <c r="H3281" s="1">
        <v>45990.965277777781</v>
      </c>
      <c r="I3281" s="5">
        <f>INT(TB[[#This Row],[时间戳]])</f>
        <v>45990</v>
      </c>
      <c r="J3281" s="2">
        <f>HOUR(TB[[#This Row],[时间戳]])</f>
        <v>23</v>
      </c>
      <c r="K3281">
        <v>6664</v>
      </c>
      <c r="L3281">
        <v>4</v>
      </c>
      <c r="M3281">
        <f>TB[[#This Row],[售价]]*TB[[#This Row],[销量]]</f>
        <v>26656</v>
      </c>
      <c r="N3281" t="str">
        <f>IF(TB[[#This Row],[售价]]&lt;1000,"低价商品",IF(TB[[#This Row],[售价]]&lt;5000,"中价商品",IF(TB[[#This Row],[售价]]&lt;10000,"高价商品","超高价商品")))</f>
        <v>高价商品</v>
      </c>
    </row>
    <row r="3282" spans="1:14" x14ac:dyDescent="0.2">
      <c r="A3282">
        <v>422</v>
      </c>
      <c r="B3282">
        <v>297</v>
      </c>
      <c r="C3282" t="s">
        <v>17</v>
      </c>
      <c r="D3282" t="s">
        <v>50</v>
      </c>
      <c r="E3282" t="s">
        <v>22</v>
      </c>
      <c r="F3282">
        <v>1</v>
      </c>
      <c r="G3282" t="s">
        <v>13</v>
      </c>
      <c r="H3282" s="1">
        <v>45990.976388888892</v>
      </c>
      <c r="I3282" s="5">
        <f>INT(TB[[#This Row],[时间戳]])</f>
        <v>45990</v>
      </c>
      <c r="J3282" s="2">
        <f>HOUR(TB[[#This Row],[时间戳]])</f>
        <v>23</v>
      </c>
      <c r="K3282">
        <v>3689</v>
      </c>
      <c r="L3282">
        <v>2</v>
      </c>
      <c r="M3282">
        <f>TB[[#This Row],[售价]]*TB[[#This Row],[销量]]</f>
        <v>7378</v>
      </c>
      <c r="N3282" t="str">
        <f>IF(TB[[#This Row],[售价]]&lt;1000,"低价商品",IF(TB[[#This Row],[售价]]&lt;5000,"中价商品",IF(TB[[#This Row],[售价]]&lt;10000,"高价商品","超高价商品")))</f>
        <v>中价商品</v>
      </c>
    </row>
    <row r="3283" spans="1:14" x14ac:dyDescent="0.2">
      <c r="A3283">
        <v>128</v>
      </c>
      <c r="B3283">
        <v>216</v>
      </c>
      <c r="C3283" t="s">
        <v>32</v>
      </c>
      <c r="D3283" t="s">
        <v>215</v>
      </c>
      <c r="E3283" t="s">
        <v>31</v>
      </c>
      <c r="F3283">
        <v>4</v>
      </c>
      <c r="G3283" t="s">
        <v>13</v>
      </c>
      <c r="H3283" s="1">
        <v>45990.979861111111</v>
      </c>
      <c r="I3283" s="5">
        <f>INT(TB[[#This Row],[时间戳]])</f>
        <v>45990</v>
      </c>
      <c r="J3283" s="2">
        <f>HOUR(TB[[#This Row],[时间戳]])</f>
        <v>23</v>
      </c>
      <c r="K3283">
        <v>576</v>
      </c>
      <c r="L3283">
        <v>3</v>
      </c>
      <c r="M3283">
        <f>TB[[#This Row],[售价]]*TB[[#This Row],[销量]]</f>
        <v>1728</v>
      </c>
      <c r="N3283" t="str">
        <f>IF(TB[[#This Row],[售价]]&lt;1000,"低价商品",IF(TB[[#This Row],[售价]]&lt;5000,"中价商品",IF(TB[[#This Row],[售价]]&lt;10000,"高价商品","超高价商品")))</f>
        <v>低价商品</v>
      </c>
    </row>
    <row r="3284" spans="1:14" x14ac:dyDescent="0.2">
      <c r="A3284">
        <v>2</v>
      </c>
      <c r="B3284">
        <v>59</v>
      </c>
      <c r="C3284" t="s">
        <v>46</v>
      </c>
      <c r="D3284" t="s">
        <v>211</v>
      </c>
      <c r="E3284" t="s">
        <v>31</v>
      </c>
      <c r="F3284">
        <v>4</v>
      </c>
      <c r="G3284" t="s">
        <v>13</v>
      </c>
      <c r="H3284" s="1">
        <v>45991.015277777777</v>
      </c>
      <c r="I3284" s="5">
        <f>INT(TB[[#This Row],[时间戳]])</f>
        <v>45991</v>
      </c>
      <c r="J3284" s="2">
        <f>HOUR(TB[[#This Row],[时间戳]])</f>
        <v>0</v>
      </c>
      <c r="K3284">
        <v>703</v>
      </c>
      <c r="L3284">
        <v>2</v>
      </c>
      <c r="M3284">
        <f>TB[[#This Row],[售价]]*TB[[#This Row],[销量]]</f>
        <v>1406</v>
      </c>
      <c r="N3284" t="str">
        <f>IF(TB[[#This Row],[售价]]&lt;1000,"低价商品",IF(TB[[#This Row],[售价]]&lt;5000,"中价商品",IF(TB[[#This Row],[售价]]&lt;10000,"高价商品","超高价商品")))</f>
        <v>低价商品</v>
      </c>
    </row>
    <row r="3285" spans="1:14" x14ac:dyDescent="0.2">
      <c r="A3285">
        <v>708</v>
      </c>
      <c r="B3285">
        <v>66</v>
      </c>
      <c r="C3285" t="s">
        <v>32</v>
      </c>
      <c r="D3285" t="s">
        <v>107</v>
      </c>
      <c r="E3285" t="s">
        <v>31</v>
      </c>
      <c r="F3285">
        <v>4</v>
      </c>
      <c r="G3285" t="s">
        <v>13</v>
      </c>
      <c r="H3285" s="1">
        <v>45991.054861111108</v>
      </c>
      <c r="I3285" s="5">
        <f>INT(TB[[#This Row],[时间戳]])</f>
        <v>45991</v>
      </c>
      <c r="J3285" s="2">
        <f>HOUR(TB[[#This Row],[时间戳]])</f>
        <v>1</v>
      </c>
      <c r="K3285">
        <v>982</v>
      </c>
      <c r="L3285">
        <v>3</v>
      </c>
      <c r="M3285">
        <f>TB[[#This Row],[售价]]*TB[[#This Row],[销量]]</f>
        <v>2946</v>
      </c>
      <c r="N3285" t="str">
        <f>IF(TB[[#This Row],[售价]]&lt;1000,"低价商品",IF(TB[[#This Row],[售价]]&lt;5000,"中价商品",IF(TB[[#This Row],[售价]]&lt;10000,"高价商品","超高价商品")))</f>
        <v>低价商品</v>
      </c>
    </row>
    <row r="3286" spans="1:14" x14ac:dyDescent="0.2">
      <c r="A3286">
        <v>688</v>
      </c>
      <c r="B3286">
        <v>128</v>
      </c>
      <c r="C3286" t="s">
        <v>46</v>
      </c>
      <c r="D3286" t="s">
        <v>80</v>
      </c>
      <c r="E3286" t="s">
        <v>22</v>
      </c>
      <c r="F3286">
        <v>1</v>
      </c>
      <c r="G3286" t="s">
        <v>13</v>
      </c>
      <c r="H3286" s="1">
        <v>45991.066666666666</v>
      </c>
      <c r="I3286" s="5">
        <f>INT(TB[[#This Row],[时间戳]])</f>
        <v>45991</v>
      </c>
      <c r="J3286" s="2">
        <f>HOUR(TB[[#This Row],[时间戳]])</f>
        <v>1</v>
      </c>
      <c r="K3286">
        <v>5617</v>
      </c>
      <c r="L3286">
        <v>2</v>
      </c>
      <c r="M3286">
        <f>TB[[#This Row],[售价]]*TB[[#This Row],[销量]]</f>
        <v>11234</v>
      </c>
      <c r="N3286" t="str">
        <f>IF(TB[[#This Row],[售价]]&lt;1000,"低价商品",IF(TB[[#This Row],[售价]]&lt;5000,"中价商品",IF(TB[[#This Row],[售价]]&lt;10000,"高价商品","超高价商品")))</f>
        <v>高价商品</v>
      </c>
    </row>
    <row r="3287" spans="1:14" x14ac:dyDescent="0.2">
      <c r="A3287">
        <v>256</v>
      </c>
      <c r="B3287">
        <v>24</v>
      </c>
      <c r="C3287" t="s">
        <v>10</v>
      </c>
      <c r="D3287" t="s">
        <v>382</v>
      </c>
      <c r="E3287" t="s">
        <v>16</v>
      </c>
      <c r="F3287">
        <v>6</v>
      </c>
      <c r="G3287" t="s">
        <v>13</v>
      </c>
      <c r="H3287" s="1">
        <v>45991.068055555559</v>
      </c>
      <c r="I3287" s="5">
        <f>INT(TB[[#This Row],[时间戳]])</f>
        <v>45991</v>
      </c>
      <c r="J3287" s="2">
        <f>HOUR(TB[[#This Row],[时间戳]])</f>
        <v>1</v>
      </c>
      <c r="K3287">
        <v>4334</v>
      </c>
      <c r="L3287">
        <v>2</v>
      </c>
      <c r="M3287">
        <f>TB[[#This Row],[售价]]*TB[[#This Row],[销量]]</f>
        <v>8668</v>
      </c>
      <c r="N3287" t="str">
        <f>IF(TB[[#This Row],[售价]]&lt;1000,"低价商品",IF(TB[[#This Row],[售价]]&lt;5000,"中价商品",IF(TB[[#This Row],[售价]]&lt;10000,"高价商品","超高价商品")))</f>
        <v>中价商品</v>
      </c>
    </row>
    <row r="3288" spans="1:14" x14ac:dyDescent="0.2">
      <c r="A3288">
        <v>224</v>
      </c>
      <c r="B3288">
        <v>142</v>
      </c>
      <c r="C3288" t="s">
        <v>17</v>
      </c>
      <c r="D3288" t="s">
        <v>119</v>
      </c>
      <c r="E3288" t="s">
        <v>12</v>
      </c>
      <c r="F3288">
        <v>2</v>
      </c>
      <c r="G3288" t="s">
        <v>42</v>
      </c>
      <c r="H3288" s="1">
        <v>45991.07708333333</v>
      </c>
      <c r="I3288" s="5">
        <f>INT(TB[[#This Row],[时间戳]])</f>
        <v>45991</v>
      </c>
      <c r="J3288" s="2">
        <f>HOUR(TB[[#This Row],[时间戳]])</f>
        <v>1</v>
      </c>
      <c r="K3288">
        <v>5332</v>
      </c>
      <c r="L3288">
        <v>0</v>
      </c>
      <c r="M3288">
        <f>TB[[#This Row],[售价]]*TB[[#This Row],[销量]]</f>
        <v>0</v>
      </c>
      <c r="N3288" t="str">
        <f>IF(TB[[#This Row],[售价]]&lt;1000,"低价商品",IF(TB[[#This Row],[售价]]&lt;5000,"中价商品",IF(TB[[#This Row],[售价]]&lt;10000,"高价商品","超高价商品")))</f>
        <v>高价商品</v>
      </c>
    </row>
    <row r="3289" spans="1:14" x14ac:dyDescent="0.2">
      <c r="A3289">
        <v>216</v>
      </c>
      <c r="B3289">
        <v>57</v>
      </c>
      <c r="C3289" t="s">
        <v>10</v>
      </c>
      <c r="D3289" t="s">
        <v>11</v>
      </c>
      <c r="E3289" t="s">
        <v>12</v>
      </c>
      <c r="F3289">
        <v>2</v>
      </c>
      <c r="G3289" t="s">
        <v>13</v>
      </c>
      <c r="H3289" s="1">
        <v>45991.106944444444</v>
      </c>
      <c r="I3289" s="5">
        <f>INT(TB[[#This Row],[时间戳]])</f>
        <v>45991</v>
      </c>
      <c r="J3289" s="2">
        <f>HOUR(TB[[#This Row],[时间戳]])</f>
        <v>2</v>
      </c>
      <c r="K3289">
        <v>5939</v>
      </c>
      <c r="L3289">
        <v>2</v>
      </c>
      <c r="M3289">
        <f>TB[[#This Row],[售价]]*TB[[#This Row],[销量]]</f>
        <v>11878</v>
      </c>
      <c r="N3289" t="str">
        <f>IF(TB[[#This Row],[售价]]&lt;1000,"低价商品",IF(TB[[#This Row],[售价]]&lt;5000,"中价商品",IF(TB[[#This Row],[售价]]&lt;10000,"高价商品","超高价商品")))</f>
        <v>高价商品</v>
      </c>
    </row>
    <row r="3290" spans="1:14" x14ac:dyDescent="0.2">
      <c r="A3290">
        <v>350</v>
      </c>
      <c r="B3290">
        <v>106</v>
      </c>
      <c r="C3290" t="s">
        <v>17</v>
      </c>
      <c r="D3290" t="s">
        <v>234</v>
      </c>
      <c r="E3290" t="s">
        <v>39</v>
      </c>
      <c r="F3290">
        <v>5</v>
      </c>
      <c r="G3290" t="s">
        <v>13</v>
      </c>
      <c r="H3290" s="1">
        <v>45991.149305555555</v>
      </c>
      <c r="I3290" s="5">
        <f>INT(TB[[#This Row],[时间戳]])</f>
        <v>45991</v>
      </c>
      <c r="J3290" s="2">
        <f>HOUR(TB[[#This Row],[时间戳]])</f>
        <v>3</v>
      </c>
      <c r="K3290">
        <v>3458</v>
      </c>
      <c r="L3290">
        <v>3</v>
      </c>
      <c r="M3290">
        <f>TB[[#This Row],[售价]]*TB[[#This Row],[销量]]</f>
        <v>10374</v>
      </c>
      <c r="N3290" t="str">
        <f>IF(TB[[#This Row],[售价]]&lt;1000,"低价商品",IF(TB[[#This Row],[售价]]&lt;5000,"中价商品",IF(TB[[#This Row],[售价]]&lt;10000,"高价商品","超高价商品")))</f>
        <v>中价商品</v>
      </c>
    </row>
    <row r="3291" spans="1:14" x14ac:dyDescent="0.2">
      <c r="A3291">
        <v>664</v>
      </c>
      <c r="B3291">
        <v>64</v>
      </c>
      <c r="C3291" t="s">
        <v>26</v>
      </c>
      <c r="D3291" t="s">
        <v>409</v>
      </c>
      <c r="E3291" t="s">
        <v>12</v>
      </c>
      <c r="F3291">
        <v>2</v>
      </c>
      <c r="G3291" t="s">
        <v>13</v>
      </c>
      <c r="H3291" s="1">
        <v>45991.15347222222</v>
      </c>
      <c r="I3291" s="5">
        <f>INT(TB[[#This Row],[时间戳]])</f>
        <v>45991</v>
      </c>
      <c r="J3291" s="2">
        <f>HOUR(TB[[#This Row],[时间戳]])</f>
        <v>3</v>
      </c>
      <c r="K3291">
        <v>11197</v>
      </c>
      <c r="L3291">
        <v>3</v>
      </c>
      <c r="M3291">
        <f>TB[[#This Row],[售价]]*TB[[#This Row],[销量]]</f>
        <v>33591</v>
      </c>
      <c r="N3291" t="str">
        <f>IF(TB[[#This Row],[售价]]&lt;1000,"低价商品",IF(TB[[#This Row],[售价]]&lt;5000,"中价商品",IF(TB[[#This Row],[售价]]&lt;10000,"高价商品","超高价商品")))</f>
        <v>超高价商品</v>
      </c>
    </row>
    <row r="3292" spans="1:14" x14ac:dyDescent="0.2">
      <c r="A3292">
        <v>676</v>
      </c>
      <c r="B3292">
        <v>266</v>
      </c>
      <c r="C3292" t="s">
        <v>17</v>
      </c>
      <c r="D3292" t="s">
        <v>177</v>
      </c>
      <c r="E3292" t="s">
        <v>22</v>
      </c>
      <c r="F3292">
        <v>1</v>
      </c>
      <c r="G3292" t="s">
        <v>42</v>
      </c>
      <c r="H3292" s="1">
        <v>45991.154861111114</v>
      </c>
      <c r="I3292" s="5">
        <f>INT(TB[[#This Row],[时间戳]])</f>
        <v>45991</v>
      </c>
      <c r="J3292" s="2">
        <f>HOUR(TB[[#This Row],[时间戳]])</f>
        <v>3</v>
      </c>
      <c r="K3292">
        <v>3986</v>
      </c>
      <c r="L3292">
        <v>0</v>
      </c>
      <c r="M3292">
        <f>TB[[#This Row],[售价]]*TB[[#This Row],[销量]]</f>
        <v>0</v>
      </c>
      <c r="N3292" t="str">
        <f>IF(TB[[#This Row],[售价]]&lt;1000,"低价商品",IF(TB[[#This Row],[售价]]&lt;5000,"中价商品",IF(TB[[#This Row],[售价]]&lt;10000,"高价商品","超高价商品")))</f>
        <v>中价商品</v>
      </c>
    </row>
    <row r="3293" spans="1:14" x14ac:dyDescent="0.2">
      <c r="A3293">
        <v>207</v>
      </c>
      <c r="B3293">
        <v>75</v>
      </c>
      <c r="C3293" t="s">
        <v>44</v>
      </c>
      <c r="D3293" t="s">
        <v>372</v>
      </c>
      <c r="E3293" t="s">
        <v>22</v>
      </c>
      <c r="F3293">
        <v>1</v>
      </c>
      <c r="G3293" t="s">
        <v>13</v>
      </c>
      <c r="H3293" s="1">
        <v>45991.193749999999</v>
      </c>
      <c r="I3293" s="5">
        <f>INT(TB[[#This Row],[时间戳]])</f>
        <v>45991</v>
      </c>
      <c r="J3293" s="2">
        <f>HOUR(TB[[#This Row],[时间戳]])</f>
        <v>4</v>
      </c>
      <c r="K3293">
        <v>6513</v>
      </c>
      <c r="L3293">
        <v>4</v>
      </c>
      <c r="M3293">
        <f>TB[[#This Row],[售价]]*TB[[#This Row],[销量]]</f>
        <v>26052</v>
      </c>
      <c r="N3293" t="str">
        <f>IF(TB[[#This Row],[售价]]&lt;1000,"低价商品",IF(TB[[#This Row],[售价]]&lt;5000,"中价商品",IF(TB[[#This Row],[售价]]&lt;10000,"高价商品","超高价商品")))</f>
        <v>高价商品</v>
      </c>
    </row>
    <row r="3294" spans="1:14" x14ac:dyDescent="0.2">
      <c r="A3294">
        <v>682</v>
      </c>
      <c r="B3294">
        <v>125</v>
      </c>
      <c r="C3294" t="s">
        <v>34</v>
      </c>
      <c r="D3294" t="s">
        <v>339</v>
      </c>
      <c r="E3294" t="s">
        <v>12</v>
      </c>
      <c r="F3294">
        <v>2</v>
      </c>
      <c r="G3294" t="s">
        <v>13</v>
      </c>
      <c r="H3294" s="1">
        <v>45991.202777777777</v>
      </c>
      <c r="I3294" s="5">
        <f>INT(TB[[#This Row],[时间戳]])</f>
        <v>45991</v>
      </c>
      <c r="J3294" s="2">
        <f>HOUR(TB[[#This Row],[时间戳]])</f>
        <v>4</v>
      </c>
      <c r="K3294">
        <v>7386</v>
      </c>
      <c r="L3294">
        <v>2</v>
      </c>
      <c r="M3294">
        <f>TB[[#This Row],[售价]]*TB[[#This Row],[销量]]</f>
        <v>14772</v>
      </c>
      <c r="N3294" t="str">
        <f>IF(TB[[#This Row],[售价]]&lt;1000,"低价商品",IF(TB[[#This Row],[售价]]&lt;5000,"中价商品",IF(TB[[#This Row],[售价]]&lt;10000,"高价商品","超高价商品")))</f>
        <v>高价商品</v>
      </c>
    </row>
    <row r="3295" spans="1:14" x14ac:dyDescent="0.2">
      <c r="A3295">
        <v>51</v>
      </c>
      <c r="B3295">
        <v>130</v>
      </c>
      <c r="C3295" t="s">
        <v>36</v>
      </c>
      <c r="D3295" t="s">
        <v>265</v>
      </c>
      <c r="E3295" t="s">
        <v>31</v>
      </c>
      <c r="F3295">
        <v>4</v>
      </c>
      <c r="G3295" t="s">
        <v>42</v>
      </c>
      <c r="H3295" s="1">
        <v>45991.217361111114</v>
      </c>
      <c r="I3295" s="5">
        <f>INT(TB[[#This Row],[时间戳]])</f>
        <v>45991</v>
      </c>
      <c r="J3295" s="2">
        <f>HOUR(TB[[#This Row],[时间戳]])</f>
        <v>5</v>
      </c>
      <c r="K3295">
        <v>1103</v>
      </c>
      <c r="L3295">
        <v>0</v>
      </c>
      <c r="M3295">
        <f>TB[[#This Row],[售价]]*TB[[#This Row],[销量]]</f>
        <v>0</v>
      </c>
      <c r="N3295" t="str">
        <f>IF(TB[[#This Row],[售价]]&lt;1000,"低价商品",IF(TB[[#This Row],[售价]]&lt;5000,"中价商品",IF(TB[[#This Row],[售价]]&lt;10000,"高价商品","超高价商品")))</f>
        <v>中价商品</v>
      </c>
    </row>
    <row r="3296" spans="1:14" x14ac:dyDescent="0.2">
      <c r="A3296">
        <v>63</v>
      </c>
      <c r="B3296">
        <v>31</v>
      </c>
      <c r="C3296" t="s">
        <v>44</v>
      </c>
      <c r="D3296" t="s">
        <v>70</v>
      </c>
      <c r="E3296" t="s">
        <v>12</v>
      </c>
      <c r="F3296">
        <v>2</v>
      </c>
      <c r="G3296" t="s">
        <v>13</v>
      </c>
      <c r="H3296" s="1">
        <v>45991.280555555553</v>
      </c>
      <c r="I3296" s="5">
        <f>INT(TB[[#This Row],[时间戳]])</f>
        <v>45991</v>
      </c>
      <c r="J3296" s="2">
        <f>HOUR(TB[[#This Row],[时间戳]])</f>
        <v>6</v>
      </c>
      <c r="K3296">
        <v>4071</v>
      </c>
      <c r="L3296">
        <v>4</v>
      </c>
      <c r="M3296">
        <f>TB[[#This Row],[售价]]*TB[[#This Row],[销量]]</f>
        <v>16284</v>
      </c>
      <c r="N3296" t="str">
        <f>IF(TB[[#This Row],[售价]]&lt;1000,"低价商品",IF(TB[[#This Row],[售价]]&lt;5000,"中价商品",IF(TB[[#This Row],[售价]]&lt;10000,"高价商品","超高价商品")))</f>
        <v>中价商品</v>
      </c>
    </row>
    <row r="3297" spans="1:14" x14ac:dyDescent="0.2">
      <c r="A3297">
        <v>209</v>
      </c>
      <c r="B3297">
        <v>212</v>
      </c>
      <c r="C3297" t="s">
        <v>20</v>
      </c>
      <c r="D3297" t="s">
        <v>147</v>
      </c>
      <c r="E3297" t="s">
        <v>22</v>
      </c>
      <c r="F3297">
        <v>1</v>
      </c>
      <c r="G3297" t="s">
        <v>13</v>
      </c>
      <c r="H3297" s="1">
        <v>45991.281944444447</v>
      </c>
      <c r="I3297" s="5">
        <f>INT(TB[[#This Row],[时间戳]])</f>
        <v>45991</v>
      </c>
      <c r="J3297" s="2">
        <f>HOUR(TB[[#This Row],[时间戳]])</f>
        <v>6</v>
      </c>
      <c r="K3297">
        <v>7164</v>
      </c>
      <c r="L3297">
        <v>2</v>
      </c>
      <c r="M3297">
        <f>TB[[#This Row],[售价]]*TB[[#This Row],[销量]]</f>
        <v>14328</v>
      </c>
      <c r="N3297" t="str">
        <f>IF(TB[[#This Row],[售价]]&lt;1000,"低价商品",IF(TB[[#This Row],[售价]]&lt;5000,"中价商品",IF(TB[[#This Row],[售价]]&lt;10000,"高价商品","超高价商品")))</f>
        <v>高价商品</v>
      </c>
    </row>
    <row r="3298" spans="1:14" x14ac:dyDescent="0.2">
      <c r="A3298">
        <v>287</v>
      </c>
      <c r="B3298">
        <v>91</v>
      </c>
      <c r="C3298" t="s">
        <v>26</v>
      </c>
      <c r="D3298" t="s">
        <v>306</v>
      </c>
      <c r="E3298" t="s">
        <v>31</v>
      </c>
      <c r="F3298">
        <v>4</v>
      </c>
      <c r="G3298" t="s">
        <v>13</v>
      </c>
      <c r="H3298" s="1">
        <v>45991.300694444442</v>
      </c>
      <c r="I3298" s="5">
        <f>INT(TB[[#This Row],[时间戳]])</f>
        <v>45991</v>
      </c>
      <c r="J3298" s="2">
        <f>HOUR(TB[[#This Row],[时间戳]])</f>
        <v>7</v>
      </c>
      <c r="K3298">
        <v>223</v>
      </c>
      <c r="L3298">
        <v>3</v>
      </c>
      <c r="M3298">
        <f>TB[[#This Row],[售价]]*TB[[#This Row],[销量]]</f>
        <v>669</v>
      </c>
      <c r="N3298" t="str">
        <f>IF(TB[[#This Row],[售价]]&lt;1000,"低价商品",IF(TB[[#This Row],[售价]]&lt;5000,"中价商品",IF(TB[[#This Row],[售价]]&lt;10000,"高价商品","超高价商品")))</f>
        <v>低价商品</v>
      </c>
    </row>
    <row r="3299" spans="1:14" x14ac:dyDescent="0.2">
      <c r="A3299">
        <v>781</v>
      </c>
      <c r="B3299">
        <v>272</v>
      </c>
      <c r="C3299" t="s">
        <v>10</v>
      </c>
      <c r="D3299" t="s">
        <v>351</v>
      </c>
      <c r="E3299" t="s">
        <v>31</v>
      </c>
      <c r="F3299">
        <v>4</v>
      </c>
      <c r="G3299" t="s">
        <v>13</v>
      </c>
      <c r="H3299" s="1">
        <v>45991.302083333336</v>
      </c>
      <c r="I3299" s="5">
        <f>INT(TB[[#This Row],[时间戳]])</f>
        <v>45991</v>
      </c>
      <c r="J3299" s="2">
        <f>HOUR(TB[[#This Row],[时间戳]])</f>
        <v>7</v>
      </c>
      <c r="K3299">
        <v>1115</v>
      </c>
      <c r="L3299">
        <v>2</v>
      </c>
      <c r="M3299">
        <f>TB[[#This Row],[售价]]*TB[[#This Row],[销量]]</f>
        <v>2230</v>
      </c>
      <c r="N3299" t="str">
        <f>IF(TB[[#This Row],[售价]]&lt;1000,"低价商品",IF(TB[[#This Row],[售价]]&lt;5000,"中价商品",IF(TB[[#This Row],[售价]]&lt;10000,"高价商品","超高价商品")))</f>
        <v>中价商品</v>
      </c>
    </row>
    <row r="3300" spans="1:14" x14ac:dyDescent="0.2">
      <c r="A3300">
        <v>311</v>
      </c>
      <c r="B3300">
        <v>115</v>
      </c>
      <c r="C3300" t="s">
        <v>44</v>
      </c>
      <c r="D3300" t="s">
        <v>100</v>
      </c>
      <c r="E3300" t="s">
        <v>19</v>
      </c>
      <c r="F3300">
        <v>3</v>
      </c>
      <c r="G3300" t="s">
        <v>13</v>
      </c>
      <c r="H3300" s="1">
        <v>45991.311111111114</v>
      </c>
      <c r="I3300" s="5">
        <f>INT(TB[[#This Row],[时间戳]])</f>
        <v>45991</v>
      </c>
      <c r="J3300" s="2">
        <f>HOUR(TB[[#This Row],[时间戳]])</f>
        <v>7</v>
      </c>
      <c r="K3300">
        <v>2134</v>
      </c>
      <c r="L3300">
        <v>3</v>
      </c>
      <c r="M3300">
        <f>TB[[#This Row],[售价]]*TB[[#This Row],[销量]]</f>
        <v>6402</v>
      </c>
      <c r="N3300" t="str">
        <f>IF(TB[[#This Row],[售价]]&lt;1000,"低价商品",IF(TB[[#This Row],[售价]]&lt;5000,"中价商品",IF(TB[[#This Row],[售价]]&lt;10000,"高价商品","超高价商品")))</f>
        <v>中价商品</v>
      </c>
    </row>
    <row r="3301" spans="1:14" x14ac:dyDescent="0.2">
      <c r="A3301">
        <v>400</v>
      </c>
      <c r="B3301">
        <v>139</v>
      </c>
      <c r="C3301" t="s">
        <v>36</v>
      </c>
      <c r="D3301" t="s">
        <v>83</v>
      </c>
      <c r="E3301" t="s">
        <v>22</v>
      </c>
      <c r="F3301">
        <v>1</v>
      </c>
      <c r="G3301" t="s">
        <v>42</v>
      </c>
      <c r="H3301" s="1">
        <v>45991.34097222222</v>
      </c>
      <c r="I3301" s="5">
        <f>INT(TB[[#This Row],[时间戳]])</f>
        <v>45991</v>
      </c>
      <c r="J3301" s="2">
        <f>HOUR(TB[[#This Row],[时间戳]])</f>
        <v>8</v>
      </c>
      <c r="K3301">
        <v>4583</v>
      </c>
      <c r="L3301">
        <v>0</v>
      </c>
      <c r="M3301">
        <f>TB[[#This Row],[售价]]*TB[[#This Row],[销量]]</f>
        <v>0</v>
      </c>
      <c r="N3301" t="str">
        <f>IF(TB[[#This Row],[售价]]&lt;1000,"低价商品",IF(TB[[#This Row],[售价]]&lt;5000,"中价商品",IF(TB[[#This Row],[售价]]&lt;10000,"高价商品","超高价商品")))</f>
        <v>中价商品</v>
      </c>
    </row>
    <row r="3302" spans="1:14" x14ac:dyDescent="0.2">
      <c r="A3302">
        <v>137</v>
      </c>
      <c r="B3302">
        <v>9</v>
      </c>
      <c r="C3302" t="s">
        <v>32</v>
      </c>
      <c r="D3302" t="s">
        <v>335</v>
      </c>
      <c r="E3302" t="s">
        <v>12</v>
      </c>
      <c r="F3302">
        <v>2</v>
      </c>
      <c r="G3302" t="s">
        <v>13</v>
      </c>
      <c r="H3302" s="1">
        <v>45991.351388888892</v>
      </c>
      <c r="I3302" s="5">
        <f>INT(TB[[#This Row],[时间戳]])</f>
        <v>45991</v>
      </c>
      <c r="J3302" s="2">
        <f>HOUR(TB[[#This Row],[时间戳]])</f>
        <v>8</v>
      </c>
      <c r="K3302">
        <v>6673</v>
      </c>
      <c r="L3302">
        <v>2</v>
      </c>
      <c r="M3302">
        <f>TB[[#This Row],[售价]]*TB[[#This Row],[销量]]</f>
        <v>13346</v>
      </c>
      <c r="N3302" t="str">
        <f>IF(TB[[#This Row],[售价]]&lt;1000,"低价商品",IF(TB[[#This Row],[售价]]&lt;5000,"中价商品",IF(TB[[#This Row],[售价]]&lt;10000,"高价商品","超高价商品")))</f>
        <v>高价商品</v>
      </c>
    </row>
    <row r="3303" spans="1:14" x14ac:dyDescent="0.2">
      <c r="A3303">
        <v>225</v>
      </c>
      <c r="B3303">
        <v>283</v>
      </c>
      <c r="C3303" t="s">
        <v>44</v>
      </c>
      <c r="D3303" t="s">
        <v>163</v>
      </c>
      <c r="E3303" t="s">
        <v>12</v>
      </c>
      <c r="F3303">
        <v>2</v>
      </c>
      <c r="G3303" t="s">
        <v>13</v>
      </c>
      <c r="H3303" s="1">
        <v>45991.459722222222</v>
      </c>
      <c r="I3303" s="5">
        <f>INT(TB[[#This Row],[时间戳]])</f>
        <v>45991</v>
      </c>
      <c r="J3303" s="2">
        <f>HOUR(TB[[#This Row],[时间戳]])</f>
        <v>11</v>
      </c>
      <c r="K3303">
        <v>7970</v>
      </c>
      <c r="L3303">
        <v>2</v>
      </c>
      <c r="M3303">
        <f>TB[[#This Row],[售价]]*TB[[#This Row],[销量]]</f>
        <v>15940</v>
      </c>
      <c r="N3303" t="str">
        <f>IF(TB[[#This Row],[售价]]&lt;1000,"低价商品",IF(TB[[#This Row],[售价]]&lt;5000,"中价商品",IF(TB[[#This Row],[售价]]&lt;10000,"高价商品","超高价商品")))</f>
        <v>高价商品</v>
      </c>
    </row>
    <row r="3304" spans="1:14" x14ac:dyDescent="0.2">
      <c r="A3304">
        <v>275</v>
      </c>
      <c r="B3304">
        <v>190</v>
      </c>
      <c r="C3304" t="s">
        <v>26</v>
      </c>
      <c r="D3304" t="s">
        <v>155</v>
      </c>
      <c r="E3304" t="s">
        <v>12</v>
      </c>
      <c r="F3304">
        <v>2</v>
      </c>
      <c r="G3304" t="s">
        <v>13</v>
      </c>
      <c r="H3304" s="1">
        <v>45991.474305555559</v>
      </c>
      <c r="I3304" s="5">
        <f>INT(TB[[#This Row],[时间戳]])</f>
        <v>45991</v>
      </c>
      <c r="J3304" s="2">
        <f>HOUR(TB[[#This Row],[时间戳]])</f>
        <v>11</v>
      </c>
      <c r="K3304">
        <v>12478</v>
      </c>
      <c r="L3304">
        <v>2</v>
      </c>
      <c r="M3304">
        <f>TB[[#This Row],[售价]]*TB[[#This Row],[销量]]</f>
        <v>24956</v>
      </c>
      <c r="N3304" t="str">
        <f>IF(TB[[#This Row],[售价]]&lt;1000,"低价商品",IF(TB[[#This Row],[售价]]&lt;5000,"中价商品",IF(TB[[#This Row],[售价]]&lt;10000,"高价商品","超高价商品")))</f>
        <v>超高价商品</v>
      </c>
    </row>
    <row r="3305" spans="1:14" x14ac:dyDescent="0.2">
      <c r="A3305">
        <v>675</v>
      </c>
      <c r="B3305">
        <v>265</v>
      </c>
      <c r="C3305" t="s">
        <v>14</v>
      </c>
      <c r="D3305" t="s">
        <v>145</v>
      </c>
      <c r="E3305" t="s">
        <v>22</v>
      </c>
      <c r="F3305">
        <v>1</v>
      </c>
      <c r="G3305" t="s">
        <v>13</v>
      </c>
      <c r="H3305" s="1">
        <v>45991.481944444444</v>
      </c>
      <c r="I3305" s="5">
        <f>INT(TB[[#This Row],[时间戳]])</f>
        <v>45991</v>
      </c>
      <c r="J3305" s="2">
        <f>HOUR(TB[[#This Row],[时间戳]])</f>
        <v>11</v>
      </c>
      <c r="K3305">
        <v>5206</v>
      </c>
      <c r="L3305">
        <v>2</v>
      </c>
      <c r="M3305">
        <f>TB[[#This Row],[售价]]*TB[[#This Row],[销量]]</f>
        <v>10412</v>
      </c>
      <c r="N3305" t="str">
        <f>IF(TB[[#This Row],[售价]]&lt;1000,"低价商品",IF(TB[[#This Row],[售价]]&lt;5000,"中价商品",IF(TB[[#This Row],[售价]]&lt;10000,"高价商品","超高价商品")))</f>
        <v>高价商品</v>
      </c>
    </row>
    <row r="3306" spans="1:14" x14ac:dyDescent="0.2">
      <c r="A3306">
        <v>65</v>
      </c>
      <c r="B3306">
        <v>291</v>
      </c>
      <c r="C3306" t="s">
        <v>17</v>
      </c>
      <c r="D3306" t="s">
        <v>370</v>
      </c>
      <c r="E3306" t="s">
        <v>31</v>
      </c>
      <c r="F3306">
        <v>4</v>
      </c>
      <c r="G3306" t="s">
        <v>13</v>
      </c>
      <c r="H3306" s="1">
        <v>45991.486111111109</v>
      </c>
      <c r="I3306" s="5">
        <f>INT(TB[[#This Row],[时间戳]])</f>
        <v>45991</v>
      </c>
      <c r="J3306" s="2">
        <f>HOUR(TB[[#This Row],[时间戳]])</f>
        <v>11</v>
      </c>
      <c r="K3306">
        <v>867</v>
      </c>
      <c r="L3306">
        <v>2</v>
      </c>
      <c r="M3306">
        <f>TB[[#This Row],[售价]]*TB[[#This Row],[销量]]</f>
        <v>1734</v>
      </c>
      <c r="N3306" t="str">
        <f>IF(TB[[#This Row],[售价]]&lt;1000,"低价商品",IF(TB[[#This Row],[售价]]&lt;5000,"中价商品",IF(TB[[#This Row],[售价]]&lt;10000,"高价商品","超高价商品")))</f>
        <v>低价商品</v>
      </c>
    </row>
    <row r="3307" spans="1:14" x14ac:dyDescent="0.2">
      <c r="A3307">
        <v>251</v>
      </c>
      <c r="B3307">
        <v>285</v>
      </c>
      <c r="C3307" t="s">
        <v>36</v>
      </c>
      <c r="D3307" t="s">
        <v>213</v>
      </c>
      <c r="E3307" t="s">
        <v>39</v>
      </c>
      <c r="F3307">
        <v>5</v>
      </c>
      <c r="G3307" t="s">
        <v>13</v>
      </c>
      <c r="H3307" s="1">
        <v>45991.494444444441</v>
      </c>
      <c r="I3307" s="5">
        <f>INT(TB[[#This Row],[时间戳]])</f>
        <v>45991</v>
      </c>
      <c r="J3307" s="2">
        <f>HOUR(TB[[#This Row],[时间戳]])</f>
        <v>11</v>
      </c>
      <c r="K3307">
        <v>1161</v>
      </c>
      <c r="L3307">
        <v>4</v>
      </c>
      <c r="M3307">
        <f>TB[[#This Row],[售价]]*TB[[#This Row],[销量]]</f>
        <v>4644</v>
      </c>
      <c r="N3307" t="str">
        <f>IF(TB[[#This Row],[售价]]&lt;1000,"低价商品",IF(TB[[#This Row],[售价]]&lt;5000,"中价商品",IF(TB[[#This Row],[售价]]&lt;10000,"高价商品","超高价商品")))</f>
        <v>中价商品</v>
      </c>
    </row>
    <row r="3308" spans="1:14" x14ac:dyDescent="0.2">
      <c r="A3308">
        <v>643</v>
      </c>
      <c r="B3308">
        <v>255</v>
      </c>
      <c r="C3308" t="s">
        <v>20</v>
      </c>
      <c r="D3308" t="s">
        <v>120</v>
      </c>
      <c r="E3308" t="s">
        <v>22</v>
      </c>
      <c r="F3308">
        <v>1</v>
      </c>
      <c r="G3308" t="s">
        <v>42</v>
      </c>
      <c r="H3308" s="1">
        <v>45991.50277777778</v>
      </c>
      <c r="I3308" s="5">
        <f>INT(TB[[#This Row],[时间戳]])</f>
        <v>45991</v>
      </c>
      <c r="J3308" s="2">
        <f>HOUR(TB[[#This Row],[时间戳]])</f>
        <v>12</v>
      </c>
      <c r="K3308">
        <v>6120</v>
      </c>
      <c r="L3308">
        <v>0</v>
      </c>
      <c r="M3308">
        <f>TB[[#This Row],[售价]]*TB[[#This Row],[销量]]</f>
        <v>0</v>
      </c>
      <c r="N3308" t="str">
        <f>IF(TB[[#This Row],[售价]]&lt;1000,"低价商品",IF(TB[[#This Row],[售价]]&lt;5000,"中价商品",IF(TB[[#This Row],[售价]]&lt;10000,"高价商品","超高价商品")))</f>
        <v>高价商品</v>
      </c>
    </row>
    <row r="3309" spans="1:14" x14ac:dyDescent="0.2">
      <c r="A3309">
        <v>336</v>
      </c>
      <c r="B3309">
        <v>284</v>
      </c>
      <c r="C3309" t="s">
        <v>26</v>
      </c>
      <c r="D3309" t="s">
        <v>407</v>
      </c>
      <c r="E3309" t="s">
        <v>39</v>
      </c>
      <c r="F3309">
        <v>5</v>
      </c>
      <c r="G3309" t="s">
        <v>13</v>
      </c>
      <c r="H3309" s="1">
        <v>45991.504166666666</v>
      </c>
      <c r="I3309" s="5">
        <f>INT(TB[[#This Row],[时间戳]])</f>
        <v>45991</v>
      </c>
      <c r="J3309" s="2">
        <f>HOUR(TB[[#This Row],[时间戳]])</f>
        <v>12</v>
      </c>
      <c r="K3309">
        <v>2765</v>
      </c>
      <c r="L3309">
        <v>1</v>
      </c>
      <c r="M3309">
        <f>TB[[#This Row],[售价]]*TB[[#This Row],[销量]]</f>
        <v>2765</v>
      </c>
      <c r="N3309" t="str">
        <f>IF(TB[[#This Row],[售价]]&lt;1000,"低价商品",IF(TB[[#This Row],[售价]]&lt;5000,"中价商品",IF(TB[[#This Row],[售价]]&lt;10000,"高价商品","超高价商品")))</f>
        <v>中价商品</v>
      </c>
    </row>
    <row r="3310" spans="1:14" x14ac:dyDescent="0.2">
      <c r="A3310">
        <v>493</v>
      </c>
      <c r="B3310">
        <v>100</v>
      </c>
      <c r="C3310" t="s">
        <v>34</v>
      </c>
      <c r="D3310" t="s">
        <v>414</v>
      </c>
      <c r="E3310" t="s">
        <v>12</v>
      </c>
      <c r="F3310">
        <v>2</v>
      </c>
      <c r="G3310" t="s">
        <v>13</v>
      </c>
      <c r="H3310" s="1">
        <v>45991.512499999997</v>
      </c>
      <c r="I3310" s="5">
        <f>INT(TB[[#This Row],[时间戳]])</f>
        <v>45991</v>
      </c>
      <c r="J3310" s="2">
        <f>HOUR(TB[[#This Row],[时间戳]])</f>
        <v>12</v>
      </c>
      <c r="K3310">
        <v>10966</v>
      </c>
      <c r="L3310">
        <v>1</v>
      </c>
      <c r="M3310">
        <f>TB[[#This Row],[售价]]*TB[[#This Row],[销量]]</f>
        <v>10966</v>
      </c>
      <c r="N3310" t="str">
        <f>IF(TB[[#This Row],[售价]]&lt;1000,"低价商品",IF(TB[[#This Row],[售价]]&lt;5000,"中价商品",IF(TB[[#This Row],[售价]]&lt;10000,"高价商品","超高价商品")))</f>
        <v>超高价商品</v>
      </c>
    </row>
    <row r="3311" spans="1:14" x14ac:dyDescent="0.2">
      <c r="A3311">
        <v>258</v>
      </c>
      <c r="B3311">
        <v>140</v>
      </c>
      <c r="C3311" t="s">
        <v>36</v>
      </c>
      <c r="D3311" t="s">
        <v>265</v>
      </c>
      <c r="E3311" t="s">
        <v>31</v>
      </c>
      <c r="F3311">
        <v>4</v>
      </c>
      <c r="G3311" t="s">
        <v>13</v>
      </c>
      <c r="H3311" s="1">
        <v>45991.524305555555</v>
      </c>
      <c r="I3311" s="5">
        <f>INT(TB[[#This Row],[时间戳]])</f>
        <v>45991</v>
      </c>
      <c r="J3311" s="2">
        <f>HOUR(TB[[#This Row],[时间戳]])</f>
        <v>12</v>
      </c>
      <c r="K3311">
        <v>288</v>
      </c>
      <c r="L3311">
        <v>1</v>
      </c>
      <c r="M3311">
        <f>TB[[#This Row],[售价]]*TB[[#This Row],[销量]]</f>
        <v>288</v>
      </c>
      <c r="N3311" t="str">
        <f>IF(TB[[#This Row],[售价]]&lt;1000,"低价商品",IF(TB[[#This Row],[售价]]&lt;5000,"中价商品",IF(TB[[#This Row],[售价]]&lt;10000,"高价商品","超高价商品")))</f>
        <v>低价商品</v>
      </c>
    </row>
    <row r="3312" spans="1:14" x14ac:dyDescent="0.2">
      <c r="A3312">
        <v>617</v>
      </c>
      <c r="B3312">
        <v>290</v>
      </c>
      <c r="C3312" t="s">
        <v>17</v>
      </c>
      <c r="D3312" t="s">
        <v>98</v>
      </c>
      <c r="E3312" t="s">
        <v>22</v>
      </c>
      <c r="F3312">
        <v>1</v>
      </c>
      <c r="G3312" t="s">
        <v>13</v>
      </c>
      <c r="H3312" s="1">
        <v>45991.54791666667</v>
      </c>
      <c r="I3312" s="5">
        <f>INT(TB[[#This Row],[时间戳]])</f>
        <v>45991</v>
      </c>
      <c r="J3312" s="2">
        <f>HOUR(TB[[#This Row],[时间戳]])</f>
        <v>13</v>
      </c>
      <c r="K3312">
        <v>5704</v>
      </c>
      <c r="L3312">
        <v>1</v>
      </c>
      <c r="M3312">
        <f>TB[[#This Row],[售价]]*TB[[#This Row],[销量]]</f>
        <v>5704</v>
      </c>
      <c r="N3312" t="str">
        <f>IF(TB[[#This Row],[售价]]&lt;1000,"低价商品",IF(TB[[#This Row],[售价]]&lt;5000,"中价商品",IF(TB[[#This Row],[售价]]&lt;10000,"高价商品","超高价商品")))</f>
        <v>高价商品</v>
      </c>
    </row>
    <row r="3313" spans="1:14" x14ac:dyDescent="0.2">
      <c r="A3313">
        <v>484</v>
      </c>
      <c r="B3313">
        <v>101</v>
      </c>
      <c r="C3313" t="s">
        <v>14</v>
      </c>
      <c r="D3313" t="s">
        <v>202</v>
      </c>
      <c r="E3313" t="s">
        <v>31</v>
      </c>
      <c r="F3313">
        <v>4</v>
      </c>
      <c r="G3313" t="s">
        <v>13</v>
      </c>
      <c r="H3313" s="1">
        <v>45991.567361111112</v>
      </c>
      <c r="I3313" s="5">
        <f>INT(TB[[#This Row],[时间戳]])</f>
        <v>45991</v>
      </c>
      <c r="J3313" s="2">
        <f>HOUR(TB[[#This Row],[时间戳]])</f>
        <v>13</v>
      </c>
      <c r="K3313">
        <v>1187</v>
      </c>
      <c r="L3313">
        <v>1</v>
      </c>
      <c r="M3313">
        <f>TB[[#This Row],[售价]]*TB[[#This Row],[销量]]</f>
        <v>1187</v>
      </c>
      <c r="N3313" t="str">
        <f>IF(TB[[#This Row],[售价]]&lt;1000,"低价商品",IF(TB[[#This Row],[售价]]&lt;5000,"中价商品",IF(TB[[#This Row],[售价]]&lt;10000,"高价商品","超高价商品")))</f>
        <v>中价商品</v>
      </c>
    </row>
    <row r="3314" spans="1:14" x14ac:dyDescent="0.2">
      <c r="A3314">
        <v>366</v>
      </c>
      <c r="B3314">
        <v>242</v>
      </c>
      <c r="C3314" t="s">
        <v>10</v>
      </c>
      <c r="D3314" t="s">
        <v>221</v>
      </c>
      <c r="E3314" t="s">
        <v>16</v>
      </c>
      <c r="F3314">
        <v>6</v>
      </c>
      <c r="G3314" t="s">
        <v>13</v>
      </c>
      <c r="H3314" s="1">
        <v>45991.590277777781</v>
      </c>
      <c r="I3314" s="5">
        <f>INT(TB[[#This Row],[时间戳]])</f>
        <v>45991</v>
      </c>
      <c r="J3314" s="2">
        <f>HOUR(TB[[#This Row],[时间戳]])</f>
        <v>14</v>
      </c>
      <c r="K3314">
        <v>5978</v>
      </c>
      <c r="L3314">
        <v>2</v>
      </c>
      <c r="M3314">
        <f>TB[[#This Row],[售价]]*TB[[#This Row],[销量]]</f>
        <v>11956</v>
      </c>
      <c r="N3314" t="str">
        <f>IF(TB[[#This Row],[售价]]&lt;1000,"低价商品",IF(TB[[#This Row],[售价]]&lt;5000,"中价商品",IF(TB[[#This Row],[售价]]&lt;10000,"高价商品","超高价商品")))</f>
        <v>高价商品</v>
      </c>
    </row>
    <row r="3315" spans="1:14" x14ac:dyDescent="0.2">
      <c r="A3315">
        <v>505</v>
      </c>
      <c r="B3315">
        <v>117</v>
      </c>
      <c r="C3315" t="s">
        <v>20</v>
      </c>
      <c r="D3315" t="s">
        <v>296</v>
      </c>
      <c r="E3315" t="s">
        <v>25</v>
      </c>
      <c r="F3315">
        <v>7</v>
      </c>
      <c r="G3315" t="s">
        <v>13</v>
      </c>
      <c r="H3315" s="1">
        <v>45991.590277777781</v>
      </c>
      <c r="I3315" s="5">
        <f>INT(TB[[#This Row],[时间戳]])</f>
        <v>45991</v>
      </c>
      <c r="J3315" s="2">
        <f>HOUR(TB[[#This Row],[时间戳]])</f>
        <v>14</v>
      </c>
      <c r="K3315">
        <v>7640</v>
      </c>
      <c r="L3315">
        <v>2</v>
      </c>
      <c r="M3315">
        <f>TB[[#This Row],[售价]]*TB[[#This Row],[销量]]</f>
        <v>15280</v>
      </c>
      <c r="N3315" t="str">
        <f>IF(TB[[#This Row],[售价]]&lt;1000,"低价商品",IF(TB[[#This Row],[售价]]&lt;5000,"中价商品",IF(TB[[#This Row],[售价]]&lt;10000,"高价商品","超高价商品")))</f>
        <v>高价商品</v>
      </c>
    </row>
    <row r="3316" spans="1:14" x14ac:dyDescent="0.2">
      <c r="A3316">
        <v>79</v>
      </c>
      <c r="B3316">
        <v>53</v>
      </c>
      <c r="C3316" t="s">
        <v>10</v>
      </c>
      <c r="D3316" t="s">
        <v>11</v>
      </c>
      <c r="E3316" t="s">
        <v>12</v>
      </c>
      <c r="F3316">
        <v>2</v>
      </c>
      <c r="G3316" t="s">
        <v>13</v>
      </c>
      <c r="H3316" s="1">
        <v>45991.594444444447</v>
      </c>
      <c r="I3316" s="5">
        <f>INT(TB[[#This Row],[时间戳]])</f>
        <v>45991</v>
      </c>
      <c r="J3316" s="2">
        <f>HOUR(TB[[#This Row],[时间戳]])</f>
        <v>14</v>
      </c>
      <c r="K3316">
        <v>11145</v>
      </c>
      <c r="L3316">
        <v>3</v>
      </c>
      <c r="M3316">
        <f>TB[[#This Row],[售价]]*TB[[#This Row],[销量]]</f>
        <v>33435</v>
      </c>
      <c r="N3316" t="str">
        <f>IF(TB[[#This Row],[售价]]&lt;1000,"低价商品",IF(TB[[#This Row],[售价]]&lt;5000,"中价商品",IF(TB[[#This Row],[售价]]&lt;10000,"高价商品","超高价商品")))</f>
        <v>超高价商品</v>
      </c>
    </row>
    <row r="3317" spans="1:14" x14ac:dyDescent="0.2">
      <c r="A3317">
        <v>45</v>
      </c>
      <c r="B3317">
        <v>105</v>
      </c>
      <c r="C3317" t="s">
        <v>32</v>
      </c>
      <c r="D3317" t="s">
        <v>176</v>
      </c>
      <c r="E3317" t="s">
        <v>22</v>
      </c>
      <c r="F3317">
        <v>1</v>
      </c>
      <c r="G3317" t="s">
        <v>42</v>
      </c>
      <c r="H3317" s="1">
        <v>45991.614583333336</v>
      </c>
      <c r="I3317" s="5">
        <f>INT(TB[[#This Row],[时间戳]])</f>
        <v>45991</v>
      </c>
      <c r="J3317" s="2">
        <f>HOUR(TB[[#This Row],[时间戳]])</f>
        <v>14</v>
      </c>
      <c r="K3317">
        <v>5499</v>
      </c>
      <c r="L3317">
        <v>0</v>
      </c>
      <c r="M3317">
        <f>TB[[#This Row],[售价]]*TB[[#This Row],[销量]]</f>
        <v>0</v>
      </c>
      <c r="N3317" t="str">
        <f>IF(TB[[#This Row],[售价]]&lt;1000,"低价商品",IF(TB[[#This Row],[售价]]&lt;5000,"中价商品",IF(TB[[#This Row],[售价]]&lt;10000,"高价商品","超高价商品")))</f>
        <v>高价商品</v>
      </c>
    </row>
    <row r="3318" spans="1:14" x14ac:dyDescent="0.2">
      <c r="A3318">
        <v>106</v>
      </c>
      <c r="B3318">
        <v>281</v>
      </c>
      <c r="C3318" t="s">
        <v>20</v>
      </c>
      <c r="D3318" t="s">
        <v>206</v>
      </c>
      <c r="E3318" t="s">
        <v>19</v>
      </c>
      <c r="F3318">
        <v>3</v>
      </c>
      <c r="G3318" t="s">
        <v>13</v>
      </c>
      <c r="H3318" s="1">
        <v>45991.627083333333</v>
      </c>
      <c r="I3318" s="5">
        <f>INT(TB[[#This Row],[时间戳]])</f>
        <v>45991</v>
      </c>
      <c r="J3318" s="2">
        <f>HOUR(TB[[#This Row],[时间戳]])</f>
        <v>15</v>
      </c>
      <c r="K3318">
        <v>5337</v>
      </c>
      <c r="L3318">
        <v>2</v>
      </c>
      <c r="M3318">
        <f>TB[[#This Row],[售价]]*TB[[#This Row],[销量]]</f>
        <v>10674</v>
      </c>
      <c r="N3318" t="str">
        <f>IF(TB[[#This Row],[售价]]&lt;1000,"低价商品",IF(TB[[#This Row],[售价]]&lt;5000,"中价商品",IF(TB[[#This Row],[售价]]&lt;10000,"高价商品","超高价商品")))</f>
        <v>高价商品</v>
      </c>
    </row>
    <row r="3319" spans="1:14" x14ac:dyDescent="0.2">
      <c r="A3319">
        <v>756</v>
      </c>
      <c r="B3319">
        <v>110</v>
      </c>
      <c r="C3319" t="s">
        <v>26</v>
      </c>
      <c r="D3319" t="s">
        <v>345</v>
      </c>
      <c r="E3319" t="s">
        <v>12</v>
      </c>
      <c r="F3319">
        <v>2</v>
      </c>
      <c r="G3319" t="s">
        <v>42</v>
      </c>
      <c r="H3319" s="1">
        <v>45991.627083333333</v>
      </c>
      <c r="I3319" s="5">
        <f>INT(TB[[#This Row],[时间戳]])</f>
        <v>45991</v>
      </c>
      <c r="J3319" s="2">
        <f>HOUR(TB[[#This Row],[时间戳]])</f>
        <v>15</v>
      </c>
      <c r="K3319">
        <v>11396</v>
      </c>
      <c r="L3319">
        <v>0</v>
      </c>
      <c r="M3319">
        <f>TB[[#This Row],[售价]]*TB[[#This Row],[销量]]</f>
        <v>0</v>
      </c>
      <c r="N3319" t="str">
        <f>IF(TB[[#This Row],[售价]]&lt;1000,"低价商品",IF(TB[[#This Row],[售价]]&lt;5000,"中价商品",IF(TB[[#This Row],[售价]]&lt;10000,"高价商品","超高价商品")))</f>
        <v>超高价商品</v>
      </c>
    </row>
    <row r="3320" spans="1:14" x14ac:dyDescent="0.2">
      <c r="A3320">
        <v>263</v>
      </c>
      <c r="B3320">
        <v>6</v>
      </c>
      <c r="C3320" t="s">
        <v>14</v>
      </c>
      <c r="D3320" t="s">
        <v>89</v>
      </c>
      <c r="E3320" t="s">
        <v>22</v>
      </c>
      <c r="F3320">
        <v>1</v>
      </c>
      <c r="G3320" t="s">
        <v>13</v>
      </c>
      <c r="H3320" s="1">
        <v>45991.656944444447</v>
      </c>
      <c r="I3320" s="5">
        <f>INT(TB[[#This Row],[时间戳]])</f>
        <v>45991</v>
      </c>
      <c r="J3320" s="2">
        <f>HOUR(TB[[#This Row],[时间戳]])</f>
        <v>15</v>
      </c>
      <c r="K3320">
        <v>2778</v>
      </c>
      <c r="L3320">
        <v>1</v>
      </c>
      <c r="M3320">
        <f>TB[[#This Row],[售价]]*TB[[#This Row],[销量]]</f>
        <v>2778</v>
      </c>
      <c r="N3320" t="str">
        <f>IF(TB[[#This Row],[售价]]&lt;1000,"低价商品",IF(TB[[#This Row],[售价]]&lt;5000,"中价商品",IF(TB[[#This Row],[售价]]&lt;10000,"高价商品","超高价商品")))</f>
        <v>中价商品</v>
      </c>
    </row>
    <row r="3321" spans="1:14" x14ac:dyDescent="0.2">
      <c r="A3321">
        <v>659</v>
      </c>
      <c r="B3321">
        <v>231</v>
      </c>
      <c r="C3321" t="s">
        <v>14</v>
      </c>
      <c r="D3321" t="s">
        <v>228</v>
      </c>
      <c r="E3321" t="s">
        <v>31</v>
      </c>
      <c r="F3321">
        <v>4</v>
      </c>
      <c r="G3321" t="s">
        <v>13</v>
      </c>
      <c r="H3321" s="1">
        <v>45991.684027777781</v>
      </c>
      <c r="I3321" s="5">
        <f>INT(TB[[#This Row],[时间戳]])</f>
        <v>45991</v>
      </c>
      <c r="J3321" s="2">
        <f>HOUR(TB[[#This Row],[时间戳]])</f>
        <v>16</v>
      </c>
      <c r="K3321">
        <v>1262</v>
      </c>
      <c r="L3321">
        <v>2</v>
      </c>
      <c r="M3321">
        <f>TB[[#This Row],[售价]]*TB[[#This Row],[销量]]</f>
        <v>2524</v>
      </c>
      <c r="N3321" t="str">
        <f>IF(TB[[#This Row],[售价]]&lt;1000,"低价商品",IF(TB[[#This Row],[售价]]&lt;5000,"中价商品",IF(TB[[#This Row],[售价]]&lt;10000,"高价商品","超高价商品")))</f>
        <v>中价商品</v>
      </c>
    </row>
    <row r="3322" spans="1:14" x14ac:dyDescent="0.2">
      <c r="A3322">
        <v>627</v>
      </c>
      <c r="B3322">
        <v>61</v>
      </c>
      <c r="C3322" t="s">
        <v>34</v>
      </c>
      <c r="D3322" t="s">
        <v>413</v>
      </c>
      <c r="E3322" t="s">
        <v>16</v>
      </c>
      <c r="F3322">
        <v>6</v>
      </c>
      <c r="G3322" t="s">
        <v>13</v>
      </c>
      <c r="H3322" s="1">
        <v>45991.698611111111</v>
      </c>
      <c r="I3322" s="5">
        <f>INT(TB[[#This Row],[时间戳]])</f>
        <v>45991</v>
      </c>
      <c r="J3322" s="2">
        <f>HOUR(TB[[#This Row],[时间戳]])</f>
        <v>16</v>
      </c>
      <c r="K3322">
        <v>5272</v>
      </c>
      <c r="L3322">
        <v>2</v>
      </c>
      <c r="M3322">
        <f>TB[[#This Row],[售价]]*TB[[#This Row],[销量]]</f>
        <v>10544</v>
      </c>
      <c r="N3322" t="str">
        <f>IF(TB[[#This Row],[售价]]&lt;1000,"低价商品",IF(TB[[#This Row],[售价]]&lt;5000,"中价商品",IF(TB[[#This Row],[售价]]&lt;10000,"高价商品","超高价商品")))</f>
        <v>高价商品</v>
      </c>
    </row>
    <row r="3323" spans="1:14" x14ac:dyDescent="0.2">
      <c r="A3323">
        <v>765</v>
      </c>
      <c r="B3323">
        <v>124</v>
      </c>
      <c r="C3323" t="s">
        <v>46</v>
      </c>
      <c r="D3323" t="s">
        <v>129</v>
      </c>
      <c r="E3323" t="s">
        <v>31</v>
      </c>
      <c r="F3323">
        <v>4</v>
      </c>
      <c r="G3323" t="s">
        <v>13</v>
      </c>
      <c r="H3323" s="1">
        <v>45991.7</v>
      </c>
      <c r="I3323" s="5">
        <f>INT(TB[[#This Row],[时间戳]])</f>
        <v>45991</v>
      </c>
      <c r="J3323" s="2">
        <f>HOUR(TB[[#This Row],[时间戳]])</f>
        <v>16</v>
      </c>
      <c r="K3323">
        <v>169</v>
      </c>
      <c r="L3323">
        <v>1</v>
      </c>
      <c r="M3323">
        <f>TB[[#This Row],[售价]]*TB[[#This Row],[销量]]</f>
        <v>169</v>
      </c>
      <c r="N3323" t="str">
        <f>IF(TB[[#This Row],[售价]]&lt;1000,"低价商品",IF(TB[[#This Row],[售价]]&lt;5000,"中价商品",IF(TB[[#This Row],[售价]]&lt;10000,"高价商品","超高价商品")))</f>
        <v>低价商品</v>
      </c>
    </row>
    <row r="3324" spans="1:14" x14ac:dyDescent="0.2">
      <c r="A3324">
        <v>172</v>
      </c>
      <c r="B3324">
        <v>4</v>
      </c>
      <c r="C3324" t="s">
        <v>36</v>
      </c>
      <c r="D3324" t="s">
        <v>55</v>
      </c>
      <c r="E3324" t="s">
        <v>39</v>
      </c>
      <c r="F3324">
        <v>5</v>
      </c>
      <c r="G3324" t="s">
        <v>13</v>
      </c>
      <c r="H3324" s="1">
        <v>45991.727083333331</v>
      </c>
      <c r="I3324" s="5">
        <f>INT(TB[[#This Row],[时间戳]])</f>
        <v>45991</v>
      </c>
      <c r="J3324" s="2">
        <f>HOUR(TB[[#This Row],[时间戳]])</f>
        <v>17</v>
      </c>
      <c r="K3324">
        <v>1023</v>
      </c>
      <c r="L3324">
        <v>1</v>
      </c>
      <c r="M3324">
        <f>TB[[#This Row],[售价]]*TB[[#This Row],[销量]]</f>
        <v>1023</v>
      </c>
      <c r="N3324" t="str">
        <f>IF(TB[[#This Row],[售价]]&lt;1000,"低价商品",IF(TB[[#This Row],[售价]]&lt;5000,"中价商品",IF(TB[[#This Row],[售价]]&lt;10000,"高价商品","超高价商品")))</f>
        <v>中价商品</v>
      </c>
    </row>
    <row r="3325" spans="1:14" x14ac:dyDescent="0.2">
      <c r="A3325">
        <v>103</v>
      </c>
      <c r="B3325">
        <v>46</v>
      </c>
      <c r="C3325" t="s">
        <v>17</v>
      </c>
      <c r="D3325" t="s">
        <v>109</v>
      </c>
      <c r="E3325" t="s">
        <v>12</v>
      </c>
      <c r="F3325">
        <v>2</v>
      </c>
      <c r="G3325" t="s">
        <v>13</v>
      </c>
      <c r="H3325" s="1">
        <v>45991.743055555555</v>
      </c>
      <c r="I3325" s="5">
        <f>INT(TB[[#This Row],[时间戳]])</f>
        <v>45991</v>
      </c>
      <c r="J3325" s="2">
        <f>HOUR(TB[[#This Row],[时间戳]])</f>
        <v>17</v>
      </c>
      <c r="K3325">
        <v>11930</v>
      </c>
      <c r="L3325">
        <v>1</v>
      </c>
      <c r="M3325">
        <f>TB[[#This Row],[售价]]*TB[[#This Row],[销量]]</f>
        <v>11930</v>
      </c>
      <c r="N3325" t="str">
        <f>IF(TB[[#This Row],[售价]]&lt;1000,"低价商品",IF(TB[[#This Row],[售价]]&lt;5000,"中价商品",IF(TB[[#This Row],[售价]]&lt;10000,"高价商品","超高价商品")))</f>
        <v>超高价商品</v>
      </c>
    </row>
    <row r="3326" spans="1:14" x14ac:dyDescent="0.2">
      <c r="A3326">
        <v>285</v>
      </c>
      <c r="B3326">
        <v>1</v>
      </c>
      <c r="C3326" t="s">
        <v>32</v>
      </c>
      <c r="D3326" t="s">
        <v>212</v>
      </c>
      <c r="E3326" t="s">
        <v>22</v>
      </c>
      <c r="F3326">
        <v>1</v>
      </c>
      <c r="G3326" t="s">
        <v>13</v>
      </c>
      <c r="H3326" s="1">
        <v>45991.770833333336</v>
      </c>
      <c r="I3326" s="5">
        <f>INT(TB[[#This Row],[时间戳]])</f>
        <v>45991</v>
      </c>
      <c r="J3326" s="2">
        <f>HOUR(TB[[#This Row],[时间戳]])</f>
        <v>18</v>
      </c>
      <c r="K3326">
        <v>5224</v>
      </c>
      <c r="L3326">
        <v>2</v>
      </c>
      <c r="M3326">
        <f>TB[[#This Row],[售价]]*TB[[#This Row],[销量]]</f>
        <v>10448</v>
      </c>
      <c r="N3326" t="str">
        <f>IF(TB[[#This Row],[售价]]&lt;1000,"低价商品",IF(TB[[#This Row],[售价]]&lt;5000,"中价商品",IF(TB[[#This Row],[售价]]&lt;10000,"高价商品","超高价商品")))</f>
        <v>高价商品</v>
      </c>
    </row>
    <row r="3327" spans="1:14" x14ac:dyDescent="0.2">
      <c r="A3327">
        <v>772</v>
      </c>
      <c r="B3327">
        <v>232</v>
      </c>
      <c r="C3327" t="s">
        <v>34</v>
      </c>
      <c r="D3327" t="s">
        <v>248</v>
      </c>
      <c r="E3327" t="s">
        <v>22</v>
      </c>
      <c r="F3327">
        <v>1</v>
      </c>
      <c r="G3327" t="s">
        <v>13</v>
      </c>
      <c r="H3327" s="1">
        <v>45991.796527777777</v>
      </c>
      <c r="I3327" s="5">
        <f>INT(TB[[#This Row],[时间戳]])</f>
        <v>45991</v>
      </c>
      <c r="J3327" s="2">
        <f>HOUR(TB[[#This Row],[时间戳]])</f>
        <v>19</v>
      </c>
      <c r="K3327">
        <v>4654</v>
      </c>
      <c r="L3327">
        <v>3</v>
      </c>
      <c r="M3327">
        <f>TB[[#This Row],[售价]]*TB[[#This Row],[销量]]</f>
        <v>13962</v>
      </c>
      <c r="N3327" t="str">
        <f>IF(TB[[#This Row],[售价]]&lt;1000,"低价商品",IF(TB[[#This Row],[售价]]&lt;5000,"中价商品",IF(TB[[#This Row],[售价]]&lt;10000,"高价商品","超高价商品")))</f>
        <v>中价商品</v>
      </c>
    </row>
    <row r="3328" spans="1:14" x14ac:dyDescent="0.2">
      <c r="A3328">
        <v>757</v>
      </c>
      <c r="B3328">
        <v>50</v>
      </c>
      <c r="C3328" t="s">
        <v>26</v>
      </c>
      <c r="D3328" t="s">
        <v>179</v>
      </c>
      <c r="E3328" t="s">
        <v>16</v>
      </c>
      <c r="F3328">
        <v>6</v>
      </c>
      <c r="G3328" t="s">
        <v>13</v>
      </c>
      <c r="H3328" s="1">
        <v>45991.826388888891</v>
      </c>
      <c r="I3328" s="5">
        <f>INT(TB[[#This Row],[时间戳]])</f>
        <v>45991</v>
      </c>
      <c r="J3328" s="2">
        <f>HOUR(TB[[#This Row],[时间戳]])</f>
        <v>19</v>
      </c>
      <c r="K3328">
        <v>11270</v>
      </c>
      <c r="L3328">
        <v>4</v>
      </c>
      <c r="M3328">
        <f>TB[[#This Row],[售价]]*TB[[#This Row],[销量]]</f>
        <v>45080</v>
      </c>
      <c r="N3328" t="str">
        <f>IF(TB[[#This Row],[售价]]&lt;1000,"低价商品",IF(TB[[#This Row],[售价]]&lt;5000,"中价商品",IF(TB[[#This Row],[售价]]&lt;10000,"高价商品","超高价商品")))</f>
        <v>超高价商品</v>
      </c>
    </row>
    <row r="3329" spans="1:14" x14ac:dyDescent="0.2">
      <c r="A3329">
        <v>177</v>
      </c>
      <c r="B3329">
        <v>81</v>
      </c>
      <c r="C3329" t="s">
        <v>36</v>
      </c>
      <c r="D3329" t="s">
        <v>317</v>
      </c>
      <c r="E3329" t="s">
        <v>19</v>
      </c>
      <c r="F3329">
        <v>3</v>
      </c>
      <c r="G3329" t="s">
        <v>13</v>
      </c>
      <c r="H3329" s="1">
        <v>45991.840277777781</v>
      </c>
      <c r="I3329" s="5">
        <f>INT(TB[[#This Row],[时间戳]])</f>
        <v>45991</v>
      </c>
      <c r="J3329" s="2">
        <f>HOUR(TB[[#This Row],[时间戳]])</f>
        <v>20</v>
      </c>
      <c r="K3329">
        <v>1815</v>
      </c>
      <c r="L3329">
        <v>2</v>
      </c>
      <c r="M3329">
        <f>TB[[#This Row],[售价]]*TB[[#This Row],[销量]]</f>
        <v>3630</v>
      </c>
      <c r="N3329" t="str">
        <f>IF(TB[[#This Row],[售价]]&lt;1000,"低价商品",IF(TB[[#This Row],[售价]]&lt;5000,"中价商品",IF(TB[[#This Row],[售价]]&lt;10000,"高价商品","超高价商品")))</f>
        <v>中价商品</v>
      </c>
    </row>
    <row r="3330" spans="1:14" x14ac:dyDescent="0.2">
      <c r="A3330">
        <v>201</v>
      </c>
      <c r="B3330">
        <v>108</v>
      </c>
      <c r="C3330" t="s">
        <v>10</v>
      </c>
      <c r="D3330" t="s">
        <v>197</v>
      </c>
      <c r="E3330" t="s">
        <v>39</v>
      </c>
      <c r="F3330">
        <v>5</v>
      </c>
      <c r="G3330" t="s">
        <v>42</v>
      </c>
      <c r="H3330" s="1">
        <v>45991.843055555553</v>
      </c>
      <c r="I3330" s="5">
        <f>INT(TB[[#This Row],[时间戳]])</f>
        <v>45991</v>
      </c>
      <c r="J3330" s="2">
        <f>HOUR(TB[[#This Row],[时间戳]])</f>
        <v>20</v>
      </c>
      <c r="K3330">
        <v>1936</v>
      </c>
      <c r="L3330">
        <v>0</v>
      </c>
      <c r="M3330">
        <f>TB[[#This Row],[售价]]*TB[[#This Row],[销量]]</f>
        <v>0</v>
      </c>
      <c r="N3330" t="str">
        <f>IF(TB[[#This Row],[售价]]&lt;1000,"低价商品",IF(TB[[#This Row],[售价]]&lt;5000,"中价商品",IF(TB[[#This Row],[售价]]&lt;10000,"高价商品","超高价商品")))</f>
        <v>中价商品</v>
      </c>
    </row>
    <row r="3331" spans="1:14" x14ac:dyDescent="0.2">
      <c r="A3331">
        <v>63</v>
      </c>
      <c r="B3331">
        <v>231</v>
      </c>
      <c r="C3331" t="s">
        <v>36</v>
      </c>
      <c r="D3331" t="s">
        <v>265</v>
      </c>
      <c r="E3331" t="s">
        <v>31</v>
      </c>
      <c r="F3331">
        <v>4</v>
      </c>
      <c r="G3331" t="s">
        <v>13</v>
      </c>
      <c r="H3331" s="1">
        <v>45991.863194444442</v>
      </c>
      <c r="I3331" s="5">
        <f>INT(TB[[#This Row],[时间戳]])</f>
        <v>45991</v>
      </c>
      <c r="J3331" s="2">
        <f>HOUR(TB[[#This Row],[时间戳]])</f>
        <v>20</v>
      </c>
      <c r="K3331">
        <v>321</v>
      </c>
      <c r="L3331">
        <v>1</v>
      </c>
      <c r="M3331">
        <f>TB[[#This Row],[售价]]*TB[[#This Row],[销量]]</f>
        <v>321</v>
      </c>
      <c r="N3331" t="str">
        <f>IF(TB[[#This Row],[售价]]&lt;1000,"低价商品",IF(TB[[#This Row],[售价]]&lt;5000,"中价商品",IF(TB[[#This Row],[售价]]&lt;10000,"高价商品","超高价商品")))</f>
        <v>低价商品</v>
      </c>
    </row>
    <row r="3332" spans="1:14" x14ac:dyDescent="0.2">
      <c r="A3332">
        <v>121</v>
      </c>
      <c r="B3332">
        <v>105</v>
      </c>
      <c r="C3332" t="s">
        <v>26</v>
      </c>
      <c r="D3332" t="s">
        <v>271</v>
      </c>
      <c r="E3332" t="s">
        <v>25</v>
      </c>
      <c r="F3332">
        <v>7</v>
      </c>
      <c r="G3332" t="s">
        <v>13</v>
      </c>
      <c r="H3332" s="1">
        <v>45991.881249999999</v>
      </c>
      <c r="I3332" s="5">
        <f>INT(TB[[#This Row],[时间戳]])</f>
        <v>45991</v>
      </c>
      <c r="J3332" s="2">
        <f>HOUR(TB[[#This Row],[时间戳]])</f>
        <v>21</v>
      </c>
      <c r="K3332">
        <v>3464</v>
      </c>
      <c r="L3332">
        <v>2</v>
      </c>
      <c r="M3332">
        <f>TB[[#This Row],[售价]]*TB[[#This Row],[销量]]</f>
        <v>6928</v>
      </c>
      <c r="N3332" t="str">
        <f>IF(TB[[#This Row],[售价]]&lt;1000,"低价商品",IF(TB[[#This Row],[售价]]&lt;5000,"中价商品",IF(TB[[#This Row],[售价]]&lt;10000,"高价商品","超高价商品")))</f>
        <v>中价商品</v>
      </c>
    </row>
    <row r="3333" spans="1:14" x14ac:dyDescent="0.2">
      <c r="A3333">
        <v>158</v>
      </c>
      <c r="B3333">
        <v>33</v>
      </c>
      <c r="C3333" t="s">
        <v>36</v>
      </c>
      <c r="D3333" t="s">
        <v>265</v>
      </c>
      <c r="E3333" t="s">
        <v>31</v>
      </c>
      <c r="F3333">
        <v>4</v>
      </c>
      <c r="G3333" t="s">
        <v>42</v>
      </c>
      <c r="H3333" s="1">
        <v>45991.90625</v>
      </c>
      <c r="I3333" s="5">
        <f>INT(TB[[#This Row],[时间戳]])</f>
        <v>45991</v>
      </c>
      <c r="J3333" s="2">
        <f>HOUR(TB[[#This Row],[时间戳]])</f>
        <v>21</v>
      </c>
      <c r="K3333">
        <v>921</v>
      </c>
      <c r="L3333">
        <v>0</v>
      </c>
      <c r="M3333">
        <f>TB[[#This Row],[售价]]*TB[[#This Row],[销量]]</f>
        <v>0</v>
      </c>
      <c r="N3333" t="str">
        <f>IF(TB[[#This Row],[售价]]&lt;1000,"低价商品",IF(TB[[#This Row],[售价]]&lt;5000,"中价商品",IF(TB[[#This Row],[售价]]&lt;10000,"高价商品","超高价商品")))</f>
        <v>低价商品</v>
      </c>
    </row>
    <row r="3334" spans="1:14" x14ac:dyDescent="0.2">
      <c r="A3334">
        <v>8</v>
      </c>
      <c r="B3334">
        <v>88</v>
      </c>
      <c r="C3334" t="s">
        <v>44</v>
      </c>
      <c r="D3334" t="s">
        <v>66</v>
      </c>
      <c r="E3334" t="s">
        <v>22</v>
      </c>
      <c r="F3334">
        <v>1</v>
      </c>
      <c r="G3334" t="s">
        <v>13</v>
      </c>
      <c r="H3334" s="1">
        <v>45991.909722222219</v>
      </c>
      <c r="I3334" s="5">
        <f>INT(TB[[#This Row],[时间戳]])</f>
        <v>45991</v>
      </c>
      <c r="J3334" s="2">
        <f>HOUR(TB[[#This Row],[时间戳]])</f>
        <v>21</v>
      </c>
      <c r="K3334">
        <v>7710</v>
      </c>
      <c r="L3334">
        <v>1</v>
      </c>
      <c r="M3334">
        <f>TB[[#This Row],[售价]]*TB[[#This Row],[销量]]</f>
        <v>7710</v>
      </c>
      <c r="N3334" t="str">
        <f>IF(TB[[#This Row],[售价]]&lt;1000,"低价商品",IF(TB[[#This Row],[售价]]&lt;5000,"中价商品",IF(TB[[#This Row],[售价]]&lt;10000,"高价商品","超高价商品")))</f>
        <v>高价商品</v>
      </c>
    </row>
    <row r="3335" spans="1:14" x14ac:dyDescent="0.2">
      <c r="A3335">
        <v>701</v>
      </c>
      <c r="B3335">
        <v>216</v>
      </c>
      <c r="C3335" t="s">
        <v>20</v>
      </c>
      <c r="D3335" t="s">
        <v>267</v>
      </c>
      <c r="E3335" t="s">
        <v>39</v>
      </c>
      <c r="F3335">
        <v>5</v>
      </c>
      <c r="G3335" t="s">
        <v>13</v>
      </c>
      <c r="H3335" s="1">
        <v>45991.913194444445</v>
      </c>
      <c r="I3335" s="5">
        <f>INT(TB[[#This Row],[时间戳]])</f>
        <v>45991</v>
      </c>
      <c r="J3335" s="2">
        <f>HOUR(TB[[#This Row],[时间戳]])</f>
        <v>21</v>
      </c>
      <c r="K3335">
        <v>2151</v>
      </c>
      <c r="L3335">
        <v>1</v>
      </c>
      <c r="M3335">
        <f>TB[[#This Row],[售价]]*TB[[#This Row],[销量]]</f>
        <v>2151</v>
      </c>
      <c r="N3335" t="str">
        <f>IF(TB[[#This Row],[售价]]&lt;1000,"低价商品",IF(TB[[#This Row],[售价]]&lt;5000,"中价商品",IF(TB[[#This Row],[售价]]&lt;10000,"高价商品","超高价商品")))</f>
        <v>中价商品</v>
      </c>
    </row>
    <row r="3336" spans="1:14" x14ac:dyDescent="0.2">
      <c r="A3336">
        <v>75</v>
      </c>
      <c r="B3336">
        <v>79</v>
      </c>
      <c r="C3336" t="s">
        <v>26</v>
      </c>
      <c r="D3336" t="s">
        <v>345</v>
      </c>
      <c r="E3336" t="s">
        <v>12</v>
      </c>
      <c r="F3336">
        <v>2</v>
      </c>
      <c r="G3336" t="s">
        <v>13</v>
      </c>
      <c r="H3336" s="1">
        <v>45991.95416666667</v>
      </c>
      <c r="I3336" s="5">
        <f>INT(TB[[#This Row],[时间戳]])</f>
        <v>45991</v>
      </c>
      <c r="J3336" s="2">
        <f>HOUR(TB[[#This Row],[时间戳]])</f>
        <v>22</v>
      </c>
      <c r="K3336">
        <v>5621</v>
      </c>
      <c r="L3336">
        <v>2</v>
      </c>
      <c r="M3336">
        <f>TB[[#This Row],[售价]]*TB[[#This Row],[销量]]</f>
        <v>11242</v>
      </c>
      <c r="N3336" t="str">
        <f>IF(TB[[#This Row],[售价]]&lt;1000,"低价商品",IF(TB[[#This Row],[售价]]&lt;5000,"中价商品",IF(TB[[#This Row],[售价]]&lt;10000,"高价商品","超高价商品")))</f>
        <v>高价商品</v>
      </c>
    </row>
    <row r="3337" spans="1:14" x14ac:dyDescent="0.2">
      <c r="A3337">
        <v>717</v>
      </c>
      <c r="B3337">
        <v>86</v>
      </c>
      <c r="C3337" t="s">
        <v>17</v>
      </c>
      <c r="D3337" t="s">
        <v>285</v>
      </c>
      <c r="E3337" t="s">
        <v>25</v>
      </c>
      <c r="F3337">
        <v>7</v>
      </c>
      <c r="G3337" t="s">
        <v>42</v>
      </c>
      <c r="H3337" s="1">
        <v>45991.979861111111</v>
      </c>
      <c r="I3337" s="5">
        <f>INT(TB[[#This Row],[时间戳]])</f>
        <v>45991</v>
      </c>
      <c r="J3337" s="2">
        <f>HOUR(TB[[#This Row],[时间戳]])</f>
        <v>23</v>
      </c>
      <c r="K3337">
        <v>4755</v>
      </c>
      <c r="L3337">
        <v>0</v>
      </c>
      <c r="M3337">
        <f>TB[[#This Row],[售价]]*TB[[#This Row],[销量]]</f>
        <v>0</v>
      </c>
      <c r="N3337" t="str">
        <f>IF(TB[[#This Row],[售价]]&lt;1000,"低价商品",IF(TB[[#This Row],[售价]]&lt;5000,"中价商品",IF(TB[[#This Row],[售价]]&lt;10000,"高价商品","超高价商品")))</f>
        <v>中价商品</v>
      </c>
    </row>
    <row r="3338" spans="1:14" x14ac:dyDescent="0.2">
      <c r="A3338">
        <v>569</v>
      </c>
      <c r="B3338">
        <v>272</v>
      </c>
      <c r="C3338" t="s">
        <v>20</v>
      </c>
      <c r="D3338" t="s">
        <v>324</v>
      </c>
      <c r="E3338" t="s">
        <v>12</v>
      </c>
      <c r="F3338">
        <v>2</v>
      </c>
      <c r="G3338" t="s">
        <v>13</v>
      </c>
      <c r="H3338" s="1">
        <v>45992.023611111108</v>
      </c>
      <c r="I3338" s="5">
        <f>INT(TB[[#This Row],[时间戳]])</f>
        <v>45992</v>
      </c>
      <c r="J3338" s="2">
        <f>HOUR(TB[[#This Row],[时间戳]])</f>
        <v>0</v>
      </c>
      <c r="K3338">
        <v>8525</v>
      </c>
      <c r="L3338">
        <v>2</v>
      </c>
      <c r="M3338">
        <f>TB[[#This Row],[售价]]*TB[[#This Row],[销量]]</f>
        <v>17050</v>
      </c>
      <c r="N3338" t="str">
        <f>IF(TB[[#This Row],[售价]]&lt;1000,"低价商品",IF(TB[[#This Row],[售价]]&lt;5000,"中价商品",IF(TB[[#This Row],[售价]]&lt;10000,"高价商品","超高价商品")))</f>
        <v>高价商品</v>
      </c>
    </row>
    <row r="3339" spans="1:14" x14ac:dyDescent="0.2">
      <c r="A3339">
        <v>162</v>
      </c>
      <c r="B3339">
        <v>273</v>
      </c>
      <c r="C3339" t="s">
        <v>34</v>
      </c>
      <c r="D3339" t="s">
        <v>57</v>
      </c>
      <c r="E3339" t="s">
        <v>12</v>
      </c>
      <c r="F3339">
        <v>2</v>
      </c>
      <c r="G3339" t="s">
        <v>13</v>
      </c>
      <c r="H3339" s="1">
        <v>45992.05</v>
      </c>
      <c r="I3339" s="5">
        <f>INT(TB[[#This Row],[时间戳]])</f>
        <v>45992</v>
      </c>
      <c r="J3339" s="2">
        <f>HOUR(TB[[#This Row],[时间戳]])</f>
        <v>1</v>
      </c>
      <c r="K3339">
        <v>13793</v>
      </c>
      <c r="L3339">
        <v>2</v>
      </c>
      <c r="M3339">
        <f>TB[[#This Row],[售价]]*TB[[#This Row],[销量]]</f>
        <v>27586</v>
      </c>
      <c r="N3339" t="str">
        <f>IF(TB[[#This Row],[售价]]&lt;1000,"低价商品",IF(TB[[#This Row],[售价]]&lt;5000,"中价商品",IF(TB[[#This Row],[售价]]&lt;10000,"高价商品","超高价商品")))</f>
        <v>超高价商品</v>
      </c>
    </row>
    <row r="3340" spans="1:14" x14ac:dyDescent="0.2">
      <c r="A3340">
        <v>177</v>
      </c>
      <c r="B3340">
        <v>228</v>
      </c>
      <c r="C3340" t="s">
        <v>44</v>
      </c>
      <c r="D3340" t="s">
        <v>268</v>
      </c>
      <c r="E3340" t="s">
        <v>16</v>
      </c>
      <c r="F3340">
        <v>6</v>
      </c>
      <c r="G3340" t="s">
        <v>13</v>
      </c>
      <c r="H3340" s="1">
        <v>45992.066666666666</v>
      </c>
      <c r="I3340" s="5">
        <f>INT(TB[[#This Row],[时间戳]])</f>
        <v>45992</v>
      </c>
      <c r="J3340" s="2">
        <f>HOUR(TB[[#This Row],[时间戳]])</f>
        <v>1</v>
      </c>
      <c r="K3340">
        <v>11204</v>
      </c>
      <c r="L3340">
        <v>2</v>
      </c>
      <c r="M3340">
        <f>TB[[#This Row],[售价]]*TB[[#This Row],[销量]]</f>
        <v>22408</v>
      </c>
      <c r="N3340" t="str">
        <f>IF(TB[[#This Row],[售价]]&lt;1000,"低价商品",IF(TB[[#This Row],[售价]]&lt;5000,"中价商品",IF(TB[[#This Row],[售价]]&lt;10000,"高价商品","超高价商品")))</f>
        <v>超高价商品</v>
      </c>
    </row>
    <row r="3341" spans="1:14" x14ac:dyDescent="0.2">
      <c r="A3341">
        <v>220</v>
      </c>
      <c r="B3341">
        <v>11</v>
      </c>
      <c r="C3341" t="s">
        <v>36</v>
      </c>
      <c r="D3341" t="s">
        <v>123</v>
      </c>
      <c r="E3341" t="s">
        <v>31</v>
      </c>
      <c r="F3341">
        <v>4</v>
      </c>
      <c r="G3341" t="s">
        <v>13</v>
      </c>
      <c r="H3341" s="1">
        <v>45992.086111111108</v>
      </c>
      <c r="I3341" s="5">
        <f>INT(TB[[#This Row],[时间戳]])</f>
        <v>45992</v>
      </c>
      <c r="J3341" s="2">
        <f>HOUR(TB[[#This Row],[时间戳]])</f>
        <v>2</v>
      </c>
      <c r="K3341">
        <v>582</v>
      </c>
      <c r="L3341">
        <v>4</v>
      </c>
      <c r="M3341">
        <f>TB[[#This Row],[售价]]*TB[[#This Row],[销量]]</f>
        <v>2328</v>
      </c>
      <c r="N3341" t="str">
        <f>IF(TB[[#This Row],[售价]]&lt;1000,"低价商品",IF(TB[[#This Row],[售价]]&lt;5000,"中价商品",IF(TB[[#This Row],[售价]]&lt;10000,"高价商品","超高价商品")))</f>
        <v>低价商品</v>
      </c>
    </row>
    <row r="3342" spans="1:14" x14ac:dyDescent="0.2">
      <c r="A3342">
        <v>792</v>
      </c>
      <c r="B3342">
        <v>275</v>
      </c>
      <c r="C3342" t="s">
        <v>36</v>
      </c>
      <c r="D3342" t="s">
        <v>265</v>
      </c>
      <c r="E3342" t="s">
        <v>31</v>
      </c>
      <c r="F3342">
        <v>4</v>
      </c>
      <c r="G3342" t="s">
        <v>42</v>
      </c>
      <c r="H3342" s="1">
        <v>45992.126388888886</v>
      </c>
      <c r="I3342" s="5">
        <f>INT(TB[[#This Row],[时间戳]])</f>
        <v>45992</v>
      </c>
      <c r="J3342" s="2">
        <f>HOUR(TB[[#This Row],[时间戳]])</f>
        <v>3</v>
      </c>
      <c r="K3342">
        <v>458</v>
      </c>
      <c r="L3342">
        <v>0</v>
      </c>
      <c r="M3342">
        <f>TB[[#This Row],[售价]]*TB[[#This Row],[销量]]</f>
        <v>0</v>
      </c>
      <c r="N3342" t="str">
        <f>IF(TB[[#This Row],[售价]]&lt;1000,"低价商品",IF(TB[[#This Row],[售价]]&lt;5000,"中价商品",IF(TB[[#This Row],[售价]]&lt;10000,"高价商品","超高价商品")))</f>
        <v>低价商品</v>
      </c>
    </row>
    <row r="3343" spans="1:14" x14ac:dyDescent="0.2">
      <c r="A3343">
        <v>712</v>
      </c>
      <c r="B3343">
        <v>65</v>
      </c>
      <c r="C3343" t="s">
        <v>46</v>
      </c>
      <c r="D3343" t="s">
        <v>180</v>
      </c>
      <c r="E3343" t="s">
        <v>31</v>
      </c>
      <c r="F3343">
        <v>4</v>
      </c>
      <c r="G3343" t="s">
        <v>13</v>
      </c>
      <c r="H3343" s="1">
        <v>45992.142361111109</v>
      </c>
      <c r="I3343" s="5">
        <f>INT(TB[[#This Row],[时间戳]])</f>
        <v>45992</v>
      </c>
      <c r="J3343" s="2">
        <f>HOUR(TB[[#This Row],[时间戳]])</f>
        <v>3</v>
      </c>
      <c r="K3343">
        <v>848</v>
      </c>
      <c r="L3343">
        <v>2</v>
      </c>
      <c r="M3343">
        <f>TB[[#This Row],[售价]]*TB[[#This Row],[销量]]</f>
        <v>1696</v>
      </c>
      <c r="N3343" t="str">
        <f>IF(TB[[#This Row],[售价]]&lt;1000,"低价商品",IF(TB[[#This Row],[售价]]&lt;5000,"中价商品",IF(TB[[#This Row],[售价]]&lt;10000,"高价商品","超高价商品")))</f>
        <v>低价商品</v>
      </c>
    </row>
    <row r="3344" spans="1:14" x14ac:dyDescent="0.2">
      <c r="A3344">
        <v>574</v>
      </c>
      <c r="B3344">
        <v>246</v>
      </c>
      <c r="C3344" t="s">
        <v>20</v>
      </c>
      <c r="D3344" t="s">
        <v>333</v>
      </c>
      <c r="E3344" t="s">
        <v>16</v>
      </c>
      <c r="F3344">
        <v>6</v>
      </c>
      <c r="G3344" t="s">
        <v>13</v>
      </c>
      <c r="H3344" s="1">
        <v>45992.160416666666</v>
      </c>
      <c r="I3344" s="5">
        <f>INT(TB[[#This Row],[时间戳]])</f>
        <v>45992</v>
      </c>
      <c r="J3344" s="2">
        <f>HOUR(TB[[#This Row],[时间戳]])</f>
        <v>3</v>
      </c>
      <c r="K3344">
        <v>2798</v>
      </c>
      <c r="L3344">
        <v>2</v>
      </c>
      <c r="M3344">
        <f>TB[[#This Row],[售价]]*TB[[#This Row],[销量]]</f>
        <v>5596</v>
      </c>
      <c r="N3344" t="str">
        <f>IF(TB[[#This Row],[售价]]&lt;1000,"低价商品",IF(TB[[#This Row],[售价]]&lt;5000,"中价商品",IF(TB[[#This Row],[售价]]&lt;10000,"高价商品","超高价商品")))</f>
        <v>中价商品</v>
      </c>
    </row>
    <row r="3345" spans="1:14" x14ac:dyDescent="0.2">
      <c r="A3345">
        <v>756</v>
      </c>
      <c r="B3345">
        <v>70</v>
      </c>
      <c r="C3345" t="s">
        <v>46</v>
      </c>
      <c r="D3345" t="s">
        <v>266</v>
      </c>
      <c r="E3345" t="s">
        <v>12</v>
      </c>
      <c r="F3345">
        <v>2</v>
      </c>
      <c r="G3345" t="s">
        <v>42</v>
      </c>
      <c r="H3345" s="1">
        <v>45992.163888888892</v>
      </c>
      <c r="I3345" s="5">
        <f>INT(TB[[#This Row],[时间戳]])</f>
        <v>45992</v>
      </c>
      <c r="J3345" s="2">
        <f>HOUR(TB[[#This Row],[时间戳]])</f>
        <v>3</v>
      </c>
      <c r="K3345">
        <v>10597</v>
      </c>
      <c r="L3345">
        <v>0</v>
      </c>
      <c r="M3345">
        <f>TB[[#This Row],[售价]]*TB[[#This Row],[销量]]</f>
        <v>0</v>
      </c>
      <c r="N3345" t="str">
        <f>IF(TB[[#This Row],[售价]]&lt;1000,"低价商品",IF(TB[[#This Row],[售价]]&lt;5000,"中价商品",IF(TB[[#This Row],[售价]]&lt;10000,"高价商品","超高价商品")))</f>
        <v>超高价商品</v>
      </c>
    </row>
    <row r="3346" spans="1:14" x14ac:dyDescent="0.2">
      <c r="A3346">
        <v>238</v>
      </c>
      <c r="B3346">
        <v>65</v>
      </c>
      <c r="C3346" t="s">
        <v>26</v>
      </c>
      <c r="D3346" t="s">
        <v>56</v>
      </c>
      <c r="E3346" t="s">
        <v>22</v>
      </c>
      <c r="F3346">
        <v>1</v>
      </c>
      <c r="G3346" t="s">
        <v>13</v>
      </c>
      <c r="H3346" s="1">
        <v>45992.175694444442</v>
      </c>
      <c r="I3346" s="5">
        <f>INT(TB[[#This Row],[时间戳]])</f>
        <v>45992</v>
      </c>
      <c r="J3346" s="2">
        <f>HOUR(TB[[#This Row],[时间戳]])</f>
        <v>4</v>
      </c>
      <c r="K3346">
        <v>1497</v>
      </c>
      <c r="L3346">
        <v>3</v>
      </c>
      <c r="M3346">
        <f>TB[[#This Row],[售价]]*TB[[#This Row],[销量]]</f>
        <v>4491</v>
      </c>
      <c r="N3346" t="str">
        <f>IF(TB[[#This Row],[售价]]&lt;1000,"低价商品",IF(TB[[#This Row],[售价]]&lt;5000,"中价商品",IF(TB[[#This Row],[售价]]&lt;10000,"高价商品","超高价商品")))</f>
        <v>中价商品</v>
      </c>
    </row>
    <row r="3347" spans="1:14" x14ac:dyDescent="0.2">
      <c r="A3347">
        <v>557</v>
      </c>
      <c r="B3347">
        <v>38</v>
      </c>
      <c r="C3347" t="s">
        <v>20</v>
      </c>
      <c r="D3347" t="s">
        <v>399</v>
      </c>
      <c r="E3347" t="s">
        <v>31</v>
      </c>
      <c r="F3347">
        <v>4</v>
      </c>
      <c r="G3347" t="s">
        <v>13</v>
      </c>
      <c r="H3347" s="1">
        <v>45992.198611111111</v>
      </c>
      <c r="I3347" s="5">
        <f>INT(TB[[#This Row],[时间戳]])</f>
        <v>45992</v>
      </c>
      <c r="J3347" s="2">
        <f>HOUR(TB[[#This Row],[时间戳]])</f>
        <v>4</v>
      </c>
      <c r="K3347">
        <v>367</v>
      </c>
      <c r="L3347">
        <v>1</v>
      </c>
      <c r="M3347">
        <f>TB[[#This Row],[售价]]*TB[[#This Row],[销量]]</f>
        <v>367</v>
      </c>
      <c r="N3347" t="str">
        <f>IF(TB[[#This Row],[售价]]&lt;1000,"低价商品",IF(TB[[#This Row],[售价]]&lt;5000,"中价商品",IF(TB[[#This Row],[售价]]&lt;10000,"高价商品","超高价商品")))</f>
        <v>低价商品</v>
      </c>
    </row>
    <row r="3348" spans="1:14" x14ac:dyDescent="0.2">
      <c r="A3348">
        <v>348</v>
      </c>
      <c r="B3348">
        <v>269</v>
      </c>
      <c r="C3348" t="s">
        <v>20</v>
      </c>
      <c r="D3348" t="s">
        <v>78</v>
      </c>
      <c r="E3348" t="s">
        <v>22</v>
      </c>
      <c r="F3348">
        <v>1</v>
      </c>
      <c r="G3348" t="s">
        <v>13</v>
      </c>
      <c r="H3348" s="1">
        <v>45992.204861111109</v>
      </c>
      <c r="I3348" s="5">
        <f>INT(TB[[#This Row],[时间戳]])</f>
        <v>45992</v>
      </c>
      <c r="J3348" s="2">
        <f>HOUR(TB[[#This Row],[时间戳]])</f>
        <v>4</v>
      </c>
      <c r="K3348">
        <v>3053</v>
      </c>
      <c r="L3348">
        <v>2</v>
      </c>
      <c r="M3348">
        <f>TB[[#This Row],[售价]]*TB[[#This Row],[销量]]</f>
        <v>6106</v>
      </c>
      <c r="N3348" t="str">
        <f>IF(TB[[#This Row],[售价]]&lt;1000,"低价商品",IF(TB[[#This Row],[售价]]&lt;5000,"中价商品",IF(TB[[#This Row],[售价]]&lt;10000,"高价商品","超高价商品")))</f>
        <v>中价商品</v>
      </c>
    </row>
    <row r="3349" spans="1:14" x14ac:dyDescent="0.2">
      <c r="A3349">
        <v>341</v>
      </c>
      <c r="B3349">
        <v>282</v>
      </c>
      <c r="C3349" t="s">
        <v>36</v>
      </c>
      <c r="D3349" t="s">
        <v>112</v>
      </c>
      <c r="E3349" t="s">
        <v>22</v>
      </c>
      <c r="F3349">
        <v>1</v>
      </c>
      <c r="G3349" t="s">
        <v>13</v>
      </c>
      <c r="H3349" s="1">
        <v>45992.209027777775</v>
      </c>
      <c r="I3349" s="5">
        <f>INT(TB[[#This Row],[时间戳]])</f>
        <v>45992</v>
      </c>
      <c r="J3349" s="2">
        <f>HOUR(TB[[#This Row],[时间戳]])</f>
        <v>5</v>
      </c>
      <c r="K3349">
        <v>5250</v>
      </c>
      <c r="L3349">
        <v>2</v>
      </c>
      <c r="M3349">
        <f>TB[[#This Row],[售价]]*TB[[#This Row],[销量]]</f>
        <v>10500</v>
      </c>
      <c r="N3349" t="str">
        <f>IF(TB[[#This Row],[售价]]&lt;1000,"低价商品",IF(TB[[#This Row],[售价]]&lt;5000,"中价商品",IF(TB[[#This Row],[售价]]&lt;10000,"高价商品","超高价商品")))</f>
        <v>高价商品</v>
      </c>
    </row>
    <row r="3350" spans="1:14" x14ac:dyDescent="0.2">
      <c r="A3350">
        <v>503</v>
      </c>
      <c r="B3350">
        <v>106</v>
      </c>
      <c r="C3350" t="s">
        <v>10</v>
      </c>
      <c r="D3350" t="s">
        <v>348</v>
      </c>
      <c r="E3350" t="s">
        <v>16</v>
      </c>
      <c r="F3350">
        <v>6</v>
      </c>
      <c r="G3350" t="s">
        <v>13</v>
      </c>
      <c r="H3350" s="1">
        <v>45992.21597222222</v>
      </c>
      <c r="I3350" s="5">
        <f>INT(TB[[#This Row],[时间戳]])</f>
        <v>45992</v>
      </c>
      <c r="J3350" s="2">
        <f>HOUR(TB[[#This Row],[时间戳]])</f>
        <v>5</v>
      </c>
      <c r="K3350">
        <v>4122</v>
      </c>
      <c r="L3350">
        <v>4</v>
      </c>
      <c r="M3350">
        <f>TB[[#This Row],[售价]]*TB[[#This Row],[销量]]</f>
        <v>16488</v>
      </c>
      <c r="N3350" t="str">
        <f>IF(TB[[#This Row],[售价]]&lt;1000,"低价商品",IF(TB[[#This Row],[售价]]&lt;5000,"中价商品",IF(TB[[#This Row],[售价]]&lt;10000,"高价商品","超高价商品")))</f>
        <v>中价商品</v>
      </c>
    </row>
    <row r="3351" spans="1:14" x14ac:dyDescent="0.2">
      <c r="A3351">
        <v>152</v>
      </c>
      <c r="B3351">
        <v>227</v>
      </c>
      <c r="C3351" t="s">
        <v>14</v>
      </c>
      <c r="D3351" t="s">
        <v>295</v>
      </c>
      <c r="E3351" t="s">
        <v>39</v>
      </c>
      <c r="F3351">
        <v>5</v>
      </c>
      <c r="G3351" t="s">
        <v>13</v>
      </c>
      <c r="H3351" s="1">
        <v>45992.220833333333</v>
      </c>
      <c r="I3351" s="5">
        <f>INT(TB[[#This Row],[时间戳]])</f>
        <v>45992</v>
      </c>
      <c r="J3351" s="2">
        <f>HOUR(TB[[#This Row],[时间戳]])</f>
        <v>5</v>
      </c>
      <c r="K3351">
        <v>1284</v>
      </c>
      <c r="L3351">
        <v>1</v>
      </c>
      <c r="M3351">
        <f>TB[[#This Row],[售价]]*TB[[#This Row],[销量]]</f>
        <v>1284</v>
      </c>
      <c r="N3351" t="str">
        <f>IF(TB[[#This Row],[售价]]&lt;1000,"低价商品",IF(TB[[#This Row],[售价]]&lt;5000,"中价商品",IF(TB[[#This Row],[售价]]&lt;10000,"高价商品","超高价商品")))</f>
        <v>中价商品</v>
      </c>
    </row>
    <row r="3352" spans="1:14" x14ac:dyDescent="0.2">
      <c r="A3352">
        <v>756</v>
      </c>
      <c r="B3352">
        <v>165</v>
      </c>
      <c r="C3352" t="s">
        <v>20</v>
      </c>
      <c r="D3352" t="s">
        <v>293</v>
      </c>
      <c r="E3352" t="s">
        <v>12</v>
      </c>
      <c r="F3352">
        <v>2</v>
      </c>
      <c r="G3352" t="s">
        <v>42</v>
      </c>
      <c r="H3352" s="1">
        <v>45992.224999999999</v>
      </c>
      <c r="I3352" s="5">
        <f>INT(TB[[#This Row],[时间戳]])</f>
        <v>45992</v>
      </c>
      <c r="J3352" s="2">
        <f>HOUR(TB[[#This Row],[时间戳]])</f>
        <v>5</v>
      </c>
      <c r="K3352">
        <v>5186</v>
      </c>
      <c r="L3352">
        <v>0</v>
      </c>
      <c r="M3352">
        <f>TB[[#This Row],[售价]]*TB[[#This Row],[销量]]</f>
        <v>0</v>
      </c>
      <c r="N3352" t="str">
        <f>IF(TB[[#This Row],[售价]]&lt;1000,"低价商品",IF(TB[[#This Row],[售价]]&lt;5000,"中价商品",IF(TB[[#This Row],[售价]]&lt;10000,"高价商品","超高价商品")))</f>
        <v>高价商品</v>
      </c>
    </row>
    <row r="3353" spans="1:14" x14ac:dyDescent="0.2">
      <c r="A3353">
        <v>31</v>
      </c>
      <c r="B3353">
        <v>17</v>
      </c>
      <c r="C3353" t="s">
        <v>36</v>
      </c>
      <c r="D3353" t="s">
        <v>213</v>
      </c>
      <c r="E3353" t="s">
        <v>39</v>
      </c>
      <c r="F3353">
        <v>5</v>
      </c>
      <c r="G3353" t="s">
        <v>13</v>
      </c>
      <c r="H3353" s="1">
        <v>45992.23541666667</v>
      </c>
      <c r="I3353" s="5">
        <f>INT(TB[[#This Row],[时间戳]])</f>
        <v>45992</v>
      </c>
      <c r="J3353" s="2">
        <f>HOUR(TB[[#This Row],[时间戳]])</f>
        <v>5</v>
      </c>
      <c r="K3353">
        <v>2571</v>
      </c>
      <c r="L3353">
        <v>2</v>
      </c>
      <c r="M3353">
        <f>TB[[#This Row],[售价]]*TB[[#This Row],[销量]]</f>
        <v>5142</v>
      </c>
      <c r="N3353" t="str">
        <f>IF(TB[[#This Row],[售价]]&lt;1000,"低价商品",IF(TB[[#This Row],[售价]]&lt;5000,"中价商品",IF(TB[[#This Row],[售价]]&lt;10000,"高价商品","超高价商品")))</f>
        <v>中价商品</v>
      </c>
    </row>
    <row r="3354" spans="1:14" x14ac:dyDescent="0.2">
      <c r="A3354">
        <v>708</v>
      </c>
      <c r="B3354">
        <v>13</v>
      </c>
      <c r="C3354" t="s">
        <v>10</v>
      </c>
      <c r="D3354" t="s">
        <v>240</v>
      </c>
      <c r="E3354" t="s">
        <v>16</v>
      </c>
      <c r="F3354">
        <v>6</v>
      </c>
      <c r="G3354" t="s">
        <v>13</v>
      </c>
      <c r="H3354" s="1">
        <v>45992.279166666667</v>
      </c>
      <c r="I3354" s="5">
        <f>INT(TB[[#This Row],[时间戳]])</f>
        <v>45992</v>
      </c>
      <c r="J3354" s="2">
        <f>HOUR(TB[[#This Row],[时间戳]])</f>
        <v>6</v>
      </c>
      <c r="K3354">
        <v>2387</v>
      </c>
      <c r="L3354">
        <v>3</v>
      </c>
      <c r="M3354">
        <f>TB[[#This Row],[售价]]*TB[[#This Row],[销量]]</f>
        <v>7161</v>
      </c>
      <c r="N3354" t="str">
        <f>IF(TB[[#This Row],[售价]]&lt;1000,"低价商品",IF(TB[[#This Row],[售价]]&lt;5000,"中价商品",IF(TB[[#This Row],[售价]]&lt;10000,"高价商品","超高价商品")))</f>
        <v>中价商品</v>
      </c>
    </row>
    <row r="3355" spans="1:14" x14ac:dyDescent="0.2">
      <c r="A3355">
        <v>776</v>
      </c>
      <c r="B3355">
        <v>300</v>
      </c>
      <c r="C3355" t="s">
        <v>34</v>
      </c>
      <c r="D3355" t="s">
        <v>413</v>
      </c>
      <c r="E3355" t="s">
        <v>16</v>
      </c>
      <c r="F3355">
        <v>6</v>
      </c>
      <c r="G3355" t="s">
        <v>13</v>
      </c>
      <c r="H3355" s="1">
        <v>45992.292361111111</v>
      </c>
      <c r="I3355" s="5">
        <f>INT(TB[[#This Row],[时间戳]])</f>
        <v>45992</v>
      </c>
      <c r="J3355" s="2">
        <f>HOUR(TB[[#This Row],[时间戳]])</f>
        <v>7</v>
      </c>
      <c r="K3355">
        <v>2339</v>
      </c>
      <c r="L3355">
        <v>2</v>
      </c>
      <c r="M3355">
        <f>TB[[#This Row],[售价]]*TB[[#This Row],[销量]]</f>
        <v>4678</v>
      </c>
      <c r="N3355" t="str">
        <f>IF(TB[[#This Row],[售价]]&lt;1000,"低价商品",IF(TB[[#This Row],[售价]]&lt;5000,"中价商品",IF(TB[[#This Row],[售价]]&lt;10000,"高价商品","超高价商品")))</f>
        <v>中价商品</v>
      </c>
    </row>
    <row r="3356" spans="1:14" x14ac:dyDescent="0.2">
      <c r="A3356">
        <v>101</v>
      </c>
      <c r="B3356">
        <v>225</v>
      </c>
      <c r="C3356" t="s">
        <v>32</v>
      </c>
      <c r="D3356" t="s">
        <v>79</v>
      </c>
      <c r="E3356" t="s">
        <v>31</v>
      </c>
      <c r="F3356">
        <v>4</v>
      </c>
      <c r="G3356" t="s">
        <v>13</v>
      </c>
      <c r="H3356" s="1">
        <v>45992.296527777777</v>
      </c>
      <c r="I3356" s="5">
        <f>INT(TB[[#This Row],[时间戳]])</f>
        <v>45992</v>
      </c>
      <c r="J3356" s="2">
        <f>HOUR(TB[[#This Row],[时间戳]])</f>
        <v>7</v>
      </c>
      <c r="K3356">
        <v>58</v>
      </c>
      <c r="L3356">
        <v>2</v>
      </c>
      <c r="M3356">
        <f>TB[[#This Row],[售价]]*TB[[#This Row],[销量]]</f>
        <v>116</v>
      </c>
      <c r="N3356" t="str">
        <f>IF(TB[[#This Row],[售价]]&lt;1000,"低价商品",IF(TB[[#This Row],[售价]]&lt;5000,"中价商品",IF(TB[[#This Row],[售价]]&lt;10000,"高价商品","超高价商品")))</f>
        <v>低价商品</v>
      </c>
    </row>
    <row r="3357" spans="1:14" x14ac:dyDescent="0.2">
      <c r="A3357">
        <v>646</v>
      </c>
      <c r="B3357">
        <v>14</v>
      </c>
      <c r="C3357" t="s">
        <v>34</v>
      </c>
      <c r="D3357" t="s">
        <v>69</v>
      </c>
      <c r="E3357" t="s">
        <v>31</v>
      </c>
      <c r="F3357">
        <v>4</v>
      </c>
      <c r="G3357" t="s">
        <v>13</v>
      </c>
      <c r="H3357" s="1">
        <v>45992.29791666667</v>
      </c>
      <c r="I3357" s="5">
        <f>INT(TB[[#This Row],[时间戳]])</f>
        <v>45992</v>
      </c>
      <c r="J3357" s="2">
        <f>HOUR(TB[[#This Row],[时间戳]])</f>
        <v>7</v>
      </c>
      <c r="K3357">
        <v>1284</v>
      </c>
      <c r="L3357">
        <v>1</v>
      </c>
      <c r="M3357">
        <f>TB[[#This Row],[售价]]*TB[[#This Row],[销量]]</f>
        <v>1284</v>
      </c>
      <c r="N3357" t="str">
        <f>IF(TB[[#This Row],[售价]]&lt;1000,"低价商品",IF(TB[[#This Row],[售价]]&lt;5000,"中价商品",IF(TB[[#This Row],[售价]]&lt;10000,"高价商品","超高价商品")))</f>
        <v>中价商品</v>
      </c>
    </row>
    <row r="3358" spans="1:14" x14ac:dyDescent="0.2">
      <c r="A3358">
        <v>389</v>
      </c>
      <c r="B3358">
        <v>59</v>
      </c>
      <c r="C3358" t="s">
        <v>34</v>
      </c>
      <c r="D3358" t="s">
        <v>389</v>
      </c>
      <c r="E3358" t="s">
        <v>39</v>
      </c>
      <c r="F3358">
        <v>5</v>
      </c>
      <c r="G3358" t="s">
        <v>13</v>
      </c>
      <c r="H3358" s="1">
        <v>45992.319444444445</v>
      </c>
      <c r="I3358" s="5">
        <f>INT(TB[[#This Row],[时间戳]])</f>
        <v>45992</v>
      </c>
      <c r="J3358" s="2">
        <f>HOUR(TB[[#This Row],[时间戳]])</f>
        <v>7</v>
      </c>
      <c r="K3358">
        <v>3621</v>
      </c>
      <c r="L3358">
        <v>1</v>
      </c>
      <c r="M3358">
        <f>TB[[#This Row],[售价]]*TB[[#This Row],[销量]]</f>
        <v>3621</v>
      </c>
      <c r="N3358" t="str">
        <f>IF(TB[[#This Row],[售价]]&lt;1000,"低价商品",IF(TB[[#This Row],[售价]]&lt;5000,"中价商品",IF(TB[[#This Row],[售价]]&lt;10000,"高价商品","超高价商品")))</f>
        <v>中价商品</v>
      </c>
    </row>
    <row r="3359" spans="1:14" x14ac:dyDescent="0.2">
      <c r="A3359">
        <v>268</v>
      </c>
      <c r="B3359">
        <v>82</v>
      </c>
      <c r="C3359" t="s">
        <v>36</v>
      </c>
      <c r="D3359" t="s">
        <v>377</v>
      </c>
      <c r="E3359" t="s">
        <v>12</v>
      </c>
      <c r="F3359">
        <v>2</v>
      </c>
      <c r="G3359" t="s">
        <v>42</v>
      </c>
      <c r="H3359" s="1">
        <v>45992.328472222223</v>
      </c>
      <c r="I3359" s="5">
        <f>INT(TB[[#This Row],[时间戳]])</f>
        <v>45992</v>
      </c>
      <c r="J3359" s="2">
        <f>HOUR(TB[[#This Row],[时间戳]])</f>
        <v>7</v>
      </c>
      <c r="K3359">
        <v>12387</v>
      </c>
      <c r="L3359">
        <v>0</v>
      </c>
      <c r="M3359">
        <f>TB[[#This Row],[售价]]*TB[[#This Row],[销量]]</f>
        <v>0</v>
      </c>
      <c r="N3359" t="str">
        <f>IF(TB[[#This Row],[售价]]&lt;1000,"低价商品",IF(TB[[#This Row],[售价]]&lt;5000,"中价商品",IF(TB[[#This Row],[售价]]&lt;10000,"高价商品","超高价商品")))</f>
        <v>超高价商品</v>
      </c>
    </row>
    <row r="3360" spans="1:14" x14ac:dyDescent="0.2">
      <c r="A3360">
        <v>685</v>
      </c>
      <c r="B3360">
        <v>296</v>
      </c>
      <c r="C3360" t="s">
        <v>26</v>
      </c>
      <c r="D3360" t="s">
        <v>364</v>
      </c>
      <c r="E3360" t="s">
        <v>39</v>
      </c>
      <c r="F3360">
        <v>5</v>
      </c>
      <c r="G3360" t="s">
        <v>13</v>
      </c>
      <c r="H3360" s="1">
        <v>45992.36041666667</v>
      </c>
      <c r="I3360" s="5">
        <f>INT(TB[[#This Row],[时间戳]])</f>
        <v>45992</v>
      </c>
      <c r="J3360" s="2">
        <f>HOUR(TB[[#This Row],[时间戳]])</f>
        <v>8</v>
      </c>
      <c r="K3360">
        <v>1227</v>
      </c>
      <c r="L3360">
        <v>2</v>
      </c>
      <c r="M3360">
        <f>TB[[#This Row],[售价]]*TB[[#This Row],[销量]]</f>
        <v>2454</v>
      </c>
      <c r="N3360" t="str">
        <f>IF(TB[[#This Row],[售价]]&lt;1000,"低价商品",IF(TB[[#This Row],[售价]]&lt;5000,"中价商品",IF(TB[[#This Row],[售价]]&lt;10000,"高价商品","超高价商品")))</f>
        <v>中价商品</v>
      </c>
    </row>
    <row r="3361" spans="1:14" x14ac:dyDescent="0.2">
      <c r="A3361">
        <v>535</v>
      </c>
      <c r="B3361">
        <v>40</v>
      </c>
      <c r="C3361" t="s">
        <v>36</v>
      </c>
      <c r="D3361" t="s">
        <v>172</v>
      </c>
      <c r="E3361" t="s">
        <v>25</v>
      </c>
      <c r="F3361">
        <v>7</v>
      </c>
      <c r="G3361" t="s">
        <v>13</v>
      </c>
      <c r="H3361" s="1">
        <v>45992.379861111112</v>
      </c>
      <c r="I3361" s="5">
        <f>INT(TB[[#This Row],[时间戳]])</f>
        <v>45992</v>
      </c>
      <c r="J3361" s="2">
        <f>HOUR(TB[[#This Row],[时间戳]])</f>
        <v>9</v>
      </c>
      <c r="K3361">
        <v>5967</v>
      </c>
      <c r="L3361">
        <v>1</v>
      </c>
      <c r="M3361">
        <f>TB[[#This Row],[售价]]*TB[[#This Row],[销量]]</f>
        <v>5967</v>
      </c>
      <c r="N3361" t="str">
        <f>IF(TB[[#This Row],[售价]]&lt;1000,"低价商品",IF(TB[[#This Row],[售价]]&lt;5000,"中价商品",IF(TB[[#This Row],[售价]]&lt;10000,"高价商品","超高价商品")))</f>
        <v>高价商品</v>
      </c>
    </row>
    <row r="3362" spans="1:14" x14ac:dyDescent="0.2">
      <c r="A3362">
        <v>637</v>
      </c>
      <c r="B3362">
        <v>22</v>
      </c>
      <c r="C3362" t="s">
        <v>36</v>
      </c>
      <c r="D3362" t="s">
        <v>87</v>
      </c>
      <c r="E3362" t="s">
        <v>19</v>
      </c>
      <c r="F3362">
        <v>3</v>
      </c>
      <c r="G3362" t="s">
        <v>13</v>
      </c>
      <c r="H3362" s="1">
        <v>45992.40902777778</v>
      </c>
      <c r="I3362" s="5">
        <f>INT(TB[[#This Row],[时间戳]])</f>
        <v>45992</v>
      </c>
      <c r="J3362" s="2">
        <f>HOUR(TB[[#This Row],[时间戳]])</f>
        <v>9</v>
      </c>
      <c r="K3362">
        <v>2622</v>
      </c>
      <c r="L3362">
        <v>4</v>
      </c>
      <c r="M3362">
        <f>TB[[#This Row],[售价]]*TB[[#This Row],[销量]]</f>
        <v>10488</v>
      </c>
      <c r="N3362" t="str">
        <f>IF(TB[[#This Row],[售价]]&lt;1000,"低价商品",IF(TB[[#This Row],[售价]]&lt;5000,"中价商品",IF(TB[[#This Row],[售价]]&lt;10000,"高价商品","超高价商品")))</f>
        <v>中价商品</v>
      </c>
    </row>
    <row r="3363" spans="1:14" x14ac:dyDescent="0.2">
      <c r="A3363">
        <v>520</v>
      </c>
      <c r="B3363">
        <v>223</v>
      </c>
      <c r="C3363" t="s">
        <v>44</v>
      </c>
      <c r="D3363" t="s">
        <v>140</v>
      </c>
      <c r="E3363" t="s">
        <v>19</v>
      </c>
      <c r="F3363">
        <v>3</v>
      </c>
      <c r="G3363" t="s">
        <v>13</v>
      </c>
      <c r="H3363" s="1">
        <v>45992.415277777778</v>
      </c>
      <c r="I3363" s="5">
        <f>INT(TB[[#This Row],[时间戳]])</f>
        <v>45992</v>
      </c>
      <c r="J3363" s="2">
        <f>HOUR(TB[[#This Row],[时间戳]])</f>
        <v>9</v>
      </c>
      <c r="K3363">
        <v>4067</v>
      </c>
      <c r="L3363">
        <v>1</v>
      </c>
      <c r="M3363">
        <f>TB[[#This Row],[售价]]*TB[[#This Row],[销量]]</f>
        <v>4067</v>
      </c>
      <c r="N3363" t="str">
        <f>IF(TB[[#This Row],[售价]]&lt;1000,"低价商品",IF(TB[[#This Row],[售价]]&lt;5000,"中价商品",IF(TB[[#This Row],[售价]]&lt;10000,"高价商品","超高价商品")))</f>
        <v>中价商品</v>
      </c>
    </row>
    <row r="3364" spans="1:14" x14ac:dyDescent="0.2">
      <c r="A3364">
        <v>51</v>
      </c>
      <c r="B3364">
        <v>2</v>
      </c>
      <c r="C3364" t="s">
        <v>10</v>
      </c>
      <c r="D3364" t="s">
        <v>294</v>
      </c>
      <c r="E3364" t="s">
        <v>31</v>
      </c>
      <c r="F3364">
        <v>4</v>
      </c>
      <c r="G3364" t="s">
        <v>13</v>
      </c>
      <c r="H3364" s="1">
        <v>45992.436805555553</v>
      </c>
      <c r="I3364" s="5">
        <f>INT(TB[[#This Row],[时间戳]])</f>
        <v>45992</v>
      </c>
      <c r="J3364" s="2">
        <f>HOUR(TB[[#This Row],[时间戳]])</f>
        <v>10</v>
      </c>
      <c r="K3364">
        <v>820</v>
      </c>
      <c r="L3364">
        <v>3</v>
      </c>
      <c r="M3364">
        <f>TB[[#This Row],[售价]]*TB[[#This Row],[销量]]</f>
        <v>2460</v>
      </c>
      <c r="N3364" t="str">
        <f>IF(TB[[#This Row],[售价]]&lt;1000,"低价商品",IF(TB[[#This Row],[售价]]&lt;5000,"中价商品",IF(TB[[#This Row],[售价]]&lt;10000,"高价商品","超高价商品")))</f>
        <v>低价商品</v>
      </c>
    </row>
    <row r="3365" spans="1:14" x14ac:dyDescent="0.2">
      <c r="A3365">
        <v>354</v>
      </c>
      <c r="B3365">
        <v>175</v>
      </c>
      <c r="C3365" t="s">
        <v>32</v>
      </c>
      <c r="D3365" t="s">
        <v>79</v>
      </c>
      <c r="E3365" t="s">
        <v>31</v>
      </c>
      <c r="F3365">
        <v>4</v>
      </c>
      <c r="G3365" t="s">
        <v>13</v>
      </c>
      <c r="H3365" s="1">
        <v>45992.442361111112</v>
      </c>
      <c r="I3365" s="5">
        <f>INT(TB[[#This Row],[时间戳]])</f>
        <v>45992</v>
      </c>
      <c r="J3365" s="2">
        <f>HOUR(TB[[#This Row],[时间戳]])</f>
        <v>10</v>
      </c>
      <c r="K3365">
        <v>1338</v>
      </c>
      <c r="L3365">
        <v>3</v>
      </c>
      <c r="M3365">
        <f>TB[[#This Row],[售价]]*TB[[#This Row],[销量]]</f>
        <v>4014</v>
      </c>
      <c r="N3365" t="str">
        <f>IF(TB[[#This Row],[售价]]&lt;1000,"低价商品",IF(TB[[#This Row],[售价]]&lt;5000,"中价商品",IF(TB[[#This Row],[售价]]&lt;10000,"高价商品","超高价商品")))</f>
        <v>中价商品</v>
      </c>
    </row>
    <row r="3366" spans="1:14" x14ac:dyDescent="0.2">
      <c r="A3366">
        <v>543</v>
      </c>
      <c r="B3366">
        <v>77</v>
      </c>
      <c r="C3366" t="s">
        <v>20</v>
      </c>
      <c r="D3366" t="s">
        <v>147</v>
      </c>
      <c r="E3366" t="s">
        <v>22</v>
      </c>
      <c r="F3366">
        <v>1</v>
      </c>
      <c r="G3366" t="s">
        <v>13</v>
      </c>
      <c r="H3366" s="1">
        <v>45992.493750000001</v>
      </c>
      <c r="I3366" s="5">
        <f>INT(TB[[#This Row],[时间戳]])</f>
        <v>45992</v>
      </c>
      <c r="J3366" s="2">
        <f>HOUR(TB[[#This Row],[时间戳]])</f>
        <v>11</v>
      </c>
      <c r="K3366">
        <v>1711</v>
      </c>
      <c r="L3366">
        <v>1</v>
      </c>
      <c r="M3366">
        <f>TB[[#This Row],[售价]]*TB[[#This Row],[销量]]</f>
        <v>1711</v>
      </c>
      <c r="N3366" t="str">
        <f>IF(TB[[#This Row],[售价]]&lt;1000,"低价商品",IF(TB[[#This Row],[售价]]&lt;5000,"中价商品",IF(TB[[#This Row],[售价]]&lt;10000,"高价商品","超高价商品")))</f>
        <v>中价商品</v>
      </c>
    </row>
    <row r="3367" spans="1:14" x14ac:dyDescent="0.2">
      <c r="A3367">
        <v>242</v>
      </c>
      <c r="B3367">
        <v>212</v>
      </c>
      <c r="C3367" t="s">
        <v>46</v>
      </c>
      <c r="D3367" t="s">
        <v>401</v>
      </c>
      <c r="E3367" t="s">
        <v>39</v>
      </c>
      <c r="F3367">
        <v>5</v>
      </c>
      <c r="G3367" t="s">
        <v>13</v>
      </c>
      <c r="H3367" s="1">
        <v>45992.512499999997</v>
      </c>
      <c r="I3367" s="5">
        <f>INT(TB[[#This Row],[时间戳]])</f>
        <v>45992</v>
      </c>
      <c r="J3367" s="2">
        <f>HOUR(TB[[#This Row],[时间戳]])</f>
        <v>12</v>
      </c>
      <c r="K3367">
        <v>2452</v>
      </c>
      <c r="L3367">
        <v>3</v>
      </c>
      <c r="M3367">
        <f>TB[[#This Row],[售价]]*TB[[#This Row],[销量]]</f>
        <v>7356</v>
      </c>
      <c r="N3367" t="str">
        <f>IF(TB[[#This Row],[售价]]&lt;1000,"低价商品",IF(TB[[#This Row],[售价]]&lt;5000,"中价商品",IF(TB[[#This Row],[售价]]&lt;10000,"高价商品","超高价商品")))</f>
        <v>中价商品</v>
      </c>
    </row>
    <row r="3368" spans="1:14" x14ac:dyDescent="0.2">
      <c r="A3368">
        <v>330</v>
      </c>
      <c r="B3368">
        <v>190</v>
      </c>
      <c r="C3368" t="s">
        <v>20</v>
      </c>
      <c r="D3368" t="s">
        <v>120</v>
      </c>
      <c r="E3368" t="s">
        <v>22</v>
      </c>
      <c r="F3368">
        <v>1</v>
      </c>
      <c r="G3368" t="s">
        <v>13</v>
      </c>
      <c r="H3368" s="1">
        <v>45992.520138888889</v>
      </c>
      <c r="I3368" s="5">
        <f>INT(TB[[#This Row],[时间戳]])</f>
        <v>45992</v>
      </c>
      <c r="J3368" s="2">
        <f>HOUR(TB[[#This Row],[时间戳]])</f>
        <v>12</v>
      </c>
      <c r="K3368">
        <v>2159</v>
      </c>
      <c r="L3368">
        <v>2</v>
      </c>
      <c r="M3368">
        <f>TB[[#This Row],[售价]]*TB[[#This Row],[销量]]</f>
        <v>4318</v>
      </c>
      <c r="N3368" t="str">
        <f>IF(TB[[#This Row],[售价]]&lt;1000,"低价商品",IF(TB[[#This Row],[售价]]&lt;5000,"中价商品",IF(TB[[#This Row],[售价]]&lt;10000,"高价商品","超高价商品")))</f>
        <v>中价商品</v>
      </c>
    </row>
    <row r="3369" spans="1:14" x14ac:dyDescent="0.2">
      <c r="A3369">
        <v>175</v>
      </c>
      <c r="B3369">
        <v>296</v>
      </c>
      <c r="C3369" t="s">
        <v>34</v>
      </c>
      <c r="D3369" t="s">
        <v>291</v>
      </c>
      <c r="E3369" t="s">
        <v>31</v>
      </c>
      <c r="F3369">
        <v>4</v>
      </c>
      <c r="G3369" t="s">
        <v>13</v>
      </c>
      <c r="H3369" s="1">
        <v>45992.525694444441</v>
      </c>
      <c r="I3369" s="5">
        <f>INT(TB[[#This Row],[时间戳]])</f>
        <v>45992</v>
      </c>
      <c r="J3369" s="2">
        <f>HOUR(TB[[#This Row],[时间戳]])</f>
        <v>12</v>
      </c>
      <c r="K3369">
        <v>1229</v>
      </c>
      <c r="L3369">
        <v>4</v>
      </c>
      <c r="M3369">
        <f>TB[[#This Row],[售价]]*TB[[#This Row],[销量]]</f>
        <v>4916</v>
      </c>
      <c r="N3369" t="str">
        <f>IF(TB[[#This Row],[售价]]&lt;1000,"低价商品",IF(TB[[#This Row],[售价]]&lt;5000,"中价商品",IF(TB[[#This Row],[售价]]&lt;10000,"高价商品","超高价商品")))</f>
        <v>中价商品</v>
      </c>
    </row>
    <row r="3370" spans="1:14" x14ac:dyDescent="0.2">
      <c r="A3370">
        <v>732</v>
      </c>
      <c r="B3370">
        <v>21</v>
      </c>
      <c r="C3370" t="s">
        <v>10</v>
      </c>
      <c r="D3370" t="s">
        <v>387</v>
      </c>
      <c r="E3370" t="s">
        <v>16</v>
      </c>
      <c r="F3370">
        <v>6</v>
      </c>
      <c r="G3370" t="s">
        <v>13</v>
      </c>
      <c r="H3370" s="1">
        <v>45992.529166666667</v>
      </c>
      <c r="I3370" s="5">
        <f>INT(TB[[#This Row],[时间戳]])</f>
        <v>45992</v>
      </c>
      <c r="J3370" s="2">
        <f>HOUR(TB[[#This Row],[时间戳]])</f>
        <v>12</v>
      </c>
      <c r="K3370">
        <v>8322</v>
      </c>
      <c r="L3370">
        <v>2</v>
      </c>
      <c r="M3370">
        <f>TB[[#This Row],[售价]]*TB[[#This Row],[销量]]</f>
        <v>16644</v>
      </c>
      <c r="N3370" t="str">
        <f>IF(TB[[#This Row],[售价]]&lt;1000,"低价商品",IF(TB[[#This Row],[售价]]&lt;5000,"中价商品",IF(TB[[#This Row],[售价]]&lt;10000,"高价商品","超高价商品")))</f>
        <v>高价商品</v>
      </c>
    </row>
    <row r="3371" spans="1:14" x14ac:dyDescent="0.2">
      <c r="A3371">
        <v>213</v>
      </c>
      <c r="B3371">
        <v>124</v>
      </c>
      <c r="C3371" t="s">
        <v>10</v>
      </c>
      <c r="D3371" t="s">
        <v>216</v>
      </c>
      <c r="E3371" t="s">
        <v>39</v>
      </c>
      <c r="F3371">
        <v>5</v>
      </c>
      <c r="G3371" t="s">
        <v>42</v>
      </c>
      <c r="H3371" s="1">
        <v>45992.551388888889</v>
      </c>
      <c r="I3371" s="5">
        <f>INT(TB[[#This Row],[时间戳]])</f>
        <v>45992</v>
      </c>
      <c r="J3371" s="2">
        <f>HOUR(TB[[#This Row],[时间戳]])</f>
        <v>13</v>
      </c>
      <c r="K3371">
        <v>3400</v>
      </c>
      <c r="L3371">
        <v>0</v>
      </c>
      <c r="M3371">
        <f>TB[[#This Row],[售价]]*TB[[#This Row],[销量]]</f>
        <v>0</v>
      </c>
      <c r="N3371" t="str">
        <f>IF(TB[[#This Row],[售价]]&lt;1000,"低价商品",IF(TB[[#This Row],[售价]]&lt;5000,"中价商品",IF(TB[[#This Row],[售价]]&lt;10000,"高价商品","超高价商品")))</f>
        <v>中价商品</v>
      </c>
    </row>
    <row r="3372" spans="1:14" x14ac:dyDescent="0.2">
      <c r="A3372">
        <v>472</v>
      </c>
      <c r="B3372">
        <v>182</v>
      </c>
      <c r="C3372" t="s">
        <v>46</v>
      </c>
      <c r="D3372" t="s">
        <v>81</v>
      </c>
      <c r="E3372" t="s">
        <v>12</v>
      </c>
      <c r="F3372">
        <v>2</v>
      </c>
      <c r="G3372" t="s">
        <v>13</v>
      </c>
      <c r="H3372" s="1">
        <v>45992.555555555555</v>
      </c>
      <c r="I3372" s="5">
        <f>INT(TB[[#This Row],[时间戳]])</f>
        <v>45992</v>
      </c>
      <c r="J3372" s="2">
        <f>HOUR(TB[[#This Row],[时间戳]])</f>
        <v>13</v>
      </c>
      <c r="K3372">
        <v>10828</v>
      </c>
      <c r="L3372">
        <v>3</v>
      </c>
      <c r="M3372">
        <f>TB[[#This Row],[售价]]*TB[[#This Row],[销量]]</f>
        <v>32484</v>
      </c>
      <c r="N3372" t="str">
        <f>IF(TB[[#This Row],[售价]]&lt;1000,"低价商品",IF(TB[[#This Row],[售价]]&lt;5000,"中价商品",IF(TB[[#This Row],[售价]]&lt;10000,"高价商品","超高价商品")))</f>
        <v>超高价商品</v>
      </c>
    </row>
    <row r="3373" spans="1:14" x14ac:dyDescent="0.2">
      <c r="A3373">
        <v>190</v>
      </c>
      <c r="B3373">
        <v>65</v>
      </c>
      <c r="C3373" t="s">
        <v>46</v>
      </c>
      <c r="D3373" t="s">
        <v>129</v>
      </c>
      <c r="E3373" t="s">
        <v>31</v>
      </c>
      <c r="F3373">
        <v>4</v>
      </c>
      <c r="G3373" t="s">
        <v>42</v>
      </c>
      <c r="H3373" s="1">
        <v>45992.572222222225</v>
      </c>
      <c r="I3373" s="5">
        <f>INT(TB[[#This Row],[时间戳]])</f>
        <v>45992</v>
      </c>
      <c r="J3373" s="2">
        <f>HOUR(TB[[#This Row],[时间戳]])</f>
        <v>13</v>
      </c>
      <c r="K3373">
        <v>279</v>
      </c>
      <c r="L3373">
        <v>0</v>
      </c>
      <c r="M3373">
        <f>TB[[#This Row],[售价]]*TB[[#This Row],[销量]]</f>
        <v>0</v>
      </c>
      <c r="N3373" t="str">
        <f>IF(TB[[#This Row],[售价]]&lt;1000,"低价商品",IF(TB[[#This Row],[售价]]&lt;5000,"中价商品",IF(TB[[#This Row],[售价]]&lt;10000,"高价商品","超高价商品")))</f>
        <v>低价商品</v>
      </c>
    </row>
    <row r="3374" spans="1:14" x14ac:dyDescent="0.2">
      <c r="A3374">
        <v>126</v>
      </c>
      <c r="B3374">
        <v>201</v>
      </c>
      <c r="C3374" t="s">
        <v>36</v>
      </c>
      <c r="D3374" t="s">
        <v>406</v>
      </c>
      <c r="E3374" t="s">
        <v>16</v>
      </c>
      <c r="F3374">
        <v>6</v>
      </c>
      <c r="G3374" t="s">
        <v>13</v>
      </c>
      <c r="H3374" s="1">
        <v>45992.578472222223</v>
      </c>
      <c r="I3374" s="5">
        <f>INT(TB[[#This Row],[时间戳]])</f>
        <v>45992</v>
      </c>
      <c r="J3374" s="2">
        <f>HOUR(TB[[#This Row],[时间戳]])</f>
        <v>13</v>
      </c>
      <c r="K3374">
        <v>2888</v>
      </c>
      <c r="L3374">
        <v>1</v>
      </c>
      <c r="M3374">
        <f>TB[[#This Row],[售价]]*TB[[#This Row],[销量]]</f>
        <v>2888</v>
      </c>
      <c r="N3374" t="str">
        <f>IF(TB[[#This Row],[售价]]&lt;1000,"低价商品",IF(TB[[#This Row],[售价]]&lt;5000,"中价商品",IF(TB[[#This Row],[售价]]&lt;10000,"高价商品","超高价商品")))</f>
        <v>中价商品</v>
      </c>
    </row>
    <row r="3375" spans="1:14" x14ac:dyDescent="0.2">
      <c r="A3375">
        <v>542</v>
      </c>
      <c r="B3375">
        <v>3</v>
      </c>
      <c r="C3375" t="s">
        <v>14</v>
      </c>
      <c r="D3375" t="s">
        <v>375</v>
      </c>
      <c r="E3375" t="s">
        <v>16</v>
      </c>
      <c r="F3375">
        <v>6</v>
      </c>
      <c r="G3375" t="s">
        <v>13</v>
      </c>
      <c r="H3375" s="1">
        <v>45992.597916666666</v>
      </c>
      <c r="I3375" s="5">
        <f>INT(TB[[#This Row],[时间戳]])</f>
        <v>45992</v>
      </c>
      <c r="J3375" s="2">
        <f>HOUR(TB[[#This Row],[时间戳]])</f>
        <v>14</v>
      </c>
      <c r="K3375">
        <v>6212</v>
      </c>
      <c r="L3375">
        <v>2</v>
      </c>
      <c r="M3375">
        <f>TB[[#This Row],[售价]]*TB[[#This Row],[销量]]</f>
        <v>12424</v>
      </c>
      <c r="N3375" t="str">
        <f>IF(TB[[#This Row],[售价]]&lt;1000,"低价商品",IF(TB[[#This Row],[售价]]&lt;5000,"中价商品",IF(TB[[#This Row],[售价]]&lt;10000,"高价商品","超高价商品")))</f>
        <v>高价商品</v>
      </c>
    </row>
    <row r="3376" spans="1:14" x14ac:dyDescent="0.2">
      <c r="A3376">
        <v>182</v>
      </c>
      <c r="B3376">
        <v>281</v>
      </c>
      <c r="C3376" t="s">
        <v>36</v>
      </c>
      <c r="D3376" t="s">
        <v>146</v>
      </c>
      <c r="E3376" t="s">
        <v>22</v>
      </c>
      <c r="F3376">
        <v>1</v>
      </c>
      <c r="G3376" t="s">
        <v>13</v>
      </c>
      <c r="H3376" s="1">
        <v>45992.629166666666</v>
      </c>
      <c r="I3376" s="5">
        <f>INT(TB[[#This Row],[时间戳]])</f>
        <v>45992</v>
      </c>
      <c r="J3376" s="2">
        <f>HOUR(TB[[#This Row],[时间戳]])</f>
        <v>15</v>
      </c>
      <c r="K3376">
        <v>3263</v>
      </c>
      <c r="L3376">
        <v>1</v>
      </c>
      <c r="M3376">
        <f>TB[[#This Row],[售价]]*TB[[#This Row],[销量]]</f>
        <v>3263</v>
      </c>
      <c r="N3376" t="str">
        <f>IF(TB[[#This Row],[售价]]&lt;1000,"低价商品",IF(TB[[#This Row],[售价]]&lt;5000,"中价商品",IF(TB[[#This Row],[售价]]&lt;10000,"高价商品","超高价商品")))</f>
        <v>中价商品</v>
      </c>
    </row>
    <row r="3377" spans="1:14" x14ac:dyDescent="0.2">
      <c r="A3377">
        <v>199</v>
      </c>
      <c r="B3377">
        <v>194</v>
      </c>
      <c r="C3377" t="s">
        <v>32</v>
      </c>
      <c r="D3377" t="s">
        <v>313</v>
      </c>
      <c r="E3377" t="s">
        <v>39</v>
      </c>
      <c r="F3377">
        <v>5</v>
      </c>
      <c r="G3377" t="s">
        <v>42</v>
      </c>
      <c r="H3377" s="1">
        <v>45992.656944444447</v>
      </c>
      <c r="I3377" s="5">
        <f>INT(TB[[#This Row],[时间戳]])</f>
        <v>45992</v>
      </c>
      <c r="J3377" s="2">
        <f>HOUR(TB[[#This Row],[时间戳]])</f>
        <v>15</v>
      </c>
      <c r="K3377">
        <v>2795</v>
      </c>
      <c r="L3377">
        <v>0</v>
      </c>
      <c r="M3377">
        <f>TB[[#This Row],[售价]]*TB[[#This Row],[销量]]</f>
        <v>0</v>
      </c>
      <c r="N3377" t="str">
        <f>IF(TB[[#This Row],[售价]]&lt;1000,"低价商品",IF(TB[[#This Row],[售价]]&lt;5000,"中价商品",IF(TB[[#This Row],[售价]]&lt;10000,"高价商品","超高价商品")))</f>
        <v>中价商品</v>
      </c>
    </row>
    <row r="3378" spans="1:14" x14ac:dyDescent="0.2">
      <c r="A3378">
        <v>275</v>
      </c>
      <c r="B3378">
        <v>125</v>
      </c>
      <c r="C3378" t="s">
        <v>14</v>
      </c>
      <c r="D3378" t="s">
        <v>202</v>
      </c>
      <c r="E3378" t="s">
        <v>31</v>
      </c>
      <c r="F3378">
        <v>4</v>
      </c>
      <c r="G3378" t="s">
        <v>42</v>
      </c>
      <c r="H3378" s="1">
        <v>45992.683333333334</v>
      </c>
      <c r="I3378" s="5">
        <f>INT(TB[[#This Row],[时间戳]])</f>
        <v>45992</v>
      </c>
      <c r="J3378" s="2">
        <f>HOUR(TB[[#This Row],[时间戳]])</f>
        <v>16</v>
      </c>
      <c r="K3378">
        <v>504</v>
      </c>
      <c r="L3378">
        <v>0</v>
      </c>
      <c r="M3378">
        <f>TB[[#This Row],[售价]]*TB[[#This Row],[销量]]</f>
        <v>0</v>
      </c>
      <c r="N3378" t="str">
        <f>IF(TB[[#This Row],[售价]]&lt;1000,"低价商品",IF(TB[[#This Row],[售价]]&lt;5000,"中价商品",IF(TB[[#This Row],[售价]]&lt;10000,"高价商品","超高价商品")))</f>
        <v>低价商品</v>
      </c>
    </row>
    <row r="3379" spans="1:14" x14ac:dyDescent="0.2">
      <c r="A3379">
        <v>714</v>
      </c>
      <c r="B3379">
        <v>205</v>
      </c>
      <c r="C3379" t="s">
        <v>14</v>
      </c>
      <c r="D3379" t="s">
        <v>144</v>
      </c>
      <c r="E3379" t="s">
        <v>19</v>
      </c>
      <c r="F3379">
        <v>3</v>
      </c>
      <c r="G3379" t="s">
        <v>13</v>
      </c>
      <c r="H3379" s="1">
        <v>45992.686805555553</v>
      </c>
      <c r="I3379" s="5">
        <f>INT(TB[[#This Row],[时间戳]])</f>
        <v>45992</v>
      </c>
      <c r="J3379" s="2">
        <f>HOUR(TB[[#This Row],[时间戳]])</f>
        <v>16</v>
      </c>
      <c r="K3379">
        <v>2912</v>
      </c>
      <c r="L3379">
        <v>4</v>
      </c>
      <c r="M3379">
        <f>TB[[#This Row],[售价]]*TB[[#This Row],[销量]]</f>
        <v>11648</v>
      </c>
      <c r="N3379" t="str">
        <f>IF(TB[[#This Row],[售价]]&lt;1000,"低价商品",IF(TB[[#This Row],[售价]]&lt;5000,"中价商品",IF(TB[[#This Row],[售价]]&lt;10000,"高价商品","超高价商品")))</f>
        <v>中价商品</v>
      </c>
    </row>
    <row r="3380" spans="1:14" x14ac:dyDescent="0.2">
      <c r="A3380">
        <v>535</v>
      </c>
      <c r="B3380">
        <v>293</v>
      </c>
      <c r="C3380" t="s">
        <v>36</v>
      </c>
      <c r="D3380" t="s">
        <v>310</v>
      </c>
      <c r="E3380" t="s">
        <v>39</v>
      </c>
      <c r="F3380">
        <v>5</v>
      </c>
      <c r="G3380" t="s">
        <v>13</v>
      </c>
      <c r="H3380" s="1">
        <v>45992.688888888886</v>
      </c>
      <c r="I3380" s="5">
        <f>INT(TB[[#This Row],[时间戳]])</f>
        <v>45992</v>
      </c>
      <c r="J3380" s="2">
        <f>HOUR(TB[[#This Row],[时间戳]])</f>
        <v>16</v>
      </c>
      <c r="K3380">
        <v>3482</v>
      </c>
      <c r="L3380">
        <v>4</v>
      </c>
      <c r="M3380">
        <f>TB[[#This Row],[售价]]*TB[[#This Row],[销量]]</f>
        <v>13928</v>
      </c>
      <c r="N3380" t="str">
        <f>IF(TB[[#This Row],[售价]]&lt;1000,"低价商品",IF(TB[[#This Row],[售价]]&lt;5000,"中价商品",IF(TB[[#This Row],[售价]]&lt;10000,"高价商品","超高价商品")))</f>
        <v>中价商品</v>
      </c>
    </row>
    <row r="3381" spans="1:14" x14ac:dyDescent="0.2">
      <c r="A3381">
        <v>305</v>
      </c>
      <c r="B3381">
        <v>82</v>
      </c>
      <c r="C3381" t="s">
        <v>36</v>
      </c>
      <c r="D3381" t="s">
        <v>284</v>
      </c>
      <c r="E3381" t="s">
        <v>39</v>
      </c>
      <c r="F3381">
        <v>5</v>
      </c>
      <c r="G3381" t="s">
        <v>13</v>
      </c>
      <c r="H3381" s="1">
        <v>45992.711111111108</v>
      </c>
      <c r="I3381" s="5">
        <f>INT(TB[[#This Row],[时间戳]])</f>
        <v>45992</v>
      </c>
      <c r="J3381" s="2">
        <f>HOUR(TB[[#This Row],[时间戳]])</f>
        <v>17</v>
      </c>
      <c r="K3381">
        <v>3584</v>
      </c>
      <c r="L3381">
        <v>3</v>
      </c>
      <c r="M3381">
        <f>TB[[#This Row],[售价]]*TB[[#This Row],[销量]]</f>
        <v>10752</v>
      </c>
      <c r="N3381" t="str">
        <f>IF(TB[[#This Row],[售价]]&lt;1000,"低价商品",IF(TB[[#This Row],[售价]]&lt;5000,"中价商品",IF(TB[[#This Row],[售价]]&lt;10000,"高价商品","超高价商品")))</f>
        <v>中价商品</v>
      </c>
    </row>
    <row r="3382" spans="1:14" x14ac:dyDescent="0.2">
      <c r="A3382">
        <v>134</v>
      </c>
      <c r="B3382">
        <v>189</v>
      </c>
      <c r="C3382" t="s">
        <v>17</v>
      </c>
      <c r="D3382" t="s">
        <v>98</v>
      </c>
      <c r="E3382" t="s">
        <v>22</v>
      </c>
      <c r="F3382">
        <v>1</v>
      </c>
      <c r="G3382" t="s">
        <v>13</v>
      </c>
      <c r="H3382" s="1">
        <v>45992.719444444447</v>
      </c>
      <c r="I3382" s="5">
        <f>INT(TB[[#This Row],[时间戳]])</f>
        <v>45992</v>
      </c>
      <c r="J3382" s="2">
        <f>HOUR(TB[[#This Row],[时间戳]])</f>
        <v>17</v>
      </c>
      <c r="K3382">
        <v>1093</v>
      </c>
      <c r="L3382">
        <v>3</v>
      </c>
      <c r="M3382">
        <f>TB[[#This Row],[售价]]*TB[[#This Row],[销量]]</f>
        <v>3279</v>
      </c>
      <c r="N3382" t="str">
        <f>IF(TB[[#This Row],[售价]]&lt;1000,"低价商品",IF(TB[[#This Row],[售价]]&lt;5000,"中价商品",IF(TB[[#This Row],[售价]]&lt;10000,"高价商品","超高价商品")))</f>
        <v>中价商品</v>
      </c>
    </row>
    <row r="3383" spans="1:14" x14ac:dyDescent="0.2">
      <c r="A3383">
        <v>220</v>
      </c>
      <c r="B3383">
        <v>54</v>
      </c>
      <c r="C3383" t="s">
        <v>20</v>
      </c>
      <c r="D3383" t="s">
        <v>261</v>
      </c>
      <c r="E3383" t="s">
        <v>22</v>
      </c>
      <c r="F3383">
        <v>1</v>
      </c>
      <c r="G3383" t="s">
        <v>42</v>
      </c>
      <c r="H3383" s="1">
        <v>45992.729861111111</v>
      </c>
      <c r="I3383" s="5">
        <f>INT(TB[[#This Row],[时间戳]])</f>
        <v>45992</v>
      </c>
      <c r="J3383" s="2">
        <f>HOUR(TB[[#This Row],[时间戳]])</f>
        <v>17</v>
      </c>
      <c r="K3383">
        <v>7087</v>
      </c>
      <c r="L3383">
        <v>0</v>
      </c>
      <c r="M3383">
        <f>TB[[#This Row],[售价]]*TB[[#This Row],[销量]]</f>
        <v>0</v>
      </c>
      <c r="N3383" t="str">
        <f>IF(TB[[#This Row],[售价]]&lt;1000,"低价商品",IF(TB[[#This Row],[售价]]&lt;5000,"中价商品",IF(TB[[#This Row],[售价]]&lt;10000,"高价商品","超高价商品")))</f>
        <v>高价商品</v>
      </c>
    </row>
    <row r="3384" spans="1:14" x14ac:dyDescent="0.2">
      <c r="A3384">
        <v>474</v>
      </c>
      <c r="B3384">
        <v>21</v>
      </c>
      <c r="C3384" t="s">
        <v>36</v>
      </c>
      <c r="D3384" t="s">
        <v>386</v>
      </c>
      <c r="E3384" t="s">
        <v>22</v>
      </c>
      <c r="F3384">
        <v>1</v>
      </c>
      <c r="G3384" t="s">
        <v>13</v>
      </c>
      <c r="H3384" s="1">
        <v>45992.730555555558</v>
      </c>
      <c r="I3384" s="5">
        <f>INT(TB[[#This Row],[时间戳]])</f>
        <v>45992</v>
      </c>
      <c r="J3384" s="2">
        <f>HOUR(TB[[#This Row],[时间戳]])</f>
        <v>17</v>
      </c>
      <c r="K3384">
        <v>3734</v>
      </c>
      <c r="L3384">
        <v>3</v>
      </c>
      <c r="M3384">
        <f>TB[[#This Row],[售价]]*TB[[#This Row],[销量]]</f>
        <v>11202</v>
      </c>
      <c r="N3384" t="str">
        <f>IF(TB[[#This Row],[售价]]&lt;1000,"低价商品",IF(TB[[#This Row],[售价]]&lt;5000,"中价商品",IF(TB[[#This Row],[售价]]&lt;10000,"高价商品","超高价商品")))</f>
        <v>中价商品</v>
      </c>
    </row>
    <row r="3385" spans="1:14" x14ac:dyDescent="0.2">
      <c r="A3385">
        <v>364</v>
      </c>
      <c r="B3385">
        <v>192</v>
      </c>
      <c r="C3385" t="s">
        <v>17</v>
      </c>
      <c r="D3385" t="s">
        <v>61</v>
      </c>
      <c r="E3385" t="s">
        <v>31</v>
      </c>
      <c r="F3385">
        <v>4</v>
      </c>
      <c r="G3385" t="s">
        <v>42</v>
      </c>
      <c r="H3385" s="1">
        <v>45992.736111111109</v>
      </c>
      <c r="I3385" s="5">
        <f>INT(TB[[#This Row],[时间戳]])</f>
        <v>45992</v>
      </c>
      <c r="J3385" s="2">
        <f>HOUR(TB[[#This Row],[时间戳]])</f>
        <v>17</v>
      </c>
      <c r="K3385">
        <v>798</v>
      </c>
      <c r="L3385">
        <v>0</v>
      </c>
      <c r="M3385">
        <f>TB[[#This Row],[售价]]*TB[[#This Row],[销量]]</f>
        <v>0</v>
      </c>
      <c r="N3385" t="str">
        <f>IF(TB[[#This Row],[售价]]&lt;1000,"低价商品",IF(TB[[#This Row],[售价]]&lt;5000,"中价商品",IF(TB[[#This Row],[售价]]&lt;10000,"高价商品","超高价商品")))</f>
        <v>低价商品</v>
      </c>
    </row>
    <row r="3386" spans="1:14" x14ac:dyDescent="0.2">
      <c r="A3386">
        <v>235</v>
      </c>
      <c r="B3386">
        <v>189</v>
      </c>
      <c r="C3386" t="s">
        <v>26</v>
      </c>
      <c r="D3386" t="s">
        <v>299</v>
      </c>
      <c r="E3386" t="s">
        <v>19</v>
      </c>
      <c r="F3386">
        <v>3</v>
      </c>
      <c r="G3386" t="s">
        <v>13</v>
      </c>
      <c r="H3386" s="1">
        <v>45992.736111111109</v>
      </c>
      <c r="I3386" s="5">
        <f>INT(TB[[#This Row],[时间戳]])</f>
        <v>45992</v>
      </c>
      <c r="J3386" s="2">
        <f>HOUR(TB[[#This Row],[时间戳]])</f>
        <v>17</v>
      </c>
      <c r="K3386">
        <v>3701</v>
      </c>
      <c r="L3386">
        <v>2</v>
      </c>
      <c r="M3386">
        <f>TB[[#This Row],[售价]]*TB[[#This Row],[销量]]</f>
        <v>7402</v>
      </c>
      <c r="N3386" t="str">
        <f>IF(TB[[#This Row],[售价]]&lt;1000,"低价商品",IF(TB[[#This Row],[售价]]&lt;5000,"中价商品",IF(TB[[#This Row],[售价]]&lt;10000,"高价商品","超高价商品")))</f>
        <v>中价商品</v>
      </c>
    </row>
    <row r="3387" spans="1:14" x14ac:dyDescent="0.2">
      <c r="A3387">
        <v>197</v>
      </c>
      <c r="B3387">
        <v>12</v>
      </c>
      <c r="C3387" t="s">
        <v>26</v>
      </c>
      <c r="D3387" t="s">
        <v>392</v>
      </c>
      <c r="E3387" t="s">
        <v>16</v>
      </c>
      <c r="F3387">
        <v>6</v>
      </c>
      <c r="G3387" t="s">
        <v>42</v>
      </c>
      <c r="H3387" s="1">
        <v>45992.775000000001</v>
      </c>
      <c r="I3387" s="5">
        <f>INT(TB[[#This Row],[时间戳]])</f>
        <v>45992</v>
      </c>
      <c r="J3387" s="2">
        <f>HOUR(TB[[#This Row],[时间戳]])</f>
        <v>18</v>
      </c>
      <c r="K3387">
        <v>7647</v>
      </c>
      <c r="L3387">
        <v>0</v>
      </c>
      <c r="M3387">
        <f>TB[[#This Row],[售价]]*TB[[#This Row],[销量]]</f>
        <v>0</v>
      </c>
      <c r="N3387" t="str">
        <f>IF(TB[[#This Row],[售价]]&lt;1000,"低价商品",IF(TB[[#This Row],[售价]]&lt;5000,"中价商品",IF(TB[[#This Row],[售价]]&lt;10000,"高价商品","超高价商品")))</f>
        <v>高价商品</v>
      </c>
    </row>
    <row r="3388" spans="1:14" x14ac:dyDescent="0.2">
      <c r="A3388">
        <v>316</v>
      </c>
      <c r="B3388">
        <v>211</v>
      </c>
      <c r="C3388" t="s">
        <v>44</v>
      </c>
      <c r="D3388" t="s">
        <v>254</v>
      </c>
      <c r="E3388" t="s">
        <v>25</v>
      </c>
      <c r="F3388">
        <v>7</v>
      </c>
      <c r="G3388" t="s">
        <v>13</v>
      </c>
      <c r="H3388" s="1">
        <v>45992.780555555553</v>
      </c>
      <c r="I3388" s="5">
        <f>INT(TB[[#This Row],[时间戳]])</f>
        <v>45992</v>
      </c>
      <c r="J3388" s="2">
        <f>HOUR(TB[[#This Row],[时间戳]])</f>
        <v>18</v>
      </c>
      <c r="K3388">
        <v>6820</v>
      </c>
      <c r="L3388">
        <v>2</v>
      </c>
      <c r="M3388">
        <f>TB[[#This Row],[售价]]*TB[[#This Row],[销量]]</f>
        <v>13640</v>
      </c>
      <c r="N3388" t="str">
        <f>IF(TB[[#This Row],[售价]]&lt;1000,"低价商品",IF(TB[[#This Row],[售价]]&lt;5000,"中价商品",IF(TB[[#This Row],[售价]]&lt;10000,"高价商品","超高价商品")))</f>
        <v>高价商品</v>
      </c>
    </row>
    <row r="3389" spans="1:14" x14ac:dyDescent="0.2">
      <c r="A3389">
        <v>544</v>
      </c>
      <c r="B3389">
        <v>259</v>
      </c>
      <c r="C3389" t="s">
        <v>20</v>
      </c>
      <c r="D3389" t="s">
        <v>399</v>
      </c>
      <c r="E3389" t="s">
        <v>31</v>
      </c>
      <c r="F3389">
        <v>4</v>
      </c>
      <c r="G3389" t="s">
        <v>13</v>
      </c>
      <c r="H3389" s="1">
        <v>45992.795138888891</v>
      </c>
      <c r="I3389" s="5">
        <f>INT(TB[[#This Row],[时间戳]])</f>
        <v>45992</v>
      </c>
      <c r="J3389" s="2">
        <f>HOUR(TB[[#This Row],[时间戳]])</f>
        <v>19</v>
      </c>
      <c r="K3389">
        <v>571</v>
      </c>
      <c r="L3389">
        <v>5</v>
      </c>
      <c r="M3389">
        <f>TB[[#This Row],[售价]]*TB[[#This Row],[销量]]</f>
        <v>2855</v>
      </c>
      <c r="N3389" t="str">
        <f>IF(TB[[#This Row],[售价]]&lt;1000,"低价商品",IF(TB[[#This Row],[售价]]&lt;5000,"中价商品",IF(TB[[#This Row],[售价]]&lt;10000,"高价商品","超高价商品")))</f>
        <v>低价商品</v>
      </c>
    </row>
    <row r="3390" spans="1:14" x14ac:dyDescent="0.2">
      <c r="A3390">
        <v>112</v>
      </c>
      <c r="B3390">
        <v>189</v>
      </c>
      <c r="C3390" t="s">
        <v>32</v>
      </c>
      <c r="D3390" t="s">
        <v>368</v>
      </c>
      <c r="E3390" t="s">
        <v>16</v>
      </c>
      <c r="F3390">
        <v>6</v>
      </c>
      <c r="G3390" t="s">
        <v>13</v>
      </c>
      <c r="H3390" s="1">
        <v>45992.79583333333</v>
      </c>
      <c r="I3390" s="5">
        <f>INT(TB[[#This Row],[时间戳]])</f>
        <v>45992</v>
      </c>
      <c r="J3390" s="2">
        <f>HOUR(TB[[#This Row],[时间戳]])</f>
        <v>19</v>
      </c>
      <c r="K3390">
        <v>2563</v>
      </c>
      <c r="L3390">
        <v>2</v>
      </c>
      <c r="M3390">
        <f>TB[[#This Row],[售价]]*TB[[#This Row],[销量]]</f>
        <v>5126</v>
      </c>
      <c r="N3390" t="str">
        <f>IF(TB[[#This Row],[售价]]&lt;1000,"低价商品",IF(TB[[#This Row],[售价]]&lt;5000,"中价商品",IF(TB[[#This Row],[售价]]&lt;10000,"高价商品","超高价商品")))</f>
        <v>中价商品</v>
      </c>
    </row>
    <row r="3391" spans="1:14" x14ac:dyDescent="0.2">
      <c r="A3391">
        <v>183</v>
      </c>
      <c r="B3391">
        <v>142</v>
      </c>
      <c r="C3391" t="s">
        <v>20</v>
      </c>
      <c r="D3391" t="s">
        <v>399</v>
      </c>
      <c r="E3391" t="s">
        <v>31</v>
      </c>
      <c r="F3391">
        <v>4</v>
      </c>
      <c r="G3391" t="s">
        <v>13</v>
      </c>
      <c r="H3391" s="1">
        <v>45992.816666666666</v>
      </c>
      <c r="I3391" s="5">
        <f>INT(TB[[#This Row],[时间戳]])</f>
        <v>45992</v>
      </c>
      <c r="J3391" s="2">
        <f>HOUR(TB[[#This Row],[时间戳]])</f>
        <v>19</v>
      </c>
      <c r="K3391">
        <v>628</v>
      </c>
      <c r="L3391">
        <v>3</v>
      </c>
      <c r="M3391">
        <f>TB[[#This Row],[售价]]*TB[[#This Row],[销量]]</f>
        <v>1884</v>
      </c>
      <c r="N3391" t="str">
        <f>IF(TB[[#This Row],[售价]]&lt;1000,"低价商品",IF(TB[[#This Row],[售价]]&lt;5000,"中价商品",IF(TB[[#This Row],[售价]]&lt;10000,"高价商品","超高价商品")))</f>
        <v>低价商品</v>
      </c>
    </row>
    <row r="3392" spans="1:14" x14ac:dyDescent="0.2">
      <c r="A3392">
        <v>625</v>
      </c>
      <c r="B3392">
        <v>32</v>
      </c>
      <c r="C3392" t="s">
        <v>26</v>
      </c>
      <c r="D3392" t="s">
        <v>358</v>
      </c>
      <c r="E3392" t="s">
        <v>16</v>
      </c>
      <c r="F3392">
        <v>6</v>
      </c>
      <c r="G3392" t="s">
        <v>13</v>
      </c>
      <c r="H3392" s="1">
        <v>45992.823611111111</v>
      </c>
      <c r="I3392" s="5">
        <f>INT(TB[[#This Row],[时间戳]])</f>
        <v>45992</v>
      </c>
      <c r="J3392" s="2">
        <f>HOUR(TB[[#This Row],[时间戳]])</f>
        <v>19</v>
      </c>
      <c r="K3392">
        <v>7603</v>
      </c>
      <c r="L3392">
        <v>2</v>
      </c>
      <c r="M3392">
        <f>TB[[#This Row],[售价]]*TB[[#This Row],[销量]]</f>
        <v>15206</v>
      </c>
      <c r="N3392" t="str">
        <f>IF(TB[[#This Row],[售价]]&lt;1000,"低价商品",IF(TB[[#This Row],[售价]]&lt;5000,"中价商品",IF(TB[[#This Row],[售价]]&lt;10000,"高价商品","超高价商品")))</f>
        <v>高价商品</v>
      </c>
    </row>
    <row r="3393" spans="1:14" x14ac:dyDescent="0.2">
      <c r="A3393">
        <v>655</v>
      </c>
      <c r="B3393">
        <v>30</v>
      </c>
      <c r="C3393" t="s">
        <v>36</v>
      </c>
      <c r="D3393" t="s">
        <v>264</v>
      </c>
      <c r="E3393" t="s">
        <v>12</v>
      </c>
      <c r="F3393">
        <v>2</v>
      </c>
      <c r="G3393" t="s">
        <v>13</v>
      </c>
      <c r="H3393" s="1">
        <v>45992.865277777775</v>
      </c>
      <c r="I3393" s="5">
        <f>INT(TB[[#This Row],[时间戳]])</f>
        <v>45992</v>
      </c>
      <c r="J3393" s="2">
        <f>HOUR(TB[[#This Row],[时间戳]])</f>
        <v>20</v>
      </c>
      <c r="K3393">
        <v>9388</v>
      </c>
      <c r="L3393">
        <v>3</v>
      </c>
      <c r="M3393">
        <f>TB[[#This Row],[售价]]*TB[[#This Row],[销量]]</f>
        <v>28164</v>
      </c>
      <c r="N3393" t="str">
        <f>IF(TB[[#This Row],[售价]]&lt;1000,"低价商品",IF(TB[[#This Row],[售价]]&lt;5000,"中价商品",IF(TB[[#This Row],[售价]]&lt;10000,"高价商品","超高价商品")))</f>
        <v>高价商品</v>
      </c>
    </row>
    <row r="3394" spans="1:14" x14ac:dyDescent="0.2">
      <c r="A3394">
        <v>214</v>
      </c>
      <c r="B3394">
        <v>182</v>
      </c>
      <c r="C3394" t="s">
        <v>32</v>
      </c>
      <c r="D3394" t="s">
        <v>208</v>
      </c>
      <c r="E3394" t="s">
        <v>12</v>
      </c>
      <c r="F3394">
        <v>2</v>
      </c>
      <c r="G3394" t="s">
        <v>13</v>
      </c>
      <c r="H3394" s="1">
        <v>45992.905555555553</v>
      </c>
      <c r="I3394" s="5">
        <f>INT(TB[[#This Row],[时间戳]])</f>
        <v>45992</v>
      </c>
      <c r="J3394" s="2">
        <f>HOUR(TB[[#This Row],[时间戳]])</f>
        <v>21</v>
      </c>
      <c r="K3394">
        <v>8695</v>
      </c>
      <c r="L3394">
        <v>2</v>
      </c>
      <c r="M3394">
        <f>TB[[#This Row],[售价]]*TB[[#This Row],[销量]]</f>
        <v>17390</v>
      </c>
      <c r="N3394" t="str">
        <f>IF(TB[[#This Row],[售价]]&lt;1000,"低价商品",IF(TB[[#This Row],[售价]]&lt;5000,"中价商品",IF(TB[[#This Row],[售价]]&lt;10000,"高价商品","超高价商品")))</f>
        <v>高价商品</v>
      </c>
    </row>
    <row r="3395" spans="1:14" x14ac:dyDescent="0.2">
      <c r="A3395">
        <v>323</v>
      </c>
      <c r="B3395">
        <v>63</v>
      </c>
      <c r="C3395" t="s">
        <v>36</v>
      </c>
      <c r="D3395" t="s">
        <v>114</v>
      </c>
      <c r="E3395" t="s">
        <v>25</v>
      </c>
      <c r="F3395">
        <v>7</v>
      </c>
      <c r="G3395" t="s">
        <v>13</v>
      </c>
      <c r="H3395" s="1">
        <v>45992.913194444445</v>
      </c>
      <c r="I3395" s="5">
        <f>INT(TB[[#This Row],[时间戳]])</f>
        <v>45992</v>
      </c>
      <c r="J3395" s="2">
        <f>HOUR(TB[[#This Row],[时间戳]])</f>
        <v>21</v>
      </c>
      <c r="K3395">
        <v>3160</v>
      </c>
      <c r="L3395">
        <v>1</v>
      </c>
      <c r="M3395">
        <f>TB[[#This Row],[售价]]*TB[[#This Row],[销量]]</f>
        <v>3160</v>
      </c>
      <c r="N3395" t="str">
        <f>IF(TB[[#This Row],[售价]]&lt;1000,"低价商品",IF(TB[[#This Row],[售价]]&lt;5000,"中价商品",IF(TB[[#This Row],[售价]]&lt;10000,"高价商品","超高价商品")))</f>
        <v>中价商品</v>
      </c>
    </row>
    <row r="3396" spans="1:14" x14ac:dyDescent="0.2">
      <c r="A3396">
        <v>105</v>
      </c>
      <c r="B3396">
        <v>47</v>
      </c>
      <c r="C3396" t="s">
        <v>32</v>
      </c>
      <c r="D3396" t="s">
        <v>275</v>
      </c>
      <c r="E3396" t="s">
        <v>22</v>
      </c>
      <c r="F3396">
        <v>1</v>
      </c>
      <c r="G3396" t="s">
        <v>13</v>
      </c>
      <c r="H3396" s="1">
        <v>45992.955555555556</v>
      </c>
      <c r="I3396" s="5">
        <f>INT(TB[[#This Row],[时间戳]])</f>
        <v>45992</v>
      </c>
      <c r="J3396" s="2">
        <f>HOUR(TB[[#This Row],[时间戳]])</f>
        <v>22</v>
      </c>
      <c r="K3396">
        <v>4405</v>
      </c>
      <c r="L3396">
        <v>1</v>
      </c>
      <c r="M3396">
        <f>TB[[#This Row],[售价]]*TB[[#This Row],[销量]]</f>
        <v>4405</v>
      </c>
      <c r="N3396" t="str">
        <f>IF(TB[[#This Row],[售价]]&lt;1000,"低价商品",IF(TB[[#This Row],[售价]]&lt;5000,"中价商品",IF(TB[[#This Row],[售价]]&lt;10000,"高价商品","超高价商品")))</f>
        <v>中价商品</v>
      </c>
    </row>
    <row r="3397" spans="1:14" x14ac:dyDescent="0.2">
      <c r="A3397">
        <v>539</v>
      </c>
      <c r="B3397">
        <v>239</v>
      </c>
      <c r="C3397" t="s">
        <v>46</v>
      </c>
      <c r="D3397" t="s">
        <v>47</v>
      </c>
      <c r="E3397" t="s">
        <v>22</v>
      </c>
      <c r="F3397">
        <v>1</v>
      </c>
      <c r="G3397" t="s">
        <v>13</v>
      </c>
      <c r="H3397" s="1">
        <v>45993.057638888888</v>
      </c>
      <c r="I3397" s="5">
        <f>INT(TB[[#This Row],[时间戳]])</f>
        <v>45993</v>
      </c>
      <c r="J3397" s="2">
        <f>HOUR(TB[[#This Row],[时间戳]])</f>
        <v>1</v>
      </c>
      <c r="K3397">
        <v>1938</v>
      </c>
      <c r="L3397">
        <v>2</v>
      </c>
      <c r="M3397">
        <f>TB[[#This Row],[售价]]*TB[[#This Row],[销量]]</f>
        <v>3876</v>
      </c>
      <c r="N3397" t="str">
        <f>IF(TB[[#This Row],[售价]]&lt;1000,"低价商品",IF(TB[[#This Row],[售价]]&lt;5000,"中价商品",IF(TB[[#This Row],[售价]]&lt;10000,"高价商品","超高价商品")))</f>
        <v>中价商品</v>
      </c>
    </row>
    <row r="3398" spans="1:14" x14ac:dyDescent="0.2">
      <c r="A3398">
        <v>204</v>
      </c>
      <c r="B3398">
        <v>124</v>
      </c>
      <c r="C3398" t="s">
        <v>10</v>
      </c>
      <c r="D3398" t="s">
        <v>352</v>
      </c>
      <c r="E3398" t="s">
        <v>12</v>
      </c>
      <c r="F3398">
        <v>2</v>
      </c>
      <c r="G3398" t="s">
        <v>13</v>
      </c>
      <c r="H3398" s="1">
        <v>45993.090277777781</v>
      </c>
      <c r="I3398" s="5">
        <f>INT(TB[[#This Row],[时间戳]])</f>
        <v>45993</v>
      </c>
      <c r="J3398" s="2">
        <f>HOUR(TB[[#This Row],[时间戳]])</f>
        <v>2</v>
      </c>
      <c r="K3398">
        <v>6105</v>
      </c>
      <c r="L3398">
        <v>1</v>
      </c>
      <c r="M3398">
        <f>TB[[#This Row],[售价]]*TB[[#This Row],[销量]]</f>
        <v>6105</v>
      </c>
      <c r="N3398" t="str">
        <f>IF(TB[[#This Row],[售价]]&lt;1000,"低价商品",IF(TB[[#This Row],[售价]]&lt;5000,"中价商品",IF(TB[[#This Row],[售价]]&lt;10000,"高价商品","超高价商品")))</f>
        <v>高价商品</v>
      </c>
    </row>
    <row r="3399" spans="1:14" x14ac:dyDescent="0.2">
      <c r="A3399">
        <v>222</v>
      </c>
      <c r="B3399">
        <v>69</v>
      </c>
      <c r="C3399" t="s">
        <v>32</v>
      </c>
      <c r="D3399" t="s">
        <v>79</v>
      </c>
      <c r="E3399" t="s">
        <v>31</v>
      </c>
      <c r="F3399">
        <v>4</v>
      </c>
      <c r="G3399" t="s">
        <v>13</v>
      </c>
      <c r="H3399" s="1">
        <v>45993.124305555553</v>
      </c>
      <c r="I3399" s="5">
        <f>INT(TB[[#This Row],[时间戳]])</f>
        <v>45993</v>
      </c>
      <c r="J3399" s="2">
        <f>HOUR(TB[[#This Row],[时间戳]])</f>
        <v>2</v>
      </c>
      <c r="K3399">
        <v>1111</v>
      </c>
      <c r="L3399">
        <v>1</v>
      </c>
      <c r="M3399">
        <f>TB[[#This Row],[售价]]*TB[[#This Row],[销量]]</f>
        <v>1111</v>
      </c>
      <c r="N3399" t="str">
        <f>IF(TB[[#This Row],[售价]]&lt;1000,"低价商品",IF(TB[[#This Row],[售价]]&lt;5000,"中价商品",IF(TB[[#This Row],[售价]]&lt;10000,"高价商品","超高价商品")))</f>
        <v>中价商品</v>
      </c>
    </row>
    <row r="3400" spans="1:14" x14ac:dyDescent="0.2">
      <c r="A3400">
        <v>41</v>
      </c>
      <c r="B3400">
        <v>209</v>
      </c>
      <c r="C3400" t="s">
        <v>34</v>
      </c>
      <c r="D3400" t="s">
        <v>82</v>
      </c>
      <c r="E3400" t="s">
        <v>31</v>
      </c>
      <c r="F3400">
        <v>4</v>
      </c>
      <c r="G3400" t="s">
        <v>13</v>
      </c>
      <c r="H3400" s="1">
        <v>45993.129861111112</v>
      </c>
      <c r="I3400" s="5">
        <f>INT(TB[[#This Row],[时间戳]])</f>
        <v>45993</v>
      </c>
      <c r="J3400" s="2">
        <f>HOUR(TB[[#This Row],[时间戳]])</f>
        <v>3</v>
      </c>
      <c r="K3400">
        <v>1008</v>
      </c>
      <c r="L3400">
        <v>1</v>
      </c>
      <c r="M3400">
        <f>TB[[#This Row],[售价]]*TB[[#This Row],[销量]]</f>
        <v>1008</v>
      </c>
      <c r="N3400" t="str">
        <f>IF(TB[[#This Row],[售价]]&lt;1000,"低价商品",IF(TB[[#This Row],[售价]]&lt;5000,"中价商品",IF(TB[[#This Row],[售价]]&lt;10000,"高价商品","超高价商品")))</f>
        <v>中价商品</v>
      </c>
    </row>
    <row r="3401" spans="1:14" x14ac:dyDescent="0.2">
      <c r="A3401">
        <v>769</v>
      </c>
      <c r="B3401">
        <v>259</v>
      </c>
      <c r="C3401" t="s">
        <v>14</v>
      </c>
      <c r="D3401" t="s">
        <v>282</v>
      </c>
      <c r="E3401" t="s">
        <v>19</v>
      </c>
      <c r="F3401">
        <v>3</v>
      </c>
      <c r="G3401" t="s">
        <v>42</v>
      </c>
      <c r="H3401" s="1">
        <v>45993.145138888889</v>
      </c>
      <c r="I3401" s="5">
        <f>INT(TB[[#This Row],[时间戳]])</f>
        <v>45993</v>
      </c>
      <c r="J3401" s="2">
        <f>HOUR(TB[[#This Row],[时间戳]])</f>
        <v>3</v>
      </c>
      <c r="K3401">
        <v>1954</v>
      </c>
      <c r="L3401">
        <v>0</v>
      </c>
      <c r="M3401">
        <f>TB[[#This Row],[售价]]*TB[[#This Row],[销量]]</f>
        <v>0</v>
      </c>
      <c r="N3401" t="str">
        <f>IF(TB[[#This Row],[售价]]&lt;1000,"低价商品",IF(TB[[#This Row],[售价]]&lt;5000,"中价商品",IF(TB[[#This Row],[售价]]&lt;10000,"高价商品","超高价商品")))</f>
        <v>中价商品</v>
      </c>
    </row>
    <row r="3402" spans="1:14" x14ac:dyDescent="0.2">
      <c r="A3402">
        <v>98</v>
      </c>
      <c r="B3402">
        <v>237</v>
      </c>
      <c r="C3402" t="s">
        <v>34</v>
      </c>
      <c r="D3402" t="s">
        <v>165</v>
      </c>
      <c r="E3402" t="s">
        <v>39</v>
      </c>
      <c r="F3402">
        <v>5</v>
      </c>
      <c r="G3402" t="s">
        <v>13</v>
      </c>
      <c r="H3402" s="1">
        <v>45993.146527777775</v>
      </c>
      <c r="I3402" s="5">
        <f>INT(TB[[#This Row],[时间戳]])</f>
        <v>45993</v>
      </c>
      <c r="J3402" s="2">
        <f>HOUR(TB[[#This Row],[时间戳]])</f>
        <v>3</v>
      </c>
      <c r="K3402">
        <v>3022</v>
      </c>
      <c r="L3402">
        <v>5</v>
      </c>
      <c r="M3402">
        <f>TB[[#This Row],[售价]]*TB[[#This Row],[销量]]</f>
        <v>15110</v>
      </c>
      <c r="N3402" t="str">
        <f>IF(TB[[#This Row],[售价]]&lt;1000,"低价商品",IF(TB[[#This Row],[售价]]&lt;5000,"中价商品",IF(TB[[#This Row],[售价]]&lt;10000,"高价商品","超高价商品")))</f>
        <v>中价商品</v>
      </c>
    </row>
    <row r="3403" spans="1:14" x14ac:dyDescent="0.2">
      <c r="A3403">
        <v>538</v>
      </c>
      <c r="B3403">
        <v>5</v>
      </c>
      <c r="C3403" t="s">
        <v>20</v>
      </c>
      <c r="D3403" t="s">
        <v>334</v>
      </c>
      <c r="E3403" t="s">
        <v>22</v>
      </c>
      <c r="F3403">
        <v>1</v>
      </c>
      <c r="G3403" t="s">
        <v>13</v>
      </c>
      <c r="H3403" s="1">
        <v>45993.148611111108</v>
      </c>
      <c r="I3403" s="5">
        <f>INT(TB[[#This Row],[时间戳]])</f>
        <v>45993</v>
      </c>
      <c r="J3403" s="2">
        <f>HOUR(TB[[#This Row],[时间戳]])</f>
        <v>3</v>
      </c>
      <c r="K3403">
        <v>5109</v>
      </c>
      <c r="L3403">
        <v>4</v>
      </c>
      <c r="M3403">
        <f>TB[[#This Row],[售价]]*TB[[#This Row],[销量]]</f>
        <v>20436</v>
      </c>
      <c r="N3403" t="str">
        <f>IF(TB[[#This Row],[售价]]&lt;1000,"低价商品",IF(TB[[#This Row],[售价]]&lt;5000,"中价商品",IF(TB[[#This Row],[售价]]&lt;10000,"高价商品","超高价商品")))</f>
        <v>高价商品</v>
      </c>
    </row>
    <row r="3404" spans="1:14" x14ac:dyDescent="0.2">
      <c r="A3404">
        <v>31</v>
      </c>
      <c r="B3404">
        <v>55</v>
      </c>
      <c r="C3404" t="s">
        <v>32</v>
      </c>
      <c r="D3404" t="s">
        <v>381</v>
      </c>
      <c r="E3404" t="s">
        <v>19</v>
      </c>
      <c r="F3404">
        <v>3</v>
      </c>
      <c r="G3404" t="s">
        <v>13</v>
      </c>
      <c r="H3404" s="1">
        <v>45993.273611111108</v>
      </c>
      <c r="I3404" s="5">
        <f>INT(TB[[#This Row],[时间戳]])</f>
        <v>45993</v>
      </c>
      <c r="J3404" s="2">
        <f>HOUR(TB[[#This Row],[时间戳]])</f>
        <v>6</v>
      </c>
      <c r="K3404">
        <v>1500</v>
      </c>
      <c r="L3404">
        <v>2</v>
      </c>
      <c r="M3404">
        <f>TB[[#This Row],[售价]]*TB[[#This Row],[销量]]</f>
        <v>3000</v>
      </c>
      <c r="N3404" t="str">
        <f>IF(TB[[#This Row],[售价]]&lt;1000,"低价商品",IF(TB[[#This Row],[售价]]&lt;5000,"中价商品",IF(TB[[#This Row],[售价]]&lt;10000,"高价商品","超高价商品")))</f>
        <v>中价商品</v>
      </c>
    </row>
    <row r="3405" spans="1:14" x14ac:dyDescent="0.2">
      <c r="A3405">
        <v>563</v>
      </c>
      <c r="B3405">
        <v>66</v>
      </c>
      <c r="C3405" t="s">
        <v>17</v>
      </c>
      <c r="D3405" t="s">
        <v>234</v>
      </c>
      <c r="E3405" t="s">
        <v>39</v>
      </c>
      <c r="F3405">
        <v>5</v>
      </c>
      <c r="G3405" t="s">
        <v>42</v>
      </c>
      <c r="H3405" s="1">
        <v>45993.28125</v>
      </c>
      <c r="I3405" s="5">
        <f>INT(TB[[#This Row],[时间戳]])</f>
        <v>45993</v>
      </c>
      <c r="J3405" s="2">
        <f>HOUR(TB[[#This Row],[时间戳]])</f>
        <v>6</v>
      </c>
      <c r="K3405">
        <v>2368</v>
      </c>
      <c r="L3405">
        <v>0</v>
      </c>
      <c r="M3405">
        <f>TB[[#This Row],[售价]]*TB[[#This Row],[销量]]</f>
        <v>0</v>
      </c>
      <c r="N3405" t="str">
        <f>IF(TB[[#This Row],[售价]]&lt;1000,"低价商品",IF(TB[[#This Row],[售价]]&lt;5000,"中价商品",IF(TB[[#This Row],[售价]]&lt;10000,"高价商品","超高价商品")))</f>
        <v>中价商品</v>
      </c>
    </row>
    <row r="3406" spans="1:14" x14ac:dyDescent="0.2">
      <c r="A3406">
        <v>705</v>
      </c>
      <c r="B3406">
        <v>194</v>
      </c>
      <c r="C3406" t="s">
        <v>10</v>
      </c>
      <c r="D3406" t="s">
        <v>382</v>
      </c>
      <c r="E3406" t="s">
        <v>16</v>
      </c>
      <c r="F3406">
        <v>6</v>
      </c>
      <c r="G3406" t="s">
        <v>13</v>
      </c>
      <c r="H3406" s="1">
        <v>45993.306250000001</v>
      </c>
      <c r="I3406" s="5">
        <f>INT(TB[[#This Row],[时间戳]])</f>
        <v>45993</v>
      </c>
      <c r="J3406" s="2">
        <f>HOUR(TB[[#This Row],[时间戳]])</f>
        <v>7</v>
      </c>
      <c r="K3406">
        <v>11852</v>
      </c>
      <c r="L3406">
        <v>3</v>
      </c>
      <c r="M3406">
        <f>TB[[#This Row],[售价]]*TB[[#This Row],[销量]]</f>
        <v>35556</v>
      </c>
      <c r="N3406" t="str">
        <f>IF(TB[[#This Row],[售价]]&lt;1000,"低价商品",IF(TB[[#This Row],[售价]]&lt;5000,"中价商品",IF(TB[[#This Row],[售价]]&lt;10000,"高价商品","超高价商品")))</f>
        <v>超高价商品</v>
      </c>
    </row>
    <row r="3407" spans="1:14" x14ac:dyDescent="0.2">
      <c r="A3407">
        <v>747</v>
      </c>
      <c r="B3407">
        <v>146</v>
      </c>
      <c r="C3407" t="s">
        <v>44</v>
      </c>
      <c r="D3407" t="s">
        <v>408</v>
      </c>
      <c r="E3407" t="s">
        <v>39</v>
      </c>
      <c r="F3407">
        <v>5</v>
      </c>
      <c r="G3407" t="s">
        <v>13</v>
      </c>
      <c r="H3407" s="1">
        <v>45993.336805555555</v>
      </c>
      <c r="I3407" s="5">
        <f>INT(TB[[#This Row],[时间戳]])</f>
        <v>45993</v>
      </c>
      <c r="J3407" s="2">
        <f>HOUR(TB[[#This Row],[时间戳]])</f>
        <v>8</v>
      </c>
      <c r="K3407">
        <v>2208</v>
      </c>
      <c r="L3407">
        <v>1</v>
      </c>
      <c r="M3407">
        <f>TB[[#This Row],[售价]]*TB[[#This Row],[销量]]</f>
        <v>2208</v>
      </c>
      <c r="N3407" t="str">
        <f>IF(TB[[#This Row],[售价]]&lt;1000,"低价商品",IF(TB[[#This Row],[售价]]&lt;5000,"中价商品",IF(TB[[#This Row],[售价]]&lt;10000,"高价商品","超高价商品")))</f>
        <v>中价商品</v>
      </c>
    </row>
    <row r="3408" spans="1:14" x14ac:dyDescent="0.2">
      <c r="A3408">
        <v>636</v>
      </c>
      <c r="B3408">
        <v>110</v>
      </c>
      <c r="C3408" t="s">
        <v>17</v>
      </c>
      <c r="D3408" t="s">
        <v>28</v>
      </c>
      <c r="E3408" t="s">
        <v>12</v>
      </c>
      <c r="F3408">
        <v>2</v>
      </c>
      <c r="G3408" t="s">
        <v>13</v>
      </c>
      <c r="H3408" s="1">
        <v>45993.372916666667</v>
      </c>
      <c r="I3408" s="5">
        <f>INT(TB[[#This Row],[时间戳]])</f>
        <v>45993</v>
      </c>
      <c r="J3408" s="2">
        <f>HOUR(TB[[#This Row],[时间戳]])</f>
        <v>8</v>
      </c>
      <c r="K3408">
        <v>13627</v>
      </c>
      <c r="L3408">
        <v>2</v>
      </c>
      <c r="M3408">
        <f>TB[[#This Row],[售价]]*TB[[#This Row],[销量]]</f>
        <v>27254</v>
      </c>
      <c r="N3408" t="str">
        <f>IF(TB[[#This Row],[售价]]&lt;1000,"低价商品",IF(TB[[#This Row],[售价]]&lt;5000,"中价商品",IF(TB[[#This Row],[售价]]&lt;10000,"高价商品","超高价商品")))</f>
        <v>超高价商品</v>
      </c>
    </row>
    <row r="3409" spans="1:14" x14ac:dyDescent="0.2">
      <c r="A3409">
        <v>138</v>
      </c>
      <c r="B3409">
        <v>30</v>
      </c>
      <c r="C3409" t="s">
        <v>46</v>
      </c>
      <c r="D3409" t="s">
        <v>142</v>
      </c>
      <c r="E3409" t="s">
        <v>31</v>
      </c>
      <c r="F3409">
        <v>4</v>
      </c>
      <c r="G3409" t="s">
        <v>13</v>
      </c>
      <c r="H3409" s="1">
        <v>45993.484027777777</v>
      </c>
      <c r="I3409" s="5">
        <f>INT(TB[[#This Row],[时间戳]])</f>
        <v>45993</v>
      </c>
      <c r="J3409" s="2">
        <f>HOUR(TB[[#This Row],[时间戳]])</f>
        <v>11</v>
      </c>
      <c r="K3409">
        <v>840</v>
      </c>
      <c r="L3409">
        <v>3</v>
      </c>
      <c r="M3409">
        <f>TB[[#This Row],[售价]]*TB[[#This Row],[销量]]</f>
        <v>2520</v>
      </c>
      <c r="N3409" t="str">
        <f>IF(TB[[#This Row],[售价]]&lt;1000,"低价商品",IF(TB[[#This Row],[售价]]&lt;5000,"中价商品",IF(TB[[#This Row],[售价]]&lt;10000,"高价商品","超高价商品")))</f>
        <v>低价商品</v>
      </c>
    </row>
    <row r="3410" spans="1:14" x14ac:dyDescent="0.2">
      <c r="A3410">
        <v>127</v>
      </c>
      <c r="B3410">
        <v>270</v>
      </c>
      <c r="C3410" t="s">
        <v>46</v>
      </c>
      <c r="D3410" t="s">
        <v>315</v>
      </c>
      <c r="E3410" t="s">
        <v>12</v>
      </c>
      <c r="F3410">
        <v>2</v>
      </c>
      <c r="G3410" t="s">
        <v>13</v>
      </c>
      <c r="H3410" s="1">
        <v>45993.488888888889</v>
      </c>
      <c r="I3410" s="5">
        <f>INT(TB[[#This Row],[时间戳]])</f>
        <v>45993</v>
      </c>
      <c r="J3410" s="2">
        <f>HOUR(TB[[#This Row],[时间戳]])</f>
        <v>11</v>
      </c>
      <c r="K3410">
        <v>5208</v>
      </c>
      <c r="L3410">
        <v>2</v>
      </c>
      <c r="M3410">
        <f>TB[[#This Row],[售价]]*TB[[#This Row],[销量]]</f>
        <v>10416</v>
      </c>
      <c r="N3410" t="str">
        <f>IF(TB[[#This Row],[售价]]&lt;1000,"低价商品",IF(TB[[#This Row],[售价]]&lt;5000,"中价商品",IF(TB[[#This Row],[售价]]&lt;10000,"高价商品","超高价商品")))</f>
        <v>高价商品</v>
      </c>
    </row>
    <row r="3411" spans="1:14" x14ac:dyDescent="0.2">
      <c r="A3411">
        <v>112</v>
      </c>
      <c r="B3411">
        <v>277</v>
      </c>
      <c r="C3411" t="s">
        <v>46</v>
      </c>
      <c r="D3411" t="s">
        <v>104</v>
      </c>
      <c r="E3411" t="s">
        <v>12</v>
      </c>
      <c r="F3411">
        <v>2</v>
      </c>
      <c r="G3411" t="s">
        <v>13</v>
      </c>
      <c r="H3411" s="1">
        <v>45993.489583333336</v>
      </c>
      <c r="I3411" s="5">
        <f>INT(TB[[#This Row],[时间戳]])</f>
        <v>45993</v>
      </c>
      <c r="J3411" s="2">
        <f>HOUR(TB[[#This Row],[时间戳]])</f>
        <v>11</v>
      </c>
      <c r="K3411">
        <v>14669</v>
      </c>
      <c r="L3411">
        <v>5</v>
      </c>
      <c r="M3411">
        <f>TB[[#This Row],[售价]]*TB[[#This Row],[销量]]</f>
        <v>73345</v>
      </c>
      <c r="N3411" t="str">
        <f>IF(TB[[#This Row],[售价]]&lt;1000,"低价商品",IF(TB[[#This Row],[售价]]&lt;5000,"中价商品",IF(TB[[#This Row],[售价]]&lt;10000,"高价商品","超高价商品")))</f>
        <v>超高价商品</v>
      </c>
    </row>
    <row r="3412" spans="1:14" x14ac:dyDescent="0.2">
      <c r="A3412">
        <v>543</v>
      </c>
      <c r="B3412">
        <v>245</v>
      </c>
      <c r="C3412" t="s">
        <v>32</v>
      </c>
      <c r="D3412" t="s">
        <v>326</v>
      </c>
      <c r="E3412" t="s">
        <v>19</v>
      </c>
      <c r="F3412">
        <v>3</v>
      </c>
      <c r="G3412" t="s">
        <v>42</v>
      </c>
      <c r="H3412" s="1">
        <v>45993.499305555553</v>
      </c>
      <c r="I3412" s="5">
        <f>INT(TB[[#This Row],[时间戳]])</f>
        <v>45993</v>
      </c>
      <c r="J3412" s="2">
        <f>HOUR(TB[[#This Row],[时间戳]])</f>
        <v>11</v>
      </c>
      <c r="K3412">
        <v>3809</v>
      </c>
      <c r="L3412">
        <v>0</v>
      </c>
      <c r="M3412">
        <f>TB[[#This Row],[售价]]*TB[[#This Row],[销量]]</f>
        <v>0</v>
      </c>
      <c r="N3412" t="str">
        <f>IF(TB[[#This Row],[售价]]&lt;1000,"低价商品",IF(TB[[#This Row],[售价]]&lt;5000,"中价商品",IF(TB[[#This Row],[售价]]&lt;10000,"高价商品","超高价商品")))</f>
        <v>中价商品</v>
      </c>
    </row>
    <row r="3413" spans="1:14" x14ac:dyDescent="0.2">
      <c r="A3413">
        <v>775</v>
      </c>
      <c r="B3413">
        <v>209</v>
      </c>
      <c r="C3413" t="s">
        <v>46</v>
      </c>
      <c r="D3413" t="s">
        <v>341</v>
      </c>
      <c r="E3413" t="s">
        <v>31</v>
      </c>
      <c r="F3413">
        <v>4</v>
      </c>
      <c r="G3413" t="s">
        <v>13</v>
      </c>
      <c r="H3413" s="1">
        <v>45993.502083333333</v>
      </c>
      <c r="I3413" s="5">
        <f>INT(TB[[#This Row],[时间戳]])</f>
        <v>45993</v>
      </c>
      <c r="J3413" s="2">
        <f>HOUR(TB[[#This Row],[时间戳]])</f>
        <v>12</v>
      </c>
      <c r="K3413">
        <v>565</v>
      </c>
      <c r="L3413">
        <v>1</v>
      </c>
      <c r="M3413">
        <f>TB[[#This Row],[售价]]*TB[[#This Row],[销量]]</f>
        <v>565</v>
      </c>
      <c r="N3413" t="str">
        <f>IF(TB[[#This Row],[售价]]&lt;1000,"低价商品",IF(TB[[#This Row],[售价]]&lt;5000,"中价商品",IF(TB[[#This Row],[售价]]&lt;10000,"高价商品","超高价商品")))</f>
        <v>低价商品</v>
      </c>
    </row>
    <row r="3414" spans="1:14" x14ac:dyDescent="0.2">
      <c r="A3414">
        <v>622</v>
      </c>
      <c r="B3414">
        <v>259</v>
      </c>
      <c r="C3414" t="s">
        <v>26</v>
      </c>
      <c r="D3414" t="s">
        <v>182</v>
      </c>
      <c r="E3414" t="s">
        <v>31</v>
      </c>
      <c r="F3414">
        <v>4</v>
      </c>
      <c r="G3414" t="s">
        <v>42</v>
      </c>
      <c r="H3414" s="1">
        <v>45993.502083333333</v>
      </c>
      <c r="I3414" s="5">
        <f>INT(TB[[#This Row],[时间戳]])</f>
        <v>45993</v>
      </c>
      <c r="J3414" s="2">
        <f>HOUR(TB[[#This Row],[时间戳]])</f>
        <v>12</v>
      </c>
      <c r="K3414">
        <v>335</v>
      </c>
      <c r="L3414">
        <v>0</v>
      </c>
      <c r="M3414">
        <f>TB[[#This Row],[售价]]*TB[[#This Row],[销量]]</f>
        <v>0</v>
      </c>
      <c r="N3414" t="str">
        <f>IF(TB[[#This Row],[售价]]&lt;1000,"低价商品",IF(TB[[#This Row],[售价]]&lt;5000,"中价商品",IF(TB[[#This Row],[售价]]&lt;10000,"高价商品","超高价商品")))</f>
        <v>低价商品</v>
      </c>
    </row>
    <row r="3415" spans="1:14" x14ac:dyDescent="0.2">
      <c r="A3415">
        <v>282</v>
      </c>
      <c r="B3415">
        <v>172</v>
      </c>
      <c r="C3415" t="s">
        <v>32</v>
      </c>
      <c r="D3415" t="s">
        <v>176</v>
      </c>
      <c r="E3415" t="s">
        <v>22</v>
      </c>
      <c r="F3415">
        <v>1</v>
      </c>
      <c r="G3415" t="s">
        <v>13</v>
      </c>
      <c r="H3415" s="1">
        <v>45993.510416666664</v>
      </c>
      <c r="I3415" s="5">
        <f>INT(TB[[#This Row],[时间戳]])</f>
        <v>45993</v>
      </c>
      <c r="J3415" s="2">
        <f>HOUR(TB[[#This Row],[时间戳]])</f>
        <v>12</v>
      </c>
      <c r="K3415">
        <v>2048</v>
      </c>
      <c r="L3415">
        <v>3</v>
      </c>
      <c r="M3415">
        <f>TB[[#This Row],[售价]]*TB[[#This Row],[销量]]</f>
        <v>6144</v>
      </c>
      <c r="N3415" t="str">
        <f>IF(TB[[#This Row],[售价]]&lt;1000,"低价商品",IF(TB[[#This Row],[售价]]&lt;5000,"中价商品",IF(TB[[#This Row],[售价]]&lt;10000,"高价商品","超高价商品")))</f>
        <v>中价商品</v>
      </c>
    </row>
    <row r="3416" spans="1:14" x14ac:dyDescent="0.2">
      <c r="A3416">
        <v>262</v>
      </c>
      <c r="B3416">
        <v>19</v>
      </c>
      <c r="C3416" t="s">
        <v>14</v>
      </c>
      <c r="D3416" t="s">
        <v>395</v>
      </c>
      <c r="E3416" t="s">
        <v>12</v>
      </c>
      <c r="F3416">
        <v>2</v>
      </c>
      <c r="G3416" t="s">
        <v>13</v>
      </c>
      <c r="H3416" s="1">
        <v>45993.538888888892</v>
      </c>
      <c r="I3416" s="5">
        <f>INT(TB[[#This Row],[时间戳]])</f>
        <v>45993</v>
      </c>
      <c r="J3416" s="2">
        <f>HOUR(TB[[#This Row],[时间戳]])</f>
        <v>12</v>
      </c>
      <c r="K3416">
        <v>9546</v>
      </c>
      <c r="L3416">
        <v>2</v>
      </c>
      <c r="M3416">
        <f>TB[[#This Row],[售价]]*TB[[#This Row],[销量]]</f>
        <v>19092</v>
      </c>
      <c r="N3416" t="str">
        <f>IF(TB[[#This Row],[售价]]&lt;1000,"低价商品",IF(TB[[#This Row],[售价]]&lt;5000,"中价商品",IF(TB[[#This Row],[售价]]&lt;10000,"高价商品","超高价商品")))</f>
        <v>高价商品</v>
      </c>
    </row>
    <row r="3417" spans="1:14" x14ac:dyDescent="0.2">
      <c r="A3417">
        <v>533</v>
      </c>
      <c r="B3417">
        <v>275</v>
      </c>
      <c r="C3417" t="s">
        <v>36</v>
      </c>
      <c r="D3417" t="s">
        <v>366</v>
      </c>
      <c r="E3417" t="s">
        <v>22</v>
      </c>
      <c r="F3417">
        <v>1</v>
      </c>
      <c r="G3417" t="s">
        <v>13</v>
      </c>
      <c r="H3417" s="1">
        <v>45993.554166666669</v>
      </c>
      <c r="I3417" s="5">
        <f>INT(TB[[#This Row],[时间戳]])</f>
        <v>45993</v>
      </c>
      <c r="J3417" s="2">
        <f>HOUR(TB[[#This Row],[时间戳]])</f>
        <v>13</v>
      </c>
      <c r="K3417">
        <v>6877</v>
      </c>
      <c r="L3417">
        <v>1</v>
      </c>
      <c r="M3417">
        <f>TB[[#This Row],[售价]]*TB[[#This Row],[销量]]</f>
        <v>6877</v>
      </c>
      <c r="N3417" t="str">
        <f>IF(TB[[#This Row],[售价]]&lt;1000,"低价商品",IF(TB[[#This Row],[售价]]&lt;5000,"中价商品",IF(TB[[#This Row],[售价]]&lt;10000,"高价商品","超高价商品")))</f>
        <v>高价商品</v>
      </c>
    </row>
    <row r="3418" spans="1:14" x14ac:dyDescent="0.2">
      <c r="A3418">
        <v>646</v>
      </c>
      <c r="B3418">
        <v>11</v>
      </c>
      <c r="C3418" t="s">
        <v>10</v>
      </c>
      <c r="D3418" t="s">
        <v>241</v>
      </c>
      <c r="E3418" t="s">
        <v>12</v>
      </c>
      <c r="F3418">
        <v>2</v>
      </c>
      <c r="G3418" t="s">
        <v>13</v>
      </c>
      <c r="H3418" s="1">
        <v>45993.561111111114</v>
      </c>
      <c r="I3418" s="5">
        <f>INT(TB[[#This Row],[时间戳]])</f>
        <v>45993</v>
      </c>
      <c r="J3418" s="2">
        <f>HOUR(TB[[#This Row],[时间戳]])</f>
        <v>13</v>
      </c>
      <c r="K3418">
        <v>10854</v>
      </c>
      <c r="L3418">
        <v>1</v>
      </c>
      <c r="M3418">
        <f>TB[[#This Row],[售价]]*TB[[#This Row],[销量]]</f>
        <v>10854</v>
      </c>
      <c r="N3418" t="str">
        <f>IF(TB[[#This Row],[售价]]&lt;1000,"低价商品",IF(TB[[#This Row],[售价]]&lt;5000,"中价商品",IF(TB[[#This Row],[售价]]&lt;10000,"高价商品","超高价商品")))</f>
        <v>超高价商品</v>
      </c>
    </row>
    <row r="3419" spans="1:14" x14ac:dyDescent="0.2">
      <c r="A3419">
        <v>405</v>
      </c>
      <c r="B3419">
        <v>220</v>
      </c>
      <c r="C3419" t="s">
        <v>32</v>
      </c>
      <c r="D3419" t="s">
        <v>101</v>
      </c>
      <c r="E3419" t="s">
        <v>39</v>
      </c>
      <c r="F3419">
        <v>5</v>
      </c>
      <c r="G3419" t="s">
        <v>13</v>
      </c>
      <c r="H3419" s="1">
        <v>45993.580555555556</v>
      </c>
      <c r="I3419" s="5">
        <f>INT(TB[[#This Row],[时间戳]])</f>
        <v>45993</v>
      </c>
      <c r="J3419" s="2">
        <f>HOUR(TB[[#This Row],[时间戳]])</f>
        <v>13</v>
      </c>
      <c r="K3419">
        <v>3958</v>
      </c>
      <c r="L3419">
        <v>3</v>
      </c>
      <c r="M3419">
        <f>TB[[#This Row],[售价]]*TB[[#This Row],[销量]]</f>
        <v>11874</v>
      </c>
      <c r="N3419" t="str">
        <f>IF(TB[[#This Row],[售价]]&lt;1000,"低价商品",IF(TB[[#This Row],[售价]]&lt;5000,"中价商品",IF(TB[[#This Row],[售价]]&lt;10000,"高价商品","超高价商品")))</f>
        <v>中价商品</v>
      </c>
    </row>
    <row r="3420" spans="1:14" x14ac:dyDescent="0.2">
      <c r="A3420">
        <v>711</v>
      </c>
      <c r="B3420">
        <v>50</v>
      </c>
      <c r="C3420" t="s">
        <v>10</v>
      </c>
      <c r="D3420" t="s">
        <v>189</v>
      </c>
      <c r="E3420" t="s">
        <v>22</v>
      </c>
      <c r="F3420">
        <v>1</v>
      </c>
      <c r="G3420" t="s">
        <v>13</v>
      </c>
      <c r="H3420" s="1">
        <v>45993.585416666669</v>
      </c>
      <c r="I3420" s="5">
        <f>INT(TB[[#This Row],[时间戳]])</f>
        <v>45993</v>
      </c>
      <c r="J3420" s="2">
        <f>HOUR(TB[[#This Row],[时间戳]])</f>
        <v>14</v>
      </c>
      <c r="K3420">
        <v>4746</v>
      </c>
      <c r="L3420">
        <v>3</v>
      </c>
      <c r="M3420">
        <f>TB[[#This Row],[售价]]*TB[[#This Row],[销量]]</f>
        <v>14238</v>
      </c>
      <c r="N3420" t="str">
        <f>IF(TB[[#This Row],[售价]]&lt;1000,"低价商品",IF(TB[[#This Row],[售价]]&lt;5000,"中价商品",IF(TB[[#This Row],[售价]]&lt;10000,"高价商品","超高价商品")))</f>
        <v>中价商品</v>
      </c>
    </row>
    <row r="3421" spans="1:14" x14ac:dyDescent="0.2">
      <c r="A3421">
        <v>800</v>
      </c>
      <c r="B3421">
        <v>10</v>
      </c>
      <c r="C3421" t="s">
        <v>26</v>
      </c>
      <c r="D3421" t="s">
        <v>245</v>
      </c>
      <c r="E3421" t="s">
        <v>39</v>
      </c>
      <c r="F3421">
        <v>5</v>
      </c>
      <c r="G3421" t="s">
        <v>13</v>
      </c>
      <c r="H3421" s="1">
        <v>45993.585416666669</v>
      </c>
      <c r="I3421" s="5">
        <f>INT(TB[[#This Row],[时间戳]])</f>
        <v>45993</v>
      </c>
      <c r="J3421" s="2">
        <f>HOUR(TB[[#This Row],[时间戳]])</f>
        <v>14</v>
      </c>
      <c r="K3421">
        <v>1459</v>
      </c>
      <c r="L3421">
        <v>3</v>
      </c>
      <c r="M3421">
        <f>TB[[#This Row],[售价]]*TB[[#This Row],[销量]]</f>
        <v>4377</v>
      </c>
      <c r="N3421" t="str">
        <f>IF(TB[[#This Row],[售价]]&lt;1000,"低价商品",IF(TB[[#This Row],[售价]]&lt;5000,"中价商品",IF(TB[[#This Row],[售价]]&lt;10000,"高价商品","超高价商品")))</f>
        <v>中价商品</v>
      </c>
    </row>
    <row r="3422" spans="1:14" x14ac:dyDescent="0.2">
      <c r="A3422">
        <v>209</v>
      </c>
      <c r="B3422">
        <v>185</v>
      </c>
      <c r="C3422" t="s">
        <v>10</v>
      </c>
      <c r="D3422" t="s">
        <v>363</v>
      </c>
      <c r="E3422" t="s">
        <v>25</v>
      </c>
      <c r="F3422">
        <v>7</v>
      </c>
      <c r="G3422" t="s">
        <v>13</v>
      </c>
      <c r="H3422" s="1">
        <v>45993.612500000003</v>
      </c>
      <c r="I3422" s="5">
        <f>INT(TB[[#This Row],[时间戳]])</f>
        <v>45993</v>
      </c>
      <c r="J3422" s="2">
        <f>HOUR(TB[[#This Row],[时间戳]])</f>
        <v>14</v>
      </c>
      <c r="K3422">
        <v>1743</v>
      </c>
      <c r="L3422">
        <v>1</v>
      </c>
      <c r="M3422">
        <f>TB[[#This Row],[售价]]*TB[[#This Row],[销量]]</f>
        <v>1743</v>
      </c>
      <c r="N3422" t="str">
        <f>IF(TB[[#This Row],[售价]]&lt;1000,"低价商品",IF(TB[[#This Row],[售价]]&lt;5000,"中价商品",IF(TB[[#This Row],[售价]]&lt;10000,"高价商品","超高价商品")))</f>
        <v>中价商品</v>
      </c>
    </row>
    <row r="3423" spans="1:14" x14ac:dyDescent="0.2">
      <c r="A3423">
        <v>782</v>
      </c>
      <c r="B3423">
        <v>14</v>
      </c>
      <c r="C3423" t="s">
        <v>46</v>
      </c>
      <c r="D3423" t="s">
        <v>315</v>
      </c>
      <c r="E3423" t="s">
        <v>12</v>
      </c>
      <c r="F3423">
        <v>2</v>
      </c>
      <c r="G3423" t="s">
        <v>13</v>
      </c>
      <c r="H3423" s="1">
        <v>45993.630555555559</v>
      </c>
      <c r="I3423" s="5">
        <f>INT(TB[[#This Row],[时间戳]])</f>
        <v>45993</v>
      </c>
      <c r="J3423" s="2">
        <f>HOUR(TB[[#This Row],[时间戳]])</f>
        <v>15</v>
      </c>
      <c r="K3423">
        <v>10402</v>
      </c>
      <c r="L3423">
        <v>4</v>
      </c>
      <c r="M3423">
        <f>TB[[#This Row],[售价]]*TB[[#This Row],[销量]]</f>
        <v>41608</v>
      </c>
      <c r="N3423" t="str">
        <f>IF(TB[[#This Row],[售价]]&lt;1000,"低价商品",IF(TB[[#This Row],[售价]]&lt;5000,"中价商品",IF(TB[[#This Row],[售价]]&lt;10000,"高价商品","超高价商品")))</f>
        <v>超高价商品</v>
      </c>
    </row>
    <row r="3424" spans="1:14" x14ac:dyDescent="0.2">
      <c r="A3424">
        <v>329</v>
      </c>
      <c r="B3424">
        <v>109</v>
      </c>
      <c r="C3424" t="s">
        <v>44</v>
      </c>
      <c r="D3424" t="s">
        <v>59</v>
      </c>
      <c r="E3424" t="s">
        <v>22</v>
      </c>
      <c r="F3424">
        <v>1</v>
      </c>
      <c r="G3424" t="s">
        <v>13</v>
      </c>
      <c r="H3424" s="1">
        <v>45993.656944444447</v>
      </c>
      <c r="I3424" s="5">
        <f>INT(TB[[#This Row],[时间戳]])</f>
        <v>45993</v>
      </c>
      <c r="J3424" s="2">
        <f>HOUR(TB[[#This Row],[时间戳]])</f>
        <v>15</v>
      </c>
      <c r="K3424">
        <v>4042</v>
      </c>
      <c r="L3424">
        <v>3</v>
      </c>
      <c r="M3424">
        <f>TB[[#This Row],[售价]]*TB[[#This Row],[销量]]</f>
        <v>12126</v>
      </c>
      <c r="N3424" t="str">
        <f>IF(TB[[#This Row],[售价]]&lt;1000,"低价商品",IF(TB[[#This Row],[售价]]&lt;5000,"中价商品",IF(TB[[#This Row],[售价]]&lt;10000,"高价商品","超高价商品")))</f>
        <v>中价商品</v>
      </c>
    </row>
    <row r="3425" spans="1:14" x14ac:dyDescent="0.2">
      <c r="A3425">
        <v>349</v>
      </c>
      <c r="B3425">
        <v>183</v>
      </c>
      <c r="C3425" t="s">
        <v>32</v>
      </c>
      <c r="D3425" t="s">
        <v>107</v>
      </c>
      <c r="E3425" t="s">
        <v>31</v>
      </c>
      <c r="F3425">
        <v>4</v>
      </c>
      <c r="G3425" t="s">
        <v>13</v>
      </c>
      <c r="H3425" s="1">
        <v>45993.657638888886</v>
      </c>
      <c r="I3425" s="5">
        <f>INT(TB[[#This Row],[时间戳]])</f>
        <v>45993</v>
      </c>
      <c r="J3425" s="2">
        <f>HOUR(TB[[#This Row],[时间戳]])</f>
        <v>15</v>
      </c>
      <c r="K3425">
        <v>143</v>
      </c>
      <c r="L3425">
        <v>1</v>
      </c>
      <c r="M3425">
        <f>TB[[#This Row],[售价]]*TB[[#This Row],[销量]]</f>
        <v>143</v>
      </c>
      <c r="N3425" t="str">
        <f>IF(TB[[#This Row],[售价]]&lt;1000,"低价商品",IF(TB[[#This Row],[售价]]&lt;5000,"中价商品",IF(TB[[#This Row],[售价]]&lt;10000,"高价商品","超高价商品")))</f>
        <v>低价商品</v>
      </c>
    </row>
    <row r="3426" spans="1:14" x14ac:dyDescent="0.2">
      <c r="A3426">
        <v>188</v>
      </c>
      <c r="B3426">
        <v>224</v>
      </c>
      <c r="C3426" t="s">
        <v>20</v>
      </c>
      <c r="D3426" t="s">
        <v>355</v>
      </c>
      <c r="E3426" t="s">
        <v>39</v>
      </c>
      <c r="F3426">
        <v>5</v>
      </c>
      <c r="G3426" t="s">
        <v>13</v>
      </c>
      <c r="H3426" s="1">
        <v>45993.690972222219</v>
      </c>
      <c r="I3426" s="5">
        <f>INT(TB[[#This Row],[时间戳]])</f>
        <v>45993</v>
      </c>
      <c r="J3426" s="2">
        <f>HOUR(TB[[#This Row],[时间戳]])</f>
        <v>16</v>
      </c>
      <c r="K3426">
        <v>1033</v>
      </c>
      <c r="L3426">
        <v>4</v>
      </c>
      <c r="M3426">
        <f>TB[[#This Row],[售价]]*TB[[#This Row],[销量]]</f>
        <v>4132</v>
      </c>
      <c r="N3426" t="str">
        <f>IF(TB[[#This Row],[售价]]&lt;1000,"低价商品",IF(TB[[#This Row],[售价]]&lt;5000,"中价商品",IF(TB[[#This Row],[售价]]&lt;10000,"高价商品","超高价商品")))</f>
        <v>中价商品</v>
      </c>
    </row>
    <row r="3427" spans="1:14" x14ac:dyDescent="0.2">
      <c r="A3427">
        <v>782</v>
      </c>
      <c r="B3427">
        <v>288</v>
      </c>
      <c r="C3427" t="s">
        <v>44</v>
      </c>
      <c r="D3427" t="s">
        <v>45</v>
      </c>
      <c r="E3427" t="s">
        <v>19</v>
      </c>
      <c r="F3427">
        <v>3</v>
      </c>
      <c r="G3427" t="s">
        <v>13</v>
      </c>
      <c r="H3427" s="1">
        <v>45993.708333333336</v>
      </c>
      <c r="I3427" s="5">
        <f>INT(TB[[#This Row],[时间戳]])</f>
        <v>45993</v>
      </c>
      <c r="J3427" s="2">
        <f>HOUR(TB[[#This Row],[时间戳]])</f>
        <v>17</v>
      </c>
      <c r="K3427">
        <v>2439</v>
      </c>
      <c r="L3427">
        <v>3</v>
      </c>
      <c r="M3427">
        <f>TB[[#This Row],[售价]]*TB[[#This Row],[销量]]</f>
        <v>7317</v>
      </c>
      <c r="N3427" t="str">
        <f>IF(TB[[#This Row],[售价]]&lt;1000,"低价商品",IF(TB[[#This Row],[售价]]&lt;5000,"中价商品",IF(TB[[#This Row],[售价]]&lt;10000,"高价商品","超高价商品")))</f>
        <v>中价商品</v>
      </c>
    </row>
    <row r="3428" spans="1:14" x14ac:dyDescent="0.2">
      <c r="A3428">
        <v>538</v>
      </c>
      <c r="B3428">
        <v>136</v>
      </c>
      <c r="C3428" t="s">
        <v>46</v>
      </c>
      <c r="D3428" t="s">
        <v>135</v>
      </c>
      <c r="E3428" t="s">
        <v>22</v>
      </c>
      <c r="F3428">
        <v>1</v>
      </c>
      <c r="G3428" t="s">
        <v>13</v>
      </c>
      <c r="H3428" s="1">
        <v>45993.723611111112</v>
      </c>
      <c r="I3428" s="5">
        <f>INT(TB[[#This Row],[时间戳]])</f>
        <v>45993</v>
      </c>
      <c r="J3428" s="2">
        <f>HOUR(TB[[#This Row],[时间戳]])</f>
        <v>17</v>
      </c>
      <c r="K3428">
        <v>6149</v>
      </c>
      <c r="L3428">
        <v>2</v>
      </c>
      <c r="M3428">
        <f>TB[[#This Row],[售价]]*TB[[#This Row],[销量]]</f>
        <v>12298</v>
      </c>
      <c r="N3428" t="str">
        <f>IF(TB[[#This Row],[售价]]&lt;1000,"低价商品",IF(TB[[#This Row],[售价]]&lt;5000,"中价商品",IF(TB[[#This Row],[售价]]&lt;10000,"高价商品","超高价商品")))</f>
        <v>高价商品</v>
      </c>
    </row>
    <row r="3429" spans="1:14" x14ac:dyDescent="0.2">
      <c r="A3429">
        <v>248</v>
      </c>
      <c r="B3429">
        <v>156</v>
      </c>
      <c r="C3429" t="s">
        <v>10</v>
      </c>
      <c r="D3429" t="s">
        <v>134</v>
      </c>
      <c r="E3429" t="s">
        <v>22</v>
      </c>
      <c r="F3429">
        <v>1</v>
      </c>
      <c r="G3429" t="s">
        <v>13</v>
      </c>
      <c r="H3429" s="1">
        <v>45993.741666666669</v>
      </c>
      <c r="I3429" s="5">
        <f>INT(TB[[#This Row],[时间戳]])</f>
        <v>45993</v>
      </c>
      <c r="J3429" s="2">
        <f>HOUR(TB[[#This Row],[时间戳]])</f>
        <v>17</v>
      </c>
      <c r="K3429">
        <v>3561</v>
      </c>
      <c r="L3429">
        <v>1</v>
      </c>
      <c r="M3429">
        <f>TB[[#This Row],[售价]]*TB[[#This Row],[销量]]</f>
        <v>3561</v>
      </c>
      <c r="N3429" t="str">
        <f>IF(TB[[#This Row],[售价]]&lt;1000,"低价商品",IF(TB[[#This Row],[售价]]&lt;5000,"中价商品",IF(TB[[#This Row],[售价]]&lt;10000,"高价商品","超高价商品")))</f>
        <v>中价商品</v>
      </c>
    </row>
    <row r="3430" spans="1:14" x14ac:dyDescent="0.2">
      <c r="A3430">
        <v>799</v>
      </c>
      <c r="B3430">
        <v>100</v>
      </c>
      <c r="C3430" t="s">
        <v>20</v>
      </c>
      <c r="D3430" t="s">
        <v>261</v>
      </c>
      <c r="E3430" t="s">
        <v>22</v>
      </c>
      <c r="F3430">
        <v>1</v>
      </c>
      <c r="G3430" t="s">
        <v>13</v>
      </c>
      <c r="H3430" s="1">
        <v>45993.77847222222</v>
      </c>
      <c r="I3430" s="5">
        <f>INT(TB[[#This Row],[时间戳]])</f>
        <v>45993</v>
      </c>
      <c r="J3430" s="2">
        <f>HOUR(TB[[#This Row],[时间戳]])</f>
        <v>18</v>
      </c>
      <c r="K3430">
        <v>5344</v>
      </c>
      <c r="L3430">
        <v>2</v>
      </c>
      <c r="M3430">
        <f>TB[[#This Row],[售价]]*TB[[#This Row],[销量]]</f>
        <v>10688</v>
      </c>
      <c r="N3430" t="str">
        <f>IF(TB[[#This Row],[售价]]&lt;1000,"低价商品",IF(TB[[#This Row],[售价]]&lt;5000,"中价商品",IF(TB[[#This Row],[售价]]&lt;10000,"高价商品","超高价商品")))</f>
        <v>高价商品</v>
      </c>
    </row>
    <row r="3431" spans="1:14" x14ac:dyDescent="0.2">
      <c r="A3431">
        <v>684</v>
      </c>
      <c r="B3431">
        <v>282</v>
      </c>
      <c r="C3431" t="s">
        <v>32</v>
      </c>
      <c r="D3431" t="s">
        <v>335</v>
      </c>
      <c r="E3431" t="s">
        <v>12</v>
      </c>
      <c r="F3431">
        <v>2</v>
      </c>
      <c r="G3431" t="s">
        <v>13</v>
      </c>
      <c r="H3431" s="1">
        <v>45993.795138888891</v>
      </c>
      <c r="I3431" s="5">
        <f>INT(TB[[#This Row],[时间戳]])</f>
        <v>45993</v>
      </c>
      <c r="J3431" s="2">
        <f>HOUR(TB[[#This Row],[时间戳]])</f>
        <v>19</v>
      </c>
      <c r="K3431">
        <v>9565</v>
      </c>
      <c r="L3431">
        <v>1</v>
      </c>
      <c r="M3431">
        <f>TB[[#This Row],[售价]]*TB[[#This Row],[销量]]</f>
        <v>9565</v>
      </c>
      <c r="N3431" t="str">
        <f>IF(TB[[#This Row],[售价]]&lt;1000,"低价商品",IF(TB[[#This Row],[售价]]&lt;5000,"中价商品",IF(TB[[#This Row],[售价]]&lt;10000,"高价商品","超高价商品")))</f>
        <v>高价商品</v>
      </c>
    </row>
    <row r="3432" spans="1:14" x14ac:dyDescent="0.2">
      <c r="A3432">
        <v>218</v>
      </c>
      <c r="B3432">
        <v>120</v>
      </c>
      <c r="C3432" t="s">
        <v>17</v>
      </c>
      <c r="D3432" t="s">
        <v>28</v>
      </c>
      <c r="E3432" t="s">
        <v>12</v>
      </c>
      <c r="F3432">
        <v>2</v>
      </c>
      <c r="G3432" t="s">
        <v>13</v>
      </c>
      <c r="H3432" s="1">
        <v>45993.811111111114</v>
      </c>
      <c r="I3432" s="5">
        <f>INT(TB[[#This Row],[时间戳]])</f>
        <v>45993</v>
      </c>
      <c r="J3432" s="2">
        <f>HOUR(TB[[#This Row],[时间戳]])</f>
        <v>19</v>
      </c>
      <c r="K3432">
        <v>12529</v>
      </c>
      <c r="L3432">
        <v>1</v>
      </c>
      <c r="M3432">
        <f>TB[[#This Row],[售价]]*TB[[#This Row],[销量]]</f>
        <v>12529</v>
      </c>
      <c r="N3432" t="str">
        <f>IF(TB[[#This Row],[售价]]&lt;1000,"低价商品",IF(TB[[#This Row],[售价]]&lt;5000,"中价商品",IF(TB[[#This Row],[售价]]&lt;10000,"高价商品","超高价商品")))</f>
        <v>超高价商品</v>
      </c>
    </row>
    <row r="3433" spans="1:14" x14ac:dyDescent="0.2">
      <c r="A3433">
        <v>55</v>
      </c>
      <c r="B3433">
        <v>53</v>
      </c>
      <c r="C3433" t="s">
        <v>46</v>
      </c>
      <c r="D3433" t="s">
        <v>180</v>
      </c>
      <c r="E3433" t="s">
        <v>31</v>
      </c>
      <c r="F3433">
        <v>4</v>
      </c>
      <c r="G3433" t="s">
        <v>13</v>
      </c>
      <c r="H3433" s="1">
        <v>45993.897222222222</v>
      </c>
      <c r="I3433" s="5">
        <f>INT(TB[[#This Row],[时间戳]])</f>
        <v>45993</v>
      </c>
      <c r="J3433" s="2">
        <f>HOUR(TB[[#This Row],[时间戳]])</f>
        <v>21</v>
      </c>
      <c r="K3433">
        <v>1362</v>
      </c>
      <c r="L3433">
        <v>1</v>
      </c>
      <c r="M3433">
        <f>TB[[#This Row],[售价]]*TB[[#This Row],[销量]]</f>
        <v>1362</v>
      </c>
      <c r="N3433" t="str">
        <f>IF(TB[[#This Row],[售价]]&lt;1000,"低价商品",IF(TB[[#This Row],[售价]]&lt;5000,"中价商品",IF(TB[[#This Row],[售价]]&lt;10000,"高价商品","超高价商品")))</f>
        <v>中价商品</v>
      </c>
    </row>
    <row r="3434" spans="1:14" x14ac:dyDescent="0.2">
      <c r="A3434">
        <v>711</v>
      </c>
      <c r="B3434">
        <v>10</v>
      </c>
      <c r="C3434" t="s">
        <v>44</v>
      </c>
      <c r="D3434" t="s">
        <v>372</v>
      </c>
      <c r="E3434" t="s">
        <v>22</v>
      </c>
      <c r="F3434">
        <v>1</v>
      </c>
      <c r="G3434" t="s">
        <v>13</v>
      </c>
      <c r="H3434" s="1">
        <v>45993.92291666667</v>
      </c>
      <c r="I3434" s="5">
        <f>INT(TB[[#This Row],[时间戳]])</f>
        <v>45993</v>
      </c>
      <c r="J3434" s="2">
        <f>HOUR(TB[[#This Row],[时间戳]])</f>
        <v>22</v>
      </c>
      <c r="K3434">
        <v>6453</v>
      </c>
      <c r="L3434">
        <v>3</v>
      </c>
      <c r="M3434">
        <f>TB[[#This Row],[售价]]*TB[[#This Row],[销量]]</f>
        <v>19359</v>
      </c>
      <c r="N3434" t="str">
        <f>IF(TB[[#This Row],[售价]]&lt;1000,"低价商品",IF(TB[[#This Row],[售价]]&lt;5000,"中价商品",IF(TB[[#This Row],[售价]]&lt;10000,"高价商品","超高价商品")))</f>
        <v>高价商品</v>
      </c>
    </row>
    <row r="3435" spans="1:14" x14ac:dyDescent="0.2">
      <c r="A3435">
        <v>579</v>
      </c>
      <c r="B3435">
        <v>298</v>
      </c>
      <c r="C3435" t="s">
        <v>20</v>
      </c>
      <c r="D3435" t="s">
        <v>147</v>
      </c>
      <c r="E3435" t="s">
        <v>22</v>
      </c>
      <c r="F3435">
        <v>1</v>
      </c>
      <c r="G3435" t="s">
        <v>13</v>
      </c>
      <c r="H3435" s="1">
        <v>45993.934027777781</v>
      </c>
      <c r="I3435" s="5">
        <f>INT(TB[[#This Row],[时间戳]])</f>
        <v>45993</v>
      </c>
      <c r="J3435" s="2">
        <f>HOUR(TB[[#This Row],[时间戳]])</f>
        <v>22</v>
      </c>
      <c r="K3435">
        <v>5785</v>
      </c>
      <c r="L3435">
        <v>2</v>
      </c>
      <c r="M3435">
        <f>TB[[#This Row],[售价]]*TB[[#This Row],[销量]]</f>
        <v>11570</v>
      </c>
      <c r="N3435" t="str">
        <f>IF(TB[[#This Row],[售价]]&lt;1000,"低价商品",IF(TB[[#This Row],[售价]]&lt;5000,"中价商品",IF(TB[[#This Row],[售价]]&lt;10000,"高价商品","超高价商品")))</f>
        <v>高价商品</v>
      </c>
    </row>
    <row r="3436" spans="1:14" x14ac:dyDescent="0.2">
      <c r="A3436">
        <v>187</v>
      </c>
      <c r="B3436">
        <v>9</v>
      </c>
      <c r="C3436" t="s">
        <v>36</v>
      </c>
      <c r="D3436" t="s">
        <v>54</v>
      </c>
      <c r="E3436" t="s">
        <v>12</v>
      </c>
      <c r="F3436">
        <v>2</v>
      </c>
      <c r="G3436" t="s">
        <v>13</v>
      </c>
      <c r="H3436" s="1">
        <v>45993.956250000003</v>
      </c>
      <c r="I3436" s="5">
        <f>INT(TB[[#This Row],[时间戳]])</f>
        <v>45993</v>
      </c>
      <c r="J3436" s="2">
        <f>HOUR(TB[[#This Row],[时间戳]])</f>
        <v>22</v>
      </c>
      <c r="K3436">
        <v>5010</v>
      </c>
      <c r="L3436">
        <v>2</v>
      </c>
      <c r="M3436">
        <f>TB[[#This Row],[售价]]*TB[[#This Row],[销量]]</f>
        <v>10020</v>
      </c>
      <c r="N3436" t="str">
        <f>IF(TB[[#This Row],[售价]]&lt;1000,"低价商品",IF(TB[[#This Row],[售价]]&lt;5000,"中价商品",IF(TB[[#This Row],[售价]]&lt;10000,"高价商品","超高价商品")))</f>
        <v>高价商品</v>
      </c>
    </row>
    <row r="3437" spans="1:14" x14ac:dyDescent="0.2">
      <c r="A3437">
        <v>170</v>
      </c>
      <c r="B3437">
        <v>207</v>
      </c>
      <c r="C3437" t="s">
        <v>36</v>
      </c>
      <c r="D3437" t="s">
        <v>114</v>
      </c>
      <c r="E3437" t="s">
        <v>25</v>
      </c>
      <c r="F3437">
        <v>7</v>
      </c>
      <c r="G3437" t="s">
        <v>13</v>
      </c>
      <c r="H3437" s="1">
        <v>45993.965277777781</v>
      </c>
      <c r="I3437" s="5">
        <f>INT(TB[[#This Row],[时间戳]])</f>
        <v>45993</v>
      </c>
      <c r="J3437" s="2">
        <f>HOUR(TB[[#This Row],[时间戳]])</f>
        <v>23</v>
      </c>
      <c r="K3437">
        <v>7385</v>
      </c>
      <c r="L3437">
        <v>3</v>
      </c>
      <c r="M3437">
        <f>TB[[#This Row],[售价]]*TB[[#This Row],[销量]]</f>
        <v>22155</v>
      </c>
      <c r="N3437" t="str">
        <f>IF(TB[[#This Row],[售价]]&lt;1000,"低价商品",IF(TB[[#This Row],[售价]]&lt;5000,"中价商品",IF(TB[[#This Row],[售价]]&lt;10000,"高价商品","超高价商品")))</f>
        <v>高价商品</v>
      </c>
    </row>
    <row r="3438" spans="1:14" x14ac:dyDescent="0.2">
      <c r="A3438">
        <v>641</v>
      </c>
      <c r="B3438">
        <v>216</v>
      </c>
      <c r="C3438" t="s">
        <v>46</v>
      </c>
      <c r="D3438" t="s">
        <v>141</v>
      </c>
      <c r="E3438" t="s">
        <v>22</v>
      </c>
      <c r="F3438">
        <v>1</v>
      </c>
      <c r="G3438" t="s">
        <v>13</v>
      </c>
      <c r="H3438" s="1">
        <v>45993.970138888886</v>
      </c>
      <c r="I3438" s="5">
        <f>INT(TB[[#This Row],[时间戳]])</f>
        <v>45993</v>
      </c>
      <c r="J3438" s="2">
        <f>HOUR(TB[[#This Row],[时间戳]])</f>
        <v>23</v>
      </c>
      <c r="K3438">
        <v>7300</v>
      </c>
      <c r="L3438">
        <v>1</v>
      </c>
      <c r="M3438">
        <f>TB[[#This Row],[售价]]*TB[[#This Row],[销量]]</f>
        <v>7300</v>
      </c>
      <c r="N3438" t="str">
        <f>IF(TB[[#This Row],[售价]]&lt;1000,"低价商品",IF(TB[[#This Row],[售价]]&lt;5000,"中价商品",IF(TB[[#This Row],[售价]]&lt;10000,"高价商品","超高价商品")))</f>
        <v>高价商品</v>
      </c>
    </row>
    <row r="3439" spans="1:14" x14ac:dyDescent="0.2">
      <c r="A3439">
        <v>658</v>
      </c>
      <c r="B3439">
        <v>234</v>
      </c>
      <c r="C3439" t="s">
        <v>36</v>
      </c>
      <c r="D3439" t="s">
        <v>87</v>
      </c>
      <c r="E3439" t="s">
        <v>19</v>
      </c>
      <c r="F3439">
        <v>3</v>
      </c>
      <c r="G3439" t="s">
        <v>13</v>
      </c>
      <c r="H3439" s="1">
        <v>45993.986805555556</v>
      </c>
      <c r="I3439" s="5">
        <f>INT(TB[[#This Row],[时间戳]])</f>
        <v>45993</v>
      </c>
      <c r="J3439" s="2">
        <f>HOUR(TB[[#This Row],[时间戳]])</f>
        <v>23</v>
      </c>
      <c r="K3439">
        <v>4778</v>
      </c>
      <c r="L3439">
        <v>4</v>
      </c>
      <c r="M3439">
        <f>TB[[#This Row],[售价]]*TB[[#This Row],[销量]]</f>
        <v>19112</v>
      </c>
      <c r="N3439" t="str">
        <f>IF(TB[[#This Row],[售价]]&lt;1000,"低价商品",IF(TB[[#This Row],[售价]]&lt;5000,"中价商品",IF(TB[[#This Row],[售价]]&lt;10000,"高价商品","超高价商品")))</f>
        <v>中价商品</v>
      </c>
    </row>
    <row r="3440" spans="1:14" x14ac:dyDescent="0.2">
      <c r="A3440">
        <v>549</v>
      </c>
      <c r="B3440">
        <v>188</v>
      </c>
      <c r="C3440" t="s">
        <v>36</v>
      </c>
      <c r="D3440" t="s">
        <v>238</v>
      </c>
      <c r="E3440" t="s">
        <v>12</v>
      </c>
      <c r="F3440">
        <v>2</v>
      </c>
      <c r="G3440" t="s">
        <v>13</v>
      </c>
      <c r="H3440" s="1">
        <v>45994.035416666666</v>
      </c>
      <c r="I3440" s="5">
        <f>INT(TB[[#This Row],[时间戳]])</f>
        <v>45994</v>
      </c>
      <c r="J3440" s="2">
        <f>HOUR(TB[[#This Row],[时间戳]])</f>
        <v>0</v>
      </c>
      <c r="K3440">
        <v>5535</v>
      </c>
      <c r="L3440">
        <v>3</v>
      </c>
      <c r="M3440">
        <f>TB[[#This Row],[售价]]*TB[[#This Row],[销量]]</f>
        <v>16605</v>
      </c>
      <c r="N3440" t="str">
        <f>IF(TB[[#This Row],[售价]]&lt;1000,"低价商品",IF(TB[[#This Row],[售价]]&lt;5000,"中价商品",IF(TB[[#This Row],[售价]]&lt;10000,"高价商品","超高价商品")))</f>
        <v>高价商品</v>
      </c>
    </row>
    <row r="3441" spans="1:14" x14ac:dyDescent="0.2">
      <c r="A3441">
        <v>151</v>
      </c>
      <c r="B3441">
        <v>170</v>
      </c>
      <c r="C3441" t="s">
        <v>46</v>
      </c>
      <c r="D3441" t="s">
        <v>135</v>
      </c>
      <c r="E3441" t="s">
        <v>22</v>
      </c>
      <c r="F3441">
        <v>1</v>
      </c>
      <c r="G3441" t="s">
        <v>13</v>
      </c>
      <c r="H3441" s="1">
        <v>45994.084027777775</v>
      </c>
      <c r="I3441" s="5">
        <f>INT(TB[[#This Row],[时间戳]])</f>
        <v>45994</v>
      </c>
      <c r="J3441" s="2">
        <f>HOUR(TB[[#This Row],[时间戳]])</f>
        <v>2</v>
      </c>
      <c r="K3441">
        <v>5741</v>
      </c>
      <c r="L3441">
        <v>3</v>
      </c>
      <c r="M3441">
        <f>TB[[#This Row],[售价]]*TB[[#This Row],[销量]]</f>
        <v>17223</v>
      </c>
      <c r="N3441" t="str">
        <f>IF(TB[[#This Row],[售价]]&lt;1000,"低价商品",IF(TB[[#This Row],[售价]]&lt;5000,"中价商品",IF(TB[[#This Row],[售价]]&lt;10000,"高价商品","超高价商品")))</f>
        <v>高价商品</v>
      </c>
    </row>
    <row r="3442" spans="1:14" x14ac:dyDescent="0.2">
      <c r="A3442">
        <v>791</v>
      </c>
      <c r="B3442">
        <v>257</v>
      </c>
      <c r="C3442" t="s">
        <v>36</v>
      </c>
      <c r="D3442" t="s">
        <v>181</v>
      </c>
      <c r="E3442" t="s">
        <v>25</v>
      </c>
      <c r="F3442">
        <v>7</v>
      </c>
      <c r="G3442" t="s">
        <v>13</v>
      </c>
      <c r="H3442" s="1">
        <v>45994.091666666667</v>
      </c>
      <c r="I3442" s="5">
        <f>INT(TB[[#This Row],[时间戳]])</f>
        <v>45994</v>
      </c>
      <c r="J3442" s="2">
        <f>HOUR(TB[[#This Row],[时间戳]])</f>
        <v>2</v>
      </c>
      <c r="K3442">
        <v>5983</v>
      </c>
      <c r="L3442">
        <v>1</v>
      </c>
      <c r="M3442">
        <f>TB[[#This Row],[售价]]*TB[[#This Row],[销量]]</f>
        <v>5983</v>
      </c>
      <c r="N3442" t="str">
        <f>IF(TB[[#This Row],[售价]]&lt;1000,"低价商品",IF(TB[[#This Row],[售价]]&lt;5000,"中价商品",IF(TB[[#This Row],[售价]]&lt;10000,"高价商品","超高价商品")))</f>
        <v>高价商品</v>
      </c>
    </row>
    <row r="3443" spans="1:14" x14ac:dyDescent="0.2">
      <c r="A3443">
        <v>180</v>
      </c>
      <c r="B3443">
        <v>98</v>
      </c>
      <c r="C3443" t="s">
        <v>46</v>
      </c>
      <c r="D3443" t="s">
        <v>350</v>
      </c>
      <c r="E3443" t="s">
        <v>25</v>
      </c>
      <c r="F3443">
        <v>7</v>
      </c>
      <c r="G3443" t="s">
        <v>13</v>
      </c>
      <c r="H3443" s="1">
        <v>45994.105555555558</v>
      </c>
      <c r="I3443" s="5">
        <f>INT(TB[[#This Row],[时间戳]])</f>
        <v>45994</v>
      </c>
      <c r="J3443" s="2">
        <f>HOUR(TB[[#This Row],[时间戳]])</f>
        <v>2</v>
      </c>
      <c r="K3443">
        <v>4127</v>
      </c>
      <c r="L3443">
        <v>2</v>
      </c>
      <c r="M3443">
        <f>TB[[#This Row],[售价]]*TB[[#This Row],[销量]]</f>
        <v>8254</v>
      </c>
      <c r="N3443" t="str">
        <f>IF(TB[[#This Row],[售价]]&lt;1000,"低价商品",IF(TB[[#This Row],[售价]]&lt;5000,"中价商品",IF(TB[[#This Row],[售价]]&lt;10000,"高价商品","超高价商品")))</f>
        <v>中价商品</v>
      </c>
    </row>
    <row r="3444" spans="1:14" x14ac:dyDescent="0.2">
      <c r="A3444">
        <v>800</v>
      </c>
      <c r="B3444">
        <v>73</v>
      </c>
      <c r="C3444" t="s">
        <v>32</v>
      </c>
      <c r="D3444" t="s">
        <v>148</v>
      </c>
      <c r="E3444" t="s">
        <v>16</v>
      </c>
      <c r="F3444">
        <v>6</v>
      </c>
      <c r="G3444" t="s">
        <v>13</v>
      </c>
      <c r="H3444" s="1">
        <v>45994.109722222223</v>
      </c>
      <c r="I3444" s="5">
        <f>INT(TB[[#This Row],[时间戳]])</f>
        <v>45994</v>
      </c>
      <c r="J3444" s="2">
        <f>HOUR(TB[[#This Row],[时间戳]])</f>
        <v>2</v>
      </c>
      <c r="K3444">
        <v>3669</v>
      </c>
      <c r="L3444">
        <v>1</v>
      </c>
      <c r="M3444">
        <f>TB[[#This Row],[售价]]*TB[[#This Row],[销量]]</f>
        <v>3669</v>
      </c>
      <c r="N3444" t="str">
        <f>IF(TB[[#This Row],[售价]]&lt;1000,"低价商品",IF(TB[[#This Row],[售价]]&lt;5000,"中价商品",IF(TB[[#This Row],[售价]]&lt;10000,"高价商品","超高价商品")))</f>
        <v>中价商品</v>
      </c>
    </row>
    <row r="3445" spans="1:14" x14ac:dyDescent="0.2">
      <c r="A3445">
        <v>574</v>
      </c>
      <c r="B3445">
        <v>29</v>
      </c>
      <c r="C3445" t="s">
        <v>17</v>
      </c>
      <c r="D3445" t="s">
        <v>292</v>
      </c>
      <c r="E3445" t="s">
        <v>25</v>
      </c>
      <c r="F3445">
        <v>7</v>
      </c>
      <c r="G3445" t="s">
        <v>13</v>
      </c>
      <c r="H3445" s="1">
        <v>45994.209722222222</v>
      </c>
      <c r="I3445" s="5">
        <f>INT(TB[[#This Row],[时间戳]])</f>
        <v>45994</v>
      </c>
      <c r="J3445" s="2">
        <f>HOUR(TB[[#This Row],[时间戳]])</f>
        <v>5</v>
      </c>
      <c r="K3445">
        <v>7879</v>
      </c>
      <c r="L3445">
        <v>3</v>
      </c>
      <c r="M3445">
        <f>TB[[#This Row],[售价]]*TB[[#This Row],[销量]]</f>
        <v>23637</v>
      </c>
      <c r="N3445" t="str">
        <f>IF(TB[[#This Row],[售价]]&lt;1000,"低价商品",IF(TB[[#This Row],[售价]]&lt;5000,"中价商品",IF(TB[[#This Row],[售价]]&lt;10000,"高价商品","超高价商品")))</f>
        <v>高价商品</v>
      </c>
    </row>
    <row r="3446" spans="1:14" x14ac:dyDescent="0.2">
      <c r="A3446">
        <v>485</v>
      </c>
      <c r="B3446">
        <v>80</v>
      </c>
      <c r="C3446" t="s">
        <v>10</v>
      </c>
      <c r="D3446" t="s">
        <v>189</v>
      </c>
      <c r="E3446" t="s">
        <v>22</v>
      </c>
      <c r="F3446">
        <v>1</v>
      </c>
      <c r="G3446" t="s">
        <v>42</v>
      </c>
      <c r="H3446" s="1">
        <v>45994.282638888886</v>
      </c>
      <c r="I3446" s="5">
        <f>INT(TB[[#This Row],[时间戳]])</f>
        <v>45994</v>
      </c>
      <c r="J3446" s="2">
        <f>HOUR(TB[[#This Row],[时间戳]])</f>
        <v>6</v>
      </c>
      <c r="K3446">
        <v>4458</v>
      </c>
      <c r="L3446">
        <v>0</v>
      </c>
      <c r="M3446">
        <f>TB[[#This Row],[售价]]*TB[[#This Row],[销量]]</f>
        <v>0</v>
      </c>
      <c r="N3446" t="str">
        <f>IF(TB[[#This Row],[售价]]&lt;1000,"低价商品",IF(TB[[#This Row],[售价]]&lt;5000,"中价商品",IF(TB[[#This Row],[售价]]&lt;10000,"高价商品","超高价商品")))</f>
        <v>中价商品</v>
      </c>
    </row>
    <row r="3447" spans="1:14" x14ac:dyDescent="0.2">
      <c r="A3447">
        <v>783</v>
      </c>
      <c r="B3447">
        <v>214</v>
      </c>
      <c r="C3447" t="s">
        <v>14</v>
      </c>
      <c r="D3447" t="s">
        <v>405</v>
      </c>
      <c r="E3447" t="s">
        <v>19</v>
      </c>
      <c r="F3447">
        <v>3</v>
      </c>
      <c r="G3447" t="s">
        <v>13</v>
      </c>
      <c r="H3447" s="1">
        <v>45994.302083333336</v>
      </c>
      <c r="I3447" s="5">
        <f>INT(TB[[#This Row],[时间戳]])</f>
        <v>45994</v>
      </c>
      <c r="J3447" s="2">
        <f>HOUR(TB[[#This Row],[时间戳]])</f>
        <v>7</v>
      </c>
      <c r="K3447">
        <v>4887</v>
      </c>
      <c r="L3447">
        <v>3</v>
      </c>
      <c r="M3447">
        <f>TB[[#This Row],[售价]]*TB[[#This Row],[销量]]</f>
        <v>14661</v>
      </c>
      <c r="N3447" t="str">
        <f>IF(TB[[#This Row],[售价]]&lt;1000,"低价商品",IF(TB[[#This Row],[售价]]&lt;5000,"中价商品",IF(TB[[#This Row],[售价]]&lt;10000,"高价商品","超高价商品")))</f>
        <v>中价商品</v>
      </c>
    </row>
    <row r="3448" spans="1:14" x14ac:dyDescent="0.2">
      <c r="A3448">
        <v>768</v>
      </c>
      <c r="B3448">
        <v>111</v>
      </c>
      <c r="C3448" t="s">
        <v>44</v>
      </c>
      <c r="D3448" t="s">
        <v>70</v>
      </c>
      <c r="E3448" t="s">
        <v>12</v>
      </c>
      <c r="F3448">
        <v>2</v>
      </c>
      <c r="G3448" t="s">
        <v>13</v>
      </c>
      <c r="H3448" s="1">
        <v>45994.332638888889</v>
      </c>
      <c r="I3448" s="5">
        <f>INT(TB[[#This Row],[时间戳]])</f>
        <v>45994</v>
      </c>
      <c r="J3448" s="2">
        <f>HOUR(TB[[#This Row],[时间戳]])</f>
        <v>7</v>
      </c>
      <c r="K3448">
        <v>4628</v>
      </c>
      <c r="L3448">
        <v>3</v>
      </c>
      <c r="M3448">
        <f>TB[[#This Row],[售价]]*TB[[#This Row],[销量]]</f>
        <v>13884</v>
      </c>
      <c r="N3448" t="str">
        <f>IF(TB[[#This Row],[售价]]&lt;1000,"低价商品",IF(TB[[#This Row],[售价]]&lt;5000,"中价商品",IF(TB[[#This Row],[售价]]&lt;10000,"高价商品","超高价商品")))</f>
        <v>中价商品</v>
      </c>
    </row>
    <row r="3449" spans="1:14" x14ac:dyDescent="0.2">
      <c r="A3449">
        <v>622</v>
      </c>
      <c r="B3449">
        <v>113</v>
      </c>
      <c r="C3449" t="s">
        <v>32</v>
      </c>
      <c r="D3449" t="s">
        <v>200</v>
      </c>
      <c r="E3449" t="s">
        <v>25</v>
      </c>
      <c r="F3449">
        <v>7</v>
      </c>
      <c r="G3449" t="s">
        <v>13</v>
      </c>
      <c r="H3449" s="1">
        <v>45994.355555555558</v>
      </c>
      <c r="I3449" s="5">
        <f>INT(TB[[#This Row],[时间戳]])</f>
        <v>45994</v>
      </c>
      <c r="J3449" s="2">
        <f>HOUR(TB[[#This Row],[时间戳]])</f>
        <v>8</v>
      </c>
      <c r="K3449">
        <v>4122</v>
      </c>
      <c r="L3449">
        <v>1</v>
      </c>
      <c r="M3449">
        <f>TB[[#This Row],[售价]]*TB[[#This Row],[销量]]</f>
        <v>4122</v>
      </c>
      <c r="N3449" t="str">
        <f>IF(TB[[#This Row],[售价]]&lt;1000,"低价商品",IF(TB[[#This Row],[售价]]&lt;5000,"中价商品",IF(TB[[#This Row],[售价]]&lt;10000,"高价商品","超高价商品")))</f>
        <v>中价商品</v>
      </c>
    </row>
    <row r="3450" spans="1:14" x14ac:dyDescent="0.2">
      <c r="A3450">
        <v>666</v>
      </c>
      <c r="B3450">
        <v>125</v>
      </c>
      <c r="C3450" t="s">
        <v>46</v>
      </c>
      <c r="D3450" t="s">
        <v>154</v>
      </c>
      <c r="E3450" t="s">
        <v>25</v>
      </c>
      <c r="F3450">
        <v>7</v>
      </c>
      <c r="G3450" t="s">
        <v>13</v>
      </c>
      <c r="H3450" s="1">
        <v>45994.37222222222</v>
      </c>
      <c r="I3450" s="5">
        <f>INT(TB[[#This Row],[时间戳]])</f>
        <v>45994</v>
      </c>
      <c r="J3450" s="2">
        <f>HOUR(TB[[#This Row],[时间戳]])</f>
        <v>8</v>
      </c>
      <c r="K3450">
        <v>4311</v>
      </c>
      <c r="L3450">
        <v>1</v>
      </c>
      <c r="M3450">
        <f>TB[[#This Row],[售价]]*TB[[#This Row],[销量]]</f>
        <v>4311</v>
      </c>
      <c r="N3450" t="str">
        <f>IF(TB[[#This Row],[售价]]&lt;1000,"低价商品",IF(TB[[#This Row],[售价]]&lt;5000,"中价商品",IF(TB[[#This Row],[售价]]&lt;10000,"高价商品","超高价商品")))</f>
        <v>中价商品</v>
      </c>
    </row>
    <row r="3451" spans="1:14" x14ac:dyDescent="0.2">
      <c r="A3451">
        <v>292</v>
      </c>
      <c r="B3451">
        <v>2</v>
      </c>
      <c r="C3451" t="s">
        <v>20</v>
      </c>
      <c r="D3451" t="s">
        <v>78</v>
      </c>
      <c r="E3451" t="s">
        <v>22</v>
      </c>
      <c r="F3451">
        <v>1</v>
      </c>
      <c r="G3451" t="s">
        <v>13</v>
      </c>
      <c r="H3451" s="1">
        <v>45994.372916666667</v>
      </c>
      <c r="I3451" s="5">
        <f>INT(TB[[#This Row],[时间戳]])</f>
        <v>45994</v>
      </c>
      <c r="J3451" s="2">
        <f>HOUR(TB[[#This Row],[时间戳]])</f>
        <v>8</v>
      </c>
      <c r="K3451">
        <v>5131</v>
      </c>
      <c r="L3451">
        <v>2</v>
      </c>
      <c r="M3451">
        <f>TB[[#This Row],[售价]]*TB[[#This Row],[销量]]</f>
        <v>10262</v>
      </c>
      <c r="N3451" t="str">
        <f>IF(TB[[#This Row],[售价]]&lt;1000,"低价商品",IF(TB[[#This Row],[售价]]&lt;5000,"中价商品",IF(TB[[#This Row],[售价]]&lt;10000,"高价商品","超高价商品")))</f>
        <v>高价商品</v>
      </c>
    </row>
    <row r="3452" spans="1:14" x14ac:dyDescent="0.2">
      <c r="A3452">
        <v>712</v>
      </c>
      <c r="B3452">
        <v>290</v>
      </c>
      <c r="C3452" t="s">
        <v>14</v>
      </c>
      <c r="D3452" t="s">
        <v>190</v>
      </c>
      <c r="E3452" t="s">
        <v>12</v>
      </c>
      <c r="F3452">
        <v>2</v>
      </c>
      <c r="G3452" t="s">
        <v>13</v>
      </c>
      <c r="H3452" s="1">
        <v>45994.384027777778</v>
      </c>
      <c r="I3452" s="5">
        <f>INT(TB[[#This Row],[时间戳]])</f>
        <v>45994</v>
      </c>
      <c r="J3452" s="2">
        <f>HOUR(TB[[#This Row],[时间戳]])</f>
        <v>9</v>
      </c>
      <c r="K3452">
        <v>9655</v>
      </c>
      <c r="L3452">
        <v>2</v>
      </c>
      <c r="M3452">
        <f>TB[[#This Row],[售价]]*TB[[#This Row],[销量]]</f>
        <v>19310</v>
      </c>
      <c r="N3452" t="str">
        <f>IF(TB[[#This Row],[售价]]&lt;1000,"低价商品",IF(TB[[#This Row],[售价]]&lt;5000,"中价商品",IF(TB[[#This Row],[售价]]&lt;10000,"高价商品","超高价商品")))</f>
        <v>高价商品</v>
      </c>
    </row>
    <row r="3453" spans="1:14" x14ac:dyDescent="0.2">
      <c r="A3453">
        <v>563</v>
      </c>
      <c r="B3453">
        <v>76</v>
      </c>
      <c r="C3453" t="s">
        <v>34</v>
      </c>
      <c r="D3453" t="s">
        <v>307</v>
      </c>
      <c r="E3453" t="s">
        <v>22</v>
      </c>
      <c r="F3453">
        <v>1</v>
      </c>
      <c r="G3453" t="s">
        <v>13</v>
      </c>
      <c r="H3453" s="1">
        <v>45994.404861111114</v>
      </c>
      <c r="I3453" s="5">
        <f>INT(TB[[#This Row],[时间戳]])</f>
        <v>45994</v>
      </c>
      <c r="J3453" s="2">
        <f>HOUR(TB[[#This Row],[时间戳]])</f>
        <v>9</v>
      </c>
      <c r="K3453">
        <v>6019</v>
      </c>
      <c r="L3453">
        <v>3</v>
      </c>
      <c r="M3453">
        <f>TB[[#This Row],[售价]]*TB[[#This Row],[销量]]</f>
        <v>18057</v>
      </c>
      <c r="N3453" t="str">
        <f>IF(TB[[#This Row],[售价]]&lt;1000,"低价商品",IF(TB[[#This Row],[售价]]&lt;5000,"中价商品",IF(TB[[#This Row],[售价]]&lt;10000,"高价商品","超高价商品")))</f>
        <v>高价商品</v>
      </c>
    </row>
    <row r="3454" spans="1:14" x14ac:dyDescent="0.2">
      <c r="A3454">
        <v>693</v>
      </c>
      <c r="B3454">
        <v>76</v>
      </c>
      <c r="C3454" t="s">
        <v>34</v>
      </c>
      <c r="D3454" t="s">
        <v>168</v>
      </c>
      <c r="E3454" t="s">
        <v>19</v>
      </c>
      <c r="F3454">
        <v>3</v>
      </c>
      <c r="G3454" t="s">
        <v>13</v>
      </c>
      <c r="H3454" s="1">
        <v>45994.425694444442</v>
      </c>
      <c r="I3454" s="5">
        <f>INT(TB[[#This Row],[时间戳]])</f>
        <v>45994</v>
      </c>
      <c r="J3454" s="2">
        <f>HOUR(TB[[#This Row],[时间戳]])</f>
        <v>10</v>
      </c>
      <c r="K3454">
        <v>4929</v>
      </c>
      <c r="L3454">
        <v>3</v>
      </c>
      <c r="M3454">
        <f>TB[[#This Row],[售价]]*TB[[#This Row],[销量]]</f>
        <v>14787</v>
      </c>
      <c r="N3454" t="str">
        <f>IF(TB[[#This Row],[售价]]&lt;1000,"低价商品",IF(TB[[#This Row],[售价]]&lt;5000,"中价商品",IF(TB[[#This Row],[售价]]&lt;10000,"高价商品","超高价商品")))</f>
        <v>中价商品</v>
      </c>
    </row>
    <row r="3455" spans="1:14" x14ac:dyDescent="0.2">
      <c r="A3455">
        <v>564</v>
      </c>
      <c r="B3455">
        <v>196</v>
      </c>
      <c r="C3455" t="s">
        <v>36</v>
      </c>
      <c r="D3455" t="s">
        <v>187</v>
      </c>
      <c r="E3455" t="s">
        <v>12</v>
      </c>
      <c r="F3455">
        <v>2</v>
      </c>
      <c r="G3455" t="s">
        <v>13</v>
      </c>
      <c r="H3455" s="1">
        <v>45994.434027777781</v>
      </c>
      <c r="I3455" s="5">
        <f>INT(TB[[#This Row],[时间戳]])</f>
        <v>45994</v>
      </c>
      <c r="J3455" s="2">
        <f>HOUR(TB[[#This Row],[时间戳]])</f>
        <v>10</v>
      </c>
      <c r="K3455">
        <v>11251</v>
      </c>
      <c r="L3455">
        <v>2</v>
      </c>
      <c r="M3455">
        <f>TB[[#This Row],[售价]]*TB[[#This Row],[销量]]</f>
        <v>22502</v>
      </c>
      <c r="N3455" t="str">
        <f>IF(TB[[#This Row],[售价]]&lt;1000,"低价商品",IF(TB[[#This Row],[售价]]&lt;5000,"中价商品",IF(TB[[#This Row],[售价]]&lt;10000,"高价商品","超高价商品")))</f>
        <v>超高价商品</v>
      </c>
    </row>
    <row r="3456" spans="1:14" x14ac:dyDescent="0.2">
      <c r="A3456">
        <v>646</v>
      </c>
      <c r="B3456">
        <v>38</v>
      </c>
      <c r="C3456" t="s">
        <v>34</v>
      </c>
      <c r="D3456" t="s">
        <v>402</v>
      </c>
      <c r="E3456" t="s">
        <v>16</v>
      </c>
      <c r="F3456">
        <v>6</v>
      </c>
      <c r="G3456" t="s">
        <v>13</v>
      </c>
      <c r="H3456" s="1">
        <v>45994.486805555556</v>
      </c>
      <c r="I3456" s="5">
        <f>INT(TB[[#This Row],[时间戳]])</f>
        <v>45994</v>
      </c>
      <c r="J3456" s="2">
        <f>HOUR(TB[[#This Row],[时间戳]])</f>
        <v>11</v>
      </c>
      <c r="K3456">
        <v>11379</v>
      </c>
      <c r="L3456">
        <v>4</v>
      </c>
      <c r="M3456">
        <f>TB[[#This Row],[售价]]*TB[[#This Row],[销量]]</f>
        <v>45516</v>
      </c>
      <c r="N3456" t="str">
        <f>IF(TB[[#This Row],[售价]]&lt;1000,"低价商品",IF(TB[[#This Row],[售价]]&lt;5000,"中价商品",IF(TB[[#This Row],[售价]]&lt;10000,"高价商品","超高价商品")))</f>
        <v>超高价商品</v>
      </c>
    </row>
    <row r="3457" spans="1:14" x14ac:dyDescent="0.2">
      <c r="A3457">
        <v>437</v>
      </c>
      <c r="B3457">
        <v>51</v>
      </c>
      <c r="C3457" t="s">
        <v>20</v>
      </c>
      <c r="D3457" t="s">
        <v>353</v>
      </c>
      <c r="E3457" t="s">
        <v>25</v>
      </c>
      <c r="F3457">
        <v>7</v>
      </c>
      <c r="G3457" t="s">
        <v>13</v>
      </c>
      <c r="H3457" s="1">
        <v>45994.489583333336</v>
      </c>
      <c r="I3457" s="5">
        <f>INT(TB[[#This Row],[时间戳]])</f>
        <v>45994</v>
      </c>
      <c r="J3457" s="2">
        <f>HOUR(TB[[#This Row],[时间戳]])</f>
        <v>11</v>
      </c>
      <c r="K3457">
        <v>3081</v>
      </c>
      <c r="L3457">
        <v>1</v>
      </c>
      <c r="M3457">
        <f>TB[[#This Row],[售价]]*TB[[#This Row],[销量]]</f>
        <v>3081</v>
      </c>
      <c r="N3457" t="str">
        <f>IF(TB[[#This Row],[售价]]&lt;1000,"低价商品",IF(TB[[#This Row],[售价]]&lt;5000,"中价商品",IF(TB[[#This Row],[售价]]&lt;10000,"高价商品","超高价商品")))</f>
        <v>中价商品</v>
      </c>
    </row>
    <row r="3458" spans="1:14" x14ac:dyDescent="0.2">
      <c r="A3458">
        <v>322</v>
      </c>
      <c r="B3458">
        <v>293</v>
      </c>
      <c r="C3458" t="s">
        <v>32</v>
      </c>
      <c r="D3458" t="s">
        <v>336</v>
      </c>
      <c r="E3458" t="s">
        <v>16</v>
      </c>
      <c r="F3458">
        <v>6</v>
      </c>
      <c r="G3458" t="s">
        <v>13</v>
      </c>
      <c r="H3458" s="1">
        <v>45994.50277777778</v>
      </c>
      <c r="I3458" s="5">
        <f>INT(TB[[#This Row],[时间戳]])</f>
        <v>45994</v>
      </c>
      <c r="J3458" s="2">
        <f>HOUR(TB[[#This Row],[时间戳]])</f>
        <v>12</v>
      </c>
      <c r="K3458">
        <v>4579</v>
      </c>
      <c r="L3458">
        <v>2</v>
      </c>
      <c r="M3458">
        <f>TB[[#This Row],[售价]]*TB[[#This Row],[销量]]</f>
        <v>9158</v>
      </c>
      <c r="N3458" t="str">
        <f>IF(TB[[#This Row],[售价]]&lt;1000,"低价商品",IF(TB[[#This Row],[售价]]&lt;5000,"中价商品",IF(TB[[#This Row],[售价]]&lt;10000,"高价商品","超高价商品")))</f>
        <v>中价商品</v>
      </c>
    </row>
    <row r="3459" spans="1:14" x14ac:dyDescent="0.2">
      <c r="A3459">
        <v>197</v>
      </c>
      <c r="B3459">
        <v>137</v>
      </c>
      <c r="C3459" t="s">
        <v>14</v>
      </c>
      <c r="D3459" t="s">
        <v>228</v>
      </c>
      <c r="E3459" t="s">
        <v>31</v>
      </c>
      <c r="F3459">
        <v>4</v>
      </c>
      <c r="G3459" t="s">
        <v>13</v>
      </c>
      <c r="H3459" s="1">
        <v>45994.524305555555</v>
      </c>
      <c r="I3459" s="5">
        <f>INT(TB[[#This Row],[时间戳]])</f>
        <v>45994</v>
      </c>
      <c r="J3459" s="2">
        <f>HOUR(TB[[#This Row],[时间戳]])</f>
        <v>12</v>
      </c>
      <c r="K3459">
        <v>923</v>
      </c>
      <c r="L3459">
        <v>2</v>
      </c>
      <c r="M3459">
        <f>TB[[#This Row],[售价]]*TB[[#This Row],[销量]]</f>
        <v>1846</v>
      </c>
      <c r="N3459" t="str">
        <f>IF(TB[[#This Row],[售价]]&lt;1000,"低价商品",IF(TB[[#This Row],[售价]]&lt;5000,"中价商品",IF(TB[[#This Row],[售价]]&lt;10000,"高价商品","超高价商品")))</f>
        <v>低价商品</v>
      </c>
    </row>
    <row r="3460" spans="1:14" x14ac:dyDescent="0.2">
      <c r="A3460">
        <v>602</v>
      </c>
      <c r="B3460">
        <v>160</v>
      </c>
      <c r="C3460" t="s">
        <v>26</v>
      </c>
      <c r="D3460" t="s">
        <v>27</v>
      </c>
      <c r="E3460" t="s">
        <v>22</v>
      </c>
      <c r="F3460">
        <v>1</v>
      </c>
      <c r="G3460" t="s">
        <v>13</v>
      </c>
      <c r="H3460" s="1">
        <v>45994.546527777777</v>
      </c>
      <c r="I3460" s="5">
        <f>INT(TB[[#This Row],[时间戳]])</f>
        <v>45994</v>
      </c>
      <c r="J3460" s="2">
        <f>HOUR(TB[[#This Row],[时间戳]])</f>
        <v>13</v>
      </c>
      <c r="K3460">
        <v>4342</v>
      </c>
      <c r="L3460">
        <v>2</v>
      </c>
      <c r="M3460">
        <f>TB[[#This Row],[售价]]*TB[[#This Row],[销量]]</f>
        <v>8684</v>
      </c>
      <c r="N3460" t="str">
        <f>IF(TB[[#This Row],[售价]]&lt;1000,"低价商品",IF(TB[[#This Row],[售价]]&lt;5000,"中价商品",IF(TB[[#This Row],[售价]]&lt;10000,"高价商品","超高价商品")))</f>
        <v>中价商品</v>
      </c>
    </row>
    <row r="3461" spans="1:14" x14ac:dyDescent="0.2">
      <c r="A3461">
        <v>42</v>
      </c>
      <c r="B3461">
        <v>16</v>
      </c>
      <c r="C3461" t="s">
        <v>36</v>
      </c>
      <c r="D3461" t="s">
        <v>146</v>
      </c>
      <c r="E3461" t="s">
        <v>22</v>
      </c>
      <c r="F3461">
        <v>1</v>
      </c>
      <c r="G3461" t="s">
        <v>13</v>
      </c>
      <c r="H3461" s="1">
        <v>45994.56527777778</v>
      </c>
      <c r="I3461" s="5">
        <f>INT(TB[[#This Row],[时间戳]])</f>
        <v>45994</v>
      </c>
      <c r="J3461" s="2">
        <f>HOUR(TB[[#This Row],[时间戳]])</f>
        <v>13</v>
      </c>
      <c r="K3461">
        <v>8000</v>
      </c>
      <c r="L3461">
        <v>1</v>
      </c>
      <c r="M3461">
        <f>TB[[#This Row],[售价]]*TB[[#This Row],[销量]]</f>
        <v>8000</v>
      </c>
      <c r="N3461" t="str">
        <f>IF(TB[[#This Row],[售价]]&lt;1000,"低价商品",IF(TB[[#This Row],[售价]]&lt;5000,"中价商品",IF(TB[[#This Row],[售价]]&lt;10000,"高价商品","超高价商品")))</f>
        <v>高价商品</v>
      </c>
    </row>
    <row r="3462" spans="1:14" x14ac:dyDescent="0.2">
      <c r="A3462">
        <v>7</v>
      </c>
      <c r="B3462">
        <v>264</v>
      </c>
      <c r="C3462" t="s">
        <v>32</v>
      </c>
      <c r="D3462" t="s">
        <v>71</v>
      </c>
      <c r="E3462" t="s">
        <v>25</v>
      </c>
      <c r="F3462">
        <v>7</v>
      </c>
      <c r="G3462" t="s">
        <v>13</v>
      </c>
      <c r="H3462" s="1">
        <v>45994.571527777778</v>
      </c>
      <c r="I3462" s="5">
        <f>INT(TB[[#This Row],[时间戳]])</f>
        <v>45994</v>
      </c>
      <c r="J3462" s="2">
        <f>HOUR(TB[[#This Row],[时间戳]])</f>
        <v>13</v>
      </c>
      <c r="K3462">
        <v>2889</v>
      </c>
      <c r="L3462">
        <v>2</v>
      </c>
      <c r="M3462">
        <f>TB[[#This Row],[售价]]*TB[[#This Row],[销量]]</f>
        <v>5778</v>
      </c>
      <c r="N3462" t="str">
        <f>IF(TB[[#This Row],[售价]]&lt;1000,"低价商品",IF(TB[[#This Row],[售价]]&lt;5000,"中价商品",IF(TB[[#This Row],[售价]]&lt;10000,"高价商品","超高价商品")))</f>
        <v>中价商品</v>
      </c>
    </row>
    <row r="3463" spans="1:14" x14ac:dyDescent="0.2">
      <c r="A3463">
        <v>65</v>
      </c>
      <c r="B3463">
        <v>29</v>
      </c>
      <c r="C3463" t="s">
        <v>17</v>
      </c>
      <c r="D3463" t="s">
        <v>137</v>
      </c>
      <c r="E3463" t="s">
        <v>31</v>
      </c>
      <c r="F3463">
        <v>4</v>
      </c>
      <c r="G3463" t="s">
        <v>13</v>
      </c>
      <c r="H3463" s="1">
        <v>45994.574305555558</v>
      </c>
      <c r="I3463" s="5">
        <f>INT(TB[[#This Row],[时间戳]])</f>
        <v>45994</v>
      </c>
      <c r="J3463" s="2">
        <f>HOUR(TB[[#This Row],[时间戳]])</f>
        <v>13</v>
      </c>
      <c r="K3463">
        <v>1046</v>
      </c>
      <c r="L3463">
        <v>3</v>
      </c>
      <c r="M3463">
        <f>TB[[#This Row],[售价]]*TB[[#This Row],[销量]]</f>
        <v>3138</v>
      </c>
      <c r="N3463" t="str">
        <f>IF(TB[[#This Row],[售价]]&lt;1000,"低价商品",IF(TB[[#This Row],[售价]]&lt;5000,"中价商品",IF(TB[[#This Row],[售价]]&lt;10000,"高价商品","超高价商品")))</f>
        <v>中价商品</v>
      </c>
    </row>
    <row r="3464" spans="1:14" x14ac:dyDescent="0.2">
      <c r="A3464">
        <v>207</v>
      </c>
      <c r="B3464">
        <v>39</v>
      </c>
      <c r="C3464" t="s">
        <v>17</v>
      </c>
      <c r="D3464" t="s">
        <v>292</v>
      </c>
      <c r="E3464" t="s">
        <v>25</v>
      </c>
      <c r="F3464">
        <v>7</v>
      </c>
      <c r="G3464" t="s">
        <v>13</v>
      </c>
      <c r="H3464" s="1">
        <v>45994.593055555553</v>
      </c>
      <c r="I3464" s="5">
        <f>INT(TB[[#This Row],[时间戳]])</f>
        <v>45994</v>
      </c>
      <c r="J3464" s="2">
        <f>HOUR(TB[[#This Row],[时间戳]])</f>
        <v>14</v>
      </c>
      <c r="K3464">
        <v>2646</v>
      </c>
      <c r="L3464">
        <v>3</v>
      </c>
      <c r="M3464">
        <f>TB[[#This Row],[售价]]*TB[[#This Row],[销量]]</f>
        <v>7938</v>
      </c>
      <c r="N3464" t="str">
        <f>IF(TB[[#This Row],[售价]]&lt;1000,"低价商品",IF(TB[[#This Row],[售价]]&lt;5000,"中价商品",IF(TB[[#This Row],[售价]]&lt;10000,"高价商品","超高价商品")))</f>
        <v>中价商品</v>
      </c>
    </row>
    <row r="3465" spans="1:14" x14ac:dyDescent="0.2">
      <c r="A3465">
        <v>343</v>
      </c>
      <c r="B3465">
        <v>14</v>
      </c>
      <c r="C3465" t="s">
        <v>32</v>
      </c>
      <c r="D3465" t="s">
        <v>212</v>
      </c>
      <c r="E3465" t="s">
        <v>22</v>
      </c>
      <c r="F3465">
        <v>1</v>
      </c>
      <c r="G3465" t="s">
        <v>13</v>
      </c>
      <c r="H3465" s="1">
        <v>45994.609722222223</v>
      </c>
      <c r="I3465" s="5">
        <f>INT(TB[[#This Row],[时间戳]])</f>
        <v>45994</v>
      </c>
      <c r="J3465" s="2">
        <f>HOUR(TB[[#This Row],[时间戳]])</f>
        <v>14</v>
      </c>
      <c r="K3465">
        <v>1807</v>
      </c>
      <c r="L3465">
        <v>3</v>
      </c>
      <c r="M3465">
        <f>TB[[#This Row],[售价]]*TB[[#This Row],[销量]]</f>
        <v>5421</v>
      </c>
      <c r="N3465" t="str">
        <f>IF(TB[[#This Row],[售价]]&lt;1000,"低价商品",IF(TB[[#This Row],[售价]]&lt;5000,"中价商品",IF(TB[[#This Row],[售价]]&lt;10000,"高价商品","超高价商品")))</f>
        <v>中价商品</v>
      </c>
    </row>
    <row r="3466" spans="1:14" x14ac:dyDescent="0.2">
      <c r="A3466">
        <v>58</v>
      </c>
      <c r="B3466">
        <v>143</v>
      </c>
      <c r="C3466" t="s">
        <v>17</v>
      </c>
      <c r="D3466" t="s">
        <v>191</v>
      </c>
      <c r="E3466" t="s">
        <v>39</v>
      </c>
      <c r="F3466">
        <v>5</v>
      </c>
      <c r="G3466" t="s">
        <v>13</v>
      </c>
      <c r="H3466" s="1">
        <v>45994.613888888889</v>
      </c>
      <c r="I3466" s="5">
        <f>INT(TB[[#This Row],[时间戳]])</f>
        <v>45994</v>
      </c>
      <c r="J3466" s="2">
        <f>HOUR(TB[[#This Row],[时间戳]])</f>
        <v>14</v>
      </c>
      <c r="K3466">
        <v>829</v>
      </c>
      <c r="L3466">
        <v>1</v>
      </c>
      <c r="M3466">
        <f>TB[[#This Row],[售价]]*TB[[#This Row],[销量]]</f>
        <v>829</v>
      </c>
      <c r="N3466" t="str">
        <f>IF(TB[[#This Row],[售价]]&lt;1000,"低价商品",IF(TB[[#This Row],[售价]]&lt;5000,"中价商品",IF(TB[[#This Row],[售价]]&lt;10000,"高价商品","超高价商品")))</f>
        <v>低价商品</v>
      </c>
    </row>
    <row r="3467" spans="1:14" x14ac:dyDescent="0.2">
      <c r="A3467">
        <v>756</v>
      </c>
      <c r="B3467">
        <v>165</v>
      </c>
      <c r="C3467" t="s">
        <v>46</v>
      </c>
      <c r="D3467" t="s">
        <v>401</v>
      </c>
      <c r="E3467" t="s">
        <v>39</v>
      </c>
      <c r="F3467">
        <v>5</v>
      </c>
      <c r="G3467" t="s">
        <v>13</v>
      </c>
      <c r="H3467" s="1">
        <v>45994.636111111111</v>
      </c>
      <c r="I3467" s="5">
        <f>INT(TB[[#This Row],[时间戳]])</f>
        <v>45994</v>
      </c>
      <c r="J3467" s="2">
        <f>HOUR(TB[[#This Row],[时间戳]])</f>
        <v>15</v>
      </c>
      <c r="K3467">
        <v>1078</v>
      </c>
      <c r="L3467">
        <v>1</v>
      </c>
      <c r="M3467">
        <f>TB[[#This Row],[售价]]*TB[[#This Row],[销量]]</f>
        <v>1078</v>
      </c>
      <c r="N3467" t="str">
        <f>IF(TB[[#This Row],[售价]]&lt;1000,"低价商品",IF(TB[[#This Row],[售价]]&lt;5000,"中价商品",IF(TB[[#This Row],[售价]]&lt;10000,"高价商品","超高价商品")))</f>
        <v>中价商品</v>
      </c>
    </row>
    <row r="3468" spans="1:14" x14ac:dyDescent="0.2">
      <c r="A3468">
        <v>645</v>
      </c>
      <c r="B3468">
        <v>268</v>
      </c>
      <c r="C3468" t="s">
        <v>17</v>
      </c>
      <c r="D3468" t="s">
        <v>285</v>
      </c>
      <c r="E3468" t="s">
        <v>25</v>
      </c>
      <c r="F3468">
        <v>7</v>
      </c>
      <c r="G3468" t="s">
        <v>13</v>
      </c>
      <c r="H3468" s="1">
        <v>45994.647222222222</v>
      </c>
      <c r="I3468" s="5">
        <f>INT(TB[[#This Row],[时间戳]])</f>
        <v>45994</v>
      </c>
      <c r="J3468" s="2">
        <f>HOUR(TB[[#This Row],[时间戳]])</f>
        <v>15</v>
      </c>
      <c r="K3468">
        <v>1977</v>
      </c>
      <c r="L3468">
        <v>2</v>
      </c>
      <c r="M3468">
        <f>TB[[#This Row],[售价]]*TB[[#This Row],[销量]]</f>
        <v>3954</v>
      </c>
      <c r="N3468" t="str">
        <f>IF(TB[[#This Row],[售价]]&lt;1000,"低价商品",IF(TB[[#This Row],[售价]]&lt;5000,"中价商品",IF(TB[[#This Row],[售价]]&lt;10000,"高价商品","超高价商品")))</f>
        <v>中价商品</v>
      </c>
    </row>
    <row r="3469" spans="1:14" x14ac:dyDescent="0.2">
      <c r="A3469">
        <v>643</v>
      </c>
      <c r="B3469">
        <v>74</v>
      </c>
      <c r="C3469" t="s">
        <v>44</v>
      </c>
      <c r="D3469" t="s">
        <v>169</v>
      </c>
      <c r="E3469" t="s">
        <v>31</v>
      </c>
      <c r="F3469">
        <v>4</v>
      </c>
      <c r="G3469" t="s">
        <v>13</v>
      </c>
      <c r="H3469" s="1">
        <v>45994.667361111111</v>
      </c>
      <c r="I3469" s="5">
        <f>INT(TB[[#This Row],[时间戳]])</f>
        <v>45994</v>
      </c>
      <c r="J3469" s="2">
        <f>HOUR(TB[[#This Row],[时间戳]])</f>
        <v>16</v>
      </c>
      <c r="K3469">
        <v>549</v>
      </c>
      <c r="L3469">
        <v>2</v>
      </c>
      <c r="M3469">
        <f>TB[[#This Row],[售价]]*TB[[#This Row],[销量]]</f>
        <v>1098</v>
      </c>
      <c r="N3469" t="str">
        <f>IF(TB[[#This Row],[售价]]&lt;1000,"低价商品",IF(TB[[#This Row],[售价]]&lt;5000,"中价商品",IF(TB[[#This Row],[售价]]&lt;10000,"高价商品","超高价商品")))</f>
        <v>低价商品</v>
      </c>
    </row>
    <row r="3470" spans="1:14" x14ac:dyDescent="0.2">
      <c r="A3470">
        <v>653</v>
      </c>
      <c r="B3470">
        <v>144</v>
      </c>
      <c r="C3470" t="s">
        <v>34</v>
      </c>
      <c r="D3470" t="s">
        <v>175</v>
      </c>
      <c r="E3470" t="s">
        <v>22</v>
      </c>
      <c r="F3470">
        <v>1</v>
      </c>
      <c r="G3470" t="s">
        <v>13</v>
      </c>
      <c r="H3470" s="1">
        <v>45994.700694444444</v>
      </c>
      <c r="I3470" s="5">
        <f>INT(TB[[#This Row],[时间戳]])</f>
        <v>45994</v>
      </c>
      <c r="J3470" s="2">
        <f>HOUR(TB[[#This Row],[时间戳]])</f>
        <v>16</v>
      </c>
      <c r="K3470">
        <v>1585</v>
      </c>
      <c r="L3470">
        <v>4</v>
      </c>
      <c r="M3470">
        <f>TB[[#This Row],[售价]]*TB[[#This Row],[销量]]</f>
        <v>6340</v>
      </c>
      <c r="N3470" t="str">
        <f>IF(TB[[#This Row],[售价]]&lt;1000,"低价商品",IF(TB[[#This Row],[售价]]&lt;5000,"中价商品",IF(TB[[#This Row],[售价]]&lt;10000,"高价商品","超高价商品")))</f>
        <v>中价商品</v>
      </c>
    </row>
    <row r="3471" spans="1:14" x14ac:dyDescent="0.2">
      <c r="A3471">
        <v>454</v>
      </c>
      <c r="B3471">
        <v>145</v>
      </c>
      <c r="C3471" t="s">
        <v>44</v>
      </c>
      <c r="D3471" t="s">
        <v>66</v>
      </c>
      <c r="E3471" t="s">
        <v>22</v>
      </c>
      <c r="F3471">
        <v>1</v>
      </c>
      <c r="G3471" t="s">
        <v>42</v>
      </c>
      <c r="H3471" s="1">
        <v>45994.70416666667</v>
      </c>
      <c r="I3471" s="5">
        <f>INT(TB[[#This Row],[时间戳]])</f>
        <v>45994</v>
      </c>
      <c r="J3471" s="2">
        <f>HOUR(TB[[#This Row],[时间戳]])</f>
        <v>16</v>
      </c>
      <c r="K3471">
        <v>3020</v>
      </c>
      <c r="L3471">
        <v>0</v>
      </c>
      <c r="M3471">
        <f>TB[[#This Row],[售价]]*TB[[#This Row],[销量]]</f>
        <v>0</v>
      </c>
      <c r="N3471" t="str">
        <f>IF(TB[[#This Row],[售价]]&lt;1000,"低价商品",IF(TB[[#This Row],[售价]]&lt;5000,"中价商品",IF(TB[[#This Row],[售价]]&lt;10000,"高价商品","超高价商品")))</f>
        <v>中价商品</v>
      </c>
    </row>
    <row r="3472" spans="1:14" x14ac:dyDescent="0.2">
      <c r="A3472">
        <v>460</v>
      </c>
      <c r="B3472">
        <v>72</v>
      </c>
      <c r="C3472" t="s">
        <v>10</v>
      </c>
      <c r="D3472" t="s">
        <v>240</v>
      </c>
      <c r="E3472" t="s">
        <v>16</v>
      </c>
      <c r="F3472">
        <v>6</v>
      </c>
      <c r="G3472" t="s">
        <v>13</v>
      </c>
      <c r="H3472" s="1">
        <v>45994.704861111109</v>
      </c>
      <c r="I3472" s="5">
        <f>INT(TB[[#This Row],[时间戳]])</f>
        <v>45994</v>
      </c>
      <c r="J3472" s="2">
        <f>HOUR(TB[[#This Row],[时间戳]])</f>
        <v>16</v>
      </c>
      <c r="K3472">
        <v>8284</v>
      </c>
      <c r="L3472">
        <v>3</v>
      </c>
      <c r="M3472">
        <f>TB[[#This Row],[售价]]*TB[[#This Row],[销量]]</f>
        <v>24852</v>
      </c>
      <c r="N3472" t="str">
        <f>IF(TB[[#This Row],[售价]]&lt;1000,"低价商品",IF(TB[[#This Row],[售价]]&lt;5000,"中价商品",IF(TB[[#This Row],[售价]]&lt;10000,"高价商品","超高价商品")))</f>
        <v>高价商品</v>
      </c>
    </row>
    <row r="3473" spans="1:14" x14ac:dyDescent="0.2">
      <c r="A3473">
        <v>134</v>
      </c>
      <c r="B3473">
        <v>71</v>
      </c>
      <c r="C3473" t="s">
        <v>17</v>
      </c>
      <c r="D3473" t="s">
        <v>361</v>
      </c>
      <c r="E3473" t="s">
        <v>25</v>
      </c>
      <c r="F3473">
        <v>7</v>
      </c>
      <c r="G3473" t="s">
        <v>42</v>
      </c>
      <c r="H3473" s="1">
        <v>45994.732638888891</v>
      </c>
      <c r="I3473" s="5">
        <f>INT(TB[[#This Row],[时间戳]])</f>
        <v>45994</v>
      </c>
      <c r="J3473" s="2">
        <f>HOUR(TB[[#This Row],[时间戳]])</f>
        <v>17</v>
      </c>
      <c r="K3473">
        <v>7453</v>
      </c>
      <c r="L3473">
        <v>0</v>
      </c>
      <c r="M3473">
        <f>TB[[#This Row],[售价]]*TB[[#This Row],[销量]]</f>
        <v>0</v>
      </c>
      <c r="N3473" t="str">
        <f>IF(TB[[#This Row],[售价]]&lt;1000,"低价商品",IF(TB[[#This Row],[售价]]&lt;5000,"中价商品",IF(TB[[#This Row],[售价]]&lt;10000,"高价商品","超高价商品")))</f>
        <v>高价商品</v>
      </c>
    </row>
    <row r="3474" spans="1:14" x14ac:dyDescent="0.2">
      <c r="A3474">
        <v>764</v>
      </c>
      <c r="B3474">
        <v>252</v>
      </c>
      <c r="C3474" t="s">
        <v>20</v>
      </c>
      <c r="D3474" t="s">
        <v>333</v>
      </c>
      <c r="E3474" t="s">
        <v>16</v>
      </c>
      <c r="F3474">
        <v>6</v>
      </c>
      <c r="G3474" t="s">
        <v>42</v>
      </c>
      <c r="H3474" s="1">
        <v>45994.75</v>
      </c>
      <c r="I3474" s="5">
        <f>INT(TB[[#This Row],[时间戳]])</f>
        <v>45994</v>
      </c>
      <c r="J3474" s="2">
        <f>HOUR(TB[[#This Row],[时间戳]])</f>
        <v>18</v>
      </c>
      <c r="K3474">
        <v>7454</v>
      </c>
      <c r="L3474">
        <v>0</v>
      </c>
      <c r="M3474">
        <f>TB[[#This Row],[售价]]*TB[[#This Row],[销量]]</f>
        <v>0</v>
      </c>
      <c r="N3474" t="str">
        <f>IF(TB[[#This Row],[售价]]&lt;1000,"低价商品",IF(TB[[#This Row],[售价]]&lt;5000,"中价商品",IF(TB[[#This Row],[售价]]&lt;10000,"高价商品","超高价商品")))</f>
        <v>高价商品</v>
      </c>
    </row>
    <row r="3475" spans="1:14" x14ac:dyDescent="0.2">
      <c r="A3475">
        <v>49</v>
      </c>
      <c r="B3475">
        <v>83</v>
      </c>
      <c r="C3475" t="s">
        <v>44</v>
      </c>
      <c r="D3475" t="s">
        <v>66</v>
      </c>
      <c r="E3475" t="s">
        <v>22</v>
      </c>
      <c r="F3475">
        <v>1</v>
      </c>
      <c r="G3475" t="s">
        <v>13</v>
      </c>
      <c r="H3475" s="1">
        <v>45994.772222222222</v>
      </c>
      <c r="I3475" s="5">
        <f>INT(TB[[#This Row],[时间戳]])</f>
        <v>45994</v>
      </c>
      <c r="J3475" s="2">
        <f>HOUR(TB[[#This Row],[时间戳]])</f>
        <v>18</v>
      </c>
      <c r="K3475">
        <v>7059</v>
      </c>
      <c r="L3475">
        <v>4</v>
      </c>
      <c r="M3475">
        <f>TB[[#This Row],[售价]]*TB[[#This Row],[销量]]</f>
        <v>28236</v>
      </c>
      <c r="N3475" t="str">
        <f>IF(TB[[#This Row],[售价]]&lt;1000,"低价商品",IF(TB[[#This Row],[售价]]&lt;5000,"中价商品",IF(TB[[#This Row],[售价]]&lt;10000,"高价商品","超高价商品")))</f>
        <v>高价商品</v>
      </c>
    </row>
    <row r="3476" spans="1:14" x14ac:dyDescent="0.2">
      <c r="A3476">
        <v>788</v>
      </c>
      <c r="B3476">
        <v>135</v>
      </c>
      <c r="C3476" t="s">
        <v>46</v>
      </c>
      <c r="D3476" t="s">
        <v>180</v>
      </c>
      <c r="E3476" t="s">
        <v>31</v>
      </c>
      <c r="F3476">
        <v>4</v>
      </c>
      <c r="G3476" t="s">
        <v>13</v>
      </c>
      <c r="H3476" s="1">
        <v>45994.805555555555</v>
      </c>
      <c r="I3476" s="5">
        <f>INT(TB[[#This Row],[时间戳]])</f>
        <v>45994</v>
      </c>
      <c r="J3476" s="2">
        <f>HOUR(TB[[#This Row],[时间戳]])</f>
        <v>19</v>
      </c>
      <c r="K3476">
        <v>1365</v>
      </c>
      <c r="L3476">
        <v>1</v>
      </c>
      <c r="M3476">
        <f>TB[[#This Row],[售价]]*TB[[#This Row],[销量]]</f>
        <v>1365</v>
      </c>
      <c r="N3476" t="str">
        <f>IF(TB[[#This Row],[售价]]&lt;1000,"低价商品",IF(TB[[#This Row],[售价]]&lt;5000,"中价商品",IF(TB[[#This Row],[售价]]&lt;10000,"高价商品","超高价商品")))</f>
        <v>中价商品</v>
      </c>
    </row>
    <row r="3477" spans="1:14" x14ac:dyDescent="0.2">
      <c r="A3477">
        <v>547</v>
      </c>
      <c r="B3477">
        <v>135</v>
      </c>
      <c r="C3477" t="s">
        <v>20</v>
      </c>
      <c r="D3477" t="s">
        <v>324</v>
      </c>
      <c r="E3477" t="s">
        <v>12</v>
      </c>
      <c r="F3477">
        <v>2</v>
      </c>
      <c r="G3477" t="s">
        <v>13</v>
      </c>
      <c r="H3477" s="1">
        <v>45994.835416666669</v>
      </c>
      <c r="I3477" s="5">
        <f>INT(TB[[#This Row],[时间戳]])</f>
        <v>45994</v>
      </c>
      <c r="J3477" s="2">
        <f>HOUR(TB[[#This Row],[时间戳]])</f>
        <v>20</v>
      </c>
      <c r="K3477">
        <v>4375</v>
      </c>
      <c r="L3477">
        <v>2</v>
      </c>
      <c r="M3477">
        <f>TB[[#This Row],[售价]]*TB[[#This Row],[销量]]</f>
        <v>8750</v>
      </c>
      <c r="N3477" t="str">
        <f>IF(TB[[#This Row],[售价]]&lt;1000,"低价商品",IF(TB[[#This Row],[售价]]&lt;5000,"中价商品",IF(TB[[#This Row],[售价]]&lt;10000,"高价商品","超高价商品")))</f>
        <v>中价商品</v>
      </c>
    </row>
    <row r="3478" spans="1:14" x14ac:dyDescent="0.2">
      <c r="A3478">
        <v>465</v>
      </c>
      <c r="B3478">
        <v>119</v>
      </c>
      <c r="C3478" t="s">
        <v>32</v>
      </c>
      <c r="D3478" t="s">
        <v>275</v>
      </c>
      <c r="E3478" t="s">
        <v>22</v>
      </c>
      <c r="F3478">
        <v>1</v>
      </c>
      <c r="G3478" t="s">
        <v>42</v>
      </c>
      <c r="H3478" s="1">
        <v>45994.895138888889</v>
      </c>
      <c r="I3478" s="5">
        <f>INT(TB[[#This Row],[时间戳]])</f>
        <v>45994</v>
      </c>
      <c r="J3478" s="2">
        <f>HOUR(TB[[#This Row],[时间戳]])</f>
        <v>21</v>
      </c>
      <c r="K3478">
        <v>1449</v>
      </c>
      <c r="L3478">
        <v>0</v>
      </c>
      <c r="M3478">
        <f>TB[[#This Row],[售价]]*TB[[#This Row],[销量]]</f>
        <v>0</v>
      </c>
      <c r="N3478" t="str">
        <f>IF(TB[[#This Row],[售价]]&lt;1000,"低价商品",IF(TB[[#This Row],[售价]]&lt;5000,"中价商品",IF(TB[[#This Row],[售价]]&lt;10000,"高价商品","超高价商品")))</f>
        <v>中价商品</v>
      </c>
    </row>
    <row r="3479" spans="1:14" x14ac:dyDescent="0.2">
      <c r="A3479">
        <v>733</v>
      </c>
      <c r="B3479">
        <v>88</v>
      </c>
      <c r="C3479" t="s">
        <v>34</v>
      </c>
      <c r="D3479" t="s">
        <v>389</v>
      </c>
      <c r="E3479" t="s">
        <v>39</v>
      </c>
      <c r="F3479">
        <v>5</v>
      </c>
      <c r="G3479" t="s">
        <v>13</v>
      </c>
      <c r="H3479" s="1">
        <v>45994.90902777778</v>
      </c>
      <c r="I3479" s="5">
        <f>INT(TB[[#This Row],[时间戳]])</f>
        <v>45994</v>
      </c>
      <c r="J3479" s="2">
        <f>HOUR(TB[[#This Row],[时间戳]])</f>
        <v>21</v>
      </c>
      <c r="K3479">
        <v>1032</v>
      </c>
      <c r="L3479">
        <v>3</v>
      </c>
      <c r="M3479">
        <f>TB[[#This Row],[售价]]*TB[[#This Row],[销量]]</f>
        <v>3096</v>
      </c>
      <c r="N3479" t="str">
        <f>IF(TB[[#This Row],[售价]]&lt;1000,"低价商品",IF(TB[[#This Row],[售价]]&lt;5000,"中价商品",IF(TB[[#This Row],[售价]]&lt;10000,"高价商品","超高价商品")))</f>
        <v>中价商品</v>
      </c>
    </row>
    <row r="3480" spans="1:14" x14ac:dyDescent="0.2">
      <c r="A3480">
        <v>479</v>
      </c>
      <c r="B3480">
        <v>279</v>
      </c>
      <c r="C3480" t="s">
        <v>17</v>
      </c>
      <c r="D3480" t="s">
        <v>28</v>
      </c>
      <c r="E3480" t="s">
        <v>12</v>
      </c>
      <c r="F3480">
        <v>2</v>
      </c>
      <c r="G3480" t="s">
        <v>13</v>
      </c>
      <c r="H3480" s="1">
        <v>45994.921527777777</v>
      </c>
      <c r="I3480" s="5">
        <f>INT(TB[[#This Row],[时间戳]])</f>
        <v>45994</v>
      </c>
      <c r="J3480" s="2">
        <f>HOUR(TB[[#This Row],[时间戳]])</f>
        <v>22</v>
      </c>
      <c r="K3480">
        <v>7295</v>
      </c>
      <c r="L3480">
        <v>3</v>
      </c>
      <c r="M3480">
        <f>TB[[#This Row],[售价]]*TB[[#This Row],[销量]]</f>
        <v>21885</v>
      </c>
      <c r="N3480" t="str">
        <f>IF(TB[[#This Row],[售价]]&lt;1000,"低价商品",IF(TB[[#This Row],[售价]]&lt;5000,"中价商品",IF(TB[[#This Row],[售价]]&lt;10000,"高价商品","超高价商品")))</f>
        <v>高价商品</v>
      </c>
    </row>
    <row r="3481" spans="1:14" x14ac:dyDescent="0.2">
      <c r="A3481">
        <v>169</v>
      </c>
      <c r="B3481">
        <v>53</v>
      </c>
      <c r="C3481" t="s">
        <v>10</v>
      </c>
      <c r="D3481" t="s">
        <v>41</v>
      </c>
      <c r="E3481" t="s">
        <v>22</v>
      </c>
      <c r="F3481">
        <v>1</v>
      </c>
      <c r="G3481" t="s">
        <v>42</v>
      </c>
      <c r="H3481" s="1">
        <v>45994.930555555555</v>
      </c>
      <c r="I3481" s="5">
        <f>INT(TB[[#This Row],[时间戳]])</f>
        <v>45994</v>
      </c>
      <c r="J3481" s="2">
        <f>HOUR(TB[[#This Row],[时间戳]])</f>
        <v>22</v>
      </c>
      <c r="K3481">
        <v>1685</v>
      </c>
      <c r="L3481">
        <v>0</v>
      </c>
      <c r="M3481">
        <f>TB[[#This Row],[售价]]*TB[[#This Row],[销量]]</f>
        <v>0</v>
      </c>
      <c r="N3481" t="str">
        <f>IF(TB[[#This Row],[售价]]&lt;1000,"低价商品",IF(TB[[#This Row],[售价]]&lt;5000,"中价商品",IF(TB[[#This Row],[售价]]&lt;10000,"高价商品","超高价商品")))</f>
        <v>中价商品</v>
      </c>
    </row>
    <row r="3482" spans="1:14" x14ac:dyDescent="0.2">
      <c r="A3482">
        <v>389</v>
      </c>
      <c r="B3482">
        <v>58</v>
      </c>
      <c r="C3482" t="s">
        <v>26</v>
      </c>
      <c r="D3482" t="s">
        <v>131</v>
      </c>
      <c r="E3482" t="s">
        <v>22</v>
      </c>
      <c r="F3482">
        <v>1</v>
      </c>
      <c r="G3482" t="s">
        <v>13</v>
      </c>
      <c r="H3482" s="1">
        <v>45994.934027777781</v>
      </c>
      <c r="I3482" s="5">
        <f>INT(TB[[#This Row],[时间戳]])</f>
        <v>45994</v>
      </c>
      <c r="J3482" s="2">
        <f>HOUR(TB[[#This Row],[时间戳]])</f>
        <v>22</v>
      </c>
      <c r="K3482">
        <v>1751</v>
      </c>
      <c r="L3482">
        <v>1</v>
      </c>
      <c r="M3482">
        <f>TB[[#This Row],[售价]]*TB[[#This Row],[销量]]</f>
        <v>1751</v>
      </c>
      <c r="N3482" t="str">
        <f>IF(TB[[#This Row],[售价]]&lt;1000,"低价商品",IF(TB[[#This Row],[售价]]&lt;5000,"中价商品",IF(TB[[#This Row],[售价]]&lt;10000,"高价商品","超高价商品")))</f>
        <v>中价商品</v>
      </c>
    </row>
    <row r="3483" spans="1:14" x14ac:dyDescent="0.2">
      <c r="A3483">
        <v>526</v>
      </c>
      <c r="B3483">
        <v>163</v>
      </c>
      <c r="C3483" t="s">
        <v>17</v>
      </c>
      <c r="D3483" t="s">
        <v>119</v>
      </c>
      <c r="E3483" t="s">
        <v>12</v>
      </c>
      <c r="F3483">
        <v>2</v>
      </c>
      <c r="G3483" t="s">
        <v>13</v>
      </c>
      <c r="H3483" s="1">
        <v>45994.949305555558</v>
      </c>
      <c r="I3483" s="5">
        <f>INT(TB[[#This Row],[时间戳]])</f>
        <v>45994</v>
      </c>
      <c r="J3483" s="2">
        <f>HOUR(TB[[#This Row],[时间戳]])</f>
        <v>22</v>
      </c>
      <c r="K3483">
        <v>7769</v>
      </c>
      <c r="L3483">
        <v>1</v>
      </c>
      <c r="M3483">
        <f>TB[[#This Row],[售价]]*TB[[#This Row],[销量]]</f>
        <v>7769</v>
      </c>
      <c r="N3483" t="str">
        <f>IF(TB[[#This Row],[售价]]&lt;1000,"低价商品",IF(TB[[#This Row],[售价]]&lt;5000,"中价商品",IF(TB[[#This Row],[售价]]&lt;10000,"高价商品","超高价商品")))</f>
        <v>高价商品</v>
      </c>
    </row>
    <row r="3484" spans="1:14" x14ac:dyDescent="0.2">
      <c r="A3484">
        <v>588</v>
      </c>
      <c r="B3484">
        <v>177</v>
      </c>
      <c r="C3484" t="s">
        <v>44</v>
      </c>
      <c r="D3484" t="s">
        <v>51</v>
      </c>
      <c r="E3484" t="s">
        <v>19</v>
      </c>
      <c r="F3484">
        <v>3</v>
      </c>
      <c r="G3484" t="s">
        <v>13</v>
      </c>
      <c r="H3484" s="1">
        <v>45994.955555555556</v>
      </c>
      <c r="I3484" s="5">
        <f>INT(TB[[#This Row],[时间戳]])</f>
        <v>45994</v>
      </c>
      <c r="J3484" s="2">
        <f>HOUR(TB[[#This Row],[时间戳]])</f>
        <v>22</v>
      </c>
      <c r="K3484">
        <v>2623</v>
      </c>
      <c r="L3484">
        <v>3</v>
      </c>
      <c r="M3484">
        <f>TB[[#This Row],[售价]]*TB[[#This Row],[销量]]</f>
        <v>7869</v>
      </c>
      <c r="N3484" t="str">
        <f>IF(TB[[#This Row],[售价]]&lt;1000,"低价商品",IF(TB[[#This Row],[售价]]&lt;5000,"中价商品",IF(TB[[#This Row],[售价]]&lt;10000,"高价商品","超高价商品")))</f>
        <v>中价商品</v>
      </c>
    </row>
    <row r="3485" spans="1:14" x14ac:dyDescent="0.2">
      <c r="A3485">
        <v>459</v>
      </c>
      <c r="B3485">
        <v>39</v>
      </c>
      <c r="C3485" t="s">
        <v>32</v>
      </c>
      <c r="D3485" t="s">
        <v>314</v>
      </c>
      <c r="E3485" t="s">
        <v>16</v>
      </c>
      <c r="F3485">
        <v>6</v>
      </c>
      <c r="G3485" t="s">
        <v>13</v>
      </c>
      <c r="H3485" s="1">
        <v>45995.002083333333</v>
      </c>
      <c r="I3485" s="5">
        <f>INT(TB[[#This Row],[时间戳]])</f>
        <v>45995</v>
      </c>
      <c r="J3485" s="2">
        <f>HOUR(TB[[#This Row],[时间戳]])</f>
        <v>0</v>
      </c>
      <c r="K3485">
        <v>8022</v>
      </c>
      <c r="L3485">
        <v>1</v>
      </c>
      <c r="M3485">
        <f>TB[[#This Row],[售价]]*TB[[#This Row],[销量]]</f>
        <v>8022</v>
      </c>
      <c r="N3485" t="str">
        <f>IF(TB[[#This Row],[售价]]&lt;1000,"低价商品",IF(TB[[#This Row],[售价]]&lt;5000,"中价商品",IF(TB[[#This Row],[售价]]&lt;10000,"高价商品","超高价商品")))</f>
        <v>高价商品</v>
      </c>
    </row>
    <row r="3486" spans="1:14" x14ac:dyDescent="0.2">
      <c r="A3486">
        <v>271</v>
      </c>
      <c r="B3486">
        <v>26</v>
      </c>
      <c r="C3486" t="s">
        <v>36</v>
      </c>
      <c r="D3486" t="s">
        <v>210</v>
      </c>
      <c r="E3486" t="s">
        <v>31</v>
      </c>
      <c r="F3486">
        <v>4</v>
      </c>
      <c r="G3486" t="s">
        <v>13</v>
      </c>
      <c r="H3486" s="1">
        <v>45995.018750000003</v>
      </c>
      <c r="I3486" s="5">
        <f>INT(TB[[#This Row],[时间戳]])</f>
        <v>45995</v>
      </c>
      <c r="J3486" s="2">
        <f>HOUR(TB[[#This Row],[时间戳]])</f>
        <v>0</v>
      </c>
      <c r="K3486">
        <v>1496</v>
      </c>
      <c r="L3486">
        <v>2</v>
      </c>
      <c r="M3486">
        <f>TB[[#This Row],[售价]]*TB[[#This Row],[销量]]</f>
        <v>2992</v>
      </c>
      <c r="N3486" t="str">
        <f>IF(TB[[#This Row],[售价]]&lt;1000,"低价商品",IF(TB[[#This Row],[售价]]&lt;5000,"中价商品",IF(TB[[#This Row],[售价]]&lt;10000,"高价商品","超高价商品")))</f>
        <v>中价商品</v>
      </c>
    </row>
    <row r="3487" spans="1:14" x14ac:dyDescent="0.2">
      <c r="A3487">
        <v>145</v>
      </c>
      <c r="B3487">
        <v>203</v>
      </c>
      <c r="C3487" t="s">
        <v>34</v>
      </c>
      <c r="D3487" t="s">
        <v>196</v>
      </c>
      <c r="E3487" t="s">
        <v>16</v>
      </c>
      <c r="F3487">
        <v>6</v>
      </c>
      <c r="G3487" t="s">
        <v>13</v>
      </c>
      <c r="H3487" s="1">
        <v>45995.034722222219</v>
      </c>
      <c r="I3487" s="5">
        <f>INT(TB[[#This Row],[时间戳]])</f>
        <v>45995</v>
      </c>
      <c r="J3487" s="2">
        <f>HOUR(TB[[#This Row],[时间戳]])</f>
        <v>0</v>
      </c>
      <c r="K3487">
        <v>4859</v>
      </c>
      <c r="L3487">
        <v>1</v>
      </c>
      <c r="M3487">
        <f>TB[[#This Row],[售价]]*TB[[#This Row],[销量]]</f>
        <v>4859</v>
      </c>
      <c r="N3487" t="str">
        <f>IF(TB[[#This Row],[售价]]&lt;1000,"低价商品",IF(TB[[#This Row],[售价]]&lt;5000,"中价商品",IF(TB[[#This Row],[售价]]&lt;10000,"高价商品","超高价商品")))</f>
        <v>中价商品</v>
      </c>
    </row>
    <row r="3488" spans="1:14" x14ac:dyDescent="0.2">
      <c r="A3488">
        <v>442</v>
      </c>
      <c r="B3488">
        <v>142</v>
      </c>
      <c r="C3488" t="s">
        <v>10</v>
      </c>
      <c r="D3488" t="s">
        <v>376</v>
      </c>
      <c r="E3488" t="s">
        <v>12</v>
      </c>
      <c r="F3488">
        <v>2</v>
      </c>
      <c r="G3488" t="s">
        <v>13</v>
      </c>
      <c r="H3488" s="1">
        <v>45995.043055555558</v>
      </c>
      <c r="I3488" s="5">
        <f>INT(TB[[#This Row],[时间戳]])</f>
        <v>45995</v>
      </c>
      <c r="J3488" s="2">
        <f>HOUR(TB[[#This Row],[时间戳]])</f>
        <v>1</v>
      </c>
      <c r="K3488">
        <v>8878</v>
      </c>
      <c r="L3488">
        <v>2</v>
      </c>
      <c r="M3488">
        <f>TB[[#This Row],[售价]]*TB[[#This Row],[销量]]</f>
        <v>17756</v>
      </c>
      <c r="N3488" t="str">
        <f>IF(TB[[#This Row],[售价]]&lt;1000,"低价商品",IF(TB[[#This Row],[售价]]&lt;5000,"中价商品",IF(TB[[#This Row],[售价]]&lt;10000,"高价商品","超高价商品")))</f>
        <v>高价商品</v>
      </c>
    </row>
    <row r="3489" spans="1:14" x14ac:dyDescent="0.2">
      <c r="A3489">
        <v>210</v>
      </c>
      <c r="B3489">
        <v>129</v>
      </c>
      <c r="C3489" t="s">
        <v>32</v>
      </c>
      <c r="D3489" t="s">
        <v>335</v>
      </c>
      <c r="E3489" t="s">
        <v>12</v>
      </c>
      <c r="F3489">
        <v>2</v>
      </c>
      <c r="G3489" t="s">
        <v>13</v>
      </c>
      <c r="H3489" s="1">
        <v>45995.043749999997</v>
      </c>
      <c r="I3489" s="5">
        <f>INT(TB[[#This Row],[时间戳]])</f>
        <v>45995</v>
      </c>
      <c r="J3489" s="2">
        <f>HOUR(TB[[#This Row],[时间戳]])</f>
        <v>1</v>
      </c>
      <c r="K3489">
        <v>8492</v>
      </c>
      <c r="L3489">
        <v>3</v>
      </c>
      <c r="M3489">
        <f>TB[[#This Row],[售价]]*TB[[#This Row],[销量]]</f>
        <v>25476</v>
      </c>
      <c r="N3489" t="str">
        <f>IF(TB[[#This Row],[售价]]&lt;1000,"低价商品",IF(TB[[#This Row],[售价]]&lt;5000,"中价商品",IF(TB[[#This Row],[售价]]&lt;10000,"高价商品","超高价商品")))</f>
        <v>高价商品</v>
      </c>
    </row>
    <row r="3490" spans="1:14" x14ac:dyDescent="0.2">
      <c r="A3490">
        <v>111</v>
      </c>
      <c r="B3490">
        <v>73</v>
      </c>
      <c r="C3490" t="s">
        <v>44</v>
      </c>
      <c r="D3490" t="s">
        <v>51</v>
      </c>
      <c r="E3490" t="s">
        <v>19</v>
      </c>
      <c r="F3490">
        <v>3</v>
      </c>
      <c r="G3490" t="s">
        <v>42</v>
      </c>
      <c r="H3490" s="1">
        <v>45995.044444444444</v>
      </c>
      <c r="I3490" s="5">
        <f>INT(TB[[#This Row],[时间戳]])</f>
        <v>45995</v>
      </c>
      <c r="J3490" s="2">
        <f>HOUR(TB[[#This Row],[时间戳]])</f>
        <v>1</v>
      </c>
      <c r="K3490">
        <v>2335</v>
      </c>
      <c r="L3490">
        <v>0</v>
      </c>
      <c r="M3490">
        <f>TB[[#This Row],[售价]]*TB[[#This Row],[销量]]</f>
        <v>0</v>
      </c>
      <c r="N3490" t="str">
        <f>IF(TB[[#This Row],[售价]]&lt;1000,"低价商品",IF(TB[[#This Row],[售价]]&lt;5000,"中价商品",IF(TB[[#This Row],[售价]]&lt;10000,"高价商品","超高价商品")))</f>
        <v>中价商品</v>
      </c>
    </row>
    <row r="3491" spans="1:14" x14ac:dyDescent="0.2">
      <c r="A3491">
        <v>175</v>
      </c>
      <c r="B3491">
        <v>96</v>
      </c>
      <c r="C3491" t="s">
        <v>44</v>
      </c>
      <c r="D3491" t="s">
        <v>161</v>
      </c>
      <c r="E3491" t="s">
        <v>31</v>
      </c>
      <c r="F3491">
        <v>4</v>
      </c>
      <c r="G3491" t="s">
        <v>13</v>
      </c>
      <c r="H3491" s="1">
        <v>45995.054861111108</v>
      </c>
      <c r="I3491" s="5">
        <f>INT(TB[[#This Row],[时间戳]])</f>
        <v>45995</v>
      </c>
      <c r="J3491" s="2">
        <f>HOUR(TB[[#This Row],[时间戳]])</f>
        <v>1</v>
      </c>
      <c r="K3491">
        <v>1177</v>
      </c>
      <c r="L3491">
        <v>1</v>
      </c>
      <c r="M3491">
        <f>TB[[#This Row],[售价]]*TB[[#This Row],[销量]]</f>
        <v>1177</v>
      </c>
      <c r="N3491" t="str">
        <f>IF(TB[[#This Row],[售价]]&lt;1000,"低价商品",IF(TB[[#This Row],[售价]]&lt;5000,"中价商品",IF(TB[[#This Row],[售价]]&lt;10000,"高价商品","超高价商品")))</f>
        <v>中价商品</v>
      </c>
    </row>
    <row r="3492" spans="1:14" x14ac:dyDescent="0.2">
      <c r="A3492">
        <v>504</v>
      </c>
      <c r="B3492">
        <v>275</v>
      </c>
      <c r="C3492" t="s">
        <v>26</v>
      </c>
      <c r="D3492" t="s">
        <v>225</v>
      </c>
      <c r="E3492" t="s">
        <v>31</v>
      </c>
      <c r="F3492">
        <v>4</v>
      </c>
      <c r="G3492" t="s">
        <v>13</v>
      </c>
      <c r="H3492" s="1">
        <v>45995.056250000001</v>
      </c>
      <c r="I3492" s="5">
        <f>INT(TB[[#This Row],[时间戳]])</f>
        <v>45995</v>
      </c>
      <c r="J3492" s="2">
        <f>HOUR(TB[[#This Row],[时间戳]])</f>
        <v>1</v>
      </c>
      <c r="K3492">
        <v>50</v>
      </c>
      <c r="L3492">
        <v>4</v>
      </c>
      <c r="M3492">
        <f>TB[[#This Row],[售价]]*TB[[#This Row],[销量]]</f>
        <v>200</v>
      </c>
      <c r="N3492" t="str">
        <f>IF(TB[[#This Row],[售价]]&lt;1000,"低价商品",IF(TB[[#This Row],[售价]]&lt;5000,"中价商品",IF(TB[[#This Row],[售价]]&lt;10000,"高价商品","超高价商品")))</f>
        <v>低价商品</v>
      </c>
    </row>
    <row r="3493" spans="1:14" x14ac:dyDescent="0.2">
      <c r="A3493">
        <v>532</v>
      </c>
      <c r="B3493">
        <v>215</v>
      </c>
      <c r="C3493" t="s">
        <v>32</v>
      </c>
      <c r="D3493" t="s">
        <v>107</v>
      </c>
      <c r="E3493" t="s">
        <v>31</v>
      </c>
      <c r="F3493">
        <v>4</v>
      </c>
      <c r="G3493" t="s">
        <v>13</v>
      </c>
      <c r="H3493" s="1">
        <v>45995.073611111111</v>
      </c>
      <c r="I3493" s="5">
        <f>INT(TB[[#This Row],[时间戳]])</f>
        <v>45995</v>
      </c>
      <c r="J3493" s="2">
        <f>HOUR(TB[[#This Row],[时间戳]])</f>
        <v>1</v>
      </c>
      <c r="K3493">
        <v>275</v>
      </c>
      <c r="L3493">
        <v>1</v>
      </c>
      <c r="M3493">
        <f>TB[[#This Row],[售价]]*TB[[#This Row],[销量]]</f>
        <v>275</v>
      </c>
      <c r="N3493" t="str">
        <f>IF(TB[[#This Row],[售价]]&lt;1000,"低价商品",IF(TB[[#This Row],[售价]]&lt;5000,"中价商品",IF(TB[[#This Row],[售价]]&lt;10000,"高价商品","超高价商品")))</f>
        <v>低价商品</v>
      </c>
    </row>
    <row r="3494" spans="1:14" x14ac:dyDescent="0.2">
      <c r="A3494">
        <v>753</v>
      </c>
      <c r="B3494">
        <v>252</v>
      </c>
      <c r="C3494" t="s">
        <v>20</v>
      </c>
      <c r="D3494" t="s">
        <v>383</v>
      </c>
      <c r="E3494" t="s">
        <v>12</v>
      </c>
      <c r="F3494">
        <v>2</v>
      </c>
      <c r="G3494" t="s">
        <v>13</v>
      </c>
      <c r="H3494" s="1">
        <v>45995.112500000003</v>
      </c>
      <c r="I3494" s="5">
        <f>INT(TB[[#This Row],[时间戳]])</f>
        <v>45995</v>
      </c>
      <c r="J3494" s="2">
        <f>HOUR(TB[[#This Row],[时间戳]])</f>
        <v>2</v>
      </c>
      <c r="K3494">
        <v>6904</v>
      </c>
      <c r="L3494">
        <v>3</v>
      </c>
      <c r="M3494">
        <f>TB[[#This Row],[售价]]*TB[[#This Row],[销量]]</f>
        <v>20712</v>
      </c>
      <c r="N3494" t="str">
        <f>IF(TB[[#This Row],[售价]]&lt;1000,"低价商品",IF(TB[[#This Row],[售价]]&lt;5000,"中价商品",IF(TB[[#This Row],[售价]]&lt;10000,"高价商品","超高价商品")))</f>
        <v>高价商品</v>
      </c>
    </row>
    <row r="3495" spans="1:14" x14ac:dyDescent="0.2">
      <c r="A3495">
        <v>777</v>
      </c>
      <c r="B3495">
        <v>219</v>
      </c>
      <c r="C3495" t="s">
        <v>44</v>
      </c>
      <c r="D3495" t="s">
        <v>76</v>
      </c>
      <c r="E3495" t="s">
        <v>31</v>
      </c>
      <c r="F3495">
        <v>4</v>
      </c>
      <c r="G3495" t="s">
        <v>13</v>
      </c>
      <c r="H3495" s="1">
        <v>45995.152083333334</v>
      </c>
      <c r="I3495" s="5">
        <f>INT(TB[[#This Row],[时间戳]])</f>
        <v>45995</v>
      </c>
      <c r="J3495" s="2">
        <f>HOUR(TB[[#This Row],[时间戳]])</f>
        <v>3</v>
      </c>
      <c r="K3495">
        <v>1500</v>
      </c>
      <c r="L3495">
        <v>4</v>
      </c>
      <c r="M3495">
        <f>TB[[#This Row],[售价]]*TB[[#This Row],[销量]]</f>
        <v>6000</v>
      </c>
      <c r="N3495" t="str">
        <f>IF(TB[[#This Row],[售价]]&lt;1000,"低价商品",IF(TB[[#This Row],[售价]]&lt;5000,"中价商品",IF(TB[[#This Row],[售价]]&lt;10000,"高价商品","超高价商品")))</f>
        <v>中价商品</v>
      </c>
    </row>
    <row r="3496" spans="1:14" x14ac:dyDescent="0.2">
      <c r="A3496">
        <v>118</v>
      </c>
      <c r="B3496">
        <v>264</v>
      </c>
      <c r="C3496" t="s">
        <v>20</v>
      </c>
      <c r="D3496" t="s">
        <v>120</v>
      </c>
      <c r="E3496" t="s">
        <v>22</v>
      </c>
      <c r="F3496">
        <v>1</v>
      </c>
      <c r="G3496" t="s">
        <v>13</v>
      </c>
      <c r="H3496" s="1">
        <v>45995.172222222223</v>
      </c>
      <c r="I3496" s="5">
        <f>INT(TB[[#This Row],[时间戳]])</f>
        <v>45995</v>
      </c>
      <c r="J3496" s="2">
        <f>HOUR(TB[[#This Row],[时间戳]])</f>
        <v>4</v>
      </c>
      <c r="K3496">
        <v>7687</v>
      </c>
      <c r="L3496">
        <v>2</v>
      </c>
      <c r="M3496">
        <f>TB[[#This Row],[售价]]*TB[[#This Row],[销量]]</f>
        <v>15374</v>
      </c>
      <c r="N3496" t="str">
        <f>IF(TB[[#This Row],[售价]]&lt;1000,"低价商品",IF(TB[[#This Row],[售价]]&lt;5000,"中价商品",IF(TB[[#This Row],[售价]]&lt;10000,"高价商品","超高价商品")))</f>
        <v>高价商品</v>
      </c>
    </row>
    <row r="3497" spans="1:14" x14ac:dyDescent="0.2">
      <c r="A3497">
        <v>30</v>
      </c>
      <c r="B3497">
        <v>174</v>
      </c>
      <c r="C3497" t="s">
        <v>34</v>
      </c>
      <c r="D3497" t="s">
        <v>165</v>
      </c>
      <c r="E3497" t="s">
        <v>39</v>
      </c>
      <c r="F3497">
        <v>5</v>
      </c>
      <c r="G3497" t="s">
        <v>13</v>
      </c>
      <c r="H3497" s="1">
        <v>45995.176388888889</v>
      </c>
      <c r="I3497" s="5">
        <f>INT(TB[[#This Row],[时间戳]])</f>
        <v>45995</v>
      </c>
      <c r="J3497" s="2">
        <f>HOUR(TB[[#This Row],[时间戳]])</f>
        <v>4</v>
      </c>
      <c r="K3497">
        <v>1603</v>
      </c>
      <c r="L3497">
        <v>3</v>
      </c>
      <c r="M3497">
        <f>TB[[#This Row],[售价]]*TB[[#This Row],[销量]]</f>
        <v>4809</v>
      </c>
      <c r="N3497" t="str">
        <f>IF(TB[[#This Row],[售价]]&lt;1000,"低价商品",IF(TB[[#This Row],[售价]]&lt;5000,"中价商品",IF(TB[[#This Row],[售价]]&lt;10000,"高价商品","超高价商品")))</f>
        <v>中价商品</v>
      </c>
    </row>
    <row r="3498" spans="1:14" x14ac:dyDescent="0.2">
      <c r="A3498">
        <v>505</v>
      </c>
      <c r="B3498">
        <v>279</v>
      </c>
      <c r="C3498" t="s">
        <v>44</v>
      </c>
      <c r="D3498" t="s">
        <v>243</v>
      </c>
      <c r="E3498" t="s">
        <v>31</v>
      </c>
      <c r="F3498">
        <v>4</v>
      </c>
      <c r="G3498" t="s">
        <v>13</v>
      </c>
      <c r="H3498" s="1">
        <v>45995.213194444441</v>
      </c>
      <c r="I3498" s="5">
        <f>INT(TB[[#This Row],[时间戳]])</f>
        <v>45995</v>
      </c>
      <c r="J3498" s="2">
        <f>HOUR(TB[[#This Row],[时间戳]])</f>
        <v>5</v>
      </c>
      <c r="K3498">
        <v>611</v>
      </c>
      <c r="L3498">
        <v>2</v>
      </c>
      <c r="M3498">
        <f>TB[[#This Row],[售价]]*TB[[#This Row],[销量]]</f>
        <v>1222</v>
      </c>
      <c r="N3498" t="str">
        <f>IF(TB[[#This Row],[售价]]&lt;1000,"低价商品",IF(TB[[#This Row],[售价]]&lt;5000,"中价商品",IF(TB[[#This Row],[售价]]&lt;10000,"高价商品","超高价商品")))</f>
        <v>低价商品</v>
      </c>
    </row>
    <row r="3499" spans="1:14" x14ac:dyDescent="0.2">
      <c r="A3499">
        <v>490</v>
      </c>
      <c r="B3499">
        <v>32</v>
      </c>
      <c r="C3499" t="s">
        <v>14</v>
      </c>
      <c r="D3499" t="s">
        <v>405</v>
      </c>
      <c r="E3499" t="s">
        <v>19</v>
      </c>
      <c r="F3499">
        <v>3</v>
      </c>
      <c r="G3499" t="s">
        <v>42</v>
      </c>
      <c r="H3499" s="1">
        <v>45995.25277777778</v>
      </c>
      <c r="I3499" s="5">
        <f>INT(TB[[#This Row],[时间戳]])</f>
        <v>45995</v>
      </c>
      <c r="J3499" s="2">
        <f>HOUR(TB[[#This Row],[时间戳]])</f>
        <v>6</v>
      </c>
      <c r="K3499">
        <v>5017</v>
      </c>
      <c r="L3499">
        <v>0</v>
      </c>
      <c r="M3499">
        <f>TB[[#This Row],[售价]]*TB[[#This Row],[销量]]</f>
        <v>0</v>
      </c>
      <c r="N3499" t="str">
        <f>IF(TB[[#This Row],[售价]]&lt;1000,"低价商品",IF(TB[[#This Row],[售价]]&lt;5000,"中价商品",IF(TB[[#This Row],[售价]]&lt;10000,"高价商品","超高价商品")))</f>
        <v>高价商品</v>
      </c>
    </row>
    <row r="3500" spans="1:14" x14ac:dyDescent="0.2">
      <c r="A3500">
        <v>531</v>
      </c>
      <c r="B3500">
        <v>76</v>
      </c>
      <c r="C3500" t="s">
        <v>32</v>
      </c>
      <c r="D3500" t="s">
        <v>110</v>
      </c>
      <c r="E3500" t="s">
        <v>25</v>
      </c>
      <c r="F3500">
        <v>7</v>
      </c>
      <c r="G3500" t="s">
        <v>13</v>
      </c>
      <c r="H3500" s="1">
        <v>45995.256944444445</v>
      </c>
      <c r="I3500" s="5">
        <f>INT(TB[[#This Row],[时间戳]])</f>
        <v>45995</v>
      </c>
      <c r="J3500" s="2">
        <f>HOUR(TB[[#This Row],[时间戳]])</f>
        <v>6</v>
      </c>
      <c r="K3500">
        <v>4852</v>
      </c>
      <c r="L3500">
        <v>2</v>
      </c>
      <c r="M3500">
        <f>TB[[#This Row],[售价]]*TB[[#This Row],[销量]]</f>
        <v>9704</v>
      </c>
      <c r="N3500" t="str">
        <f>IF(TB[[#This Row],[售价]]&lt;1000,"低价商品",IF(TB[[#This Row],[售价]]&lt;5000,"中价商品",IF(TB[[#This Row],[售价]]&lt;10000,"高价商品","超高价商品")))</f>
        <v>中价商品</v>
      </c>
    </row>
    <row r="3501" spans="1:14" x14ac:dyDescent="0.2">
      <c r="A3501">
        <v>554</v>
      </c>
      <c r="B3501">
        <v>74</v>
      </c>
      <c r="C3501" t="s">
        <v>10</v>
      </c>
      <c r="D3501" t="s">
        <v>312</v>
      </c>
      <c r="E3501" t="s">
        <v>12</v>
      </c>
      <c r="F3501">
        <v>2</v>
      </c>
      <c r="G3501" t="s">
        <v>13</v>
      </c>
      <c r="H3501" s="1">
        <v>45995.28125</v>
      </c>
      <c r="I3501" s="5">
        <f>INT(TB[[#This Row],[时间戳]])</f>
        <v>45995</v>
      </c>
      <c r="J3501" s="2">
        <f>HOUR(TB[[#This Row],[时间戳]])</f>
        <v>6</v>
      </c>
      <c r="K3501">
        <v>4239</v>
      </c>
      <c r="L3501">
        <v>2</v>
      </c>
      <c r="M3501">
        <f>TB[[#This Row],[售价]]*TB[[#This Row],[销量]]</f>
        <v>8478</v>
      </c>
      <c r="N3501" t="str">
        <f>IF(TB[[#This Row],[售价]]&lt;1000,"低价商品",IF(TB[[#This Row],[售价]]&lt;5000,"中价商品",IF(TB[[#This Row],[售价]]&lt;10000,"高价商品","超高价商品")))</f>
        <v>中价商品</v>
      </c>
    </row>
    <row r="3502" spans="1:14" x14ac:dyDescent="0.2">
      <c r="A3502">
        <v>230</v>
      </c>
      <c r="B3502">
        <v>179</v>
      </c>
      <c r="C3502" t="s">
        <v>26</v>
      </c>
      <c r="D3502" t="s">
        <v>345</v>
      </c>
      <c r="E3502" t="s">
        <v>12</v>
      </c>
      <c r="F3502">
        <v>2</v>
      </c>
      <c r="G3502" t="s">
        <v>13</v>
      </c>
      <c r="H3502" s="1">
        <v>45995.287499999999</v>
      </c>
      <c r="I3502" s="5">
        <f>INT(TB[[#This Row],[时间戳]])</f>
        <v>45995</v>
      </c>
      <c r="J3502" s="2">
        <f>HOUR(TB[[#This Row],[时间戳]])</f>
        <v>6</v>
      </c>
      <c r="K3502">
        <v>5519</v>
      </c>
      <c r="L3502">
        <v>2</v>
      </c>
      <c r="M3502">
        <f>TB[[#This Row],[售价]]*TB[[#This Row],[销量]]</f>
        <v>11038</v>
      </c>
      <c r="N3502" t="str">
        <f>IF(TB[[#This Row],[售价]]&lt;1000,"低价商品",IF(TB[[#This Row],[售价]]&lt;5000,"中价商品",IF(TB[[#This Row],[售价]]&lt;10000,"高价商品","超高价商品")))</f>
        <v>高价商品</v>
      </c>
    </row>
    <row r="3503" spans="1:14" x14ac:dyDescent="0.2">
      <c r="A3503">
        <v>403</v>
      </c>
      <c r="B3503">
        <v>188</v>
      </c>
      <c r="C3503" t="s">
        <v>26</v>
      </c>
      <c r="D3503" t="s">
        <v>271</v>
      </c>
      <c r="E3503" t="s">
        <v>25</v>
      </c>
      <c r="F3503">
        <v>7</v>
      </c>
      <c r="G3503" t="s">
        <v>13</v>
      </c>
      <c r="H3503" s="1">
        <v>45995.317361111112</v>
      </c>
      <c r="I3503" s="5">
        <f>INT(TB[[#This Row],[时间戳]])</f>
        <v>45995</v>
      </c>
      <c r="J3503" s="2">
        <f>HOUR(TB[[#This Row],[时间戳]])</f>
        <v>7</v>
      </c>
      <c r="K3503">
        <v>4331</v>
      </c>
      <c r="L3503">
        <v>1</v>
      </c>
      <c r="M3503">
        <f>TB[[#This Row],[售价]]*TB[[#This Row],[销量]]</f>
        <v>4331</v>
      </c>
      <c r="N3503" t="str">
        <f>IF(TB[[#This Row],[售价]]&lt;1000,"低价商品",IF(TB[[#This Row],[售价]]&lt;5000,"中价商品",IF(TB[[#This Row],[售价]]&lt;10000,"高价商品","超高价商品")))</f>
        <v>中价商品</v>
      </c>
    </row>
    <row r="3504" spans="1:14" x14ac:dyDescent="0.2">
      <c r="A3504">
        <v>459</v>
      </c>
      <c r="B3504">
        <v>54</v>
      </c>
      <c r="C3504" t="s">
        <v>34</v>
      </c>
      <c r="D3504" t="s">
        <v>125</v>
      </c>
      <c r="E3504" t="s">
        <v>31</v>
      </c>
      <c r="F3504">
        <v>4</v>
      </c>
      <c r="G3504" t="s">
        <v>13</v>
      </c>
      <c r="H3504" s="1">
        <v>45995.425694444442</v>
      </c>
      <c r="I3504" s="5">
        <f>INT(TB[[#This Row],[时间戳]])</f>
        <v>45995</v>
      </c>
      <c r="J3504" s="2">
        <f>HOUR(TB[[#This Row],[时间戳]])</f>
        <v>10</v>
      </c>
      <c r="K3504">
        <v>277</v>
      </c>
      <c r="L3504">
        <v>1</v>
      </c>
      <c r="M3504">
        <f>TB[[#This Row],[售价]]*TB[[#This Row],[销量]]</f>
        <v>277</v>
      </c>
      <c r="N3504" t="str">
        <f>IF(TB[[#This Row],[售价]]&lt;1000,"低价商品",IF(TB[[#This Row],[售价]]&lt;5000,"中价商品",IF(TB[[#This Row],[售价]]&lt;10000,"高价商品","超高价商品")))</f>
        <v>低价商品</v>
      </c>
    </row>
    <row r="3505" spans="1:14" x14ac:dyDescent="0.2">
      <c r="A3505">
        <v>154</v>
      </c>
      <c r="B3505">
        <v>38</v>
      </c>
      <c r="C3505" t="s">
        <v>17</v>
      </c>
      <c r="D3505" t="s">
        <v>50</v>
      </c>
      <c r="E3505" t="s">
        <v>22</v>
      </c>
      <c r="F3505">
        <v>1</v>
      </c>
      <c r="G3505" t="s">
        <v>13</v>
      </c>
      <c r="H3505" s="1">
        <v>45995.426388888889</v>
      </c>
      <c r="I3505" s="5">
        <f>INT(TB[[#This Row],[时间戳]])</f>
        <v>45995</v>
      </c>
      <c r="J3505" s="2">
        <f>HOUR(TB[[#This Row],[时间戳]])</f>
        <v>10</v>
      </c>
      <c r="K3505">
        <v>6560</v>
      </c>
      <c r="L3505">
        <v>2</v>
      </c>
      <c r="M3505">
        <f>TB[[#This Row],[售价]]*TB[[#This Row],[销量]]</f>
        <v>13120</v>
      </c>
      <c r="N3505" t="str">
        <f>IF(TB[[#This Row],[售价]]&lt;1000,"低价商品",IF(TB[[#This Row],[售价]]&lt;5000,"中价商品",IF(TB[[#This Row],[售价]]&lt;10000,"高价商品","超高价商品")))</f>
        <v>高价商品</v>
      </c>
    </row>
    <row r="3506" spans="1:14" x14ac:dyDescent="0.2">
      <c r="A3506">
        <v>585</v>
      </c>
      <c r="B3506">
        <v>72</v>
      </c>
      <c r="C3506" t="s">
        <v>26</v>
      </c>
      <c r="D3506" t="s">
        <v>225</v>
      </c>
      <c r="E3506" t="s">
        <v>31</v>
      </c>
      <c r="F3506">
        <v>4</v>
      </c>
      <c r="G3506" t="s">
        <v>13</v>
      </c>
      <c r="H3506" s="1">
        <v>45995.46875</v>
      </c>
      <c r="I3506" s="5">
        <f>INT(TB[[#This Row],[时间戳]])</f>
        <v>45995</v>
      </c>
      <c r="J3506" s="2">
        <f>HOUR(TB[[#This Row],[时间戳]])</f>
        <v>11</v>
      </c>
      <c r="K3506">
        <v>1253</v>
      </c>
      <c r="L3506">
        <v>2</v>
      </c>
      <c r="M3506">
        <f>TB[[#This Row],[售价]]*TB[[#This Row],[销量]]</f>
        <v>2506</v>
      </c>
      <c r="N3506" t="str">
        <f>IF(TB[[#This Row],[售价]]&lt;1000,"低价商品",IF(TB[[#This Row],[售价]]&lt;5000,"中价商品",IF(TB[[#This Row],[售价]]&lt;10000,"高价商品","超高价商品")))</f>
        <v>中价商品</v>
      </c>
    </row>
    <row r="3507" spans="1:14" x14ac:dyDescent="0.2">
      <c r="A3507">
        <v>774</v>
      </c>
      <c r="B3507">
        <v>21</v>
      </c>
      <c r="C3507" t="s">
        <v>17</v>
      </c>
      <c r="D3507" t="s">
        <v>126</v>
      </c>
      <c r="E3507" t="s">
        <v>39</v>
      </c>
      <c r="F3507">
        <v>5</v>
      </c>
      <c r="G3507" t="s">
        <v>13</v>
      </c>
      <c r="H3507" s="1">
        <v>45995.486111111109</v>
      </c>
      <c r="I3507" s="5">
        <f>INT(TB[[#This Row],[时间戳]])</f>
        <v>45995</v>
      </c>
      <c r="J3507" s="2">
        <f>HOUR(TB[[#This Row],[时间戳]])</f>
        <v>11</v>
      </c>
      <c r="K3507">
        <v>2230</v>
      </c>
      <c r="L3507">
        <v>3</v>
      </c>
      <c r="M3507">
        <f>TB[[#This Row],[售价]]*TB[[#This Row],[销量]]</f>
        <v>6690</v>
      </c>
      <c r="N3507" t="str">
        <f>IF(TB[[#This Row],[售价]]&lt;1000,"低价商品",IF(TB[[#This Row],[售价]]&lt;5000,"中价商品",IF(TB[[#This Row],[售价]]&lt;10000,"高价商品","超高价商品")))</f>
        <v>中价商品</v>
      </c>
    </row>
    <row r="3508" spans="1:14" x14ac:dyDescent="0.2">
      <c r="A3508">
        <v>275</v>
      </c>
      <c r="B3508">
        <v>121</v>
      </c>
      <c r="C3508" t="s">
        <v>20</v>
      </c>
      <c r="D3508" t="s">
        <v>324</v>
      </c>
      <c r="E3508" t="s">
        <v>12</v>
      </c>
      <c r="F3508">
        <v>2</v>
      </c>
      <c r="G3508" t="s">
        <v>13</v>
      </c>
      <c r="H3508" s="1">
        <v>45995.552777777775</v>
      </c>
      <c r="I3508" s="5">
        <f>INT(TB[[#This Row],[时间戳]])</f>
        <v>45995</v>
      </c>
      <c r="J3508" s="2">
        <f>HOUR(TB[[#This Row],[时间戳]])</f>
        <v>13</v>
      </c>
      <c r="K3508">
        <v>13236</v>
      </c>
      <c r="L3508">
        <v>2</v>
      </c>
      <c r="M3508">
        <f>TB[[#This Row],[售价]]*TB[[#This Row],[销量]]</f>
        <v>26472</v>
      </c>
      <c r="N3508" t="str">
        <f>IF(TB[[#This Row],[售价]]&lt;1000,"低价商品",IF(TB[[#This Row],[售价]]&lt;5000,"中价商品",IF(TB[[#This Row],[售价]]&lt;10000,"高价商品","超高价商品")))</f>
        <v>超高价商品</v>
      </c>
    </row>
    <row r="3509" spans="1:14" x14ac:dyDescent="0.2">
      <c r="A3509">
        <v>296</v>
      </c>
      <c r="B3509">
        <v>280</v>
      </c>
      <c r="C3509" t="s">
        <v>46</v>
      </c>
      <c r="D3509" t="s">
        <v>380</v>
      </c>
      <c r="E3509" t="s">
        <v>16</v>
      </c>
      <c r="F3509">
        <v>6</v>
      </c>
      <c r="G3509" t="s">
        <v>13</v>
      </c>
      <c r="H3509" s="1">
        <v>45995.564583333333</v>
      </c>
      <c r="I3509" s="5">
        <f>INT(TB[[#This Row],[时间戳]])</f>
        <v>45995</v>
      </c>
      <c r="J3509" s="2">
        <f>HOUR(TB[[#This Row],[时间戳]])</f>
        <v>13</v>
      </c>
      <c r="K3509">
        <v>9163</v>
      </c>
      <c r="L3509">
        <v>4</v>
      </c>
      <c r="M3509">
        <f>TB[[#This Row],[售价]]*TB[[#This Row],[销量]]</f>
        <v>36652</v>
      </c>
      <c r="N3509" t="str">
        <f>IF(TB[[#This Row],[售价]]&lt;1000,"低价商品",IF(TB[[#This Row],[售价]]&lt;5000,"中价商品",IF(TB[[#This Row],[售价]]&lt;10000,"高价商品","超高价商品")))</f>
        <v>高价商品</v>
      </c>
    </row>
    <row r="3510" spans="1:14" x14ac:dyDescent="0.2">
      <c r="A3510">
        <v>339</v>
      </c>
      <c r="B3510">
        <v>18</v>
      </c>
      <c r="C3510" t="s">
        <v>26</v>
      </c>
      <c r="D3510" t="s">
        <v>155</v>
      </c>
      <c r="E3510" t="s">
        <v>12</v>
      </c>
      <c r="F3510">
        <v>2</v>
      </c>
      <c r="G3510" t="s">
        <v>42</v>
      </c>
      <c r="H3510" s="1">
        <v>45995.599305555559</v>
      </c>
      <c r="I3510" s="5">
        <f>INT(TB[[#This Row],[时间戳]])</f>
        <v>45995</v>
      </c>
      <c r="J3510" s="2">
        <f>HOUR(TB[[#This Row],[时间戳]])</f>
        <v>14</v>
      </c>
      <c r="K3510">
        <v>4145</v>
      </c>
      <c r="L3510">
        <v>0</v>
      </c>
      <c r="M3510">
        <f>TB[[#This Row],[售价]]*TB[[#This Row],[销量]]</f>
        <v>0</v>
      </c>
      <c r="N3510" t="str">
        <f>IF(TB[[#This Row],[售价]]&lt;1000,"低价商品",IF(TB[[#This Row],[售价]]&lt;5000,"中价商品",IF(TB[[#This Row],[售价]]&lt;10000,"高价商品","超高价商品")))</f>
        <v>中价商品</v>
      </c>
    </row>
    <row r="3511" spans="1:14" x14ac:dyDescent="0.2">
      <c r="A3511">
        <v>556</v>
      </c>
      <c r="B3511">
        <v>222</v>
      </c>
      <c r="C3511" t="s">
        <v>32</v>
      </c>
      <c r="D3511" t="s">
        <v>193</v>
      </c>
      <c r="E3511" t="s">
        <v>22</v>
      </c>
      <c r="F3511">
        <v>1</v>
      </c>
      <c r="G3511" t="s">
        <v>13</v>
      </c>
      <c r="H3511" s="1">
        <v>45995.600694444445</v>
      </c>
      <c r="I3511" s="5">
        <f>INT(TB[[#This Row],[时间戳]])</f>
        <v>45995</v>
      </c>
      <c r="J3511" s="2">
        <f>HOUR(TB[[#This Row],[时间戳]])</f>
        <v>14</v>
      </c>
      <c r="K3511">
        <v>6111</v>
      </c>
      <c r="L3511">
        <v>5</v>
      </c>
      <c r="M3511">
        <f>TB[[#This Row],[售价]]*TB[[#This Row],[销量]]</f>
        <v>30555</v>
      </c>
      <c r="N3511" t="str">
        <f>IF(TB[[#This Row],[售价]]&lt;1000,"低价商品",IF(TB[[#This Row],[售价]]&lt;5000,"中价商品",IF(TB[[#This Row],[售价]]&lt;10000,"高价商品","超高价商品")))</f>
        <v>高价商品</v>
      </c>
    </row>
    <row r="3512" spans="1:14" x14ac:dyDescent="0.2">
      <c r="A3512">
        <v>299</v>
      </c>
      <c r="B3512">
        <v>67</v>
      </c>
      <c r="C3512" t="s">
        <v>36</v>
      </c>
      <c r="D3512" t="s">
        <v>54</v>
      </c>
      <c r="E3512" t="s">
        <v>12</v>
      </c>
      <c r="F3512">
        <v>2</v>
      </c>
      <c r="G3512" t="s">
        <v>13</v>
      </c>
      <c r="H3512" s="1">
        <v>45995.607638888891</v>
      </c>
      <c r="I3512" s="5">
        <f>INT(TB[[#This Row],[时间戳]])</f>
        <v>45995</v>
      </c>
      <c r="J3512" s="2">
        <f>HOUR(TB[[#This Row],[时间戳]])</f>
        <v>14</v>
      </c>
      <c r="K3512">
        <v>13967</v>
      </c>
      <c r="L3512">
        <v>5</v>
      </c>
      <c r="M3512">
        <f>TB[[#This Row],[售价]]*TB[[#This Row],[销量]]</f>
        <v>69835</v>
      </c>
      <c r="N3512" t="str">
        <f>IF(TB[[#This Row],[售价]]&lt;1000,"低价商品",IF(TB[[#This Row],[售价]]&lt;5000,"中价商品",IF(TB[[#This Row],[售价]]&lt;10000,"高价商品","超高价商品")))</f>
        <v>超高价商品</v>
      </c>
    </row>
    <row r="3513" spans="1:14" x14ac:dyDescent="0.2">
      <c r="A3513">
        <v>625</v>
      </c>
      <c r="B3513">
        <v>263</v>
      </c>
      <c r="C3513" t="s">
        <v>34</v>
      </c>
      <c r="D3513" t="s">
        <v>232</v>
      </c>
      <c r="E3513" t="s">
        <v>22</v>
      </c>
      <c r="F3513">
        <v>1</v>
      </c>
      <c r="G3513" t="s">
        <v>13</v>
      </c>
      <c r="H3513" s="1">
        <v>45995.609027777777</v>
      </c>
      <c r="I3513" s="5">
        <f>INT(TB[[#This Row],[时间戳]])</f>
        <v>45995</v>
      </c>
      <c r="J3513" s="2">
        <f>HOUR(TB[[#This Row],[时间戳]])</f>
        <v>14</v>
      </c>
      <c r="K3513">
        <v>3552</v>
      </c>
      <c r="L3513">
        <v>1</v>
      </c>
      <c r="M3513">
        <f>TB[[#This Row],[售价]]*TB[[#This Row],[销量]]</f>
        <v>3552</v>
      </c>
      <c r="N3513" t="str">
        <f>IF(TB[[#This Row],[售价]]&lt;1000,"低价商品",IF(TB[[#This Row],[售价]]&lt;5000,"中价商品",IF(TB[[#This Row],[售价]]&lt;10000,"高价商品","超高价商品")))</f>
        <v>中价商品</v>
      </c>
    </row>
    <row r="3514" spans="1:14" x14ac:dyDescent="0.2">
      <c r="A3514">
        <v>291</v>
      </c>
      <c r="B3514">
        <v>178</v>
      </c>
      <c r="C3514" t="s">
        <v>14</v>
      </c>
      <c r="D3514" t="s">
        <v>343</v>
      </c>
      <c r="E3514" t="s">
        <v>39</v>
      </c>
      <c r="F3514">
        <v>5</v>
      </c>
      <c r="G3514" t="s">
        <v>13</v>
      </c>
      <c r="H3514" s="1">
        <v>45995.677083333336</v>
      </c>
      <c r="I3514" s="5">
        <f>INT(TB[[#This Row],[时间戳]])</f>
        <v>45995</v>
      </c>
      <c r="J3514" s="2">
        <f>HOUR(TB[[#This Row],[时间戳]])</f>
        <v>16</v>
      </c>
      <c r="K3514">
        <v>3189</v>
      </c>
      <c r="L3514">
        <v>3</v>
      </c>
      <c r="M3514">
        <f>TB[[#This Row],[售价]]*TB[[#This Row],[销量]]</f>
        <v>9567</v>
      </c>
      <c r="N3514" t="str">
        <f>IF(TB[[#This Row],[售价]]&lt;1000,"低价商品",IF(TB[[#This Row],[售价]]&lt;5000,"中价商品",IF(TB[[#This Row],[售价]]&lt;10000,"高价商品","超高价商品")))</f>
        <v>中价商品</v>
      </c>
    </row>
    <row r="3515" spans="1:14" x14ac:dyDescent="0.2">
      <c r="A3515">
        <v>469</v>
      </c>
      <c r="B3515">
        <v>19</v>
      </c>
      <c r="C3515" t="s">
        <v>20</v>
      </c>
      <c r="D3515" t="s">
        <v>21</v>
      </c>
      <c r="E3515" t="s">
        <v>22</v>
      </c>
      <c r="F3515">
        <v>1</v>
      </c>
      <c r="G3515" t="s">
        <v>13</v>
      </c>
      <c r="H3515" s="1">
        <v>45995.708333333336</v>
      </c>
      <c r="I3515" s="5">
        <f>INT(TB[[#This Row],[时间戳]])</f>
        <v>45995</v>
      </c>
      <c r="J3515" s="2">
        <f>HOUR(TB[[#This Row],[时间戳]])</f>
        <v>17</v>
      </c>
      <c r="K3515">
        <v>4821</v>
      </c>
      <c r="L3515">
        <v>2</v>
      </c>
      <c r="M3515">
        <f>TB[[#This Row],[售价]]*TB[[#This Row],[销量]]</f>
        <v>9642</v>
      </c>
      <c r="N3515" t="str">
        <f>IF(TB[[#This Row],[售价]]&lt;1000,"低价商品",IF(TB[[#This Row],[售价]]&lt;5000,"中价商品",IF(TB[[#This Row],[售价]]&lt;10000,"高价商品","超高价商品")))</f>
        <v>中价商品</v>
      </c>
    </row>
    <row r="3516" spans="1:14" x14ac:dyDescent="0.2">
      <c r="A3516">
        <v>366</v>
      </c>
      <c r="B3516">
        <v>92</v>
      </c>
      <c r="C3516" t="s">
        <v>44</v>
      </c>
      <c r="D3516" t="s">
        <v>59</v>
      </c>
      <c r="E3516" t="s">
        <v>22</v>
      </c>
      <c r="F3516">
        <v>1</v>
      </c>
      <c r="G3516" t="s">
        <v>13</v>
      </c>
      <c r="H3516" s="1">
        <v>45995.743750000001</v>
      </c>
      <c r="I3516" s="5">
        <f>INT(TB[[#This Row],[时间戳]])</f>
        <v>45995</v>
      </c>
      <c r="J3516" s="2">
        <f>HOUR(TB[[#This Row],[时间戳]])</f>
        <v>17</v>
      </c>
      <c r="K3516">
        <v>6830</v>
      </c>
      <c r="L3516">
        <v>2</v>
      </c>
      <c r="M3516">
        <f>TB[[#This Row],[售价]]*TB[[#This Row],[销量]]</f>
        <v>13660</v>
      </c>
      <c r="N3516" t="str">
        <f>IF(TB[[#This Row],[售价]]&lt;1000,"低价商品",IF(TB[[#This Row],[售价]]&lt;5000,"中价商品",IF(TB[[#This Row],[售价]]&lt;10000,"高价商品","超高价商品")))</f>
        <v>高价商品</v>
      </c>
    </row>
    <row r="3517" spans="1:14" x14ac:dyDescent="0.2">
      <c r="A3517">
        <v>400</v>
      </c>
      <c r="B3517">
        <v>245</v>
      </c>
      <c r="C3517" t="s">
        <v>17</v>
      </c>
      <c r="D3517" t="s">
        <v>126</v>
      </c>
      <c r="E3517" t="s">
        <v>39</v>
      </c>
      <c r="F3517">
        <v>5</v>
      </c>
      <c r="G3517" t="s">
        <v>13</v>
      </c>
      <c r="H3517" s="1">
        <v>45995.795138888891</v>
      </c>
      <c r="I3517" s="5">
        <f>INT(TB[[#This Row],[时间戳]])</f>
        <v>45995</v>
      </c>
      <c r="J3517" s="2">
        <f>HOUR(TB[[#This Row],[时间戳]])</f>
        <v>19</v>
      </c>
      <c r="K3517">
        <v>1841</v>
      </c>
      <c r="L3517">
        <v>2</v>
      </c>
      <c r="M3517">
        <f>TB[[#This Row],[售价]]*TB[[#This Row],[销量]]</f>
        <v>3682</v>
      </c>
      <c r="N3517" t="str">
        <f>IF(TB[[#This Row],[售价]]&lt;1000,"低价商品",IF(TB[[#This Row],[售价]]&lt;5000,"中价商品",IF(TB[[#This Row],[售价]]&lt;10000,"高价商品","超高价商品")))</f>
        <v>中价商品</v>
      </c>
    </row>
    <row r="3518" spans="1:14" x14ac:dyDescent="0.2">
      <c r="A3518">
        <v>631</v>
      </c>
      <c r="B3518">
        <v>232</v>
      </c>
      <c r="C3518" t="s">
        <v>26</v>
      </c>
      <c r="D3518" t="s">
        <v>131</v>
      </c>
      <c r="E3518" t="s">
        <v>22</v>
      </c>
      <c r="F3518">
        <v>1</v>
      </c>
      <c r="G3518" t="s">
        <v>13</v>
      </c>
      <c r="H3518" s="1">
        <v>45995.796527777777</v>
      </c>
      <c r="I3518" s="5">
        <f>INT(TB[[#This Row],[时间戳]])</f>
        <v>45995</v>
      </c>
      <c r="J3518" s="2">
        <f>HOUR(TB[[#This Row],[时间戳]])</f>
        <v>19</v>
      </c>
      <c r="K3518">
        <v>2681</v>
      </c>
      <c r="L3518">
        <v>2</v>
      </c>
      <c r="M3518">
        <f>TB[[#This Row],[售价]]*TB[[#This Row],[销量]]</f>
        <v>5362</v>
      </c>
      <c r="N3518" t="str">
        <f>IF(TB[[#This Row],[售价]]&lt;1000,"低价商品",IF(TB[[#This Row],[售价]]&lt;5000,"中价商品",IF(TB[[#This Row],[售价]]&lt;10000,"高价商品","超高价商品")))</f>
        <v>中价商品</v>
      </c>
    </row>
    <row r="3519" spans="1:14" x14ac:dyDescent="0.2">
      <c r="A3519">
        <v>66</v>
      </c>
      <c r="B3519">
        <v>237</v>
      </c>
      <c r="C3519" t="s">
        <v>14</v>
      </c>
      <c r="D3519" t="s">
        <v>295</v>
      </c>
      <c r="E3519" t="s">
        <v>39</v>
      </c>
      <c r="F3519">
        <v>5</v>
      </c>
      <c r="G3519" t="s">
        <v>42</v>
      </c>
      <c r="H3519" s="1">
        <v>45995.805555555555</v>
      </c>
      <c r="I3519" s="5">
        <f>INT(TB[[#This Row],[时间戳]])</f>
        <v>45995</v>
      </c>
      <c r="J3519" s="2">
        <f>HOUR(TB[[#This Row],[时间戳]])</f>
        <v>19</v>
      </c>
      <c r="K3519">
        <v>1919</v>
      </c>
      <c r="L3519">
        <v>0</v>
      </c>
      <c r="M3519">
        <f>TB[[#This Row],[售价]]*TB[[#This Row],[销量]]</f>
        <v>0</v>
      </c>
      <c r="N3519" t="str">
        <f>IF(TB[[#This Row],[售价]]&lt;1000,"低价商品",IF(TB[[#This Row],[售价]]&lt;5000,"中价商品",IF(TB[[#This Row],[售价]]&lt;10000,"高价商品","超高价商品")))</f>
        <v>中价商品</v>
      </c>
    </row>
    <row r="3520" spans="1:14" x14ac:dyDescent="0.2">
      <c r="A3520">
        <v>394</v>
      </c>
      <c r="B3520">
        <v>278</v>
      </c>
      <c r="C3520" t="s">
        <v>20</v>
      </c>
      <c r="D3520" t="s">
        <v>261</v>
      </c>
      <c r="E3520" t="s">
        <v>22</v>
      </c>
      <c r="F3520">
        <v>1</v>
      </c>
      <c r="G3520" t="s">
        <v>13</v>
      </c>
      <c r="H3520" s="1">
        <v>45995.806944444441</v>
      </c>
      <c r="I3520" s="5">
        <f>INT(TB[[#This Row],[时间戳]])</f>
        <v>45995</v>
      </c>
      <c r="J3520" s="2">
        <f>HOUR(TB[[#This Row],[时间戳]])</f>
        <v>19</v>
      </c>
      <c r="K3520">
        <v>5166</v>
      </c>
      <c r="L3520">
        <v>2</v>
      </c>
      <c r="M3520">
        <f>TB[[#This Row],[售价]]*TB[[#This Row],[销量]]</f>
        <v>10332</v>
      </c>
      <c r="N3520" t="str">
        <f>IF(TB[[#This Row],[售价]]&lt;1000,"低价商品",IF(TB[[#This Row],[售价]]&lt;5000,"中价商品",IF(TB[[#This Row],[售价]]&lt;10000,"高价商品","超高价商品")))</f>
        <v>高价商品</v>
      </c>
    </row>
    <row r="3521" spans="1:14" x14ac:dyDescent="0.2">
      <c r="A3521">
        <v>518</v>
      </c>
      <c r="B3521">
        <v>255</v>
      </c>
      <c r="C3521" t="s">
        <v>46</v>
      </c>
      <c r="D3521" t="s">
        <v>127</v>
      </c>
      <c r="E3521" t="s">
        <v>12</v>
      </c>
      <c r="F3521">
        <v>2</v>
      </c>
      <c r="G3521" t="s">
        <v>13</v>
      </c>
      <c r="H3521" s="1">
        <v>45995.811111111114</v>
      </c>
      <c r="I3521" s="5">
        <f>INT(TB[[#This Row],[时间戳]])</f>
        <v>45995</v>
      </c>
      <c r="J3521" s="2">
        <f>HOUR(TB[[#This Row],[时间戳]])</f>
        <v>19</v>
      </c>
      <c r="K3521">
        <v>6575</v>
      </c>
      <c r="L3521">
        <v>1</v>
      </c>
      <c r="M3521">
        <f>TB[[#This Row],[售价]]*TB[[#This Row],[销量]]</f>
        <v>6575</v>
      </c>
      <c r="N3521" t="str">
        <f>IF(TB[[#This Row],[售价]]&lt;1000,"低价商品",IF(TB[[#This Row],[售价]]&lt;5000,"中价商品",IF(TB[[#This Row],[售价]]&lt;10000,"高价商品","超高价商品")))</f>
        <v>高价商品</v>
      </c>
    </row>
    <row r="3522" spans="1:14" x14ac:dyDescent="0.2">
      <c r="A3522">
        <v>591</v>
      </c>
      <c r="B3522">
        <v>101</v>
      </c>
      <c r="C3522" t="s">
        <v>34</v>
      </c>
      <c r="D3522" t="s">
        <v>125</v>
      </c>
      <c r="E3522" t="s">
        <v>31</v>
      </c>
      <c r="F3522">
        <v>4</v>
      </c>
      <c r="G3522" t="s">
        <v>13</v>
      </c>
      <c r="H3522" s="1">
        <v>45995.815972222219</v>
      </c>
      <c r="I3522" s="5">
        <f>INT(TB[[#This Row],[时间戳]])</f>
        <v>45995</v>
      </c>
      <c r="J3522" s="2">
        <f>HOUR(TB[[#This Row],[时间戳]])</f>
        <v>19</v>
      </c>
      <c r="K3522">
        <v>231</v>
      </c>
      <c r="L3522">
        <v>3</v>
      </c>
      <c r="M3522">
        <f>TB[[#This Row],[售价]]*TB[[#This Row],[销量]]</f>
        <v>693</v>
      </c>
      <c r="N3522" t="str">
        <f>IF(TB[[#This Row],[售价]]&lt;1000,"低价商品",IF(TB[[#This Row],[售价]]&lt;5000,"中价商品",IF(TB[[#This Row],[售价]]&lt;10000,"高价商品","超高价商品")))</f>
        <v>低价商品</v>
      </c>
    </row>
    <row r="3523" spans="1:14" x14ac:dyDescent="0.2">
      <c r="A3523">
        <v>545</v>
      </c>
      <c r="B3523">
        <v>163</v>
      </c>
      <c r="C3523" t="s">
        <v>10</v>
      </c>
      <c r="D3523" t="s">
        <v>373</v>
      </c>
      <c r="E3523" t="s">
        <v>25</v>
      </c>
      <c r="F3523">
        <v>7</v>
      </c>
      <c r="G3523" t="s">
        <v>13</v>
      </c>
      <c r="H3523" s="1">
        <v>45995.827777777777</v>
      </c>
      <c r="I3523" s="5">
        <f>INT(TB[[#This Row],[时间戳]])</f>
        <v>45995</v>
      </c>
      <c r="J3523" s="2">
        <f>HOUR(TB[[#This Row],[时间戳]])</f>
        <v>19</v>
      </c>
      <c r="K3523">
        <v>5729</v>
      </c>
      <c r="L3523">
        <v>2</v>
      </c>
      <c r="M3523">
        <f>TB[[#This Row],[售价]]*TB[[#This Row],[销量]]</f>
        <v>11458</v>
      </c>
      <c r="N3523" t="str">
        <f>IF(TB[[#This Row],[售价]]&lt;1000,"低价商品",IF(TB[[#This Row],[售价]]&lt;5000,"中价商品",IF(TB[[#This Row],[售价]]&lt;10000,"高价商品","超高价商品")))</f>
        <v>高价商品</v>
      </c>
    </row>
    <row r="3524" spans="1:14" x14ac:dyDescent="0.2">
      <c r="A3524">
        <v>659</v>
      </c>
      <c r="B3524">
        <v>96</v>
      </c>
      <c r="C3524" t="s">
        <v>10</v>
      </c>
      <c r="D3524" t="s">
        <v>351</v>
      </c>
      <c r="E3524" t="s">
        <v>31</v>
      </c>
      <c r="F3524">
        <v>4</v>
      </c>
      <c r="G3524" t="s">
        <v>13</v>
      </c>
      <c r="H3524" s="1">
        <v>45995.833333333336</v>
      </c>
      <c r="I3524" s="5">
        <f>INT(TB[[#This Row],[时间戳]])</f>
        <v>45995</v>
      </c>
      <c r="J3524" s="2">
        <f>HOUR(TB[[#This Row],[时间戳]])</f>
        <v>20</v>
      </c>
      <c r="K3524">
        <v>1500</v>
      </c>
      <c r="L3524">
        <v>3</v>
      </c>
      <c r="M3524">
        <f>TB[[#This Row],[售价]]*TB[[#This Row],[销量]]</f>
        <v>4500</v>
      </c>
      <c r="N3524" t="str">
        <f>IF(TB[[#This Row],[售价]]&lt;1000,"低价商品",IF(TB[[#This Row],[售价]]&lt;5000,"中价商品",IF(TB[[#This Row],[售价]]&lt;10000,"高价商品","超高价商品")))</f>
        <v>中价商品</v>
      </c>
    </row>
    <row r="3525" spans="1:14" x14ac:dyDescent="0.2">
      <c r="A3525">
        <v>54</v>
      </c>
      <c r="B3525">
        <v>138</v>
      </c>
      <c r="C3525" t="s">
        <v>32</v>
      </c>
      <c r="D3525" t="s">
        <v>224</v>
      </c>
      <c r="E3525" t="s">
        <v>25</v>
      </c>
      <c r="F3525">
        <v>7</v>
      </c>
      <c r="G3525" t="s">
        <v>13</v>
      </c>
      <c r="H3525" s="1">
        <v>45995.835416666669</v>
      </c>
      <c r="I3525" s="5">
        <f>INT(TB[[#This Row],[时间戳]])</f>
        <v>45995</v>
      </c>
      <c r="J3525" s="2">
        <f>HOUR(TB[[#This Row],[时间戳]])</f>
        <v>20</v>
      </c>
      <c r="K3525">
        <v>7209</v>
      </c>
      <c r="L3525">
        <v>1</v>
      </c>
      <c r="M3525">
        <f>TB[[#This Row],[售价]]*TB[[#This Row],[销量]]</f>
        <v>7209</v>
      </c>
      <c r="N3525" t="str">
        <f>IF(TB[[#This Row],[售价]]&lt;1000,"低价商品",IF(TB[[#This Row],[售价]]&lt;5000,"中价商品",IF(TB[[#This Row],[售价]]&lt;10000,"高价商品","超高价商品")))</f>
        <v>高价商品</v>
      </c>
    </row>
    <row r="3526" spans="1:14" x14ac:dyDescent="0.2">
      <c r="A3526">
        <v>391</v>
      </c>
      <c r="B3526">
        <v>170</v>
      </c>
      <c r="C3526" t="s">
        <v>34</v>
      </c>
      <c r="D3526" t="s">
        <v>62</v>
      </c>
      <c r="E3526" t="s">
        <v>31</v>
      </c>
      <c r="F3526">
        <v>4</v>
      </c>
      <c r="G3526" t="s">
        <v>13</v>
      </c>
      <c r="H3526" s="1">
        <v>45995.838888888888</v>
      </c>
      <c r="I3526" s="5">
        <f>INT(TB[[#This Row],[时间戳]])</f>
        <v>45995</v>
      </c>
      <c r="J3526" s="2">
        <f>HOUR(TB[[#This Row],[时间戳]])</f>
        <v>20</v>
      </c>
      <c r="K3526">
        <v>250</v>
      </c>
      <c r="L3526">
        <v>2</v>
      </c>
      <c r="M3526">
        <f>TB[[#This Row],[售价]]*TB[[#This Row],[销量]]</f>
        <v>500</v>
      </c>
      <c r="N3526" t="str">
        <f>IF(TB[[#This Row],[售价]]&lt;1000,"低价商品",IF(TB[[#This Row],[售价]]&lt;5000,"中价商品",IF(TB[[#This Row],[售价]]&lt;10000,"高价商品","超高价商品")))</f>
        <v>低价商品</v>
      </c>
    </row>
    <row r="3527" spans="1:14" x14ac:dyDescent="0.2">
      <c r="A3527">
        <v>32</v>
      </c>
      <c r="B3527">
        <v>64</v>
      </c>
      <c r="C3527" t="s">
        <v>46</v>
      </c>
      <c r="D3527" t="s">
        <v>359</v>
      </c>
      <c r="E3527" t="s">
        <v>25</v>
      </c>
      <c r="F3527">
        <v>7</v>
      </c>
      <c r="G3527" t="s">
        <v>13</v>
      </c>
      <c r="H3527" s="1">
        <v>45995.841666666667</v>
      </c>
      <c r="I3527" s="5">
        <f>INT(TB[[#This Row],[时间戳]])</f>
        <v>45995</v>
      </c>
      <c r="J3527" s="2">
        <f>HOUR(TB[[#This Row],[时间戳]])</f>
        <v>20</v>
      </c>
      <c r="K3527">
        <v>7149</v>
      </c>
      <c r="L3527">
        <v>1</v>
      </c>
      <c r="M3527">
        <f>TB[[#This Row],[售价]]*TB[[#This Row],[销量]]</f>
        <v>7149</v>
      </c>
      <c r="N3527" t="str">
        <f>IF(TB[[#This Row],[售价]]&lt;1000,"低价商品",IF(TB[[#This Row],[售价]]&lt;5000,"中价商品",IF(TB[[#This Row],[售价]]&lt;10000,"高价商品","超高价商品")))</f>
        <v>高价商品</v>
      </c>
    </row>
    <row r="3528" spans="1:14" x14ac:dyDescent="0.2">
      <c r="A3528">
        <v>798</v>
      </c>
      <c r="B3528">
        <v>176</v>
      </c>
      <c r="C3528" t="s">
        <v>20</v>
      </c>
      <c r="D3528" t="s">
        <v>120</v>
      </c>
      <c r="E3528" t="s">
        <v>22</v>
      </c>
      <c r="F3528">
        <v>1</v>
      </c>
      <c r="G3528" t="s">
        <v>42</v>
      </c>
      <c r="H3528" s="1">
        <v>45995.908333333333</v>
      </c>
      <c r="I3528" s="5">
        <f>INT(TB[[#This Row],[时间戳]])</f>
        <v>45995</v>
      </c>
      <c r="J3528" s="2">
        <f>HOUR(TB[[#This Row],[时间戳]])</f>
        <v>21</v>
      </c>
      <c r="K3528">
        <v>2318</v>
      </c>
      <c r="L3528">
        <v>0</v>
      </c>
      <c r="M3528">
        <f>TB[[#This Row],[售价]]*TB[[#This Row],[销量]]</f>
        <v>0</v>
      </c>
      <c r="N3528" t="str">
        <f>IF(TB[[#This Row],[售价]]&lt;1000,"低价商品",IF(TB[[#This Row],[售价]]&lt;5000,"中价商品",IF(TB[[#This Row],[售价]]&lt;10000,"高价商品","超高价商品")))</f>
        <v>中价商品</v>
      </c>
    </row>
    <row r="3529" spans="1:14" x14ac:dyDescent="0.2">
      <c r="A3529">
        <v>537</v>
      </c>
      <c r="B3529">
        <v>202</v>
      </c>
      <c r="C3529" t="s">
        <v>36</v>
      </c>
      <c r="D3529" t="s">
        <v>310</v>
      </c>
      <c r="E3529" t="s">
        <v>39</v>
      </c>
      <c r="F3529">
        <v>5</v>
      </c>
      <c r="G3529" t="s">
        <v>42</v>
      </c>
      <c r="H3529" s="1">
        <v>45995.93472222222</v>
      </c>
      <c r="I3529" s="5">
        <f>INT(TB[[#This Row],[时间戳]])</f>
        <v>45995</v>
      </c>
      <c r="J3529" s="2">
        <f>HOUR(TB[[#This Row],[时间戳]])</f>
        <v>22</v>
      </c>
      <c r="K3529">
        <v>2271</v>
      </c>
      <c r="L3529">
        <v>0</v>
      </c>
      <c r="M3529">
        <f>TB[[#This Row],[售价]]*TB[[#This Row],[销量]]</f>
        <v>0</v>
      </c>
      <c r="N3529" t="str">
        <f>IF(TB[[#This Row],[售价]]&lt;1000,"低价商品",IF(TB[[#This Row],[售价]]&lt;5000,"中价商品",IF(TB[[#This Row],[售价]]&lt;10000,"高价商品","超高价商品")))</f>
        <v>中价商品</v>
      </c>
    </row>
    <row r="3530" spans="1:14" x14ac:dyDescent="0.2">
      <c r="A3530">
        <v>144</v>
      </c>
      <c r="B3530">
        <v>181</v>
      </c>
      <c r="C3530" t="s">
        <v>17</v>
      </c>
      <c r="D3530" t="s">
        <v>119</v>
      </c>
      <c r="E3530" t="s">
        <v>12</v>
      </c>
      <c r="F3530">
        <v>2</v>
      </c>
      <c r="G3530" t="s">
        <v>13</v>
      </c>
      <c r="H3530" s="1">
        <v>45995.997916666667</v>
      </c>
      <c r="I3530" s="5">
        <f>INT(TB[[#This Row],[时间戳]])</f>
        <v>45995</v>
      </c>
      <c r="J3530" s="2">
        <f>HOUR(TB[[#This Row],[时间戳]])</f>
        <v>23</v>
      </c>
      <c r="K3530">
        <v>11650</v>
      </c>
      <c r="L3530">
        <v>2</v>
      </c>
      <c r="M3530">
        <f>TB[[#This Row],[售价]]*TB[[#This Row],[销量]]</f>
        <v>23300</v>
      </c>
      <c r="N3530" t="str">
        <f>IF(TB[[#This Row],[售价]]&lt;1000,"低价商品",IF(TB[[#This Row],[售价]]&lt;5000,"中价商品",IF(TB[[#This Row],[售价]]&lt;10000,"高价商品","超高价商品")))</f>
        <v>超高价商品</v>
      </c>
    </row>
    <row r="3531" spans="1:14" x14ac:dyDescent="0.2">
      <c r="A3531">
        <v>650</v>
      </c>
      <c r="B3531">
        <v>69</v>
      </c>
      <c r="C3531" t="s">
        <v>26</v>
      </c>
      <c r="D3531" t="s">
        <v>182</v>
      </c>
      <c r="E3531" t="s">
        <v>31</v>
      </c>
      <c r="F3531">
        <v>4</v>
      </c>
      <c r="G3531" t="s">
        <v>13</v>
      </c>
      <c r="H3531" s="1">
        <v>45996.008333333331</v>
      </c>
      <c r="I3531" s="5">
        <f>INT(TB[[#This Row],[时间戳]])</f>
        <v>45996</v>
      </c>
      <c r="J3531" s="2">
        <f>HOUR(TB[[#This Row],[时间戳]])</f>
        <v>0</v>
      </c>
      <c r="K3531">
        <v>1252</v>
      </c>
      <c r="L3531">
        <v>4</v>
      </c>
      <c r="M3531">
        <f>TB[[#This Row],[售价]]*TB[[#This Row],[销量]]</f>
        <v>5008</v>
      </c>
      <c r="N3531" t="str">
        <f>IF(TB[[#This Row],[售价]]&lt;1000,"低价商品",IF(TB[[#This Row],[售价]]&lt;5000,"中价商品",IF(TB[[#This Row],[售价]]&lt;10000,"高价商品","超高价商品")))</f>
        <v>中价商品</v>
      </c>
    </row>
    <row r="3532" spans="1:14" x14ac:dyDescent="0.2">
      <c r="A3532">
        <v>401</v>
      </c>
      <c r="B3532">
        <v>114</v>
      </c>
      <c r="C3532" t="s">
        <v>46</v>
      </c>
      <c r="D3532" t="s">
        <v>111</v>
      </c>
      <c r="E3532" t="s">
        <v>16</v>
      </c>
      <c r="F3532">
        <v>6</v>
      </c>
      <c r="G3532" t="s">
        <v>13</v>
      </c>
      <c r="H3532" s="1">
        <v>45996.01458333333</v>
      </c>
      <c r="I3532" s="5">
        <f>INT(TB[[#This Row],[时间戳]])</f>
        <v>45996</v>
      </c>
      <c r="J3532" s="2">
        <f>HOUR(TB[[#This Row],[时间戳]])</f>
        <v>0</v>
      </c>
      <c r="K3532">
        <v>10905</v>
      </c>
      <c r="L3532">
        <v>3</v>
      </c>
      <c r="M3532">
        <f>TB[[#This Row],[售价]]*TB[[#This Row],[销量]]</f>
        <v>32715</v>
      </c>
      <c r="N3532" t="str">
        <f>IF(TB[[#This Row],[售价]]&lt;1000,"低价商品",IF(TB[[#This Row],[售价]]&lt;5000,"中价商品",IF(TB[[#This Row],[售价]]&lt;10000,"高价商品","超高价商品")))</f>
        <v>超高价商品</v>
      </c>
    </row>
    <row r="3533" spans="1:14" x14ac:dyDescent="0.2">
      <c r="A3533">
        <v>349</v>
      </c>
      <c r="B3533">
        <v>208</v>
      </c>
      <c r="C3533" t="s">
        <v>46</v>
      </c>
      <c r="D3533" t="s">
        <v>80</v>
      </c>
      <c r="E3533" t="s">
        <v>22</v>
      </c>
      <c r="F3533">
        <v>1</v>
      </c>
      <c r="G3533" t="s">
        <v>13</v>
      </c>
      <c r="H3533" s="1">
        <v>45996.043749999997</v>
      </c>
      <c r="I3533" s="5">
        <f>INT(TB[[#This Row],[时间戳]])</f>
        <v>45996</v>
      </c>
      <c r="J3533" s="2">
        <f>HOUR(TB[[#This Row],[时间戳]])</f>
        <v>1</v>
      </c>
      <c r="K3533">
        <v>2672</v>
      </c>
      <c r="L3533">
        <v>1</v>
      </c>
      <c r="M3533">
        <f>TB[[#This Row],[售价]]*TB[[#This Row],[销量]]</f>
        <v>2672</v>
      </c>
      <c r="N3533" t="str">
        <f>IF(TB[[#This Row],[售价]]&lt;1000,"低价商品",IF(TB[[#This Row],[售价]]&lt;5000,"中价商品",IF(TB[[#This Row],[售价]]&lt;10000,"高价商品","超高价商品")))</f>
        <v>中价商品</v>
      </c>
    </row>
    <row r="3534" spans="1:14" x14ac:dyDescent="0.2">
      <c r="A3534">
        <v>192</v>
      </c>
      <c r="B3534">
        <v>273</v>
      </c>
      <c r="C3534" t="s">
        <v>14</v>
      </c>
      <c r="D3534" t="s">
        <v>228</v>
      </c>
      <c r="E3534" t="s">
        <v>31</v>
      </c>
      <c r="F3534">
        <v>4</v>
      </c>
      <c r="G3534" t="s">
        <v>13</v>
      </c>
      <c r="H3534" s="1">
        <v>45996.050694444442</v>
      </c>
      <c r="I3534" s="5">
        <f>INT(TB[[#This Row],[时间戳]])</f>
        <v>45996</v>
      </c>
      <c r="J3534" s="2">
        <f>HOUR(TB[[#This Row],[时间戳]])</f>
        <v>1</v>
      </c>
      <c r="K3534">
        <v>319</v>
      </c>
      <c r="L3534">
        <v>1</v>
      </c>
      <c r="M3534">
        <f>TB[[#This Row],[售价]]*TB[[#This Row],[销量]]</f>
        <v>319</v>
      </c>
      <c r="N3534" t="str">
        <f>IF(TB[[#This Row],[售价]]&lt;1000,"低价商品",IF(TB[[#This Row],[售价]]&lt;5000,"中价商品",IF(TB[[#This Row],[售价]]&lt;10000,"高价商品","超高价商品")))</f>
        <v>低价商品</v>
      </c>
    </row>
    <row r="3535" spans="1:14" x14ac:dyDescent="0.2">
      <c r="A3535">
        <v>352</v>
      </c>
      <c r="B3535">
        <v>200</v>
      </c>
      <c r="C3535" t="s">
        <v>44</v>
      </c>
      <c r="D3535" t="s">
        <v>416</v>
      </c>
      <c r="E3535" t="s">
        <v>25</v>
      </c>
      <c r="F3535">
        <v>7</v>
      </c>
      <c r="G3535" t="s">
        <v>13</v>
      </c>
      <c r="H3535" s="1">
        <v>45996.057638888888</v>
      </c>
      <c r="I3535" s="5">
        <f>INT(TB[[#This Row],[时间戳]])</f>
        <v>45996</v>
      </c>
      <c r="J3535" s="2">
        <f>HOUR(TB[[#This Row],[时间戳]])</f>
        <v>1</v>
      </c>
      <c r="K3535">
        <v>7710</v>
      </c>
      <c r="L3535">
        <v>5</v>
      </c>
      <c r="M3535">
        <f>TB[[#This Row],[售价]]*TB[[#This Row],[销量]]</f>
        <v>38550</v>
      </c>
      <c r="N3535" t="str">
        <f>IF(TB[[#This Row],[售价]]&lt;1000,"低价商品",IF(TB[[#This Row],[售价]]&lt;5000,"中价商品",IF(TB[[#This Row],[售价]]&lt;10000,"高价商品","超高价商品")))</f>
        <v>高价商品</v>
      </c>
    </row>
    <row r="3536" spans="1:14" x14ac:dyDescent="0.2">
      <c r="A3536">
        <v>604</v>
      </c>
      <c r="B3536">
        <v>114</v>
      </c>
      <c r="C3536" t="s">
        <v>26</v>
      </c>
      <c r="D3536" t="s">
        <v>417</v>
      </c>
      <c r="E3536" t="s">
        <v>25</v>
      </c>
      <c r="F3536">
        <v>7</v>
      </c>
      <c r="G3536" t="s">
        <v>13</v>
      </c>
      <c r="H3536" s="1">
        <v>45996.0625</v>
      </c>
      <c r="I3536" s="5">
        <f>INT(TB[[#This Row],[时间戳]])</f>
        <v>45996</v>
      </c>
      <c r="J3536" s="2">
        <f>HOUR(TB[[#This Row],[时间戳]])</f>
        <v>1</v>
      </c>
      <c r="K3536">
        <v>2967</v>
      </c>
      <c r="L3536">
        <v>3</v>
      </c>
      <c r="M3536">
        <f>TB[[#This Row],[售价]]*TB[[#This Row],[销量]]</f>
        <v>8901</v>
      </c>
      <c r="N3536" t="str">
        <f>IF(TB[[#This Row],[售价]]&lt;1000,"低价商品",IF(TB[[#This Row],[售价]]&lt;5000,"中价商品",IF(TB[[#This Row],[售价]]&lt;10000,"高价商品","超高价商品")))</f>
        <v>中价商品</v>
      </c>
    </row>
    <row r="3537" spans="1:14" x14ac:dyDescent="0.2">
      <c r="A3537">
        <v>623</v>
      </c>
      <c r="B3537">
        <v>190</v>
      </c>
      <c r="C3537" t="s">
        <v>34</v>
      </c>
      <c r="D3537" t="s">
        <v>164</v>
      </c>
      <c r="E3537" t="s">
        <v>22</v>
      </c>
      <c r="F3537">
        <v>1</v>
      </c>
      <c r="G3537" t="s">
        <v>13</v>
      </c>
      <c r="H3537" s="1">
        <v>45996.06527777778</v>
      </c>
      <c r="I3537" s="5">
        <f>INT(TB[[#This Row],[时间戳]])</f>
        <v>45996</v>
      </c>
      <c r="J3537" s="2">
        <f>HOUR(TB[[#This Row],[时间戳]])</f>
        <v>1</v>
      </c>
      <c r="K3537">
        <v>6603</v>
      </c>
      <c r="L3537">
        <v>5</v>
      </c>
      <c r="M3537">
        <f>TB[[#This Row],[售价]]*TB[[#This Row],[销量]]</f>
        <v>33015</v>
      </c>
      <c r="N3537" t="str">
        <f>IF(TB[[#This Row],[售价]]&lt;1000,"低价商品",IF(TB[[#This Row],[售价]]&lt;5000,"中价商品",IF(TB[[#This Row],[售价]]&lt;10000,"高价商品","超高价商品")))</f>
        <v>高价商品</v>
      </c>
    </row>
    <row r="3538" spans="1:14" x14ac:dyDescent="0.2">
      <c r="A3538">
        <v>574</v>
      </c>
      <c r="B3538">
        <v>201</v>
      </c>
      <c r="C3538" t="s">
        <v>20</v>
      </c>
      <c r="D3538" t="s">
        <v>72</v>
      </c>
      <c r="E3538" t="s">
        <v>25</v>
      </c>
      <c r="F3538">
        <v>7</v>
      </c>
      <c r="G3538" t="s">
        <v>13</v>
      </c>
      <c r="H3538" s="1">
        <v>45996.070138888892</v>
      </c>
      <c r="I3538" s="5">
        <f>INT(TB[[#This Row],[时间戳]])</f>
        <v>45996</v>
      </c>
      <c r="J3538" s="2">
        <f>HOUR(TB[[#This Row],[时间戳]])</f>
        <v>1</v>
      </c>
      <c r="K3538">
        <v>2251</v>
      </c>
      <c r="L3538">
        <v>2</v>
      </c>
      <c r="M3538">
        <f>TB[[#This Row],[售价]]*TB[[#This Row],[销量]]</f>
        <v>4502</v>
      </c>
      <c r="N3538" t="str">
        <f>IF(TB[[#This Row],[售价]]&lt;1000,"低价商品",IF(TB[[#This Row],[售价]]&lt;5000,"中价商品",IF(TB[[#This Row],[售价]]&lt;10000,"高价商品","超高价商品")))</f>
        <v>中价商品</v>
      </c>
    </row>
    <row r="3539" spans="1:14" x14ac:dyDescent="0.2">
      <c r="A3539">
        <v>532</v>
      </c>
      <c r="B3539">
        <v>135</v>
      </c>
      <c r="C3539" t="s">
        <v>10</v>
      </c>
      <c r="D3539" t="s">
        <v>351</v>
      </c>
      <c r="E3539" t="s">
        <v>31</v>
      </c>
      <c r="F3539">
        <v>4</v>
      </c>
      <c r="G3539" t="s">
        <v>42</v>
      </c>
      <c r="H3539" s="1">
        <v>45996.078472222223</v>
      </c>
      <c r="I3539" s="5">
        <f>INT(TB[[#This Row],[时间戳]])</f>
        <v>45996</v>
      </c>
      <c r="J3539" s="2">
        <f>HOUR(TB[[#This Row],[时间戳]])</f>
        <v>1</v>
      </c>
      <c r="K3539">
        <v>793</v>
      </c>
      <c r="L3539">
        <v>0</v>
      </c>
      <c r="M3539">
        <f>TB[[#This Row],[售价]]*TB[[#This Row],[销量]]</f>
        <v>0</v>
      </c>
      <c r="N3539" t="str">
        <f>IF(TB[[#This Row],[售价]]&lt;1000,"低价商品",IF(TB[[#This Row],[售价]]&lt;5000,"中价商品",IF(TB[[#This Row],[售价]]&lt;10000,"高价商品","超高价商品")))</f>
        <v>低价商品</v>
      </c>
    </row>
    <row r="3540" spans="1:14" x14ac:dyDescent="0.2">
      <c r="A3540">
        <v>625</v>
      </c>
      <c r="B3540">
        <v>165</v>
      </c>
      <c r="C3540" t="s">
        <v>34</v>
      </c>
      <c r="D3540" t="s">
        <v>325</v>
      </c>
      <c r="E3540" t="s">
        <v>25</v>
      </c>
      <c r="F3540">
        <v>7</v>
      </c>
      <c r="G3540" t="s">
        <v>13</v>
      </c>
      <c r="H3540" s="1">
        <v>45996.099305555559</v>
      </c>
      <c r="I3540" s="5">
        <f>INT(TB[[#This Row],[时间戳]])</f>
        <v>45996</v>
      </c>
      <c r="J3540" s="2">
        <f>HOUR(TB[[#This Row],[时间戳]])</f>
        <v>2</v>
      </c>
      <c r="K3540">
        <v>4750</v>
      </c>
      <c r="L3540">
        <v>2</v>
      </c>
      <c r="M3540">
        <f>TB[[#This Row],[售价]]*TB[[#This Row],[销量]]</f>
        <v>9500</v>
      </c>
      <c r="N3540" t="str">
        <f>IF(TB[[#This Row],[售价]]&lt;1000,"低价商品",IF(TB[[#This Row],[售价]]&lt;5000,"中价商品",IF(TB[[#This Row],[售价]]&lt;10000,"高价商品","超高价商品")))</f>
        <v>中价商品</v>
      </c>
    </row>
    <row r="3541" spans="1:14" x14ac:dyDescent="0.2">
      <c r="A3541">
        <v>230</v>
      </c>
      <c r="B3541">
        <v>4</v>
      </c>
      <c r="C3541" t="s">
        <v>36</v>
      </c>
      <c r="D3541" t="s">
        <v>213</v>
      </c>
      <c r="E3541" t="s">
        <v>39</v>
      </c>
      <c r="F3541">
        <v>5</v>
      </c>
      <c r="G3541" t="s">
        <v>13</v>
      </c>
      <c r="H3541" s="1">
        <v>45996.1</v>
      </c>
      <c r="I3541" s="5">
        <f>INT(TB[[#This Row],[时间戳]])</f>
        <v>45996</v>
      </c>
      <c r="J3541" s="2">
        <f>HOUR(TB[[#This Row],[时间戳]])</f>
        <v>2</v>
      </c>
      <c r="K3541">
        <v>3945</v>
      </c>
      <c r="L3541">
        <v>1</v>
      </c>
      <c r="M3541">
        <f>TB[[#This Row],[售价]]*TB[[#This Row],[销量]]</f>
        <v>3945</v>
      </c>
      <c r="N3541" t="str">
        <f>IF(TB[[#This Row],[售价]]&lt;1000,"低价商品",IF(TB[[#This Row],[售价]]&lt;5000,"中价商品",IF(TB[[#This Row],[售价]]&lt;10000,"高价商品","超高价商品")))</f>
        <v>中价商品</v>
      </c>
    </row>
    <row r="3542" spans="1:14" x14ac:dyDescent="0.2">
      <c r="A3542">
        <v>692</v>
      </c>
      <c r="B3542">
        <v>263</v>
      </c>
      <c r="C3542" t="s">
        <v>46</v>
      </c>
      <c r="D3542" t="s">
        <v>80</v>
      </c>
      <c r="E3542" t="s">
        <v>22</v>
      </c>
      <c r="F3542">
        <v>1</v>
      </c>
      <c r="G3542" t="s">
        <v>13</v>
      </c>
      <c r="H3542" s="1">
        <v>45996.104861111111</v>
      </c>
      <c r="I3542" s="5">
        <f>INT(TB[[#This Row],[时间戳]])</f>
        <v>45996</v>
      </c>
      <c r="J3542" s="2">
        <f>HOUR(TB[[#This Row],[时间戳]])</f>
        <v>2</v>
      </c>
      <c r="K3542">
        <v>2546</v>
      </c>
      <c r="L3542">
        <v>2</v>
      </c>
      <c r="M3542">
        <f>TB[[#This Row],[售价]]*TB[[#This Row],[销量]]</f>
        <v>5092</v>
      </c>
      <c r="N3542" t="str">
        <f>IF(TB[[#This Row],[售价]]&lt;1000,"低价商品",IF(TB[[#This Row],[售价]]&lt;5000,"中价商品",IF(TB[[#This Row],[售价]]&lt;10000,"高价商品","超高价商品")))</f>
        <v>中价商品</v>
      </c>
    </row>
    <row r="3543" spans="1:14" x14ac:dyDescent="0.2">
      <c r="A3543">
        <v>496</v>
      </c>
      <c r="B3543">
        <v>85</v>
      </c>
      <c r="C3543" t="s">
        <v>44</v>
      </c>
      <c r="D3543" t="s">
        <v>51</v>
      </c>
      <c r="E3543" t="s">
        <v>19</v>
      </c>
      <c r="F3543">
        <v>3</v>
      </c>
      <c r="G3543" t="s">
        <v>13</v>
      </c>
      <c r="H3543" s="1">
        <v>45996.135416666664</v>
      </c>
      <c r="I3543" s="5">
        <f>INT(TB[[#This Row],[时间戳]])</f>
        <v>45996</v>
      </c>
      <c r="J3543" s="2">
        <f>HOUR(TB[[#This Row],[时间戳]])</f>
        <v>3</v>
      </c>
      <c r="K3543">
        <v>1967</v>
      </c>
      <c r="L3543">
        <v>3</v>
      </c>
      <c r="M3543">
        <f>TB[[#This Row],[售价]]*TB[[#This Row],[销量]]</f>
        <v>5901</v>
      </c>
      <c r="N3543" t="str">
        <f>IF(TB[[#This Row],[售价]]&lt;1000,"低价商品",IF(TB[[#This Row],[售价]]&lt;5000,"中价商品",IF(TB[[#This Row],[售价]]&lt;10000,"高价商品","超高价商品")))</f>
        <v>中价商品</v>
      </c>
    </row>
    <row r="3544" spans="1:14" x14ac:dyDescent="0.2">
      <c r="A3544">
        <v>596</v>
      </c>
      <c r="B3544">
        <v>121</v>
      </c>
      <c r="C3544" t="s">
        <v>20</v>
      </c>
      <c r="D3544" t="s">
        <v>85</v>
      </c>
      <c r="E3544" t="s">
        <v>31</v>
      </c>
      <c r="F3544">
        <v>4</v>
      </c>
      <c r="G3544" t="s">
        <v>13</v>
      </c>
      <c r="H3544" s="1">
        <v>45996.138194444444</v>
      </c>
      <c r="I3544" s="5">
        <f>INT(TB[[#This Row],[时间戳]])</f>
        <v>45996</v>
      </c>
      <c r="J3544" s="2">
        <f>HOUR(TB[[#This Row],[时间戳]])</f>
        <v>3</v>
      </c>
      <c r="K3544">
        <v>50</v>
      </c>
      <c r="L3544">
        <v>3</v>
      </c>
      <c r="M3544">
        <f>TB[[#This Row],[售价]]*TB[[#This Row],[销量]]</f>
        <v>150</v>
      </c>
      <c r="N3544" t="str">
        <f>IF(TB[[#This Row],[售价]]&lt;1000,"低价商品",IF(TB[[#This Row],[售价]]&lt;5000,"中价商品",IF(TB[[#This Row],[售价]]&lt;10000,"高价商品","超高价商品")))</f>
        <v>低价商品</v>
      </c>
    </row>
    <row r="3545" spans="1:14" x14ac:dyDescent="0.2">
      <c r="A3545">
        <v>216</v>
      </c>
      <c r="B3545">
        <v>202</v>
      </c>
      <c r="C3545" t="s">
        <v>14</v>
      </c>
      <c r="D3545" t="s">
        <v>53</v>
      </c>
      <c r="E3545" t="s">
        <v>12</v>
      </c>
      <c r="F3545">
        <v>2</v>
      </c>
      <c r="G3545" t="s">
        <v>13</v>
      </c>
      <c r="H3545" s="1">
        <v>45996.145833333336</v>
      </c>
      <c r="I3545" s="5">
        <f>INT(TB[[#This Row],[时间戳]])</f>
        <v>45996</v>
      </c>
      <c r="J3545" s="2">
        <f>HOUR(TB[[#This Row],[时间戳]])</f>
        <v>3</v>
      </c>
      <c r="K3545">
        <v>8228</v>
      </c>
      <c r="L3545">
        <v>3</v>
      </c>
      <c r="M3545">
        <f>TB[[#This Row],[售价]]*TB[[#This Row],[销量]]</f>
        <v>24684</v>
      </c>
      <c r="N3545" t="str">
        <f>IF(TB[[#This Row],[售价]]&lt;1000,"低价商品",IF(TB[[#This Row],[售价]]&lt;5000,"中价商品",IF(TB[[#This Row],[售价]]&lt;10000,"高价商品","超高价商品")))</f>
        <v>高价商品</v>
      </c>
    </row>
    <row r="3546" spans="1:14" x14ac:dyDescent="0.2">
      <c r="A3546">
        <v>465</v>
      </c>
      <c r="B3546">
        <v>56</v>
      </c>
      <c r="C3546" t="s">
        <v>34</v>
      </c>
      <c r="D3546" t="s">
        <v>389</v>
      </c>
      <c r="E3546" t="s">
        <v>39</v>
      </c>
      <c r="F3546">
        <v>5</v>
      </c>
      <c r="G3546" t="s">
        <v>13</v>
      </c>
      <c r="H3546" s="1">
        <v>45996.182638888888</v>
      </c>
      <c r="I3546" s="5">
        <f>INT(TB[[#This Row],[时间戳]])</f>
        <v>45996</v>
      </c>
      <c r="J3546" s="2">
        <f>HOUR(TB[[#This Row],[时间戳]])</f>
        <v>4</v>
      </c>
      <c r="K3546">
        <v>1904</v>
      </c>
      <c r="L3546">
        <v>2</v>
      </c>
      <c r="M3546">
        <f>TB[[#This Row],[售价]]*TB[[#This Row],[销量]]</f>
        <v>3808</v>
      </c>
      <c r="N3546" t="str">
        <f>IF(TB[[#This Row],[售价]]&lt;1000,"低价商品",IF(TB[[#This Row],[售价]]&lt;5000,"中价商品",IF(TB[[#This Row],[售价]]&lt;10000,"高价商品","超高价商品")))</f>
        <v>中价商品</v>
      </c>
    </row>
    <row r="3547" spans="1:14" x14ac:dyDescent="0.2">
      <c r="A3547">
        <v>222</v>
      </c>
      <c r="B3547">
        <v>89</v>
      </c>
      <c r="C3547" t="s">
        <v>32</v>
      </c>
      <c r="D3547" t="s">
        <v>33</v>
      </c>
      <c r="E3547" t="s">
        <v>16</v>
      </c>
      <c r="F3547">
        <v>6</v>
      </c>
      <c r="G3547" t="s">
        <v>42</v>
      </c>
      <c r="H3547" s="1">
        <v>45996.185416666667</v>
      </c>
      <c r="I3547" s="5">
        <f>INT(TB[[#This Row],[时间戳]])</f>
        <v>45996</v>
      </c>
      <c r="J3547" s="2">
        <f>HOUR(TB[[#This Row],[时间戳]])</f>
        <v>4</v>
      </c>
      <c r="K3547">
        <v>7320</v>
      </c>
      <c r="L3547">
        <v>0</v>
      </c>
      <c r="M3547">
        <f>TB[[#This Row],[售价]]*TB[[#This Row],[销量]]</f>
        <v>0</v>
      </c>
      <c r="N3547" t="str">
        <f>IF(TB[[#This Row],[售价]]&lt;1000,"低价商品",IF(TB[[#This Row],[售价]]&lt;5000,"中价商品",IF(TB[[#This Row],[售价]]&lt;10000,"高价商品","超高价商品")))</f>
        <v>高价商品</v>
      </c>
    </row>
    <row r="3548" spans="1:14" x14ac:dyDescent="0.2">
      <c r="A3548">
        <v>488</v>
      </c>
      <c r="B3548">
        <v>269</v>
      </c>
      <c r="C3548" t="s">
        <v>32</v>
      </c>
      <c r="D3548" t="s">
        <v>326</v>
      </c>
      <c r="E3548" t="s">
        <v>19</v>
      </c>
      <c r="F3548">
        <v>3</v>
      </c>
      <c r="G3548" t="s">
        <v>13</v>
      </c>
      <c r="H3548" s="1">
        <v>45996.1875</v>
      </c>
      <c r="I3548" s="5">
        <f>INT(TB[[#This Row],[时间戳]])</f>
        <v>45996</v>
      </c>
      <c r="J3548" s="2">
        <f>HOUR(TB[[#This Row],[时间戳]])</f>
        <v>4</v>
      </c>
      <c r="K3548">
        <v>4616</v>
      </c>
      <c r="L3548">
        <v>4</v>
      </c>
      <c r="M3548">
        <f>TB[[#This Row],[售价]]*TB[[#This Row],[销量]]</f>
        <v>18464</v>
      </c>
      <c r="N3548" t="str">
        <f>IF(TB[[#This Row],[售价]]&lt;1000,"低价商品",IF(TB[[#This Row],[售价]]&lt;5000,"中价商品",IF(TB[[#This Row],[售价]]&lt;10000,"高价商品","超高价商品")))</f>
        <v>中价商品</v>
      </c>
    </row>
    <row r="3549" spans="1:14" x14ac:dyDescent="0.2">
      <c r="A3549">
        <v>325</v>
      </c>
      <c r="B3549">
        <v>24</v>
      </c>
      <c r="C3549" t="s">
        <v>17</v>
      </c>
      <c r="D3549" t="s">
        <v>126</v>
      </c>
      <c r="E3549" t="s">
        <v>39</v>
      </c>
      <c r="F3549">
        <v>5</v>
      </c>
      <c r="G3549" t="s">
        <v>13</v>
      </c>
      <c r="H3549" s="1">
        <v>45996.199305555558</v>
      </c>
      <c r="I3549" s="5">
        <f>INT(TB[[#This Row],[时间戳]])</f>
        <v>45996</v>
      </c>
      <c r="J3549" s="2">
        <f>HOUR(TB[[#This Row],[时间戳]])</f>
        <v>4</v>
      </c>
      <c r="K3549">
        <v>1119</v>
      </c>
      <c r="L3549">
        <v>1</v>
      </c>
      <c r="M3549">
        <f>TB[[#This Row],[售价]]*TB[[#This Row],[销量]]</f>
        <v>1119</v>
      </c>
      <c r="N3549" t="str">
        <f>IF(TB[[#This Row],[售价]]&lt;1000,"低价商品",IF(TB[[#This Row],[售价]]&lt;5000,"中价商品",IF(TB[[#This Row],[售价]]&lt;10000,"高价商品","超高价商品")))</f>
        <v>中价商品</v>
      </c>
    </row>
    <row r="3550" spans="1:14" x14ac:dyDescent="0.2">
      <c r="A3550">
        <v>714</v>
      </c>
      <c r="B3550">
        <v>56</v>
      </c>
      <c r="C3550" t="s">
        <v>36</v>
      </c>
      <c r="D3550" t="s">
        <v>238</v>
      </c>
      <c r="E3550" t="s">
        <v>12</v>
      </c>
      <c r="F3550">
        <v>2</v>
      </c>
      <c r="G3550" t="s">
        <v>42</v>
      </c>
      <c r="H3550" s="1">
        <v>45996.206250000003</v>
      </c>
      <c r="I3550" s="5">
        <f>INT(TB[[#This Row],[时间戳]])</f>
        <v>45996</v>
      </c>
      <c r="J3550" s="2">
        <f>HOUR(TB[[#This Row],[时间戳]])</f>
        <v>4</v>
      </c>
      <c r="K3550">
        <v>4380</v>
      </c>
      <c r="L3550">
        <v>0</v>
      </c>
      <c r="M3550">
        <f>TB[[#This Row],[售价]]*TB[[#This Row],[销量]]</f>
        <v>0</v>
      </c>
      <c r="N3550" t="str">
        <f>IF(TB[[#This Row],[售价]]&lt;1000,"低价商品",IF(TB[[#This Row],[售价]]&lt;5000,"中价商品",IF(TB[[#This Row],[售价]]&lt;10000,"高价商品","超高价商品")))</f>
        <v>中价商品</v>
      </c>
    </row>
    <row r="3551" spans="1:14" x14ac:dyDescent="0.2">
      <c r="A3551">
        <v>795</v>
      </c>
      <c r="B3551">
        <v>182</v>
      </c>
      <c r="C3551" t="s">
        <v>14</v>
      </c>
      <c r="D3551" t="s">
        <v>349</v>
      </c>
      <c r="E3551" t="s">
        <v>25</v>
      </c>
      <c r="F3551">
        <v>7</v>
      </c>
      <c r="G3551" t="s">
        <v>13</v>
      </c>
      <c r="H3551" s="1">
        <v>45996.22152777778</v>
      </c>
      <c r="I3551" s="5">
        <f>INT(TB[[#This Row],[时间戳]])</f>
        <v>45996</v>
      </c>
      <c r="J3551" s="2">
        <f>HOUR(TB[[#This Row],[时间戳]])</f>
        <v>5</v>
      </c>
      <c r="K3551">
        <v>4016</v>
      </c>
      <c r="L3551">
        <v>3</v>
      </c>
      <c r="M3551">
        <f>TB[[#This Row],[售价]]*TB[[#This Row],[销量]]</f>
        <v>12048</v>
      </c>
      <c r="N3551" t="str">
        <f>IF(TB[[#This Row],[售价]]&lt;1000,"低价商品",IF(TB[[#This Row],[售价]]&lt;5000,"中价商品",IF(TB[[#This Row],[售价]]&lt;10000,"高价商品","超高价商品")))</f>
        <v>中价商品</v>
      </c>
    </row>
    <row r="3552" spans="1:14" x14ac:dyDescent="0.2">
      <c r="A3552">
        <v>542</v>
      </c>
      <c r="B3552">
        <v>63</v>
      </c>
      <c r="C3552" t="s">
        <v>17</v>
      </c>
      <c r="D3552" t="s">
        <v>93</v>
      </c>
      <c r="E3552" t="s">
        <v>12</v>
      </c>
      <c r="F3552">
        <v>2</v>
      </c>
      <c r="G3552" t="s">
        <v>13</v>
      </c>
      <c r="H3552" s="1">
        <v>45996.251388888886</v>
      </c>
      <c r="I3552" s="5">
        <f>INT(TB[[#This Row],[时间戳]])</f>
        <v>45996</v>
      </c>
      <c r="J3552" s="2">
        <f>HOUR(TB[[#This Row],[时间戳]])</f>
        <v>6</v>
      </c>
      <c r="K3552">
        <v>6938</v>
      </c>
      <c r="L3552">
        <v>1</v>
      </c>
      <c r="M3552">
        <f>TB[[#This Row],[售价]]*TB[[#This Row],[销量]]</f>
        <v>6938</v>
      </c>
      <c r="N3552" t="str">
        <f>IF(TB[[#This Row],[售价]]&lt;1000,"低价商品",IF(TB[[#This Row],[售价]]&lt;5000,"中价商品",IF(TB[[#This Row],[售价]]&lt;10000,"高价商品","超高价商品")))</f>
        <v>高价商品</v>
      </c>
    </row>
    <row r="3553" spans="1:14" x14ac:dyDescent="0.2">
      <c r="A3553">
        <v>575</v>
      </c>
      <c r="B3553">
        <v>31</v>
      </c>
      <c r="C3553" t="s">
        <v>20</v>
      </c>
      <c r="D3553" t="s">
        <v>261</v>
      </c>
      <c r="E3553" t="s">
        <v>22</v>
      </c>
      <c r="F3553">
        <v>1</v>
      </c>
      <c r="G3553" t="s">
        <v>13</v>
      </c>
      <c r="H3553" s="1">
        <v>45996.254166666666</v>
      </c>
      <c r="I3553" s="5">
        <f>INT(TB[[#This Row],[时间戳]])</f>
        <v>45996</v>
      </c>
      <c r="J3553" s="2">
        <f>HOUR(TB[[#This Row],[时间戳]])</f>
        <v>6</v>
      </c>
      <c r="K3553">
        <v>6804</v>
      </c>
      <c r="L3553">
        <v>5</v>
      </c>
      <c r="M3553">
        <f>TB[[#This Row],[售价]]*TB[[#This Row],[销量]]</f>
        <v>34020</v>
      </c>
      <c r="N3553" t="str">
        <f>IF(TB[[#This Row],[售价]]&lt;1000,"低价商品",IF(TB[[#This Row],[售价]]&lt;5000,"中价商品",IF(TB[[#This Row],[售价]]&lt;10000,"高价商品","超高价商品")))</f>
        <v>高价商品</v>
      </c>
    </row>
    <row r="3554" spans="1:14" x14ac:dyDescent="0.2">
      <c r="A3554">
        <v>7</v>
      </c>
      <c r="B3554">
        <v>140</v>
      </c>
      <c r="C3554" t="s">
        <v>26</v>
      </c>
      <c r="D3554" t="s">
        <v>358</v>
      </c>
      <c r="E3554" t="s">
        <v>16</v>
      </c>
      <c r="F3554">
        <v>6</v>
      </c>
      <c r="G3554" t="s">
        <v>13</v>
      </c>
      <c r="H3554" s="1">
        <v>45996.270138888889</v>
      </c>
      <c r="I3554" s="5">
        <f>INT(TB[[#This Row],[时间戳]])</f>
        <v>45996</v>
      </c>
      <c r="J3554" s="2">
        <f>HOUR(TB[[#This Row],[时间戳]])</f>
        <v>6</v>
      </c>
      <c r="K3554">
        <v>12000</v>
      </c>
      <c r="L3554">
        <v>1</v>
      </c>
      <c r="M3554">
        <f>TB[[#This Row],[售价]]*TB[[#This Row],[销量]]</f>
        <v>12000</v>
      </c>
      <c r="N3554" t="str">
        <f>IF(TB[[#This Row],[售价]]&lt;1000,"低价商品",IF(TB[[#This Row],[售价]]&lt;5000,"中价商品",IF(TB[[#This Row],[售价]]&lt;10000,"高价商品","超高价商品")))</f>
        <v>超高价商品</v>
      </c>
    </row>
    <row r="3555" spans="1:14" x14ac:dyDescent="0.2">
      <c r="A3555">
        <v>540</v>
      </c>
      <c r="B3555">
        <v>286</v>
      </c>
      <c r="C3555" t="s">
        <v>32</v>
      </c>
      <c r="D3555" t="s">
        <v>200</v>
      </c>
      <c r="E3555" t="s">
        <v>25</v>
      </c>
      <c r="F3555">
        <v>7</v>
      </c>
      <c r="G3555" t="s">
        <v>13</v>
      </c>
      <c r="H3555" s="1">
        <v>45996.282638888886</v>
      </c>
      <c r="I3555" s="5">
        <f>INT(TB[[#This Row],[时间戳]])</f>
        <v>45996</v>
      </c>
      <c r="J3555" s="2">
        <f>HOUR(TB[[#This Row],[时间戳]])</f>
        <v>6</v>
      </c>
      <c r="K3555">
        <v>4323</v>
      </c>
      <c r="L3555">
        <v>2</v>
      </c>
      <c r="M3555">
        <f>TB[[#This Row],[售价]]*TB[[#This Row],[销量]]</f>
        <v>8646</v>
      </c>
      <c r="N3555" t="str">
        <f>IF(TB[[#This Row],[售价]]&lt;1000,"低价商品",IF(TB[[#This Row],[售价]]&lt;5000,"中价商品",IF(TB[[#This Row],[售价]]&lt;10000,"高价商品","超高价商品")))</f>
        <v>中价商品</v>
      </c>
    </row>
    <row r="3556" spans="1:14" x14ac:dyDescent="0.2">
      <c r="A3556">
        <v>339</v>
      </c>
      <c r="B3556">
        <v>286</v>
      </c>
      <c r="C3556" t="s">
        <v>26</v>
      </c>
      <c r="D3556" t="s">
        <v>182</v>
      </c>
      <c r="E3556" t="s">
        <v>31</v>
      </c>
      <c r="F3556">
        <v>4</v>
      </c>
      <c r="G3556" t="s">
        <v>42</v>
      </c>
      <c r="H3556" s="1">
        <v>45996.286111111112</v>
      </c>
      <c r="I3556" s="5">
        <f>INT(TB[[#This Row],[时间戳]])</f>
        <v>45996</v>
      </c>
      <c r="J3556" s="2">
        <f>HOUR(TB[[#This Row],[时间戳]])</f>
        <v>6</v>
      </c>
      <c r="K3556">
        <v>768</v>
      </c>
      <c r="L3556">
        <v>0</v>
      </c>
      <c r="M3556">
        <f>TB[[#This Row],[售价]]*TB[[#This Row],[销量]]</f>
        <v>0</v>
      </c>
      <c r="N3556" t="str">
        <f>IF(TB[[#This Row],[售价]]&lt;1000,"低价商品",IF(TB[[#This Row],[售价]]&lt;5000,"中价商品",IF(TB[[#This Row],[售价]]&lt;10000,"高价商品","超高价商品")))</f>
        <v>低价商品</v>
      </c>
    </row>
    <row r="3557" spans="1:14" x14ac:dyDescent="0.2">
      <c r="A3557">
        <v>60</v>
      </c>
      <c r="B3557">
        <v>167</v>
      </c>
      <c r="C3557" t="s">
        <v>17</v>
      </c>
      <c r="D3557" t="s">
        <v>177</v>
      </c>
      <c r="E3557" t="s">
        <v>22</v>
      </c>
      <c r="F3557">
        <v>1</v>
      </c>
      <c r="G3557" t="s">
        <v>42</v>
      </c>
      <c r="H3557" s="1">
        <v>45996.303472222222</v>
      </c>
      <c r="I3557" s="5">
        <f>INT(TB[[#This Row],[时间戳]])</f>
        <v>45996</v>
      </c>
      <c r="J3557" s="2">
        <f>HOUR(TB[[#This Row],[时间戳]])</f>
        <v>7</v>
      </c>
      <c r="K3557">
        <v>7825</v>
      </c>
      <c r="L3557">
        <v>0</v>
      </c>
      <c r="M3557">
        <f>TB[[#This Row],[售价]]*TB[[#This Row],[销量]]</f>
        <v>0</v>
      </c>
      <c r="N3557" t="str">
        <f>IF(TB[[#This Row],[售价]]&lt;1000,"低价商品",IF(TB[[#This Row],[售价]]&lt;5000,"中价商品",IF(TB[[#This Row],[售价]]&lt;10000,"高价商品","超高价商品")))</f>
        <v>高价商品</v>
      </c>
    </row>
    <row r="3558" spans="1:14" x14ac:dyDescent="0.2">
      <c r="A3558">
        <v>773</v>
      </c>
      <c r="B3558">
        <v>231</v>
      </c>
      <c r="C3558" t="s">
        <v>20</v>
      </c>
      <c r="D3558" t="s">
        <v>261</v>
      </c>
      <c r="E3558" t="s">
        <v>22</v>
      </c>
      <c r="F3558">
        <v>1</v>
      </c>
      <c r="G3558" t="s">
        <v>13</v>
      </c>
      <c r="H3558" s="1">
        <v>45996.30972222222</v>
      </c>
      <c r="I3558" s="5">
        <f>INT(TB[[#This Row],[时间戳]])</f>
        <v>45996</v>
      </c>
      <c r="J3558" s="2">
        <f>HOUR(TB[[#This Row],[时间戳]])</f>
        <v>7</v>
      </c>
      <c r="K3558">
        <v>7429</v>
      </c>
      <c r="L3558">
        <v>1</v>
      </c>
      <c r="M3558">
        <f>TB[[#This Row],[售价]]*TB[[#This Row],[销量]]</f>
        <v>7429</v>
      </c>
      <c r="N3558" t="str">
        <f>IF(TB[[#This Row],[售价]]&lt;1000,"低价商品",IF(TB[[#This Row],[售价]]&lt;5000,"中价商品",IF(TB[[#This Row],[售价]]&lt;10000,"高价商品","超高价商品")))</f>
        <v>高价商品</v>
      </c>
    </row>
    <row r="3559" spans="1:14" x14ac:dyDescent="0.2">
      <c r="A3559">
        <v>172</v>
      </c>
      <c r="B3559">
        <v>71</v>
      </c>
      <c r="C3559" t="s">
        <v>36</v>
      </c>
      <c r="D3559" t="s">
        <v>213</v>
      </c>
      <c r="E3559" t="s">
        <v>39</v>
      </c>
      <c r="F3559">
        <v>5</v>
      </c>
      <c r="G3559" t="s">
        <v>13</v>
      </c>
      <c r="H3559" s="1">
        <v>45996.322222222225</v>
      </c>
      <c r="I3559" s="5">
        <f>INT(TB[[#This Row],[时间戳]])</f>
        <v>45996</v>
      </c>
      <c r="J3559" s="2">
        <f>HOUR(TB[[#This Row],[时间戳]])</f>
        <v>7</v>
      </c>
      <c r="K3559">
        <v>3033</v>
      </c>
      <c r="L3559">
        <v>2</v>
      </c>
      <c r="M3559">
        <f>TB[[#This Row],[售价]]*TB[[#This Row],[销量]]</f>
        <v>6066</v>
      </c>
      <c r="N3559" t="str">
        <f>IF(TB[[#This Row],[售价]]&lt;1000,"低价商品",IF(TB[[#This Row],[售价]]&lt;5000,"中价商品",IF(TB[[#This Row],[售价]]&lt;10000,"高价商品","超高价商品")))</f>
        <v>中价商品</v>
      </c>
    </row>
    <row r="3560" spans="1:14" x14ac:dyDescent="0.2">
      <c r="A3560">
        <v>346</v>
      </c>
      <c r="B3560">
        <v>144</v>
      </c>
      <c r="C3560" t="s">
        <v>34</v>
      </c>
      <c r="D3560" t="s">
        <v>164</v>
      </c>
      <c r="E3560" t="s">
        <v>22</v>
      </c>
      <c r="F3560">
        <v>1</v>
      </c>
      <c r="G3560" t="s">
        <v>13</v>
      </c>
      <c r="H3560" s="1">
        <v>45996.323611111111</v>
      </c>
      <c r="I3560" s="5">
        <f>INT(TB[[#This Row],[时间戳]])</f>
        <v>45996</v>
      </c>
      <c r="J3560" s="2">
        <f>HOUR(TB[[#This Row],[时间戳]])</f>
        <v>7</v>
      </c>
      <c r="K3560">
        <v>5197</v>
      </c>
      <c r="L3560">
        <v>1</v>
      </c>
      <c r="M3560">
        <f>TB[[#This Row],[售价]]*TB[[#This Row],[销量]]</f>
        <v>5197</v>
      </c>
      <c r="N3560" t="str">
        <f>IF(TB[[#This Row],[售价]]&lt;1000,"低价商品",IF(TB[[#This Row],[售价]]&lt;5000,"中价商品",IF(TB[[#This Row],[售价]]&lt;10000,"高价商品","超高价商品")))</f>
        <v>高价商品</v>
      </c>
    </row>
    <row r="3561" spans="1:14" x14ac:dyDescent="0.2">
      <c r="A3561">
        <v>603</v>
      </c>
      <c r="B3561">
        <v>217</v>
      </c>
      <c r="C3561" t="s">
        <v>34</v>
      </c>
      <c r="D3561" t="s">
        <v>232</v>
      </c>
      <c r="E3561" t="s">
        <v>22</v>
      </c>
      <c r="F3561">
        <v>1</v>
      </c>
      <c r="G3561" t="s">
        <v>13</v>
      </c>
      <c r="H3561" s="1">
        <v>45996.334722222222</v>
      </c>
      <c r="I3561" s="5">
        <f>INT(TB[[#This Row],[时间戳]])</f>
        <v>45996</v>
      </c>
      <c r="J3561" s="2">
        <f>HOUR(TB[[#This Row],[时间戳]])</f>
        <v>8</v>
      </c>
      <c r="K3561">
        <v>5557</v>
      </c>
      <c r="L3561">
        <v>3</v>
      </c>
      <c r="M3561">
        <f>TB[[#This Row],[售价]]*TB[[#This Row],[销量]]</f>
        <v>16671</v>
      </c>
      <c r="N3561" t="str">
        <f>IF(TB[[#This Row],[售价]]&lt;1000,"低价商品",IF(TB[[#This Row],[售价]]&lt;5000,"中价商品",IF(TB[[#This Row],[售价]]&lt;10000,"高价商品","超高价商品")))</f>
        <v>高价商品</v>
      </c>
    </row>
    <row r="3562" spans="1:14" x14ac:dyDescent="0.2">
      <c r="A3562">
        <v>183</v>
      </c>
      <c r="B3562">
        <v>258</v>
      </c>
      <c r="C3562" t="s">
        <v>46</v>
      </c>
      <c r="D3562" t="s">
        <v>260</v>
      </c>
      <c r="E3562" t="s">
        <v>22</v>
      </c>
      <c r="F3562">
        <v>1</v>
      </c>
      <c r="G3562" t="s">
        <v>13</v>
      </c>
      <c r="H3562" s="1">
        <v>45996.341666666667</v>
      </c>
      <c r="I3562" s="5">
        <f>INT(TB[[#This Row],[时间戳]])</f>
        <v>45996</v>
      </c>
      <c r="J3562" s="2">
        <f>HOUR(TB[[#This Row],[时间戳]])</f>
        <v>8</v>
      </c>
      <c r="K3562">
        <v>3941</v>
      </c>
      <c r="L3562">
        <v>2</v>
      </c>
      <c r="M3562">
        <f>TB[[#This Row],[售价]]*TB[[#This Row],[销量]]</f>
        <v>7882</v>
      </c>
      <c r="N3562" t="str">
        <f>IF(TB[[#This Row],[售价]]&lt;1000,"低价商品",IF(TB[[#This Row],[售价]]&lt;5000,"中价商品",IF(TB[[#This Row],[售价]]&lt;10000,"高价商品","超高价商品")))</f>
        <v>中价商品</v>
      </c>
    </row>
    <row r="3563" spans="1:14" x14ac:dyDescent="0.2">
      <c r="A3563">
        <v>85</v>
      </c>
      <c r="B3563">
        <v>220</v>
      </c>
      <c r="C3563" t="s">
        <v>46</v>
      </c>
      <c r="D3563" t="s">
        <v>401</v>
      </c>
      <c r="E3563" t="s">
        <v>39</v>
      </c>
      <c r="F3563">
        <v>5</v>
      </c>
      <c r="G3563" t="s">
        <v>13</v>
      </c>
      <c r="H3563" s="1">
        <v>45996.373611111114</v>
      </c>
      <c r="I3563" s="5">
        <f>INT(TB[[#This Row],[时间戳]])</f>
        <v>45996</v>
      </c>
      <c r="J3563" s="2">
        <f>HOUR(TB[[#This Row],[时间戳]])</f>
        <v>8</v>
      </c>
      <c r="K3563">
        <v>1282</v>
      </c>
      <c r="L3563">
        <v>2</v>
      </c>
      <c r="M3563">
        <f>TB[[#This Row],[售价]]*TB[[#This Row],[销量]]</f>
        <v>2564</v>
      </c>
      <c r="N3563" t="str">
        <f>IF(TB[[#This Row],[售价]]&lt;1000,"低价商品",IF(TB[[#This Row],[售价]]&lt;5000,"中价商品",IF(TB[[#This Row],[售价]]&lt;10000,"高价商品","超高价商品")))</f>
        <v>中价商品</v>
      </c>
    </row>
    <row r="3564" spans="1:14" x14ac:dyDescent="0.2">
      <c r="A3564">
        <v>41</v>
      </c>
      <c r="B3564">
        <v>22</v>
      </c>
      <c r="C3564" t="s">
        <v>26</v>
      </c>
      <c r="D3564" t="s">
        <v>179</v>
      </c>
      <c r="E3564" t="s">
        <v>16</v>
      </c>
      <c r="F3564">
        <v>6</v>
      </c>
      <c r="G3564" t="s">
        <v>13</v>
      </c>
      <c r="H3564" s="1">
        <v>45996.374305555553</v>
      </c>
      <c r="I3564" s="5">
        <f>INT(TB[[#This Row],[时间戳]])</f>
        <v>45996</v>
      </c>
      <c r="J3564" s="2">
        <f>HOUR(TB[[#This Row],[时间戳]])</f>
        <v>8</v>
      </c>
      <c r="K3564">
        <v>7257</v>
      </c>
      <c r="L3564">
        <v>4</v>
      </c>
      <c r="M3564">
        <f>TB[[#This Row],[售价]]*TB[[#This Row],[销量]]</f>
        <v>29028</v>
      </c>
      <c r="N3564" t="str">
        <f>IF(TB[[#This Row],[售价]]&lt;1000,"低价商品",IF(TB[[#This Row],[售价]]&lt;5000,"中价商品",IF(TB[[#This Row],[售价]]&lt;10000,"高价商品","超高价商品")))</f>
        <v>高价商品</v>
      </c>
    </row>
    <row r="3565" spans="1:14" x14ac:dyDescent="0.2">
      <c r="A3565">
        <v>601</v>
      </c>
      <c r="B3565">
        <v>119</v>
      </c>
      <c r="C3565" t="s">
        <v>34</v>
      </c>
      <c r="D3565" t="s">
        <v>323</v>
      </c>
      <c r="E3565" t="s">
        <v>39</v>
      </c>
      <c r="F3565">
        <v>5</v>
      </c>
      <c r="G3565" t="s">
        <v>13</v>
      </c>
      <c r="H3565" s="1">
        <v>45996.384722222225</v>
      </c>
      <c r="I3565" s="5">
        <f>INT(TB[[#This Row],[时间戳]])</f>
        <v>45996</v>
      </c>
      <c r="J3565" s="2">
        <f>HOUR(TB[[#This Row],[时间戳]])</f>
        <v>9</v>
      </c>
      <c r="K3565">
        <v>1395</v>
      </c>
      <c r="L3565">
        <v>4</v>
      </c>
      <c r="M3565">
        <f>TB[[#This Row],[售价]]*TB[[#This Row],[销量]]</f>
        <v>5580</v>
      </c>
      <c r="N3565" t="str">
        <f>IF(TB[[#This Row],[售价]]&lt;1000,"低价商品",IF(TB[[#This Row],[售价]]&lt;5000,"中价商品",IF(TB[[#This Row],[售价]]&lt;10000,"高价商品","超高价商品")))</f>
        <v>中价商品</v>
      </c>
    </row>
    <row r="3566" spans="1:14" x14ac:dyDescent="0.2">
      <c r="A3566">
        <v>119</v>
      </c>
      <c r="B3566">
        <v>167</v>
      </c>
      <c r="C3566" t="s">
        <v>26</v>
      </c>
      <c r="D3566" t="s">
        <v>65</v>
      </c>
      <c r="E3566" t="s">
        <v>22</v>
      </c>
      <c r="F3566">
        <v>1</v>
      </c>
      <c r="G3566" t="s">
        <v>13</v>
      </c>
      <c r="H3566" s="1">
        <v>45996.395833333336</v>
      </c>
      <c r="I3566" s="5">
        <f>INT(TB[[#This Row],[时间戳]])</f>
        <v>45996</v>
      </c>
      <c r="J3566" s="2">
        <f>HOUR(TB[[#This Row],[时间戳]])</f>
        <v>9</v>
      </c>
      <c r="K3566">
        <v>1516</v>
      </c>
      <c r="L3566">
        <v>4</v>
      </c>
      <c r="M3566">
        <f>TB[[#This Row],[售价]]*TB[[#This Row],[销量]]</f>
        <v>6064</v>
      </c>
      <c r="N3566" t="str">
        <f>IF(TB[[#This Row],[售价]]&lt;1000,"低价商品",IF(TB[[#This Row],[售价]]&lt;5000,"中价商品",IF(TB[[#This Row],[售价]]&lt;10000,"高价商品","超高价商品")))</f>
        <v>中价商品</v>
      </c>
    </row>
    <row r="3567" spans="1:14" x14ac:dyDescent="0.2">
      <c r="A3567">
        <v>332</v>
      </c>
      <c r="B3567">
        <v>175</v>
      </c>
      <c r="C3567" t="s">
        <v>32</v>
      </c>
      <c r="D3567" t="s">
        <v>71</v>
      </c>
      <c r="E3567" t="s">
        <v>25</v>
      </c>
      <c r="F3567">
        <v>7</v>
      </c>
      <c r="G3567" t="s">
        <v>42</v>
      </c>
      <c r="H3567" s="1">
        <v>45996.419444444444</v>
      </c>
      <c r="I3567" s="5">
        <f>INT(TB[[#This Row],[时间戳]])</f>
        <v>45996</v>
      </c>
      <c r="J3567" s="2">
        <f>HOUR(TB[[#This Row],[时间戳]])</f>
        <v>10</v>
      </c>
      <c r="K3567">
        <v>3934</v>
      </c>
      <c r="L3567">
        <v>0</v>
      </c>
      <c r="M3567">
        <f>TB[[#This Row],[售价]]*TB[[#This Row],[销量]]</f>
        <v>0</v>
      </c>
      <c r="N3567" t="str">
        <f>IF(TB[[#This Row],[售价]]&lt;1000,"低价商品",IF(TB[[#This Row],[售价]]&lt;5000,"中价商品",IF(TB[[#This Row],[售价]]&lt;10000,"高价商品","超高价商品")))</f>
        <v>中价商品</v>
      </c>
    </row>
    <row r="3568" spans="1:14" x14ac:dyDescent="0.2">
      <c r="A3568">
        <v>649</v>
      </c>
      <c r="B3568">
        <v>218</v>
      </c>
      <c r="C3568" t="s">
        <v>20</v>
      </c>
      <c r="D3568" t="s">
        <v>340</v>
      </c>
      <c r="E3568" t="s">
        <v>19</v>
      </c>
      <c r="F3568">
        <v>3</v>
      </c>
      <c r="G3568" t="s">
        <v>13</v>
      </c>
      <c r="H3568" s="1">
        <v>45996.435416666667</v>
      </c>
      <c r="I3568" s="5">
        <f>INT(TB[[#This Row],[时间戳]])</f>
        <v>45996</v>
      </c>
      <c r="J3568" s="2">
        <f>HOUR(TB[[#This Row],[时间戳]])</f>
        <v>10</v>
      </c>
      <c r="K3568">
        <v>5253</v>
      </c>
      <c r="L3568">
        <v>4</v>
      </c>
      <c r="M3568">
        <f>TB[[#This Row],[售价]]*TB[[#This Row],[销量]]</f>
        <v>21012</v>
      </c>
      <c r="N3568" t="str">
        <f>IF(TB[[#This Row],[售价]]&lt;1000,"低价商品",IF(TB[[#This Row],[售价]]&lt;5000,"中价商品",IF(TB[[#This Row],[售价]]&lt;10000,"高价商品","超高价商品")))</f>
        <v>高价商品</v>
      </c>
    </row>
    <row r="3569" spans="1:14" x14ac:dyDescent="0.2">
      <c r="A3569">
        <v>291</v>
      </c>
      <c r="B3569">
        <v>156</v>
      </c>
      <c r="C3569" t="s">
        <v>26</v>
      </c>
      <c r="D3569" t="s">
        <v>225</v>
      </c>
      <c r="E3569" t="s">
        <v>31</v>
      </c>
      <c r="F3569">
        <v>4</v>
      </c>
      <c r="G3569" t="s">
        <v>13</v>
      </c>
      <c r="H3569" s="1">
        <v>45996.455555555556</v>
      </c>
      <c r="I3569" s="5">
        <f>INT(TB[[#This Row],[时间戳]])</f>
        <v>45996</v>
      </c>
      <c r="J3569" s="2">
        <f>HOUR(TB[[#This Row],[时间戳]])</f>
        <v>10</v>
      </c>
      <c r="K3569">
        <v>1364</v>
      </c>
      <c r="L3569">
        <v>5</v>
      </c>
      <c r="M3569">
        <f>TB[[#This Row],[售价]]*TB[[#This Row],[销量]]</f>
        <v>6820</v>
      </c>
      <c r="N3569" t="str">
        <f>IF(TB[[#This Row],[售价]]&lt;1000,"低价商品",IF(TB[[#This Row],[售价]]&lt;5000,"中价商品",IF(TB[[#This Row],[售价]]&lt;10000,"高价商品","超高价商品")))</f>
        <v>中价商品</v>
      </c>
    </row>
    <row r="3570" spans="1:14" x14ac:dyDescent="0.2">
      <c r="A3570">
        <v>393</v>
      </c>
      <c r="B3570">
        <v>198</v>
      </c>
      <c r="C3570" t="s">
        <v>20</v>
      </c>
      <c r="D3570" t="s">
        <v>230</v>
      </c>
      <c r="E3570" t="s">
        <v>19</v>
      </c>
      <c r="F3570">
        <v>3</v>
      </c>
      <c r="G3570" t="s">
        <v>13</v>
      </c>
      <c r="H3570" s="1">
        <v>45996.48333333333</v>
      </c>
      <c r="I3570" s="5">
        <f>INT(TB[[#This Row],[时间戳]])</f>
        <v>45996</v>
      </c>
      <c r="J3570" s="2">
        <f>HOUR(TB[[#This Row],[时间戳]])</f>
        <v>11</v>
      </c>
      <c r="K3570">
        <v>3895</v>
      </c>
      <c r="L3570">
        <v>3</v>
      </c>
      <c r="M3570">
        <f>TB[[#This Row],[售价]]*TB[[#This Row],[销量]]</f>
        <v>11685</v>
      </c>
      <c r="N3570" t="str">
        <f>IF(TB[[#This Row],[售价]]&lt;1000,"低价商品",IF(TB[[#This Row],[售价]]&lt;5000,"中价商品",IF(TB[[#This Row],[售价]]&lt;10000,"高价商品","超高价商品")))</f>
        <v>中价商品</v>
      </c>
    </row>
    <row r="3571" spans="1:14" x14ac:dyDescent="0.2">
      <c r="A3571">
        <v>512</v>
      </c>
      <c r="B3571">
        <v>114</v>
      </c>
      <c r="C3571" t="s">
        <v>44</v>
      </c>
      <c r="D3571" t="s">
        <v>195</v>
      </c>
      <c r="E3571" t="s">
        <v>22</v>
      </c>
      <c r="F3571">
        <v>1</v>
      </c>
      <c r="G3571" t="s">
        <v>13</v>
      </c>
      <c r="H3571" s="1">
        <v>45996.519444444442</v>
      </c>
      <c r="I3571" s="5">
        <f>INT(TB[[#This Row],[时间戳]])</f>
        <v>45996</v>
      </c>
      <c r="J3571" s="2">
        <f>HOUR(TB[[#This Row],[时间戳]])</f>
        <v>12</v>
      </c>
      <c r="K3571">
        <v>5921</v>
      </c>
      <c r="L3571">
        <v>3</v>
      </c>
      <c r="M3571">
        <f>TB[[#This Row],[售价]]*TB[[#This Row],[销量]]</f>
        <v>17763</v>
      </c>
      <c r="N3571" t="str">
        <f>IF(TB[[#This Row],[售价]]&lt;1000,"低价商品",IF(TB[[#This Row],[售价]]&lt;5000,"中价商品",IF(TB[[#This Row],[售价]]&lt;10000,"高价商品","超高价商品")))</f>
        <v>高价商品</v>
      </c>
    </row>
    <row r="3572" spans="1:14" x14ac:dyDescent="0.2">
      <c r="A3572">
        <v>300</v>
      </c>
      <c r="B3572">
        <v>212</v>
      </c>
      <c r="C3572" t="s">
        <v>44</v>
      </c>
      <c r="D3572" t="s">
        <v>372</v>
      </c>
      <c r="E3572" t="s">
        <v>22</v>
      </c>
      <c r="F3572">
        <v>1</v>
      </c>
      <c r="G3572" t="s">
        <v>13</v>
      </c>
      <c r="H3572" s="1">
        <v>45996.526388888888</v>
      </c>
      <c r="I3572" s="5">
        <f>INT(TB[[#This Row],[时间戳]])</f>
        <v>45996</v>
      </c>
      <c r="J3572" s="2">
        <f>HOUR(TB[[#This Row],[时间戳]])</f>
        <v>12</v>
      </c>
      <c r="K3572">
        <v>4494</v>
      </c>
      <c r="L3572">
        <v>1</v>
      </c>
      <c r="M3572">
        <f>TB[[#This Row],[售价]]*TB[[#This Row],[销量]]</f>
        <v>4494</v>
      </c>
      <c r="N3572" t="str">
        <f>IF(TB[[#This Row],[售价]]&lt;1000,"低价商品",IF(TB[[#This Row],[售价]]&lt;5000,"中价商品",IF(TB[[#This Row],[售价]]&lt;10000,"高价商品","超高价商品")))</f>
        <v>中价商品</v>
      </c>
    </row>
    <row r="3573" spans="1:14" x14ac:dyDescent="0.2">
      <c r="A3573">
        <v>376</v>
      </c>
      <c r="B3573">
        <v>264</v>
      </c>
      <c r="C3573" t="s">
        <v>10</v>
      </c>
      <c r="D3573" t="s">
        <v>298</v>
      </c>
      <c r="E3573" t="s">
        <v>12</v>
      </c>
      <c r="F3573">
        <v>2</v>
      </c>
      <c r="G3573" t="s">
        <v>13</v>
      </c>
      <c r="H3573" s="1">
        <v>45996.540972222225</v>
      </c>
      <c r="I3573" s="5">
        <f>INT(TB[[#This Row],[时间戳]])</f>
        <v>45996</v>
      </c>
      <c r="J3573" s="2">
        <f>HOUR(TB[[#This Row],[时间戳]])</f>
        <v>12</v>
      </c>
      <c r="K3573">
        <v>6634</v>
      </c>
      <c r="L3573">
        <v>1</v>
      </c>
      <c r="M3573">
        <f>TB[[#This Row],[售价]]*TB[[#This Row],[销量]]</f>
        <v>6634</v>
      </c>
      <c r="N3573" t="str">
        <f>IF(TB[[#This Row],[售价]]&lt;1000,"低价商品",IF(TB[[#This Row],[售价]]&lt;5000,"中价商品",IF(TB[[#This Row],[售价]]&lt;10000,"高价商品","超高价商品")))</f>
        <v>高价商品</v>
      </c>
    </row>
    <row r="3574" spans="1:14" x14ac:dyDescent="0.2">
      <c r="A3574">
        <v>295</v>
      </c>
      <c r="B3574">
        <v>108</v>
      </c>
      <c r="C3574" t="s">
        <v>26</v>
      </c>
      <c r="D3574" t="s">
        <v>219</v>
      </c>
      <c r="E3574" t="s">
        <v>22</v>
      </c>
      <c r="F3574">
        <v>1</v>
      </c>
      <c r="G3574" t="s">
        <v>42</v>
      </c>
      <c r="H3574" s="1">
        <v>45996.574305555558</v>
      </c>
      <c r="I3574" s="5">
        <f>INT(TB[[#This Row],[时间戳]])</f>
        <v>45996</v>
      </c>
      <c r="J3574" s="2">
        <f>HOUR(TB[[#This Row],[时间戳]])</f>
        <v>13</v>
      </c>
      <c r="K3574">
        <v>7211</v>
      </c>
      <c r="L3574">
        <v>0</v>
      </c>
      <c r="M3574">
        <f>TB[[#This Row],[售价]]*TB[[#This Row],[销量]]</f>
        <v>0</v>
      </c>
      <c r="N3574" t="str">
        <f>IF(TB[[#This Row],[售价]]&lt;1000,"低价商品",IF(TB[[#This Row],[售价]]&lt;5000,"中价商品",IF(TB[[#This Row],[售价]]&lt;10000,"高价商品","超高价商品")))</f>
        <v>高价商品</v>
      </c>
    </row>
    <row r="3575" spans="1:14" x14ac:dyDescent="0.2">
      <c r="A3575">
        <v>725</v>
      </c>
      <c r="B3575">
        <v>279</v>
      </c>
      <c r="C3575" t="s">
        <v>32</v>
      </c>
      <c r="D3575" t="s">
        <v>208</v>
      </c>
      <c r="E3575" t="s">
        <v>12</v>
      </c>
      <c r="F3575">
        <v>2</v>
      </c>
      <c r="G3575" t="s">
        <v>13</v>
      </c>
      <c r="H3575" s="1">
        <v>45996.658333333333</v>
      </c>
      <c r="I3575" s="5">
        <f>INT(TB[[#This Row],[时间戳]])</f>
        <v>45996</v>
      </c>
      <c r="J3575" s="2">
        <f>HOUR(TB[[#This Row],[时间戳]])</f>
        <v>15</v>
      </c>
      <c r="K3575">
        <v>5209</v>
      </c>
      <c r="L3575">
        <v>4</v>
      </c>
      <c r="M3575">
        <f>TB[[#This Row],[售价]]*TB[[#This Row],[销量]]</f>
        <v>20836</v>
      </c>
      <c r="N3575" t="str">
        <f>IF(TB[[#This Row],[售价]]&lt;1000,"低价商品",IF(TB[[#This Row],[售价]]&lt;5000,"中价商品",IF(TB[[#This Row],[售价]]&lt;10000,"高价商品","超高价商品")))</f>
        <v>高价商品</v>
      </c>
    </row>
    <row r="3576" spans="1:14" x14ac:dyDescent="0.2">
      <c r="A3576">
        <v>65</v>
      </c>
      <c r="B3576">
        <v>65</v>
      </c>
      <c r="C3576" t="s">
        <v>26</v>
      </c>
      <c r="D3576" t="s">
        <v>229</v>
      </c>
      <c r="E3576" t="s">
        <v>16</v>
      </c>
      <c r="F3576">
        <v>6</v>
      </c>
      <c r="G3576" t="s">
        <v>42</v>
      </c>
      <c r="H3576" s="1">
        <v>45996.698611111111</v>
      </c>
      <c r="I3576" s="5">
        <f>INT(TB[[#This Row],[时间戳]])</f>
        <v>45996</v>
      </c>
      <c r="J3576" s="2">
        <f>HOUR(TB[[#This Row],[时间戳]])</f>
        <v>16</v>
      </c>
      <c r="K3576">
        <v>3911</v>
      </c>
      <c r="L3576">
        <v>0</v>
      </c>
      <c r="M3576">
        <f>TB[[#This Row],[售价]]*TB[[#This Row],[销量]]</f>
        <v>0</v>
      </c>
      <c r="N3576" t="str">
        <f>IF(TB[[#This Row],[售价]]&lt;1000,"低价商品",IF(TB[[#This Row],[售价]]&lt;5000,"中价商品",IF(TB[[#This Row],[售价]]&lt;10000,"高价商品","超高价商品")))</f>
        <v>中价商品</v>
      </c>
    </row>
    <row r="3577" spans="1:14" x14ac:dyDescent="0.2">
      <c r="A3577">
        <v>642</v>
      </c>
      <c r="B3577">
        <v>157</v>
      </c>
      <c r="C3577" t="s">
        <v>26</v>
      </c>
      <c r="D3577" t="s">
        <v>225</v>
      </c>
      <c r="E3577" t="s">
        <v>31</v>
      </c>
      <c r="F3577">
        <v>4</v>
      </c>
      <c r="G3577" t="s">
        <v>42</v>
      </c>
      <c r="H3577" s="1">
        <v>45996.706944444442</v>
      </c>
      <c r="I3577" s="5">
        <f>INT(TB[[#This Row],[时间戳]])</f>
        <v>45996</v>
      </c>
      <c r="J3577" s="2">
        <f>HOUR(TB[[#This Row],[时间戳]])</f>
        <v>16</v>
      </c>
      <c r="K3577">
        <v>569</v>
      </c>
      <c r="L3577">
        <v>0</v>
      </c>
      <c r="M3577">
        <f>TB[[#This Row],[售价]]*TB[[#This Row],[销量]]</f>
        <v>0</v>
      </c>
      <c r="N3577" t="str">
        <f>IF(TB[[#This Row],[售价]]&lt;1000,"低价商品",IF(TB[[#This Row],[售价]]&lt;5000,"中价商品",IF(TB[[#This Row],[售价]]&lt;10000,"高价商品","超高价商品")))</f>
        <v>低价商品</v>
      </c>
    </row>
    <row r="3578" spans="1:14" x14ac:dyDescent="0.2">
      <c r="A3578">
        <v>757</v>
      </c>
      <c r="B3578">
        <v>5</v>
      </c>
      <c r="C3578" t="s">
        <v>10</v>
      </c>
      <c r="D3578" t="s">
        <v>351</v>
      </c>
      <c r="E3578" t="s">
        <v>31</v>
      </c>
      <c r="F3578">
        <v>4</v>
      </c>
      <c r="G3578" t="s">
        <v>13</v>
      </c>
      <c r="H3578" s="1">
        <v>45996.711111111108</v>
      </c>
      <c r="I3578" s="5">
        <f>INT(TB[[#This Row],[时间戳]])</f>
        <v>45996</v>
      </c>
      <c r="J3578" s="2">
        <f>HOUR(TB[[#This Row],[时间戳]])</f>
        <v>17</v>
      </c>
      <c r="K3578">
        <v>1175</v>
      </c>
      <c r="L3578">
        <v>4</v>
      </c>
      <c r="M3578">
        <f>TB[[#This Row],[售价]]*TB[[#This Row],[销量]]</f>
        <v>4700</v>
      </c>
      <c r="N3578" t="str">
        <f>IF(TB[[#This Row],[售价]]&lt;1000,"低价商品",IF(TB[[#This Row],[售价]]&lt;5000,"中价商品",IF(TB[[#This Row],[售价]]&lt;10000,"高价商品","超高价商品")))</f>
        <v>中价商品</v>
      </c>
    </row>
    <row r="3579" spans="1:14" x14ac:dyDescent="0.2">
      <c r="A3579">
        <v>269</v>
      </c>
      <c r="B3579">
        <v>251</v>
      </c>
      <c r="C3579" t="s">
        <v>32</v>
      </c>
      <c r="D3579" t="s">
        <v>335</v>
      </c>
      <c r="E3579" t="s">
        <v>12</v>
      </c>
      <c r="F3579">
        <v>2</v>
      </c>
      <c r="G3579" t="s">
        <v>42</v>
      </c>
      <c r="H3579" s="1">
        <v>45996.723611111112</v>
      </c>
      <c r="I3579" s="5">
        <f>INT(TB[[#This Row],[时间戳]])</f>
        <v>45996</v>
      </c>
      <c r="J3579" s="2">
        <f>HOUR(TB[[#This Row],[时间戳]])</f>
        <v>17</v>
      </c>
      <c r="K3579">
        <v>5538</v>
      </c>
      <c r="L3579">
        <v>0</v>
      </c>
      <c r="M3579">
        <f>TB[[#This Row],[售价]]*TB[[#This Row],[销量]]</f>
        <v>0</v>
      </c>
      <c r="N3579" t="str">
        <f>IF(TB[[#This Row],[售价]]&lt;1000,"低价商品",IF(TB[[#This Row],[售价]]&lt;5000,"中价商品",IF(TB[[#This Row],[售价]]&lt;10000,"高价商品","超高价商品")))</f>
        <v>高价商品</v>
      </c>
    </row>
    <row r="3580" spans="1:14" x14ac:dyDescent="0.2">
      <c r="A3580">
        <v>354</v>
      </c>
      <c r="B3580">
        <v>13</v>
      </c>
      <c r="C3580" t="s">
        <v>20</v>
      </c>
      <c r="D3580" t="s">
        <v>261</v>
      </c>
      <c r="E3580" t="s">
        <v>22</v>
      </c>
      <c r="F3580">
        <v>1</v>
      </c>
      <c r="G3580" t="s">
        <v>42</v>
      </c>
      <c r="H3580" s="1">
        <v>45996.748611111114</v>
      </c>
      <c r="I3580" s="5">
        <f>INT(TB[[#This Row],[时间戳]])</f>
        <v>45996</v>
      </c>
      <c r="J3580" s="2">
        <f>HOUR(TB[[#This Row],[时间戳]])</f>
        <v>17</v>
      </c>
      <c r="K3580">
        <v>2215</v>
      </c>
      <c r="L3580">
        <v>0</v>
      </c>
      <c r="M3580">
        <f>TB[[#This Row],[售价]]*TB[[#This Row],[销量]]</f>
        <v>0</v>
      </c>
      <c r="N3580" t="str">
        <f>IF(TB[[#This Row],[售价]]&lt;1000,"低价商品",IF(TB[[#This Row],[售价]]&lt;5000,"中价商品",IF(TB[[#This Row],[售价]]&lt;10000,"高价商品","超高价商品")))</f>
        <v>中价商品</v>
      </c>
    </row>
    <row r="3581" spans="1:14" x14ac:dyDescent="0.2">
      <c r="A3581">
        <v>532</v>
      </c>
      <c r="B3581">
        <v>45</v>
      </c>
      <c r="C3581" t="s">
        <v>44</v>
      </c>
      <c r="D3581" t="s">
        <v>254</v>
      </c>
      <c r="E3581" t="s">
        <v>25</v>
      </c>
      <c r="F3581">
        <v>7</v>
      </c>
      <c r="G3581" t="s">
        <v>42</v>
      </c>
      <c r="H3581" s="1">
        <v>45996.761111111111</v>
      </c>
      <c r="I3581" s="5">
        <f>INT(TB[[#This Row],[时间戳]])</f>
        <v>45996</v>
      </c>
      <c r="J3581" s="2">
        <f>HOUR(TB[[#This Row],[时间戳]])</f>
        <v>18</v>
      </c>
      <c r="K3581">
        <v>5746</v>
      </c>
      <c r="L3581">
        <v>0</v>
      </c>
      <c r="M3581">
        <f>TB[[#This Row],[售价]]*TB[[#This Row],[销量]]</f>
        <v>0</v>
      </c>
      <c r="N3581" t="str">
        <f>IF(TB[[#This Row],[售价]]&lt;1000,"低价商品",IF(TB[[#This Row],[售价]]&lt;5000,"中价商品",IF(TB[[#This Row],[售价]]&lt;10000,"高价商品","超高价商品")))</f>
        <v>高价商品</v>
      </c>
    </row>
    <row r="3582" spans="1:14" x14ac:dyDescent="0.2">
      <c r="A3582">
        <v>359</v>
      </c>
      <c r="B3582">
        <v>246</v>
      </c>
      <c r="C3582" t="s">
        <v>26</v>
      </c>
      <c r="D3582" t="s">
        <v>182</v>
      </c>
      <c r="E3582" t="s">
        <v>31</v>
      </c>
      <c r="F3582">
        <v>4</v>
      </c>
      <c r="G3582" t="s">
        <v>13</v>
      </c>
      <c r="H3582" s="1">
        <v>45996.772916666669</v>
      </c>
      <c r="I3582" s="5">
        <f>INT(TB[[#This Row],[时间戳]])</f>
        <v>45996</v>
      </c>
      <c r="J3582" s="2">
        <f>HOUR(TB[[#This Row],[时间戳]])</f>
        <v>18</v>
      </c>
      <c r="K3582">
        <v>1445</v>
      </c>
      <c r="L3582">
        <v>5</v>
      </c>
      <c r="M3582">
        <f>TB[[#This Row],[售价]]*TB[[#This Row],[销量]]</f>
        <v>7225</v>
      </c>
      <c r="N3582" t="str">
        <f>IF(TB[[#This Row],[售价]]&lt;1000,"低价商品",IF(TB[[#This Row],[售价]]&lt;5000,"中价商品",IF(TB[[#This Row],[售价]]&lt;10000,"高价商品","超高价商品")))</f>
        <v>中价商品</v>
      </c>
    </row>
    <row r="3583" spans="1:14" x14ac:dyDescent="0.2">
      <c r="A3583">
        <v>372</v>
      </c>
      <c r="B3583">
        <v>288</v>
      </c>
      <c r="C3583" t="s">
        <v>36</v>
      </c>
      <c r="D3583" t="s">
        <v>162</v>
      </c>
      <c r="E3583" t="s">
        <v>25</v>
      </c>
      <c r="F3583">
        <v>7</v>
      </c>
      <c r="G3583" t="s">
        <v>13</v>
      </c>
      <c r="H3583" s="1">
        <v>45996.806944444441</v>
      </c>
      <c r="I3583" s="5">
        <f>INT(TB[[#This Row],[时间戳]])</f>
        <v>45996</v>
      </c>
      <c r="J3583" s="2">
        <f>HOUR(TB[[#This Row],[时间戳]])</f>
        <v>19</v>
      </c>
      <c r="K3583">
        <v>5267</v>
      </c>
      <c r="L3583">
        <v>1</v>
      </c>
      <c r="M3583">
        <f>TB[[#This Row],[售价]]*TB[[#This Row],[销量]]</f>
        <v>5267</v>
      </c>
      <c r="N3583" t="str">
        <f>IF(TB[[#This Row],[售价]]&lt;1000,"低价商品",IF(TB[[#This Row],[售价]]&lt;5000,"中价商品",IF(TB[[#This Row],[售价]]&lt;10000,"高价商品","超高价商品")))</f>
        <v>高价商品</v>
      </c>
    </row>
    <row r="3584" spans="1:14" x14ac:dyDescent="0.2">
      <c r="A3584">
        <v>159</v>
      </c>
      <c r="B3584">
        <v>293</v>
      </c>
      <c r="C3584" t="s">
        <v>26</v>
      </c>
      <c r="D3584" t="s">
        <v>299</v>
      </c>
      <c r="E3584" t="s">
        <v>19</v>
      </c>
      <c r="F3584">
        <v>3</v>
      </c>
      <c r="G3584" t="s">
        <v>13</v>
      </c>
      <c r="H3584" s="1">
        <v>45996.81527777778</v>
      </c>
      <c r="I3584" s="5">
        <f>INT(TB[[#This Row],[时间戳]])</f>
        <v>45996</v>
      </c>
      <c r="J3584" s="2">
        <f>HOUR(TB[[#This Row],[时间戳]])</f>
        <v>19</v>
      </c>
      <c r="K3584">
        <v>3723</v>
      </c>
      <c r="L3584">
        <v>2</v>
      </c>
      <c r="M3584">
        <f>TB[[#This Row],[售价]]*TB[[#This Row],[销量]]</f>
        <v>7446</v>
      </c>
      <c r="N3584" t="str">
        <f>IF(TB[[#This Row],[售价]]&lt;1000,"低价商品",IF(TB[[#This Row],[售价]]&lt;5000,"中价商品",IF(TB[[#This Row],[售价]]&lt;10000,"高价商品","超高价商品")))</f>
        <v>中价商品</v>
      </c>
    </row>
    <row r="3585" spans="1:14" x14ac:dyDescent="0.2">
      <c r="A3585">
        <v>93</v>
      </c>
      <c r="B3585">
        <v>262</v>
      </c>
      <c r="C3585" t="s">
        <v>26</v>
      </c>
      <c r="D3585" t="s">
        <v>252</v>
      </c>
      <c r="E3585" t="s">
        <v>25</v>
      </c>
      <c r="F3585">
        <v>7</v>
      </c>
      <c r="G3585" t="s">
        <v>13</v>
      </c>
      <c r="H3585" s="1">
        <v>45996.851388888892</v>
      </c>
      <c r="I3585" s="5">
        <f>INT(TB[[#This Row],[时间戳]])</f>
        <v>45996</v>
      </c>
      <c r="J3585" s="2">
        <f>HOUR(TB[[#This Row],[时间戳]])</f>
        <v>20</v>
      </c>
      <c r="K3585">
        <v>1733</v>
      </c>
      <c r="L3585">
        <v>2</v>
      </c>
      <c r="M3585">
        <f>TB[[#This Row],[售价]]*TB[[#This Row],[销量]]</f>
        <v>3466</v>
      </c>
      <c r="N3585" t="str">
        <f>IF(TB[[#This Row],[售价]]&lt;1000,"低价商品",IF(TB[[#This Row],[售价]]&lt;5000,"中价商品",IF(TB[[#This Row],[售价]]&lt;10000,"高价商品","超高价商品")))</f>
        <v>中价商品</v>
      </c>
    </row>
    <row r="3586" spans="1:14" x14ac:dyDescent="0.2">
      <c r="A3586">
        <v>674</v>
      </c>
      <c r="B3586">
        <v>284</v>
      </c>
      <c r="C3586" t="s">
        <v>44</v>
      </c>
      <c r="D3586" t="s">
        <v>169</v>
      </c>
      <c r="E3586" t="s">
        <v>31</v>
      </c>
      <c r="F3586">
        <v>4</v>
      </c>
      <c r="G3586" t="s">
        <v>13</v>
      </c>
      <c r="H3586" s="1">
        <v>45996.86041666667</v>
      </c>
      <c r="I3586" s="5">
        <f>INT(TB[[#This Row],[时间戳]])</f>
        <v>45996</v>
      </c>
      <c r="J3586" s="2">
        <f>HOUR(TB[[#This Row],[时间戳]])</f>
        <v>20</v>
      </c>
      <c r="K3586">
        <v>1500</v>
      </c>
      <c r="L3586">
        <v>1</v>
      </c>
      <c r="M3586">
        <f>TB[[#This Row],[售价]]*TB[[#This Row],[销量]]</f>
        <v>1500</v>
      </c>
      <c r="N3586" t="str">
        <f>IF(TB[[#This Row],[售价]]&lt;1000,"低价商品",IF(TB[[#This Row],[售价]]&lt;5000,"中价商品",IF(TB[[#This Row],[售价]]&lt;10000,"高价商品","超高价商品")))</f>
        <v>中价商品</v>
      </c>
    </row>
    <row r="3587" spans="1:14" x14ac:dyDescent="0.2">
      <c r="A3587">
        <v>55</v>
      </c>
      <c r="B3587">
        <v>282</v>
      </c>
      <c r="C3587" t="s">
        <v>14</v>
      </c>
      <c r="D3587" t="s">
        <v>99</v>
      </c>
      <c r="E3587" t="s">
        <v>39</v>
      </c>
      <c r="F3587">
        <v>5</v>
      </c>
      <c r="G3587" t="s">
        <v>13</v>
      </c>
      <c r="H3587" s="1">
        <v>45996.868055555555</v>
      </c>
      <c r="I3587" s="5">
        <f>INT(TB[[#This Row],[时间戳]])</f>
        <v>45996</v>
      </c>
      <c r="J3587" s="2">
        <f>HOUR(TB[[#This Row],[时间戳]])</f>
        <v>20</v>
      </c>
      <c r="K3587">
        <v>1960</v>
      </c>
      <c r="L3587">
        <v>1</v>
      </c>
      <c r="M3587">
        <f>TB[[#This Row],[售价]]*TB[[#This Row],[销量]]</f>
        <v>1960</v>
      </c>
      <c r="N3587" t="str">
        <f>IF(TB[[#This Row],[售价]]&lt;1000,"低价商品",IF(TB[[#This Row],[售价]]&lt;5000,"中价商品",IF(TB[[#This Row],[售价]]&lt;10000,"高价商品","超高价商品")))</f>
        <v>中价商品</v>
      </c>
    </row>
    <row r="3588" spans="1:14" x14ac:dyDescent="0.2">
      <c r="A3588">
        <v>661</v>
      </c>
      <c r="B3588">
        <v>241</v>
      </c>
      <c r="C3588" t="s">
        <v>44</v>
      </c>
      <c r="D3588" t="s">
        <v>347</v>
      </c>
      <c r="E3588" t="s">
        <v>39</v>
      </c>
      <c r="F3588">
        <v>5</v>
      </c>
      <c r="G3588" t="s">
        <v>13</v>
      </c>
      <c r="H3588" s="1">
        <v>45996.879166666666</v>
      </c>
      <c r="I3588" s="5">
        <f>INT(TB[[#This Row],[时间戳]])</f>
        <v>45996</v>
      </c>
      <c r="J3588" s="2">
        <f>HOUR(TB[[#This Row],[时间戳]])</f>
        <v>21</v>
      </c>
      <c r="K3588">
        <v>1711</v>
      </c>
      <c r="L3588">
        <v>2</v>
      </c>
      <c r="M3588">
        <f>TB[[#This Row],[售价]]*TB[[#This Row],[销量]]</f>
        <v>3422</v>
      </c>
      <c r="N3588" t="str">
        <f>IF(TB[[#This Row],[售价]]&lt;1000,"低价商品",IF(TB[[#This Row],[售价]]&lt;5000,"中价商品",IF(TB[[#This Row],[售价]]&lt;10000,"高价商品","超高价商品")))</f>
        <v>中价商品</v>
      </c>
    </row>
    <row r="3589" spans="1:14" x14ac:dyDescent="0.2">
      <c r="A3589">
        <v>221</v>
      </c>
      <c r="B3589">
        <v>102</v>
      </c>
      <c r="C3589" t="s">
        <v>44</v>
      </c>
      <c r="D3589" t="s">
        <v>236</v>
      </c>
      <c r="E3589" t="s">
        <v>12</v>
      </c>
      <c r="F3589">
        <v>2</v>
      </c>
      <c r="G3589" t="s">
        <v>13</v>
      </c>
      <c r="H3589" s="1">
        <v>45996.905555555553</v>
      </c>
      <c r="I3589" s="5">
        <f>INT(TB[[#This Row],[时间戳]])</f>
        <v>45996</v>
      </c>
      <c r="J3589" s="2">
        <f>HOUR(TB[[#This Row],[时间戳]])</f>
        <v>21</v>
      </c>
      <c r="K3589">
        <v>6708</v>
      </c>
      <c r="L3589">
        <v>1</v>
      </c>
      <c r="M3589">
        <f>TB[[#This Row],[售价]]*TB[[#This Row],[销量]]</f>
        <v>6708</v>
      </c>
      <c r="N3589" t="str">
        <f>IF(TB[[#This Row],[售价]]&lt;1000,"低价商品",IF(TB[[#This Row],[售价]]&lt;5000,"中价商品",IF(TB[[#This Row],[售价]]&lt;10000,"高价商品","超高价商品")))</f>
        <v>高价商品</v>
      </c>
    </row>
    <row r="3590" spans="1:14" x14ac:dyDescent="0.2">
      <c r="A3590">
        <v>672</v>
      </c>
      <c r="B3590">
        <v>299</v>
      </c>
      <c r="C3590" t="s">
        <v>32</v>
      </c>
      <c r="D3590" t="s">
        <v>336</v>
      </c>
      <c r="E3590" t="s">
        <v>16</v>
      </c>
      <c r="F3590">
        <v>6</v>
      </c>
      <c r="G3590" t="s">
        <v>42</v>
      </c>
      <c r="H3590" s="1">
        <v>45996.908333333333</v>
      </c>
      <c r="I3590" s="5">
        <f>INT(TB[[#This Row],[时间戳]])</f>
        <v>45996</v>
      </c>
      <c r="J3590" s="2">
        <f>HOUR(TB[[#This Row],[时间戳]])</f>
        <v>21</v>
      </c>
      <c r="K3590">
        <v>9423</v>
      </c>
      <c r="L3590">
        <v>0</v>
      </c>
      <c r="M3590">
        <f>TB[[#This Row],[售价]]*TB[[#This Row],[销量]]</f>
        <v>0</v>
      </c>
      <c r="N3590" t="str">
        <f>IF(TB[[#This Row],[售价]]&lt;1000,"低价商品",IF(TB[[#This Row],[售价]]&lt;5000,"中价商品",IF(TB[[#This Row],[售价]]&lt;10000,"高价商品","超高价商品")))</f>
        <v>高价商品</v>
      </c>
    </row>
    <row r="3591" spans="1:14" x14ac:dyDescent="0.2">
      <c r="A3591">
        <v>177</v>
      </c>
      <c r="B3591">
        <v>80</v>
      </c>
      <c r="C3591" t="s">
        <v>34</v>
      </c>
      <c r="D3591" t="s">
        <v>175</v>
      </c>
      <c r="E3591" t="s">
        <v>22</v>
      </c>
      <c r="F3591">
        <v>1</v>
      </c>
      <c r="G3591" t="s">
        <v>42</v>
      </c>
      <c r="H3591" s="1">
        <v>45996.911805555559</v>
      </c>
      <c r="I3591" s="5">
        <f>INT(TB[[#This Row],[时间戳]])</f>
        <v>45996</v>
      </c>
      <c r="J3591" s="2">
        <f>HOUR(TB[[#This Row],[时间戳]])</f>
        <v>21</v>
      </c>
      <c r="K3591">
        <v>2338</v>
      </c>
      <c r="L3591">
        <v>0</v>
      </c>
      <c r="M3591">
        <f>TB[[#This Row],[售价]]*TB[[#This Row],[销量]]</f>
        <v>0</v>
      </c>
      <c r="N3591" t="str">
        <f>IF(TB[[#This Row],[售价]]&lt;1000,"低价商品",IF(TB[[#This Row],[售价]]&lt;5000,"中价商品",IF(TB[[#This Row],[售价]]&lt;10000,"高价商品","超高价商品")))</f>
        <v>中价商品</v>
      </c>
    </row>
    <row r="3592" spans="1:14" x14ac:dyDescent="0.2">
      <c r="A3592">
        <v>759</v>
      </c>
      <c r="B3592">
        <v>211</v>
      </c>
      <c r="C3592" t="s">
        <v>46</v>
      </c>
      <c r="D3592" t="s">
        <v>157</v>
      </c>
      <c r="E3592" t="s">
        <v>12</v>
      </c>
      <c r="F3592">
        <v>2</v>
      </c>
      <c r="G3592" t="s">
        <v>13</v>
      </c>
      <c r="H3592" s="1">
        <v>45996.968055555553</v>
      </c>
      <c r="I3592" s="5">
        <f>INT(TB[[#This Row],[时间戳]])</f>
        <v>45996</v>
      </c>
      <c r="J3592" s="2">
        <f>HOUR(TB[[#This Row],[时间戳]])</f>
        <v>23</v>
      </c>
      <c r="K3592">
        <v>13537</v>
      </c>
      <c r="L3592">
        <v>1</v>
      </c>
      <c r="M3592">
        <f>TB[[#This Row],[售价]]*TB[[#This Row],[销量]]</f>
        <v>13537</v>
      </c>
      <c r="N3592" t="str">
        <f>IF(TB[[#This Row],[售价]]&lt;1000,"低价商品",IF(TB[[#This Row],[售价]]&lt;5000,"中价商品",IF(TB[[#This Row],[售价]]&lt;10000,"高价商品","超高价商品")))</f>
        <v>超高价商品</v>
      </c>
    </row>
    <row r="3593" spans="1:14" x14ac:dyDescent="0.2">
      <c r="A3593">
        <v>674</v>
      </c>
      <c r="B3593">
        <v>300</v>
      </c>
      <c r="C3593" t="s">
        <v>17</v>
      </c>
      <c r="D3593" t="s">
        <v>257</v>
      </c>
      <c r="E3593" t="s">
        <v>19</v>
      </c>
      <c r="F3593">
        <v>3</v>
      </c>
      <c r="G3593" t="s">
        <v>13</v>
      </c>
      <c r="H3593" s="1">
        <v>45996.97152777778</v>
      </c>
      <c r="I3593" s="5">
        <f>INT(TB[[#This Row],[时间戳]])</f>
        <v>45996</v>
      </c>
      <c r="J3593" s="2">
        <f>HOUR(TB[[#This Row],[时间戳]])</f>
        <v>23</v>
      </c>
      <c r="K3593">
        <v>2753</v>
      </c>
      <c r="L3593">
        <v>2</v>
      </c>
      <c r="M3593">
        <f>TB[[#This Row],[售价]]*TB[[#This Row],[销量]]</f>
        <v>5506</v>
      </c>
      <c r="N3593" t="str">
        <f>IF(TB[[#This Row],[售价]]&lt;1000,"低价商品",IF(TB[[#This Row],[售价]]&lt;5000,"中价商品",IF(TB[[#This Row],[售价]]&lt;10000,"高价商品","超高价商品")))</f>
        <v>中价商品</v>
      </c>
    </row>
    <row r="3594" spans="1:14" x14ac:dyDescent="0.2">
      <c r="A3594">
        <v>567</v>
      </c>
      <c r="B3594">
        <v>282</v>
      </c>
      <c r="C3594" t="s">
        <v>36</v>
      </c>
      <c r="D3594" t="s">
        <v>310</v>
      </c>
      <c r="E3594" t="s">
        <v>39</v>
      </c>
      <c r="F3594">
        <v>5</v>
      </c>
      <c r="G3594" t="s">
        <v>13</v>
      </c>
      <c r="H3594" s="1">
        <v>45996.986805555556</v>
      </c>
      <c r="I3594" s="5">
        <f>INT(TB[[#This Row],[时间戳]])</f>
        <v>45996</v>
      </c>
      <c r="J3594" s="2">
        <f>HOUR(TB[[#This Row],[时间戳]])</f>
        <v>23</v>
      </c>
      <c r="K3594">
        <v>1235</v>
      </c>
      <c r="L3594">
        <v>3</v>
      </c>
      <c r="M3594">
        <f>TB[[#This Row],[售价]]*TB[[#This Row],[销量]]</f>
        <v>3705</v>
      </c>
      <c r="N3594" t="str">
        <f>IF(TB[[#This Row],[售价]]&lt;1000,"低价商品",IF(TB[[#This Row],[售价]]&lt;5000,"中价商品",IF(TB[[#This Row],[售价]]&lt;10000,"高价商品","超高价商品")))</f>
        <v>中价商品</v>
      </c>
    </row>
    <row r="3595" spans="1:14" x14ac:dyDescent="0.2">
      <c r="A3595">
        <v>669</v>
      </c>
      <c r="B3595">
        <v>187</v>
      </c>
      <c r="C3595" t="s">
        <v>26</v>
      </c>
      <c r="D3595" t="s">
        <v>227</v>
      </c>
      <c r="E3595" t="s">
        <v>12</v>
      </c>
      <c r="F3595">
        <v>2</v>
      </c>
      <c r="G3595" t="s">
        <v>13</v>
      </c>
      <c r="H3595" s="1">
        <v>45997.00277777778</v>
      </c>
      <c r="I3595" s="5">
        <f>INT(TB[[#This Row],[时间戳]])</f>
        <v>45997</v>
      </c>
      <c r="J3595" s="2">
        <f>HOUR(TB[[#This Row],[时间戳]])</f>
        <v>0</v>
      </c>
      <c r="K3595">
        <v>6278</v>
      </c>
      <c r="L3595">
        <v>2</v>
      </c>
      <c r="M3595">
        <f>TB[[#This Row],[售价]]*TB[[#This Row],[销量]]</f>
        <v>12556</v>
      </c>
      <c r="N3595" t="str">
        <f>IF(TB[[#This Row],[售价]]&lt;1000,"低价商品",IF(TB[[#This Row],[售价]]&lt;5000,"中价商品",IF(TB[[#This Row],[售价]]&lt;10000,"高价商品","超高价商品")))</f>
        <v>高价商品</v>
      </c>
    </row>
    <row r="3596" spans="1:14" x14ac:dyDescent="0.2">
      <c r="A3596">
        <v>328</v>
      </c>
      <c r="B3596">
        <v>285</v>
      </c>
      <c r="C3596" t="s">
        <v>20</v>
      </c>
      <c r="D3596" t="s">
        <v>277</v>
      </c>
      <c r="E3596" t="s">
        <v>12</v>
      </c>
      <c r="F3596">
        <v>2</v>
      </c>
      <c r="G3596" t="s">
        <v>13</v>
      </c>
      <c r="H3596" s="1">
        <v>45997.015277777777</v>
      </c>
      <c r="I3596" s="5">
        <f>INT(TB[[#This Row],[时间戳]])</f>
        <v>45997</v>
      </c>
      <c r="J3596" s="2">
        <f>HOUR(TB[[#This Row],[时间戳]])</f>
        <v>0</v>
      </c>
      <c r="K3596">
        <v>8101</v>
      </c>
      <c r="L3596">
        <v>3</v>
      </c>
      <c r="M3596">
        <f>TB[[#This Row],[售价]]*TB[[#This Row],[销量]]</f>
        <v>24303</v>
      </c>
      <c r="N3596" t="str">
        <f>IF(TB[[#This Row],[售价]]&lt;1000,"低价商品",IF(TB[[#This Row],[售价]]&lt;5000,"中价商品",IF(TB[[#This Row],[售价]]&lt;10000,"高价商品","超高价商品")))</f>
        <v>高价商品</v>
      </c>
    </row>
    <row r="3597" spans="1:14" x14ac:dyDescent="0.2">
      <c r="A3597">
        <v>501</v>
      </c>
      <c r="B3597">
        <v>238</v>
      </c>
      <c r="C3597" t="s">
        <v>17</v>
      </c>
      <c r="D3597" t="s">
        <v>18</v>
      </c>
      <c r="E3597" t="s">
        <v>19</v>
      </c>
      <c r="F3597">
        <v>3</v>
      </c>
      <c r="G3597" t="s">
        <v>13</v>
      </c>
      <c r="H3597" s="1">
        <v>45997.03402777778</v>
      </c>
      <c r="I3597" s="5">
        <f>INT(TB[[#This Row],[时间戳]])</f>
        <v>45997</v>
      </c>
      <c r="J3597" s="2">
        <f>HOUR(TB[[#This Row],[时间戳]])</f>
        <v>0</v>
      </c>
      <c r="K3597">
        <v>3959</v>
      </c>
      <c r="L3597">
        <v>3</v>
      </c>
      <c r="M3597">
        <f>TB[[#This Row],[售价]]*TB[[#This Row],[销量]]</f>
        <v>11877</v>
      </c>
      <c r="N3597" t="str">
        <f>IF(TB[[#This Row],[售价]]&lt;1000,"低价商品",IF(TB[[#This Row],[售价]]&lt;5000,"中价商品",IF(TB[[#This Row],[售价]]&lt;10000,"高价商品","超高价商品")))</f>
        <v>中价商品</v>
      </c>
    </row>
    <row r="3598" spans="1:14" x14ac:dyDescent="0.2">
      <c r="A3598">
        <v>166</v>
      </c>
      <c r="B3598">
        <v>202</v>
      </c>
      <c r="C3598" t="s">
        <v>44</v>
      </c>
      <c r="D3598" t="s">
        <v>195</v>
      </c>
      <c r="E3598" t="s">
        <v>22</v>
      </c>
      <c r="F3598">
        <v>1</v>
      </c>
      <c r="G3598" t="s">
        <v>13</v>
      </c>
      <c r="H3598" s="1">
        <v>45997.038888888892</v>
      </c>
      <c r="I3598" s="5">
        <f>INT(TB[[#This Row],[时间戳]])</f>
        <v>45997</v>
      </c>
      <c r="J3598" s="2">
        <f>HOUR(TB[[#This Row],[时间戳]])</f>
        <v>0</v>
      </c>
      <c r="K3598">
        <v>7218</v>
      </c>
      <c r="L3598">
        <v>4</v>
      </c>
      <c r="M3598">
        <f>TB[[#This Row],[售价]]*TB[[#This Row],[销量]]</f>
        <v>28872</v>
      </c>
      <c r="N3598" t="str">
        <f>IF(TB[[#This Row],[售价]]&lt;1000,"低价商品",IF(TB[[#This Row],[售价]]&lt;5000,"中价商品",IF(TB[[#This Row],[售价]]&lt;10000,"高价商品","超高价商品")))</f>
        <v>高价商品</v>
      </c>
    </row>
    <row r="3599" spans="1:14" x14ac:dyDescent="0.2">
      <c r="A3599">
        <v>341</v>
      </c>
      <c r="B3599">
        <v>134</v>
      </c>
      <c r="C3599" t="s">
        <v>10</v>
      </c>
      <c r="D3599" t="s">
        <v>278</v>
      </c>
      <c r="E3599" t="s">
        <v>19</v>
      </c>
      <c r="F3599">
        <v>3</v>
      </c>
      <c r="G3599" t="s">
        <v>13</v>
      </c>
      <c r="H3599" s="1">
        <v>45997.053472222222</v>
      </c>
      <c r="I3599" s="5">
        <f>INT(TB[[#This Row],[时间戳]])</f>
        <v>45997</v>
      </c>
      <c r="J3599" s="2">
        <f>HOUR(TB[[#This Row],[时间戳]])</f>
        <v>1</v>
      </c>
      <c r="K3599">
        <v>3800</v>
      </c>
      <c r="L3599">
        <v>4</v>
      </c>
      <c r="M3599">
        <f>TB[[#This Row],[售价]]*TB[[#This Row],[销量]]</f>
        <v>15200</v>
      </c>
      <c r="N3599" t="str">
        <f>IF(TB[[#This Row],[售价]]&lt;1000,"低价商品",IF(TB[[#This Row],[售价]]&lt;5000,"中价商品",IF(TB[[#This Row],[售价]]&lt;10000,"高价商品","超高价商品")))</f>
        <v>中价商品</v>
      </c>
    </row>
    <row r="3600" spans="1:14" x14ac:dyDescent="0.2">
      <c r="A3600">
        <v>733</v>
      </c>
      <c r="B3600">
        <v>60</v>
      </c>
      <c r="C3600" t="s">
        <v>44</v>
      </c>
      <c r="D3600" t="s">
        <v>60</v>
      </c>
      <c r="E3600" t="s">
        <v>12</v>
      </c>
      <c r="F3600">
        <v>2</v>
      </c>
      <c r="G3600" t="s">
        <v>13</v>
      </c>
      <c r="H3600" s="1">
        <v>45997.0625</v>
      </c>
      <c r="I3600" s="5">
        <f>INT(TB[[#This Row],[时间戳]])</f>
        <v>45997</v>
      </c>
      <c r="J3600" s="2">
        <f>HOUR(TB[[#This Row],[时间戳]])</f>
        <v>1</v>
      </c>
      <c r="K3600">
        <v>8254</v>
      </c>
      <c r="L3600">
        <v>3</v>
      </c>
      <c r="M3600">
        <f>TB[[#This Row],[售价]]*TB[[#This Row],[销量]]</f>
        <v>24762</v>
      </c>
      <c r="N3600" t="str">
        <f>IF(TB[[#This Row],[售价]]&lt;1000,"低价商品",IF(TB[[#This Row],[售价]]&lt;5000,"中价商品",IF(TB[[#This Row],[售价]]&lt;10000,"高价商品","超高价商品")))</f>
        <v>高价商品</v>
      </c>
    </row>
    <row r="3601" spans="1:14" x14ac:dyDescent="0.2">
      <c r="A3601">
        <v>450</v>
      </c>
      <c r="B3601">
        <v>2</v>
      </c>
      <c r="C3601" t="s">
        <v>46</v>
      </c>
      <c r="D3601" t="s">
        <v>141</v>
      </c>
      <c r="E3601" t="s">
        <v>22</v>
      </c>
      <c r="F3601">
        <v>1</v>
      </c>
      <c r="G3601" t="s">
        <v>13</v>
      </c>
      <c r="H3601" s="1">
        <v>45997.081944444442</v>
      </c>
      <c r="I3601" s="5">
        <f>INT(TB[[#This Row],[时间戳]])</f>
        <v>45997</v>
      </c>
      <c r="J3601" s="2">
        <f>HOUR(TB[[#This Row],[时间戳]])</f>
        <v>1</v>
      </c>
      <c r="K3601">
        <v>2506</v>
      </c>
      <c r="L3601">
        <v>1</v>
      </c>
      <c r="M3601">
        <f>TB[[#This Row],[售价]]*TB[[#This Row],[销量]]</f>
        <v>2506</v>
      </c>
      <c r="N3601" t="str">
        <f>IF(TB[[#This Row],[售价]]&lt;1000,"低价商品",IF(TB[[#This Row],[售价]]&lt;5000,"中价商品",IF(TB[[#This Row],[售价]]&lt;10000,"高价商品","超高价商品")))</f>
        <v>中价商品</v>
      </c>
    </row>
    <row r="3602" spans="1:14" x14ac:dyDescent="0.2">
      <c r="A3602">
        <v>72</v>
      </c>
      <c r="B3602">
        <v>83</v>
      </c>
      <c r="C3602" t="s">
        <v>26</v>
      </c>
      <c r="D3602" t="s">
        <v>171</v>
      </c>
      <c r="E3602" t="s">
        <v>12</v>
      </c>
      <c r="F3602">
        <v>2</v>
      </c>
      <c r="G3602" t="s">
        <v>13</v>
      </c>
      <c r="H3602" s="1">
        <v>45997.084722222222</v>
      </c>
      <c r="I3602" s="5">
        <f>INT(TB[[#This Row],[时间戳]])</f>
        <v>45997</v>
      </c>
      <c r="J3602" s="2">
        <f>HOUR(TB[[#This Row],[时间戳]])</f>
        <v>2</v>
      </c>
      <c r="K3602">
        <v>7152</v>
      </c>
      <c r="L3602">
        <v>3</v>
      </c>
      <c r="M3602">
        <f>TB[[#This Row],[售价]]*TB[[#This Row],[销量]]</f>
        <v>21456</v>
      </c>
      <c r="N3602" t="str">
        <f>IF(TB[[#This Row],[售价]]&lt;1000,"低价商品",IF(TB[[#This Row],[售价]]&lt;5000,"中价商品",IF(TB[[#This Row],[售价]]&lt;10000,"高价商品","超高价商品")))</f>
        <v>高价商品</v>
      </c>
    </row>
    <row r="3603" spans="1:14" x14ac:dyDescent="0.2">
      <c r="A3603">
        <v>480</v>
      </c>
      <c r="B3603">
        <v>270</v>
      </c>
      <c r="C3603" t="s">
        <v>32</v>
      </c>
      <c r="D3603" t="s">
        <v>215</v>
      </c>
      <c r="E3603" t="s">
        <v>31</v>
      </c>
      <c r="F3603">
        <v>4</v>
      </c>
      <c r="G3603" t="s">
        <v>13</v>
      </c>
      <c r="H3603" s="1">
        <v>45997.100694444445</v>
      </c>
      <c r="I3603" s="5">
        <f>INT(TB[[#This Row],[时间戳]])</f>
        <v>45997</v>
      </c>
      <c r="J3603" s="2">
        <f>HOUR(TB[[#This Row],[时间戳]])</f>
        <v>2</v>
      </c>
      <c r="K3603">
        <v>132</v>
      </c>
      <c r="L3603">
        <v>4</v>
      </c>
      <c r="M3603">
        <f>TB[[#This Row],[售价]]*TB[[#This Row],[销量]]</f>
        <v>528</v>
      </c>
      <c r="N3603" t="str">
        <f>IF(TB[[#This Row],[售价]]&lt;1000,"低价商品",IF(TB[[#This Row],[售价]]&lt;5000,"中价商品",IF(TB[[#This Row],[售价]]&lt;10000,"高价商品","超高价商品")))</f>
        <v>低价商品</v>
      </c>
    </row>
    <row r="3604" spans="1:14" x14ac:dyDescent="0.2">
      <c r="A3604">
        <v>503</v>
      </c>
      <c r="B3604">
        <v>168</v>
      </c>
      <c r="C3604" t="s">
        <v>14</v>
      </c>
      <c r="D3604" t="s">
        <v>384</v>
      </c>
      <c r="E3604" t="s">
        <v>39</v>
      </c>
      <c r="F3604">
        <v>5</v>
      </c>
      <c r="G3604" t="s">
        <v>13</v>
      </c>
      <c r="H3604" s="1">
        <v>45997.104166666664</v>
      </c>
      <c r="I3604" s="5">
        <f>INT(TB[[#This Row],[时间戳]])</f>
        <v>45997</v>
      </c>
      <c r="J3604" s="2">
        <f>HOUR(TB[[#This Row],[时间戳]])</f>
        <v>2</v>
      </c>
      <c r="K3604">
        <v>3006</v>
      </c>
      <c r="L3604">
        <v>2</v>
      </c>
      <c r="M3604">
        <f>TB[[#This Row],[售价]]*TB[[#This Row],[销量]]</f>
        <v>6012</v>
      </c>
      <c r="N3604" t="str">
        <f>IF(TB[[#This Row],[售价]]&lt;1000,"低价商品",IF(TB[[#This Row],[售价]]&lt;5000,"中价商品",IF(TB[[#This Row],[售价]]&lt;10000,"高价商品","超高价商品")))</f>
        <v>中价商品</v>
      </c>
    </row>
    <row r="3605" spans="1:14" x14ac:dyDescent="0.2">
      <c r="A3605">
        <v>249</v>
      </c>
      <c r="B3605">
        <v>67</v>
      </c>
      <c r="C3605" t="s">
        <v>20</v>
      </c>
      <c r="D3605" t="s">
        <v>230</v>
      </c>
      <c r="E3605" t="s">
        <v>19</v>
      </c>
      <c r="F3605">
        <v>3</v>
      </c>
      <c r="G3605" t="s">
        <v>13</v>
      </c>
      <c r="H3605" s="1">
        <v>45997.11041666667</v>
      </c>
      <c r="I3605" s="5">
        <f>INT(TB[[#This Row],[时间戳]])</f>
        <v>45997</v>
      </c>
      <c r="J3605" s="2">
        <f>HOUR(TB[[#This Row],[时间戳]])</f>
        <v>2</v>
      </c>
      <c r="K3605">
        <v>2728</v>
      </c>
      <c r="L3605">
        <v>1</v>
      </c>
      <c r="M3605">
        <f>TB[[#This Row],[售价]]*TB[[#This Row],[销量]]</f>
        <v>2728</v>
      </c>
      <c r="N3605" t="str">
        <f>IF(TB[[#This Row],[售价]]&lt;1000,"低价商品",IF(TB[[#This Row],[售价]]&lt;5000,"中价商品",IF(TB[[#This Row],[售价]]&lt;10000,"高价商品","超高价商品")))</f>
        <v>中价商品</v>
      </c>
    </row>
    <row r="3606" spans="1:14" x14ac:dyDescent="0.2">
      <c r="A3606">
        <v>374</v>
      </c>
      <c r="B3606">
        <v>204</v>
      </c>
      <c r="C3606" t="s">
        <v>14</v>
      </c>
      <c r="D3606" t="s">
        <v>144</v>
      </c>
      <c r="E3606" t="s">
        <v>19</v>
      </c>
      <c r="F3606">
        <v>3</v>
      </c>
      <c r="G3606" t="s">
        <v>42</v>
      </c>
      <c r="H3606" s="1">
        <v>45997.114583333336</v>
      </c>
      <c r="I3606" s="5">
        <f>INT(TB[[#This Row],[时间戳]])</f>
        <v>45997</v>
      </c>
      <c r="J3606" s="2">
        <f>HOUR(TB[[#This Row],[时间戳]])</f>
        <v>2</v>
      </c>
      <c r="K3606">
        <v>2536</v>
      </c>
      <c r="L3606">
        <v>0</v>
      </c>
      <c r="M3606">
        <f>TB[[#This Row],[售价]]*TB[[#This Row],[销量]]</f>
        <v>0</v>
      </c>
      <c r="N3606" t="str">
        <f>IF(TB[[#This Row],[售价]]&lt;1000,"低价商品",IF(TB[[#This Row],[售价]]&lt;5000,"中价商品",IF(TB[[#This Row],[售价]]&lt;10000,"高价商品","超高价商品")))</f>
        <v>中价商品</v>
      </c>
    </row>
    <row r="3607" spans="1:14" x14ac:dyDescent="0.2">
      <c r="A3607">
        <v>39</v>
      </c>
      <c r="B3607">
        <v>23</v>
      </c>
      <c r="C3607" t="s">
        <v>32</v>
      </c>
      <c r="D3607" t="s">
        <v>118</v>
      </c>
      <c r="E3607" t="s">
        <v>19</v>
      </c>
      <c r="F3607">
        <v>3</v>
      </c>
      <c r="G3607" t="s">
        <v>42</v>
      </c>
      <c r="H3607" s="1">
        <v>45997.118750000001</v>
      </c>
      <c r="I3607" s="5">
        <f>INT(TB[[#This Row],[时间戳]])</f>
        <v>45997</v>
      </c>
      <c r="J3607" s="2">
        <f>HOUR(TB[[#This Row],[时间戳]])</f>
        <v>2</v>
      </c>
      <c r="K3607">
        <v>2024</v>
      </c>
      <c r="L3607">
        <v>0</v>
      </c>
      <c r="M3607">
        <f>TB[[#This Row],[售价]]*TB[[#This Row],[销量]]</f>
        <v>0</v>
      </c>
      <c r="N3607" t="str">
        <f>IF(TB[[#This Row],[售价]]&lt;1000,"低价商品",IF(TB[[#This Row],[售价]]&lt;5000,"中价商品",IF(TB[[#This Row],[售价]]&lt;10000,"高价商品","超高价商品")))</f>
        <v>中价商品</v>
      </c>
    </row>
    <row r="3608" spans="1:14" x14ac:dyDescent="0.2">
      <c r="A3608">
        <v>622</v>
      </c>
      <c r="B3608">
        <v>239</v>
      </c>
      <c r="C3608" t="s">
        <v>20</v>
      </c>
      <c r="D3608" t="s">
        <v>261</v>
      </c>
      <c r="E3608" t="s">
        <v>22</v>
      </c>
      <c r="F3608">
        <v>1</v>
      </c>
      <c r="G3608" t="s">
        <v>13</v>
      </c>
      <c r="H3608" s="1">
        <v>45997.150694444441</v>
      </c>
      <c r="I3608" s="5">
        <f>INT(TB[[#This Row],[时间戳]])</f>
        <v>45997</v>
      </c>
      <c r="J3608" s="2">
        <f>HOUR(TB[[#This Row],[时间戳]])</f>
        <v>3</v>
      </c>
      <c r="K3608">
        <v>3362</v>
      </c>
      <c r="L3608">
        <v>2</v>
      </c>
      <c r="M3608">
        <f>TB[[#This Row],[售价]]*TB[[#This Row],[销量]]</f>
        <v>6724</v>
      </c>
      <c r="N3608" t="str">
        <f>IF(TB[[#This Row],[售价]]&lt;1000,"低价商品",IF(TB[[#This Row],[售价]]&lt;5000,"中价商品",IF(TB[[#This Row],[售价]]&lt;10000,"高价商品","超高价商品")))</f>
        <v>中价商品</v>
      </c>
    </row>
    <row r="3609" spans="1:14" x14ac:dyDescent="0.2">
      <c r="A3609">
        <v>449</v>
      </c>
      <c r="B3609">
        <v>179</v>
      </c>
      <c r="C3609" t="s">
        <v>20</v>
      </c>
      <c r="D3609" t="s">
        <v>367</v>
      </c>
      <c r="E3609" t="s">
        <v>25</v>
      </c>
      <c r="F3609">
        <v>7</v>
      </c>
      <c r="G3609" t="s">
        <v>13</v>
      </c>
      <c r="H3609" s="1">
        <v>45997.156944444447</v>
      </c>
      <c r="I3609" s="5">
        <f>INT(TB[[#This Row],[时间戳]])</f>
        <v>45997</v>
      </c>
      <c r="J3609" s="2">
        <f>HOUR(TB[[#This Row],[时间戳]])</f>
        <v>3</v>
      </c>
      <c r="K3609">
        <v>5805</v>
      </c>
      <c r="L3609">
        <v>3</v>
      </c>
      <c r="M3609">
        <f>TB[[#This Row],[售价]]*TB[[#This Row],[销量]]</f>
        <v>17415</v>
      </c>
      <c r="N3609" t="str">
        <f>IF(TB[[#This Row],[售价]]&lt;1000,"低价商品",IF(TB[[#This Row],[售价]]&lt;5000,"中价商品",IF(TB[[#This Row],[售价]]&lt;10000,"高价商品","超高价商品")))</f>
        <v>高价商品</v>
      </c>
    </row>
    <row r="3610" spans="1:14" x14ac:dyDescent="0.2">
      <c r="A3610">
        <v>527</v>
      </c>
      <c r="B3610">
        <v>183</v>
      </c>
      <c r="C3610" t="s">
        <v>34</v>
      </c>
      <c r="D3610" t="s">
        <v>374</v>
      </c>
      <c r="E3610" t="s">
        <v>25</v>
      </c>
      <c r="F3610">
        <v>7</v>
      </c>
      <c r="G3610" t="s">
        <v>13</v>
      </c>
      <c r="H3610" s="1">
        <v>45997.204861111109</v>
      </c>
      <c r="I3610" s="5">
        <f>INT(TB[[#This Row],[时间戳]])</f>
        <v>45997</v>
      </c>
      <c r="J3610" s="2">
        <f>HOUR(TB[[#This Row],[时间戳]])</f>
        <v>4</v>
      </c>
      <c r="K3610">
        <v>7007</v>
      </c>
      <c r="L3610">
        <v>3</v>
      </c>
      <c r="M3610">
        <f>TB[[#This Row],[售价]]*TB[[#This Row],[销量]]</f>
        <v>21021</v>
      </c>
      <c r="N3610" t="str">
        <f>IF(TB[[#This Row],[售价]]&lt;1000,"低价商品",IF(TB[[#This Row],[售价]]&lt;5000,"中价商品",IF(TB[[#This Row],[售价]]&lt;10000,"高价商品","超高价商品")))</f>
        <v>高价商品</v>
      </c>
    </row>
    <row r="3611" spans="1:14" x14ac:dyDescent="0.2">
      <c r="A3611">
        <v>63</v>
      </c>
      <c r="B3611">
        <v>21</v>
      </c>
      <c r="C3611" t="s">
        <v>20</v>
      </c>
      <c r="D3611" t="s">
        <v>113</v>
      </c>
      <c r="E3611" t="s">
        <v>31</v>
      </c>
      <c r="F3611">
        <v>4</v>
      </c>
      <c r="G3611" t="s">
        <v>13</v>
      </c>
      <c r="H3611" s="1">
        <v>45997.269444444442</v>
      </c>
      <c r="I3611" s="5">
        <f>INT(TB[[#This Row],[时间戳]])</f>
        <v>45997</v>
      </c>
      <c r="J3611" s="2">
        <f>HOUR(TB[[#This Row],[时间戳]])</f>
        <v>6</v>
      </c>
      <c r="K3611">
        <v>349</v>
      </c>
      <c r="L3611">
        <v>2</v>
      </c>
      <c r="M3611">
        <f>TB[[#This Row],[售价]]*TB[[#This Row],[销量]]</f>
        <v>698</v>
      </c>
      <c r="N3611" t="str">
        <f>IF(TB[[#This Row],[售价]]&lt;1000,"低价商品",IF(TB[[#This Row],[售价]]&lt;5000,"中价商品",IF(TB[[#This Row],[售价]]&lt;10000,"高价商品","超高价商品")))</f>
        <v>低价商品</v>
      </c>
    </row>
    <row r="3612" spans="1:14" x14ac:dyDescent="0.2">
      <c r="A3612">
        <v>242</v>
      </c>
      <c r="B3612">
        <v>199</v>
      </c>
      <c r="C3612" t="s">
        <v>36</v>
      </c>
      <c r="D3612" t="s">
        <v>102</v>
      </c>
      <c r="E3612" t="s">
        <v>19</v>
      </c>
      <c r="F3612">
        <v>3</v>
      </c>
      <c r="G3612" t="s">
        <v>13</v>
      </c>
      <c r="H3612" s="1">
        <v>45997.285416666666</v>
      </c>
      <c r="I3612" s="5">
        <f>INT(TB[[#This Row],[时间戳]])</f>
        <v>45997</v>
      </c>
      <c r="J3612" s="2">
        <f>HOUR(TB[[#This Row],[时间戳]])</f>
        <v>6</v>
      </c>
      <c r="K3612">
        <v>2962</v>
      </c>
      <c r="L3612">
        <v>1</v>
      </c>
      <c r="M3612">
        <f>TB[[#This Row],[售价]]*TB[[#This Row],[销量]]</f>
        <v>2962</v>
      </c>
      <c r="N3612" t="str">
        <f>IF(TB[[#This Row],[售价]]&lt;1000,"低价商品",IF(TB[[#This Row],[售价]]&lt;5000,"中价商品",IF(TB[[#This Row],[售价]]&lt;10000,"高价商品","超高价商品")))</f>
        <v>中价商品</v>
      </c>
    </row>
    <row r="3613" spans="1:14" x14ac:dyDescent="0.2">
      <c r="A3613">
        <v>329</v>
      </c>
      <c r="B3613">
        <v>57</v>
      </c>
      <c r="C3613" t="s">
        <v>46</v>
      </c>
      <c r="D3613" t="s">
        <v>141</v>
      </c>
      <c r="E3613" t="s">
        <v>22</v>
      </c>
      <c r="F3613">
        <v>1</v>
      </c>
      <c r="G3613" t="s">
        <v>13</v>
      </c>
      <c r="H3613" s="1">
        <v>45997.288194444445</v>
      </c>
      <c r="I3613" s="5">
        <f>INT(TB[[#This Row],[时间戳]])</f>
        <v>45997</v>
      </c>
      <c r="J3613" s="2">
        <f>HOUR(TB[[#This Row],[时间戳]])</f>
        <v>6</v>
      </c>
      <c r="K3613">
        <v>6128</v>
      </c>
      <c r="L3613">
        <v>2</v>
      </c>
      <c r="M3613">
        <f>TB[[#This Row],[售价]]*TB[[#This Row],[销量]]</f>
        <v>12256</v>
      </c>
      <c r="N3613" t="str">
        <f>IF(TB[[#This Row],[售价]]&lt;1000,"低价商品",IF(TB[[#This Row],[售价]]&lt;5000,"中价商品",IF(TB[[#This Row],[售价]]&lt;10000,"高价商品","超高价商品")))</f>
        <v>高价商品</v>
      </c>
    </row>
    <row r="3614" spans="1:14" x14ac:dyDescent="0.2">
      <c r="A3614">
        <v>216</v>
      </c>
      <c r="B3614">
        <v>293</v>
      </c>
      <c r="C3614" t="s">
        <v>34</v>
      </c>
      <c r="D3614" t="s">
        <v>175</v>
      </c>
      <c r="E3614" t="s">
        <v>22</v>
      </c>
      <c r="F3614">
        <v>1</v>
      </c>
      <c r="G3614" t="s">
        <v>13</v>
      </c>
      <c r="H3614" s="1">
        <v>45997.296527777777</v>
      </c>
      <c r="I3614" s="5">
        <f>INT(TB[[#This Row],[时间戳]])</f>
        <v>45997</v>
      </c>
      <c r="J3614" s="2">
        <f>HOUR(TB[[#This Row],[时间戳]])</f>
        <v>7</v>
      </c>
      <c r="K3614">
        <v>4604</v>
      </c>
      <c r="L3614">
        <v>2</v>
      </c>
      <c r="M3614">
        <f>TB[[#This Row],[售价]]*TB[[#This Row],[销量]]</f>
        <v>9208</v>
      </c>
      <c r="N3614" t="str">
        <f>IF(TB[[#This Row],[售价]]&lt;1000,"低价商品",IF(TB[[#This Row],[售价]]&lt;5000,"中价商品",IF(TB[[#This Row],[售价]]&lt;10000,"高价商品","超高价商品")))</f>
        <v>中价商品</v>
      </c>
    </row>
    <row r="3615" spans="1:14" x14ac:dyDescent="0.2">
      <c r="A3615">
        <v>592</v>
      </c>
      <c r="B3615">
        <v>86</v>
      </c>
      <c r="C3615" t="s">
        <v>26</v>
      </c>
      <c r="D3615" t="s">
        <v>281</v>
      </c>
      <c r="E3615" t="s">
        <v>16</v>
      </c>
      <c r="F3615">
        <v>6</v>
      </c>
      <c r="G3615" t="s">
        <v>13</v>
      </c>
      <c r="H3615" s="1">
        <v>45997.326388888891</v>
      </c>
      <c r="I3615" s="5">
        <f>INT(TB[[#This Row],[时间戳]])</f>
        <v>45997</v>
      </c>
      <c r="J3615" s="2">
        <f>HOUR(TB[[#This Row],[时间戳]])</f>
        <v>7</v>
      </c>
      <c r="K3615">
        <v>3344</v>
      </c>
      <c r="L3615">
        <v>2</v>
      </c>
      <c r="M3615">
        <f>TB[[#This Row],[售价]]*TB[[#This Row],[销量]]</f>
        <v>6688</v>
      </c>
      <c r="N3615" t="str">
        <f>IF(TB[[#This Row],[售价]]&lt;1000,"低价商品",IF(TB[[#This Row],[售价]]&lt;5000,"中价商品",IF(TB[[#This Row],[售价]]&lt;10000,"高价商品","超高价商品")))</f>
        <v>中价商品</v>
      </c>
    </row>
    <row r="3616" spans="1:14" x14ac:dyDescent="0.2">
      <c r="A3616">
        <v>357</v>
      </c>
      <c r="B3616">
        <v>13</v>
      </c>
      <c r="C3616" t="s">
        <v>46</v>
      </c>
      <c r="D3616" t="s">
        <v>209</v>
      </c>
      <c r="E3616" t="s">
        <v>22</v>
      </c>
      <c r="F3616">
        <v>1</v>
      </c>
      <c r="G3616" t="s">
        <v>42</v>
      </c>
      <c r="H3616" s="1">
        <v>45997.334722222222</v>
      </c>
      <c r="I3616" s="5">
        <f>INT(TB[[#This Row],[时间戳]])</f>
        <v>45997</v>
      </c>
      <c r="J3616" s="2">
        <f>HOUR(TB[[#This Row],[时间戳]])</f>
        <v>8</v>
      </c>
      <c r="K3616">
        <v>7556</v>
      </c>
      <c r="L3616">
        <v>0</v>
      </c>
      <c r="M3616">
        <f>TB[[#This Row],[售价]]*TB[[#This Row],[销量]]</f>
        <v>0</v>
      </c>
      <c r="N3616" t="str">
        <f>IF(TB[[#This Row],[售价]]&lt;1000,"低价商品",IF(TB[[#This Row],[售价]]&lt;5000,"中价商品",IF(TB[[#This Row],[售价]]&lt;10000,"高价商品","超高价商品")))</f>
        <v>高价商品</v>
      </c>
    </row>
    <row r="3617" spans="1:14" x14ac:dyDescent="0.2">
      <c r="A3617">
        <v>284</v>
      </c>
      <c r="B3617">
        <v>262</v>
      </c>
      <c r="C3617" t="s">
        <v>32</v>
      </c>
      <c r="D3617" t="s">
        <v>273</v>
      </c>
      <c r="E3617" t="s">
        <v>16</v>
      </c>
      <c r="F3617">
        <v>6</v>
      </c>
      <c r="G3617" t="s">
        <v>13</v>
      </c>
      <c r="H3617" s="1">
        <v>45997.336111111108</v>
      </c>
      <c r="I3617" s="5">
        <f>INT(TB[[#This Row],[时间戳]])</f>
        <v>45997</v>
      </c>
      <c r="J3617" s="2">
        <f>HOUR(TB[[#This Row],[时间戳]])</f>
        <v>8</v>
      </c>
      <c r="K3617">
        <v>3470</v>
      </c>
      <c r="L3617">
        <v>2</v>
      </c>
      <c r="M3617">
        <f>TB[[#This Row],[售价]]*TB[[#This Row],[销量]]</f>
        <v>6940</v>
      </c>
      <c r="N3617" t="str">
        <f>IF(TB[[#This Row],[售价]]&lt;1000,"低价商品",IF(TB[[#This Row],[售价]]&lt;5000,"中价商品",IF(TB[[#This Row],[售价]]&lt;10000,"高价商品","超高价商品")))</f>
        <v>中价商品</v>
      </c>
    </row>
    <row r="3618" spans="1:14" x14ac:dyDescent="0.2">
      <c r="A3618">
        <v>6</v>
      </c>
      <c r="B3618">
        <v>296</v>
      </c>
      <c r="C3618" t="s">
        <v>46</v>
      </c>
      <c r="D3618" t="s">
        <v>341</v>
      </c>
      <c r="E3618" t="s">
        <v>31</v>
      </c>
      <c r="F3618">
        <v>4</v>
      </c>
      <c r="G3618" t="s">
        <v>42</v>
      </c>
      <c r="H3618" s="1">
        <v>45997.351388888892</v>
      </c>
      <c r="I3618" s="5">
        <f>INT(TB[[#This Row],[时间戳]])</f>
        <v>45997</v>
      </c>
      <c r="J3618" s="2">
        <f>HOUR(TB[[#This Row],[时间戳]])</f>
        <v>8</v>
      </c>
      <c r="K3618">
        <v>273</v>
      </c>
      <c r="L3618">
        <v>0</v>
      </c>
      <c r="M3618">
        <f>TB[[#This Row],[售价]]*TB[[#This Row],[销量]]</f>
        <v>0</v>
      </c>
      <c r="N3618" t="str">
        <f>IF(TB[[#This Row],[售价]]&lt;1000,"低价商品",IF(TB[[#This Row],[售价]]&lt;5000,"中价商品",IF(TB[[#This Row],[售价]]&lt;10000,"高价商品","超高价商品")))</f>
        <v>低价商品</v>
      </c>
    </row>
    <row r="3619" spans="1:14" x14ac:dyDescent="0.2">
      <c r="A3619">
        <v>704</v>
      </c>
      <c r="B3619">
        <v>256</v>
      </c>
      <c r="C3619" t="s">
        <v>14</v>
      </c>
      <c r="D3619" t="s">
        <v>49</v>
      </c>
      <c r="E3619" t="s">
        <v>22</v>
      </c>
      <c r="F3619">
        <v>1</v>
      </c>
      <c r="G3619" t="s">
        <v>13</v>
      </c>
      <c r="H3619" s="1">
        <v>45997.385416666664</v>
      </c>
      <c r="I3619" s="5">
        <f>INT(TB[[#This Row],[时间戳]])</f>
        <v>45997</v>
      </c>
      <c r="J3619" s="2">
        <f>HOUR(TB[[#This Row],[时间戳]])</f>
        <v>9</v>
      </c>
      <c r="K3619">
        <v>4444</v>
      </c>
      <c r="L3619">
        <v>1</v>
      </c>
      <c r="M3619">
        <f>TB[[#This Row],[售价]]*TB[[#This Row],[销量]]</f>
        <v>4444</v>
      </c>
      <c r="N3619" t="str">
        <f>IF(TB[[#This Row],[售价]]&lt;1000,"低价商品",IF(TB[[#This Row],[售价]]&lt;5000,"中价商品",IF(TB[[#This Row],[售价]]&lt;10000,"高价商品","超高价商品")))</f>
        <v>中价商品</v>
      </c>
    </row>
    <row r="3620" spans="1:14" x14ac:dyDescent="0.2">
      <c r="A3620">
        <v>408</v>
      </c>
      <c r="B3620">
        <v>25</v>
      </c>
      <c r="C3620" t="s">
        <v>14</v>
      </c>
      <c r="D3620" t="s">
        <v>190</v>
      </c>
      <c r="E3620" t="s">
        <v>12</v>
      </c>
      <c r="F3620">
        <v>2</v>
      </c>
      <c r="G3620" t="s">
        <v>13</v>
      </c>
      <c r="H3620" s="1">
        <v>45997.414583333331</v>
      </c>
      <c r="I3620" s="5">
        <f>INT(TB[[#This Row],[时间戳]])</f>
        <v>45997</v>
      </c>
      <c r="J3620" s="2">
        <f>HOUR(TB[[#This Row],[时间戳]])</f>
        <v>9</v>
      </c>
      <c r="K3620">
        <v>5633</v>
      </c>
      <c r="L3620">
        <v>4</v>
      </c>
      <c r="M3620">
        <f>TB[[#This Row],[售价]]*TB[[#This Row],[销量]]</f>
        <v>22532</v>
      </c>
      <c r="N3620" t="str">
        <f>IF(TB[[#This Row],[售价]]&lt;1000,"低价商品",IF(TB[[#This Row],[售价]]&lt;5000,"中价商品",IF(TB[[#This Row],[售价]]&lt;10000,"高价商品","超高价商品")))</f>
        <v>高价商品</v>
      </c>
    </row>
    <row r="3621" spans="1:14" x14ac:dyDescent="0.2">
      <c r="A3621">
        <v>213</v>
      </c>
      <c r="B3621">
        <v>81</v>
      </c>
      <c r="C3621" t="s">
        <v>26</v>
      </c>
      <c r="D3621" t="s">
        <v>131</v>
      </c>
      <c r="E3621" t="s">
        <v>22</v>
      </c>
      <c r="F3621">
        <v>1</v>
      </c>
      <c r="G3621" t="s">
        <v>13</v>
      </c>
      <c r="H3621" s="1">
        <v>45997.418055555558</v>
      </c>
      <c r="I3621" s="5">
        <f>INT(TB[[#This Row],[时间戳]])</f>
        <v>45997</v>
      </c>
      <c r="J3621" s="2">
        <f>HOUR(TB[[#This Row],[时间戳]])</f>
        <v>10</v>
      </c>
      <c r="K3621">
        <v>6064</v>
      </c>
      <c r="L3621">
        <v>3</v>
      </c>
      <c r="M3621">
        <f>TB[[#This Row],[售价]]*TB[[#This Row],[销量]]</f>
        <v>18192</v>
      </c>
      <c r="N3621" t="str">
        <f>IF(TB[[#This Row],[售价]]&lt;1000,"低价商品",IF(TB[[#This Row],[售价]]&lt;5000,"中价商品",IF(TB[[#This Row],[售价]]&lt;10000,"高价商品","超高价商品")))</f>
        <v>高价商品</v>
      </c>
    </row>
    <row r="3622" spans="1:14" x14ac:dyDescent="0.2">
      <c r="A3622">
        <v>478</v>
      </c>
      <c r="B3622">
        <v>72</v>
      </c>
      <c r="C3622" t="s">
        <v>44</v>
      </c>
      <c r="D3622" t="s">
        <v>66</v>
      </c>
      <c r="E3622" t="s">
        <v>22</v>
      </c>
      <c r="F3622">
        <v>1</v>
      </c>
      <c r="G3622" t="s">
        <v>13</v>
      </c>
      <c r="H3622" s="1">
        <v>45997.438888888886</v>
      </c>
      <c r="I3622" s="5">
        <f>INT(TB[[#This Row],[时间戳]])</f>
        <v>45997</v>
      </c>
      <c r="J3622" s="2">
        <f>HOUR(TB[[#This Row],[时间戳]])</f>
        <v>10</v>
      </c>
      <c r="K3622">
        <v>2118</v>
      </c>
      <c r="L3622">
        <v>1</v>
      </c>
      <c r="M3622">
        <f>TB[[#This Row],[售价]]*TB[[#This Row],[销量]]</f>
        <v>2118</v>
      </c>
      <c r="N3622" t="str">
        <f>IF(TB[[#This Row],[售价]]&lt;1000,"低价商品",IF(TB[[#This Row],[售价]]&lt;5000,"中价商品",IF(TB[[#This Row],[售价]]&lt;10000,"高价商品","超高价商品")))</f>
        <v>中价商品</v>
      </c>
    </row>
    <row r="3623" spans="1:14" x14ac:dyDescent="0.2">
      <c r="A3623">
        <v>119</v>
      </c>
      <c r="B3623">
        <v>58</v>
      </c>
      <c r="C3623" t="s">
        <v>46</v>
      </c>
      <c r="D3623" t="s">
        <v>401</v>
      </c>
      <c r="E3623" t="s">
        <v>39</v>
      </c>
      <c r="F3623">
        <v>5</v>
      </c>
      <c r="G3623" t="s">
        <v>13</v>
      </c>
      <c r="H3623" s="1">
        <v>45997.443055555559</v>
      </c>
      <c r="I3623" s="5">
        <f>INT(TB[[#This Row],[时间戳]])</f>
        <v>45997</v>
      </c>
      <c r="J3623" s="2">
        <f>HOUR(TB[[#This Row],[时间戳]])</f>
        <v>10</v>
      </c>
      <c r="K3623">
        <v>877</v>
      </c>
      <c r="L3623">
        <v>3</v>
      </c>
      <c r="M3623">
        <f>TB[[#This Row],[售价]]*TB[[#This Row],[销量]]</f>
        <v>2631</v>
      </c>
      <c r="N3623" t="str">
        <f>IF(TB[[#This Row],[售价]]&lt;1000,"低价商品",IF(TB[[#This Row],[售价]]&lt;5000,"中价商品",IF(TB[[#This Row],[售价]]&lt;10000,"高价商品","超高价商品")))</f>
        <v>低价商品</v>
      </c>
    </row>
    <row r="3624" spans="1:14" x14ac:dyDescent="0.2">
      <c r="A3624">
        <v>186</v>
      </c>
      <c r="B3624">
        <v>22</v>
      </c>
      <c r="C3624" t="s">
        <v>14</v>
      </c>
      <c r="D3624" t="s">
        <v>49</v>
      </c>
      <c r="E3624" t="s">
        <v>22</v>
      </c>
      <c r="F3624">
        <v>1</v>
      </c>
      <c r="G3624" t="s">
        <v>13</v>
      </c>
      <c r="H3624" s="1">
        <v>45997.447916666664</v>
      </c>
      <c r="I3624" s="5">
        <f>INT(TB[[#This Row],[时间戳]])</f>
        <v>45997</v>
      </c>
      <c r="J3624" s="2">
        <f>HOUR(TB[[#This Row],[时间戳]])</f>
        <v>10</v>
      </c>
      <c r="K3624">
        <v>4140</v>
      </c>
      <c r="L3624">
        <v>2</v>
      </c>
      <c r="M3624">
        <f>TB[[#This Row],[售价]]*TB[[#This Row],[销量]]</f>
        <v>8280</v>
      </c>
      <c r="N3624" t="str">
        <f>IF(TB[[#This Row],[售价]]&lt;1000,"低价商品",IF(TB[[#This Row],[售价]]&lt;5000,"中价商品",IF(TB[[#This Row],[售价]]&lt;10000,"高价商品","超高价商品")))</f>
        <v>中价商品</v>
      </c>
    </row>
    <row r="3625" spans="1:14" x14ac:dyDescent="0.2">
      <c r="A3625">
        <v>140</v>
      </c>
      <c r="B3625">
        <v>176</v>
      </c>
      <c r="C3625" t="s">
        <v>10</v>
      </c>
      <c r="D3625" t="s">
        <v>183</v>
      </c>
      <c r="E3625" t="s">
        <v>22</v>
      </c>
      <c r="F3625">
        <v>1</v>
      </c>
      <c r="G3625" t="s">
        <v>13</v>
      </c>
      <c r="H3625" s="1">
        <v>45997.486111111109</v>
      </c>
      <c r="I3625" s="5">
        <f>INT(TB[[#This Row],[时间戳]])</f>
        <v>45997</v>
      </c>
      <c r="J3625" s="2">
        <f>HOUR(TB[[#This Row],[时间戳]])</f>
        <v>11</v>
      </c>
      <c r="K3625">
        <v>2106</v>
      </c>
      <c r="L3625">
        <v>1</v>
      </c>
      <c r="M3625">
        <f>TB[[#This Row],[售价]]*TB[[#This Row],[销量]]</f>
        <v>2106</v>
      </c>
      <c r="N3625" t="str">
        <f>IF(TB[[#This Row],[售价]]&lt;1000,"低价商品",IF(TB[[#This Row],[售价]]&lt;5000,"中价商品",IF(TB[[#This Row],[售价]]&lt;10000,"高价商品","超高价商品")))</f>
        <v>中价商品</v>
      </c>
    </row>
    <row r="3626" spans="1:14" x14ac:dyDescent="0.2">
      <c r="A3626">
        <v>255</v>
      </c>
      <c r="B3626">
        <v>102</v>
      </c>
      <c r="C3626" t="s">
        <v>20</v>
      </c>
      <c r="D3626" t="s">
        <v>261</v>
      </c>
      <c r="E3626" t="s">
        <v>22</v>
      </c>
      <c r="F3626">
        <v>1</v>
      </c>
      <c r="G3626" t="s">
        <v>13</v>
      </c>
      <c r="H3626" s="1">
        <v>45997.491666666669</v>
      </c>
      <c r="I3626" s="5">
        <f>INT(TB[[#This Row],[时间戳]])</f>
        <v>45997</v>
      </c>
      <c r="J3626" s="2">
        <f>HOUR(TB[[#This Row],[时间戳]])</f>
        <v>11</v>
      </c>
      <c r="K3626">
        <v>6600</v>
      </c>
      <c r="L3626">
        <v>2</v>
      </c>
      <c r="M3626">
        <f>TB[[#This Row],[售价]]*TB[[#This Row],[销量]]</f>
        <v>13200</v>
      </c>
      <c r="N3626" t="str">
        <f>IF(TB[[#This Row],[售价]]&lt;1000,"低价商品",IF(TB[[#This Row],[售价]]&lt;5000,"中价商品",IF(TB[[#This Row],[售价]]&lt;10000,"高价商品","超高价商品")))</f>
        <v>高价商品</v>
      </c>
    </row>
    <row r="3627" spans="1:14" x14ac:dyDescent="0.2">
      <c r="A3627">
        <v>301</v>
      </c>
      <c r="B3627">
        <v>293</v>
      </c>
      <c r="C3627" t="s">
        <v>32</v>
      </c>
      <c r="D3627" t="s">
        <v>286</v>
      </c>
      <c r="E3627" t="s">
        <v>22</v>
      </c>
      <c r="F3627">
        <v>1</v>
      </c>
      <c r="G3627" t="s">
        <v>42</v>
      </c>
      <c r="H3627" s="1">
        <v>45997.49722222222</v>
      </c>
      <c r="I3627" s="5">
        <f>INT(TB[[#This Row],[时间戳]])</f>
        <v>45997</v>
      </c>
      <c r="J3627" s="2">
        <f>HOUR(TB[[#This Row],[时间戳]])</f>
        <v>11</v>
      </c>
      <c r="K3627">
        <v>6285</v>
      </c>
      <c r="L3627">
        <v>0</v>
      </c>
      <c r="M3627">
        <f>TB[[#This Row],[售价]]*TB[[#This Row],[销量]]</f>
        <v>0</v>
      </c>
      <c r="N3627" t="str">
        <f>IF(TB[[#This Row],[售价]]&lt;1000,"低价商品",IF(TB[[#This Row],[售价]]&lt;5000,"中价商品",IF(TB[[#This Row],[售价]]&lt;10000,"高价商品","超高价商品")))</f>
        <v>高价商品</v>
      </c>
    </row>
    <row r="3628" spans="1:14" x14ac:dyDescent="0.2">
      <c r="A3628">
        <v>214</v>
      </c>
      <c r="B3628">
        <v>275</v>
      </c>
      <c r="C3628" t="s">
        <v>17</v>
      </c>
      <c r="D3628" t="s">
        <v>133</v>
      </c>
      <c r="E3628" t="s">
        <v>31</v>
      </c>
      <c r="F3628">
        <v>4</v>
      </c>
      <c r="G3628" t="s">
        <v>42</v>
      </c>
      <c r="H3628" s="1">
        <v>45997.49722222222</v>
      </c>
      <c r="I3628" s="5">
        <f>INT(TB[[#This Row],[时间戳]])</f>
        <v>45997</v>
      </c>
      <c r="J3628" s="2">
        <f>HOUR(TB[[#This Row],[时间戳]])</f>
        <v>11</v>
      </c>
      <c r="K3628">
        <v>464</v>
      </c>
      <c r="L3628">
        <v>0</v>
      </c>
      <c r="M3628">
        <f>TB[[#This Row],[售价]]*TB[[#This Row],[销量]]</f>
        <v>0</v>
      </c>
      <c r="N3628" t="str">
        <f>IF(TB[[#This Row],[售价]]&lt;1000,"低价商品",IF(TB[[#This Row],[售价]]&lt;5000,"中价商品",IF(TB[[#This Row],[售价]]&lt;10000,"高价商品","超高价商品")))</f>
        <v>低价商品</v>
      </c>
    </row>
    <row r="3629" spans="1:14" x14ac:dyDescent="0.2">
      <c r="A3629">
        <v>667</v>
      </c>
      <c r="B3629">
        <v>155</v>
      </c>
      <c r="C3629" t="s">
        <v>26</v>
      </c>
      <c r="D3629" t="s">
        <v>171</v>
      </c>
      <c r="E3629" t="s">
        <v>12</v>
      </c>
      <c r="F3629">
        <v>2</v>
      </c>
      <c r="G3629" t="s">
        <v>13</v>
      </c>
      <c r="H3629" s="1">
        <v>45997.534722222219</v>
      </c>
      <c r="I3629" s="5">
        <f>INT(TB[[#This Row],[时间戳]])</f>
        <v>45997</v>
      </c>
      <c r="J3629" s="2">
        <f>HOUR(TB[[#This Row],[时间戳]])</f>
        <v>12</v>
      </c>
      <c r="K3629">
        <v>4357</v>
      </c>
      <c r="L3629">
        <v>1</v>
      </c>
      <c r="M3629">
        <f>TB[[#This Row],[售价]]*TB[[#This Row],[销量]]</f>
        <v>4357</v>
      </c>
      <c r="N3629" t="str">
        <f>IF(TB[[#This Row],[售价]]&lt;1000,"低价商品",IF(TB[[#This Row],[售价]]&lt;5000,"中价商品",IF(TB[[#This Row],[售价]]&lt;10000,"高价商品","超高价商品")))</f>
        <v>中价商品</v>
      </c>
    </row>
    <row r="3630" spans="1:14" x14ac:dyDescent="0.2">
      <c r="A3630">
        <v>181</v>
      </c>
      <c r="B3630">
        <v>52</v>
      </c>
      <c r="C3630" t="s">
        <v>26</v>
      </c>
      <c r="D3630" t="s">
        <v>306</v>
      </c>
      <c r="E3630" t="s">
        <v>31</v>
      </c>
      <c r="F3630">
        <v>4</v>
      </c>
      <c r="G3630" t="s">
        <v>13</v>
      </c>
      <c r="H3630" s="1">
        <v>45997.563888888886</v>
      </c>
      <c r="I3630" s="5">
        <f>INT(TB[[#This Row],[时间戳]])</f>
        <v>45997</v>
      </c>
      <c r="J3630" s="2">
        <f>HOUR(TB[[#This Row],[时间戳]])</f>
        <v>13</v>
      </c>
      <c r="K3630">
        <v>969</v>
      </c>
      <c r="L3630">
        <v>1</v>
      </c>
      <c r="M3630">
        <f>TB[[#This Row],[售价]]*TB[[#This Row],[销量]]</f>
        <v>969</v>
      </c>
      <c r="N3630" t="str">
        <f>IF(TB[[#This Row],[售价]]&lt;1000,"低价商品",IF(TB[[#This Row],[售价]]&lt;5000,"中价商品",IF(TB[[#This Row],[售价]]&lt;10000,"高价商品","超高价商品")))</f>
        <v>低价商品</v>
      </c>
    </row>
    <row r="3631" spans="1:14" x14ac:dyDescent="0.2">
      <c r="A3631">
        <v>700</v>
      </c>
      <c r="B3631">
        <v>203</v>
      </c>
      <c r="C3631" t="s">
        <v>10</v>
      </c>
      <c r="D3631" t="s">
        <v>363</v>
      </c>
      <c r="E3631" t="s">
        <v>25</v>
      </c>
      <c r="F3631">
        <v>7</v>
      </c>
      <c r="G3631" t="s">
        <v>13</v>
      </c>
      <c r="H3631" s="1">
        <v>45997.581944444442</v>
      </c>
      <c r="I3631" s="5">
        <f>INT(TB[[#This Row],[时间戳]])</f>
        <v>45997</v>
      </c>
      <c r="J3631" s="2">
        <f>HOUR(TB[[#This Row],[时间戳]])</f>
        <v>13</v>
      </c>
      <c r="K3631">
        <v>2183</v>
      </c>
      <c r="L3631">
        <v>3</v>
      </c>
      <c r="M3631">
        <f>TB[[#This Row],[售价]]*TB[[#This Row],[销量]]</f>
        <v>6549</v>
      </c>
      <c r="N3631" t="str">
        <f>IF(TB[[#This Row],[售价]]&lt;1000,"低价商品",IF(TB[[#This Row],[售价]]&lt;5000,"中价商品",IF(TB[[#This Row],[售价]]&lt;10000,"高价商品","超高价商品")))</f>
        <v>中价商品</v>
      </c>
    </row>
    <row r="3632" spans="1:14" x14ac:dyDescent="0.2">
      <c r="A3632">
        <v>591</v>
      </c>
      <c r="B3632">
        <v>168</v>
      </c>
      <c r="C3632" t="s">
        <v>34</v>
      </c>
      <c r="D3632" t="s">
        <v>108</v>
      </c>
      <c r="E3632" t="s">
        <v>19</v>
      </c>
      <c r="F3632">
        <v>3</v>
      </c>
      <c r="G3632" t="s">
        <v>13</v>
      </c>
      <c r="H3632" s="1">
        <v>45997.606944444444</v>
      </c>
      <c r="I3632" s="5">
        <f>INT(TB[[#This Row],[时间戳]])</f>
        <v>45997</v>
      </c>
      <c r="J3632" s="2">
        <f>HOUR(TB[[#This Row],[时间戳]])</f>
        <v>14</v>
      </c>
      <c r="K3632">
        <v>5670</v>
      </c>
      <c r="L3632">
        <v>3</v>
      </c>
      <c r="M3632">
        <f>TB[[#This Row],[售价]]*TB[[#This Row],[销量]]</f>
        <v>17010</v>
      </c>
      <c r="N3632" t="str">
        <f>IF(TB[[#This Row],[售价]]&lt;1000,"低价商品",IF(TB[[#This Row],[售价]]&lt;5000,"中价商品",IF(TB[[#This Row],[售价]]&lt;10000,"高价商品","超高价商品")))</f>
        <v>高价商品</v>
      </c>
    </row>
    <row r="3633" spans="1:14" x14ac:dyDescent="0.2">
      <c r="A3633">
        <v>385</v>
      </c>
      <c r="B3633">
        <v>66</v>
      </c>
      <c r="C3633" t="s">
        <v>46</v>
      </c>
      <c r="D3633" t="s">
        <v>220</v>
      </c>
      <c r="E3633" t="s">
        <v>39</v>
      </c>
      <c r="F3633">
        <v>5</v>
      </c>
      <c r="G3633" t="s">
        <v>13</v>
      </c>
      <c r="H3633" s="1">
        <v>45997.61041666667</v>
      </c>
      <c r="I3633" s="5">
        <f>INT(TB[[#This Row],[时间戳]])</f>
        <v>45997</v>
      </c>
      <c r="J3633" s="2">
        <f>HOUR(TB[[#This Row],[时间戳]])</f>
        <v>14</v>
      </c>
      <c r="K3633">
        <v>1227</v>
      </c>
      <c r="L3633">
        <v>1</v>
      </c>
      <c r="M3633">
        <f>TB[[#This Row],[售价]]*TB[[#This Row],[销量]]</f>
        <v>1227</v>
      </c>
      <c r="N3633" t="str">
        <f>IF(TB[[#This Row],[售价]]&lt;1000,"低价商品",IF(TB[[#This Row],[售价]]&lt;5000,"中价商品",IF(TB[[#This Row],[售价]]&lt;10000,"高价商品","超高价商品")))</f>
        <v>中价商品</v>
      </c>
    </row>
    <row r="3634" spans="1:14" x14ac:dyDescent="0.2">
      <c r="A3634">
        <v>359</v>
      </c>
      <c r="B3634">
        <v>195</v>
      </c>
      <c r="C3634" t="s">
        <v>32</v>
      </c>
      <c r="D3634" t="s">
        <v>107</v>
      </c>
      <c r="E3634" t="s">
        <v>31</v>
      </c>
      <c r="F3634">
        <v>4</v>
      </c>
      <c r="G3634" t="s">
        <v>13</v>
      </c>
      <c r="H3634" s="1">
        <v>45997.621527777781</v>
      </c>
      <c r="I3634" s="5">
        <f>INT(TB[[#This Row],[时间戳]])</f>
        <v>45997</v>
      </c>
      <c r="J3634" s="2">
        <f>HOUR(TB[[#This Row],[时间戳]])</f>
        <v>14</v>
      </c>
      <c r="K3634">
        <v>187</v>
      </c>
      <c r="L3634">
        <v>1</v>
      </c>
      <c r="M3634">
        <f>TB[[#This Row],[售价]]*TB[[#This Row],[销量]]</f>
        <v>187</v>
      </c>
      <c r="N3634" t="str">
        <f>IF(TB[[#This Row],[售价]]&lt;1000,"低价商品",IF(TB[[#This Row],[售价]]&lt;5000,"中价商品",IF(TB[[#This Row],[售价]]&lt;10000,"高价商品","超高价商品")))</f>
        <v>低价商品</v>
      </c>
    </row>
    <row r="3635" spans="1:14" x14ac:dyDescent="0.2">
      <c r="A3635">
        <v>733</v>
      </c>
      <c r="B3635">
        <v>292</v>
      </c>
      <c r="C3635" t="s">
        <v>10</v>
      </c>
      <c r="D3635" t="s">
        <v>41</v>
      </c>
      <c r="E3635" t="s">
        <v>22</v>
      </c>
      <c r="F3635">
        <v>1</v>
      </c>
      <c r="G3635" t="s">
        <v>13</v>
      </c>
      <c r="H3635" s="1">
        <v>45997.629166666666</v>
      </c>
      <c r="I3635" s="5">
        <f>INT(TB[[#This Row],[时间戳]])</f>
        <v>45997</v>
      </c>
      <c r="J3635" s="2">
        <f>HOUR(TB[[#This Row],[时间戳]])</f>
        <v>15</v>
      </c>
      <c r="K3635">
        <v>7711</v>
      </c>
      <c r="L3635">
        <v>2</v>
      </c>
      <c r="M3635">
        <f>TB[[#This Row],[售价]]*TB[[#This Row],[销量]]</f>
        <v>15422</v>
      </c>
      <c r="N3635" t="str">
        <f>IF(TB[[#This Row],[售价]]&lt;1000,"低价商品",IF(TB[[#This Row],[售价]]&lt;5000,"中价商品",IF(TB[[#This Row],[售价]]&lt;10000,"高价商品","超高价商品")))</f>
        <v>高价商品</v>
      </c>
    </row>
    <row r="3636" spans="1:14" x14ac:dyDescent="0.2">
      <c r="A3636">
        <v>598</v>
      </c>
      <c r="B3636">
        <v>255</v>
      </c>
      <c r="C3636" t="s">
        <v>26</v>
      </c>
      <c r="D3636" t="s">
        <v>65</v>
      </c>
      <c r="E3636" t="s">
        <v>22</v>
      </c>
      <c r="F3636">
        <v>1</v>
      </c>
      <c r="G3636" t="s">
        <v>13</v>
      </c>
      <c r="H3636" s="1">
        <v>45997.631249999999</v>
      </c>
      <c r="I3636" s="5">
        <f>INT(TB[[#This Row],[时间戳]])</f>
        <v>45997</v>
      </c>
      <c r="J3636" s="2">
        <f>HOUR(TB[[#This Row],[时间戳]])</f>
        <v>15</v>
      </c>
      <c r="K3636">
        <v>5860</v>
      </c>
      <c r="L3636">
        <v>5</v>
      </c>
      <c r="M3636">
        <f>TB[[#This Row],[售价]]*TB[[#This Row],[销量]]</f>
        <v>29300</v>
      </c>
      <c r="N3636" t="str">
        <f>IF(TB[[#This Row],[售价]]&lt;1000,"低价商品",IF(TB[[#This Row],[售价]]&lt;5000,"中价商品",IF(TB[[#This Row],[售价]]&lt;10000,"高价商品","超高价商品")))</f>
        <v>高价商品</v>
      </c>
    </row>
    <row r="3637" spans="1:14" x14ac:dyDescent="0.2">
      <c r="A3637">
        <v>465</v>
      </c>
      <c r="B3637">
        <v>61</v>
      </c>
      <c r="C3637" t="s">
        <v>14</v>
      </c>
      <c r="D3637" t="s">
        <v>49</v>
      </c>
      <c r="E3637" t="s">
        <v>22</v>
      </c>
      <c r="F3637">
        <v>1</v>
      </c>
      <c r="G3637" t="s">
        <v>13</v>
      </c>
      <c r="H3637" s="1">
        <v>45997.643750000003</v>
      </c>
      <c r="I3637" s="5">
        <f>INT(TB[[#This Row],[时间戳]])</f>
        <v>45997</v>
      </c>
      <c r="J3637" s="2">
        <f>HOUR(TB[[#This Row],[时间戳]])</f>
        <v>15</v>
      </c>
      <c r="K3637">
        <v>7554</v>
      </c>
      <c r="L3637">
        <v>5</v>
      </c>
      <c r="M3637">
        <f>TB[[#This Row],[售价]]*TB[[#This Row],[销量]]</f>
        <v>37770</v>
      </c>
      <c r="N3637" t="str">
        <f>IF(TB[[#This Row],[售价]]&lt;1000,"低价商品",IF(TB[[#This Row],[售价]]&lt;5000,"中价商品",IF(TB[[#This Row],[售价]]&lt;10000,"高价商品","超高价商品")))</f>
        <v>高价商品</v>
      </c>
    </row>
    <row r="3638" spans="1:14" x14ac:dyDescent="0.2">
      <c r="A3638">
        <v>368</v>
      </c>
      <c r="B3638">
        <v>282</v>
      </c>
      <c r="C3638" t="s">
        <v>32</v>
      </c>
      <c r="D3638" t="s">
        <v>176</v>
      </c>
      <c r="E3638" t="s">
        <v>22</v>
      </c>
      <c r="F3638">
        <v>1</v>
      </c>
      <c r="G3638" t="s">
        <v>13</v>
      </c>
      <c r="H3638" s="1">
        <v>45997.69027777778</v>
      </c>
      <c r="I3638" s="5">
        <f>INT(TB[[#This Row],[时间戳]])</f>
        <v>45997</v>
      </c>
      <c r="J3638" s="2">
        <f>HOUR(TB[[#This Row],[时间戳]])</f>
        <v>16</v>
      </c>
      <c r="K3638">
        <v>2103</v>
      </c>
      <c r="L3638">
        <v>1</v>
      </c>
      <c r="M3638">
        <f>TB[[#This Row],[售价]]*TB[[#This Row],[销量]]</f>
        <v>2103</v>
      </c>
      <c r="N3638" t="str">
        <f>IF(TB[[#This Row],[售价]]&lt;1000,"低价商品",IF(TB[[#This Row],[售价]]&lt;5000,"中价商品",IF(TB[[#This Row],[售价]]&lt;10000,"高价商品","超高价商品")))</f>
        <v>中价商品</v>
      </c>
    </row>
    <row r="3639" spans="1:14" x14ac:dyDescent="0.2">
      <c r="A3639">
        <v>315</v>
      </c>
      <c r="B3639">
        <v>67</v>
      </c>
      <c r="C3639" t="s">
        <v>34</v>
      </c>
      <c r="D3639" t="s">
        <v>346</v>
      </c>
      <c r="E3639" t="s">
        <v>22</v>
      </c>
      <c r="F3639">
        <v>1</v>
      </c>
      <c r="G3639" t="s">
        <v>13</v>
      </c>
      <c r="H3639" s="1">
        <v>45997.690972222219</v>
      </c>
      <c r="I3639" s="5">
        <f>INT(TB[[#This Row],[时间戳]])</f>
        <v>45997</v>
      </c>
      <c r="J3639" s="2">
        <f>HOUR(TB[[#This Row],[时间戳]])</f>
        <v>16</v>
      </c>
      <c r="K3639">
        <v>3751</v>
      </c>
      <c r="L3639">
        <v>1</v>
      </c>
      <c r="M3639">
        <f>TB[[#This Row],[售价]]*TB[[#This Row],[销量]]</f>
        <v>3751</v>
      </c>
      <c r="N3639" t="str">
        <f>IF(TB[[#This Row],[售价]]&lt;1000,"低价商品",IF(TB[[#This Row],[售价]]&lt;5000,"中价商品",IF(TB[[#This Row],[售价]]&lt;10000,"高价商品","超高价商品")))</f>
        <v>中价商品</v>
      </c>
    </row>
    <row r="3640" spans="1:14" x14ac:dyDescent="0.2">
      <c r="A3640">
        <v>761</v>
      </c>
      <c r="B3640">
        <v>80</v>
      </c>
      <c r="C3640" t="s">
        <v>36</v>
      </c>
      <c r="D3640" t="s">
        <v>386</v>
      </c>
      <c r="E3640" t="s">
        <v>22</v>
      </c>
      <c r="F3640">
        <v>1</v>
      </c>
      <c r="G3640" t="s">
        <v>13</v>
      </c>
      <c r="H3640" s="1">
        <v>45997.697222222225</v>
      </c>
      <c r="I3640" s="5">
        <f>INT(TB[[#This Row],[时间戳]])</f>
        <v>45997</v>
      </c>
      <c r="J3640" s="2">
        <f>HOUR(TB[[#This Row],[时间戳]])</f>
        <v>16</v>
      </c>
      <c r="K3640">
        <v>2549</v>
      </c>
      <c r="L3640">
        <v>2</v>
      </c>
      <c r="M3640">
        <f>TB[[#This Row],[售价]]*TB[[#This Row],[销量]]</f>
        <v>5098</v>
      </c>
      <c r="N3640" t="str">
        <f>IF(TB[[#This Row],[售价]]&lt;1000,"低价商品",IF(TB[[#This Row],[售价]]&lt;5000,"中价商品",IF(TB[[#This Row],[售价]]&lt;10000,"高价商品","超高价商品")))</f>
        <v>中价商品</v>
      </c>
    </row>
    <row r="3641" spans="1:14" x14ac:dyDescent="0.2">
      <c r="A3641">
        <v>433</v>
      </c>
      <c r="B3641">
        <v>64</v>
      </c>
      <c r="C3641" t="s">
        <v>44</v>
      </c>
      <c r="D3641" t="s">
        <v>140</v>
      </c>
      <c r="E3641" t="s">
        <v>19</v>
      </c>
      <c r="F3641">
        <v>3</v>
      </c>
      <c r="G3641" t="s">
        <v>13</v>
      </c>
      <c r="H3641" s="1">
        <v>45997.701388888891</v>
      </c>
      <c r="I3641" s="5">
        <f>INT(TB[[#This Row],[时间戳]])</f>
        <v>45997</v>
      </c>
      <c r="J3641" s="2">
        <f>HOUR(TB[[#This Row],[时间戳]])</f>
        <v>16</v>
      </c>
      <c r="K3641">
        <v>1582</v>
      </c>
      <c r="L3641">
        <v>2</v>
      </c>
      <c r="M3641">
        <f>TB[[#This Row],[售价]]*TB[[#This Row],[销量]]</f>
        <v>3164</v>
      </c>
      <c r="N3641" t="str">
        <f>IF(TB[[#This Row],[售价]]&lt;1000,"低价商品",IF(TB[[#This Row],[售价]]&lt;5000,"中价商品",IF(TB[[#This Row],[售价]]&lt;10000,"高价商品","超高价商品")))</f>
        <v>中价商品</v>
      </c>
    </row>
    <row r="3642" spans="1:14" x14ac:dyDescent="0.2">
      <c r="A3642">
        <v>237</v>
      </c>
      <c r="B3642">
        <v>286</v>
      </c>
      <c r="C3642" t="s">
        <v>26</v>
      </c>
      <c r="D3642" t="s">
        <v>95</v>
      </c>
      <c r="E3642" t="s">
        <v>22</v>
      </c>
      <c r="F3642">
        <v>1</v>
      </c>
      <c r="G3642" t="s">
        <v>42</v>
      </c>
      <c r="H3642" s="1">
        <v>45997.706250000003</v>
      </c>
      <c r="I3642" s="5">
        <f>INT(TB[[#This Row],[时间戳]])</f>
        <v>45997</v>
      </c>
      <c r="J3642" s="2">
        <f>HOUR(TB[[#This Row],[时间戳]])</f>
        <v>16</v>
      </c>
      <c r="K3642">
        <v>4078</v>
      </c>
      <c r="L3642">
        <v>0</v>
      </c>
      <c r="M3642">
        <f>TB[[#This Row],[售价]]*TB[[#This Row],[销量]]</f>
        <v>0</v>
      </c>
      <c r="N3642" t="str">
        <f>IF(TB[[#This Row],[售价]]&lt;1000,"低价商品",IF(TB[[#This Row],[售价]]&lt;5000,"中价商品",IF(TB[[#This Row],[售价]]&lt;10000,"高价商品","超高价商品")))</f>
        <v>中价商品</v>
      </c>
    </row>
    <row r="3643" spans="1:14" x14ac:dyDescent="0.2">
      <c r="A3643">
        <v>614</v>
      </c>
      <c r="B3643">
        <v>32</v>
      </c>
      <c r="C3643" t="s">
        <v>10</v>
      </c>
      <c r="D3643" t="s">
        <v>116</v>
      </c>
      <c r="E3643" t="s">
        <v>31</v>
      </c>
      <c r="F3643">
        <v>4</v>
      </c>
      <c r="G3643" t="s">
        <v>13</v>
      </c>
      <c r="H3643" s="1">
        <v>45997.750694444447</v>
      </c>
      <c r="I3643" s="5">
        <f>INT(TB[[#This Row],[时间戳]])</f>
        <v>45997</v>
      </c>
      <c r="J3643" s="2">
        <f>HOUR(TB[[#This Row],[时间戳]])</f>
        <v>18</v>
      </c>
      <c r="K3643">
        <v>1005</v>
      </c>
      <c r="L3643">
        <v>1</v>
      </c>
      <c r="M3643">
        <f>TB[[#This Row],[售价]]*TB[[#This Row],[销量]]</f>
        <v>1005</v>
      </c>
      <c r="N3643" t="str">
        <f>IF(TB[[#This Row],[售价]]&lt;1000,"低价商品",IF(TB[[#This Row],[售价]]&lt;5000,"中价商品",IF(TB[[#This Row],[售价]]&lt;10000,"高价商品","超高价商品")))</f>
        <v>中价商品</v>
      </c>
    </row>
    <row r="3644" spans="1:14" x14ac:dyDescent="0.2">
      <c r="A3644">
        <v>437</v>
      </c>
      <c r="B3644">
        <v>12</v>
      </c>
      <c r="C3644" t="s">
        <v>14</v>
      </c>
      <c r="D3644" t="s">
        <v>357</v>
      </c>
      <c r="E3644" t="s">
        <v>16</v>
      </c>
      <c r="F3644">
        <v>6</v>
      </c>
      <c r="G3644" t="s">
        <v>42</v>
      </c>
      <c r="H3644" s="1">
        <v>45997.762499999997</v>
      </c>
      <c r="I3644" s="5">
        <f>INT(TB[[#This Row],[时间戳]])</f>
        <v>45997</v>
      </c>
      <c r="J3644" s="2">
        <f>HOUR(TB[[#This Row],[时间戳]])</f>
        <v>18</v>
      </c>
      <c r="K3644">
        <v>9427</v>
      </c>
      <c r="L3644">
        <v>0</v>
      </c>
      <c r="M3644">
        <f>TB[[#This Row],[售价]]*TB[[#This Row],[销量]]</f>
        <v>0</v>
      </c>
      <c r="N3644" t="str">
        <f>IF(TB[[#This Row],[售价]]&lt;1000,"低价商品",IF(TB[[#This Row],[售价]]&lt;5000,"中价商品",IF(TB[[#This Row],[售价]]&lt;10000,"高价商品","超高价商品")))</f>
        <v>高价商品</v>
      </c>
    </row>
    <row r="3645" spans="1:14" x14ac:dyDescent="0.2">
      <c r="A3645">
        <v>289</v>
      </c>
      <c r="B3645">
        <v>272</v>
      </c>
      <c r="C3645" t="s">
        <v>26</v>
      </c>
      <c r="D3645" t="s">
        <v>182</v>
      </c>
      <c r="E3645" t="s">
        <v>31</v>
      </c>
      <c r="F3645">
        <v>4</v>
      </c>
      <c r="G3645" t="s">
        <v>13</v>
      </c>
      <c r="H3645" s="1">
        <v>45997.773611111108</v>
      </c>
      <c r="I3645" s="5">
        <f>INT(TB[[#This Row],[时间戳]])</f>
        <v>45997</v>
      </c>
      <c r="J3645" s="2">
        <f>HOUR(TB[[#This Row],[时间戳]])</f>
        <v>18</v>
      </c>
      <c r="K3645">
        <v>810</v>
      </c>
      <c r="L3645">
        <v>4</v>
      </c>
      <c r="M3645">
        <f>TB[[#This Row],[售价]]*TB[[#This Row],[销量]]</f>
        <v>3240</v>
      </c>
      <c r="N3645" t="str">
        <f>IF(TB[[#This Row],[售价]]&lt;1000,"低价商品",IF(TB[[#This Row],[售价]]&lt;5000,"中价商品",IF(TB[[#This Row],[售价]]&lt;10000,"高价商品","超高价商品")))</f>
        <v>低价商品</v>
      </c>
    </row>
    <row r="3646" spans="1:14" x14ac:dyDescent="0.2">
      <c r="A3646">
        <v>268</v>
      </c>
      <c r="B3646">
        <v>82</v>
      </c>
      <c r="C3646" t="s">
        <v>34</v>
      </c>
      <c r="D3646" t="s">
        <v>389</v>
      </c>
      <c r="E3646" t="s">
        <v>39</v>
      </c>
      <c r="F3646">
        <v>5</v>
      </c>
      <c r="G3646" t="s">
        <v>13</v>
      </c>
      <c r="H3646" s="1">
        <v>45997.8</v>
      </c>
      <c r="I3646" s="5">
        <f>INT(TB[[#This Row],[时间戳]])</f>
        <v>45997</v>
      </c>
      <c r="J3646" s="2">
        <f>HOUR(TB[[#This Row],[时间戳]])</f>
        <v>19</v>
      </c>
      <c r="K3646">
        <v>3316</v>
      </c>
      <c r="L3646">
        <v>1</v>
      </c>
      <c r="M3646">
        <f>TB[[#This Row],[售价]]*TB[[#This Row],[销量]]</f>
        <v>3316</v>
      </c>
      <c r="N3646" t="str">
        <f>IF(TB[[#This Row],[售价]]&lt;1000,"低价商品",IF(TB[[#This Row],[售价]]&lt;5000,"中价商品",IF(TB[[#This Row],[售价]]&lt;10000,"高价商品","超高价商品")))</f>
        <v>中价商品</v>
      </c>
    </row>
    <row r="3647" spans="1:14" x14ac:dyDescent="0.2">
      <c r="A3647">
        <v>719</v>
      </c>
      <c r="B3647">
        <v>147</v>
      </c>
      <c r="C3647" t="s">
        <v>10</v>
      </c>
      <c r="D3647" t="s">
        <v>116</v>
      </c>
      <c r="E3647" t="s">
        <v>31</v>
      </c>
      <c r="F3647">
        <v>4</v>
      </c>
      <c r="G3647" t="s">
        <v>13</v>
      </c>
      <c r="H3647" s="1">
        <v>45997.803472222222</v>
      </c>
      <c r="I3647" s="5">
        <f>INT(TB[[#This Row],[时间戳]])</f>
        <v>45997</v>
      </c>
      <c r="J3647" s="2">
        <f>HOUR(TB[[#This Row],[时间戳]])</f>
        <v>19</v>
      </c>
      <c r="K3647">
        <v>1500</v>
      </c>
      <c r="L3647">
        <v>3</v>
      </c>
      <c r="M3647">
        <f>TB[[#This Row],[售价]]*TB[[#This Row],[销量]]</f>
        <v>4500</v>
      </c>
      <c r="N3647" t="str">
        <f>IF(TB[[#This Row],[售价]]&lt;1000,"低价商品",IF(TB[[#This Row],[售价]]&lt;5000,"中价商品",IF(TB[[#This Row],[售价]]&lt;10000,"高价商品","超高价商品")))</f>
        <v>中价商品</v>
      </c>
    </row>
    <row r="3648" spans="1:14" x14ac:dyDescent="0.2">
      <c r="A3648">
        <v>18</v>
      </c>
      <c r="B3648">
        <v>186</v>
      </c>
      <c r="C3648" t="s">
        <v>10</v>
      </c>
      <c r="D3648" t="s">
        <v>201</v>
      </c>
      <c r="E3648" t="s">
        <v>31</v>
      </c>
      <c r="F3648">
        <v>4</v>
      </c>
      <c r="G3648" t="s">
        <v>42</v>
      </c>
      <c r="H3648" s="1">
        <v>45997.81527777778</v>
      </c>
      <c r="I3648" s="5">
        <f>INT(TB[[#This Row],[时间戳]])</f>
        <v>45997</v>
      </c>
      <c r="J3648" s="2">
        <f>HOUR(TB[[#This Row],[时间戳]])</f>
        <v>19</v>
      </c>
      <c r="K3648">
        <v>50</v>
      </c>
      <c r="L3648">
        <v>0</v>
      </c>
      <c r="M3648">
        <f>TB[[#This Row],[售价]]*TB[[#This Row],[销量]]</f>
        <v>0</v>
      </c>
      <c r="N3648" t="str">
        <f>IF(TB[[#This Row],[售价]]&lt;1000,"低价商品",IF(TB[[#This Row],[售价]]&lt;5000,"中价商品",IF(TB[[#This Row],[售价]]&lt;10000,"高价商品","超高价商品")))</f>
        <v>低价商品</v>
      </c>
    </row>
    <row r="3649" spans="1:14" x14ac:dyDescent="0.2">
      <c r="A3649">
        <v>463</v>
      </c>
      <c r="B3649">
        <v>189</v>
      </c>
      <c r="C3649" t="s">
        <v>46</v>
      </c>
      <c r="D3649" t="s">
        <v>209</v>
      </c>
      <c r="E3649" t="s">
        <v>22</v>
      </c>
      <c r="F3649">
        <v>1</v>
      </c>
      <c r="G3649" t="s">
        <v>13</v>
      </c>
      <c r="H3649" s="1">
        <v>45997.825694444444</v>
      </c>
      <c r="I3649" s="5">
        <f>INT(TB[[#This Row],[时间戳]])</f>
        <v>45997</v>
      </c>
      <c r="J3649" s="2">
        <f>HOUR(TB[[#This Row],[时间戳]])</f>
        <v>19</v>
      </c>
      <c r="K3649">
        <v>4376</v>
      </c>
      <c r="L3649">
        <v>2</v>
      </c>
      <c r="M3649">
        <f>TB[[#This Row],[售价]]*TB[[#This Row],[销量]]</f>
        <v>8752</v>
      </c>
      <c r="N3649" t="str">
        <f>IF(TB[[#This Row],[售价]]&lt;1000,"低价商品",IF(TB[[#This Row],[售价]]&lt;5000,"中价商品",IF(TB[[#This Row],[售价]]&lt;10000,"高价商品","超高价商品")))</f>
        <v>中价商品</v>
      </c>
    </row>
    <row r="3650" spans="1:14" x14ac:dyDescent="0.2">
      <c r="A3650">
        <v>380</v>
      </c>
      <c r="B3650">
        <v>227</v>
      </c>
      <c r="C3650" t="s">
        <v>46</v>
      </c>
      <c r="D3650" t="s">
        <v>315</v>
      </c>
      <c r="E3650" t="s">
        <v>12</v>
      </c>
      <c r="F3650">
        <v>2</v>
      </c>
      <c r="G3650" t="s">
        <v>13</v>
      </c>
      <c r="H3650" s="1">
        <v>45997.842361111114</v>
      </c>
      <c r="I3650" s="5">
        <f>INT(TB[[#This Row],[时间戳]])</f>
        <v>45997</v>
      </c>
      <c r="J3650" s="2">
        <f>HOUR(TB[[#This Row],[时间戳]])</f>
        <v>20</v>
      </c>
      <c r="K3650">
        <v>10890</v>
      </c>
      <c r="L3650">
        <v>1</v>
      </c>
      <c r="M3650">
        <f>TB[[#This Row],[售价]]*TB[[#This Row],[销量]]</f>
        <v>10890</v>
      </c>
      <c r="N3650" t="str">
        <f>IF(TB[[#This Row],[售价]]&lt;1000,"低价商品",IF(TB[[#This Row],[售价]]&lt;5000,"中价商品",IF(TB[[#This Row],[售价]]&lt;10000,"高价商品","超高价商品")))</f>
        <v>超高价商品</v>
      </c>
    </row>
    <row r="3651" spans="1:14" x14ac:dyDescent="0.2">
      <c r="A3651">
        <v>292</v>
      </c>
      <c r="B3651">
        <v>218</v>
      </c>
      <c r="C3651" t="s">
        <v>34</v>
      </c>
      <c r="D3651" t="s">
        <v>290</v>
      </c>
      <c r="E3651" t="s">
        <v>25</v>
      </c>
      <c r="F3651">
        <v>7</v>
      </c>
      <c r="G3651" t="s">
        <v>13</v>
      </c>
      <c r="H3651" s="1">
        <v>45997.984722222223</v>
      </c>
      <c r="I3651" s="5">
        <f>INT(TB[[#This Row],[时间戳]])</f>
        <v>45997</v>
      </c>
      <c r="J3651" s="2">
        <f>HOUR(TB[[#This Row],[时间戳]])</f>
        <v>23</v>
      </c>
      <c r="K3651">
        <v>6480</v>
      </c>
      <c r="L3651">
        <v>2</v>
      </c>
      <c r="M3651">
        <f>TB[[#This Row],[售价]]*TB[[#This Row],[销量]]</f>
        <v>12960</v>
      </c>
      <c r="N3651" t="str">
        <f>IF(TB[[#This Row],[售价]]&lt;1000,"低价商品",IF(TB[[#This Row],[售价]]&lt;5000,"中价商品",IF(TB[[#This Row],[售价]]&lt;10000,"高价商品","超高价商品")))</f>
        <v>高价商品</v>
      </c>
    </row>
    <row r="3652" spans="1:14" x14ac:dyDescent="0.2">
      <c r="A3652">
        <v>109</v>
      </c>
      <c r="B3652">
        <v>71</v>
      </c>
      <c r="C3652" t="s">
        <v>36</v>
      </c>
      <c r="D3652" t="s">
        <v>265</v>
      </c>
      <c r="E3652" t="s">
        <v>31</v>
      </c>
      <c r="F3652">
        <v>4</v>
      </c>
      <c r="G3652" t="s">
        <v>13</v>
      </c>
      <c r="H3652" s="1">
        <v>45998.011805555558</v>
      </c>
      <c r="I3652" s="5">
        <f>INT(TB[[#This Row],[时间戳]])</f>
        <v>45998</v>
      </c>
      <c r="J3652" s="2">
        <f>HOUR(TB[[#This Row],[时间戳]])</f>
        <v>0</v>
      </c>
      <c r="K3652">
        <v>329</v>
      </c>
      <c r="L3652">
        <v>2</v>
      </c>
      <c r="M3652">
        <f>TB[[#This Row],[售价]]*TB[[#This Row],[销量]]</f>
        <v>658</v>
      </c>
      <c r="N3652" t="str">
        <f>IF(TB[[#This Row],[售价]]&lt;1000,"低价商品",IF(TB[[#This Row],[售价]]&lt;5000,"中价商品",IF(TB[[#This Row],[售价]]&lt;10000,"高价商品","超高价商品")))</f>
        <v>低价商品</v>
      </c>
    </row>
    <row r="3653" spans="1:14" x14ac:dyDescent="0.2">
      <c r="A3653">
        <v>114</v>
      </c>
      <c r="B3653">
        <v>23</v>
      </c>
      <c r="C3653" t="s">
        <v>17</v>
      </c>
      <c r="D3653" t="s">
        <v>28</v>
      </c>
      <c r="E3653" t="s">
        <v>12</v>
      </c>
      <c r="F3653">
        <v>2</v>
      </c>
      <c r="G3653" t="s">
        <v>13</v>
      </c>
      <c r="H3653" s="1">
        <v>45998.020833333336</v>
      </c>
      <c r="I3653" s="5">
        <f>INT(TB[[#This Row],[时间戳]])</f>
        <v>45998</v>
      </c>
      <c r="J3653" s="2">
        <f>HOUR(TB[[#This Row],[时间戳]])</f>
        <v>0</v>
      </c>
      <c r="K3653">
        <v>8150</v>
      </c>
      <c r="L3653">
        <v>3</v>
      </c>
      <c r="M3653">
        <f>TB[[#This Row],[售价]]*TB[[#This Row],[销量]]</f>
        <v>24450</v>
      </c>
      <c r="N3653" t="str">
        <f>IF(TB[[#This Row],[售价]]&lt;1000,"低价商品",IF(TB[[#This Row],[售价]]&lt;5000,"中价商品",IF(TB[[#This Row],[售价]]&lt;10000,"高价商品","超高价商品")))</f>
        <v>高价商品</v>
      </c>
    </row>
    <row r="3654" spans="1:14" x14ac:dyDescent="0.2">
      <c r="A3654">
        <v>126</v>
      </c>
      <c r="B3654">
        <v>20</v>
      </c>
      <c r="C3654" t="s">
        <v>14</v>
      </c>
      <c r="D3654" t="s">
        <v>29</v>
      </c>
      <c r="E3654" t="s">
        <v>22</v>
      </c>
      <c r="F3654">
        <v>1</v>
      </c>
      <c r="G3654" t="s">
        <v>13</v>
      </c>
      <c r="H3654" s="1">
        <v>45998.053472222222</v>
      </c>
      <c r="I3654" s="5">
        <f>INT(TB[[#This Row],[时间戳]])</f>
        <v>45998</v>
      </c>
      <c r="J3654" s="2">
        <f>HOUR(TB[[#This Row],[时间戳]])</f>
        <v>1</v>
      </c>
      <c r="K3654">
        <v>5376</v>
      </c>
      <c r="L3654">
        <v>5</v>
      </c>
      <c r="M3654">
        <f>TB[[#This Row],[售价]]*TB[[#This Row],[销量]]</f>
        <v>26880</v>
      </c>
      <c r="N3654" t="str">
        <f>IF(TB[[#This Row],[售价]]&lt;1000,"低价商品",IF(TB[[#This Row],[售价]]&lt;5000,"中价商品",IF(TB[[#This Row],[售价]]&lt;10000,"高价商品","超高价商品")))</f>
        <v>高价商品</v>
      </c>
    </row>
    <row r="3655" spans="1:14" x14ac:dyDescent="0.2">
      <c r="A3655">
        <v>236</v>
      </c>
      <c r="B3655">
        <v>52</v>
      </c>
      <c r="C3655" t="s">
        <v>17</v>
      </c>
      <c r="D3655" t="s">
        <v>292</v>
      </c>
      <c r="E3655" t="s">
        <v>25</v>
      </c>
      <c r="F3655">
        <v>7</v>
      </c>
      <c r="G3655" t="s">
        <v>13</v>
      </c>
      <c r="H3655" s="1">
        <v>45998.056944444441</v>
      </c>
      <c r="I3655" s="5">
        <f>INT(TB[[#This Row],[时间戳]])</f>
        <v>45998</v>
      </c>
      <c r="J3655" s="2">
        <f>HOUR(TB[[#This Row],[时间戳]])</f>
        <v>1</v>
      </c>
      <c r="K3655">
        <v>3010</v>
      </c>
      <c r="L3655">
        <v>1</v>
      </c>
      <c r="M3655">
        <f>TB[[#This Row],[售价]]*TB[[#This Row],[销量]]</f>
        <v>3010</v>
      </c>
      <c r="N3655" t="str">
        <f>IF(TB[[#This Row],[售价]]&lt;1000,"低价商品",IF(TB[[#This Row],[售价]]&lt;5000,"中价商品",IF(TB[[#This Row],[售价]]&lt;10000,"高价商品","超高价商品")))</f>
        <v>中价商品</v>
      </c>
    </row>
    <row r="3656" spans="1:14" x14ac:dyDescent="0.2">
      <c r="A3656">
        <v>501</v>
      </c>
      <c r="B3656">
        <v>83</v>
      </c>
      <c r="C3656" t="s">
        <v>36</v>
      </c>
      <c r="D3656" t="s">
        <v>37</v>
      </c>
      <c r="E3656" t="s">
        <v>31</v>
      </c>
      <c r="F3656">
        <v>4</v>
      </c>
      <c r="G3656" t="s">
        <v>13</v>
      </c>
      <c r="H3656" s="1">
        <v>45998.056944444441</v>
      </c>
      <c r="I3656" s="5">
        <f>INT(TB[[#This Row],[时间戳]])</f>
        <v>45998</v>
      </c>
      <c r="J3656" s="2">
        <f>HOUR(TB[[#This Row],[时间戳]])</f>
        <v>1</v>
      </c>
      <c r="K3656">
        <v>974</v>
      </c>
      <c r="L3656">
        <v>2</v>
      </c>
      <c r="M3656">
        <f>TB[[#This Row],[售价]]*TB[[#This Row],[销量]]</f>
        <v>1948</v>
      </c>
      <c r="N3656" t="str">
        <f>IF(TB[[#This Row],[售价]]&lt;1000,"低价商品",IF(TB[[#This Row],[售价]]&lt;5000,"中价商品",IF(TB[[#This Row],[售价]]&lt;10000,"高价商品","超高价商品")))</f>
        <v>低价商品</v>
      </c>
    </row>
    <row r="3657" spans="1:14" x14ac:dyDescent="0.2">
      <c r="A3657">
        <v>14</v>
      </c>
      <c r="B3657">
        <v>265</v>
      </c>
      <c r="C3657" t="s">
        <v>10</v>
      </c>
      <c r="D3657" t="s">
        <v>294</v>
      </c>
      <c r="E3657" t="s">
        <v>31</v>
      </c>
      <c r="F3657">
        <v>4</v>
      </c>
      <c r="G3657" t="s">
        <v>13</v>
      </c>
      <c r="H3657" s="1">
        <v>45998.061805555553</v>
      </c>
      <c r="I3657" s="5">
        <f>INT(TB[[#This Row],[时间戳]])</f>
        <v>45998</v>
      </c>
      <c r="J3657" s="2">
        <f>HOUR(TB[[#This Row],[时间戳]])</f>
        <v>1</v>
      </c>
      <c r="K3657">
        <v>981</v>
      </c>
      <c r="L3657">
        <v>1</v>
      </c>
      <c r="M3657">
        <f>TB[[#This Row],[售价]]*TB[[#This Row],[销量]]</f>
        <v>981</v>
      </c>
      <c r="N3657" t="str">
        <f>IF(TB[[#This Row],[售价]]&lt;1000,"低价商品",IF(TB[[#This Row],[售价]]&lt;5000,"中价商品",IF(TB[[#This Row],[售价]]&lt;10000,"高价商品","超高价商品")))</f>
        <v>低价商品</v>
      </c>
    </row>
    <row r="3658" spans="1:14" x14ac:dyDescent="0.2">
      <c r="A3658">
        <v>110</v>
      </c>
      <c r="B3658">
        <v>76</v>
      </c>
      <c r="C3658" t="s">
        <v>34</v>
      </c>
      <c r="D3658" t="s">
        <v>253</v>
      </c>
      <c r="E3658" t="s">
        <v>25</v>
      </c>
      <c r="F3658">
        <v>7</v>
      </c>
      <c r="G3658" t="s">
        <v>42</v>
      </c>
      <c r="H3658" s="1">
        <v>45998.069444444445</v>
      </c>
      <c r="I3658" s="5">
        <f>INT(TB[[#This Row],[时间戳]])</f>
        <v>45998</v>
      </c>
      <c r="J3658" s="2">
        <f>HOUR(TB[[#This Row],[时间戳]])</f>
        <v>1</v>
      </c>
      <c r="K3658">
        <v>2470</v>
      </c>
      <c r="L3658">
        <v>0</v>
      </c>
      <c r="M3658">
        <f>TB[[#This Row],[售价]]*TB[[#This Row],[销量]]</f>
        <v>0</v>
      </c>
      <c r="N3658" t="str">
        <f>IF(TB[[#This Row],[售价]]&lt;1000,"低价商品",IF(TB[[#This Row],[售价]]&lt;5000,"中价商品",IF(TB[[#This Row],[售价]]&lt;10000,"高价商品","超高价商品")))</f>
        <v>中价商品</v>
      </c>
    </row>
    <row r="3659" spans="1:14" x14ac:dyDescent="0.2">
      <c r="A3659">
        <v>722</v>
      </c>
      <c r="B3659">
        <v>32</v>
      </c>
      <c r="C3659" t="s">
        <v>14</v>
      </c>
      <c r="D3659" t="s">
        <v>305</v>
      </c>
      <c r="E3659" t="s">
        <v>25</v>
      </c>
      <c r="F3659">
        <v>7</v>
      </c>
      <c r="G3659" t="s">
        <v>13</v>
      </c>
      <c r="H3659" s="1">
        <v>45998.082638888889</v>
      </c>
      <c r="I3659" s="5">
        <f>INT(TB[[#This Row],[时间戳]])</f>
        <v>45998</v>
      </c>
      <c r="J3659" s="2">
        <f>HOUR(TB[[#This Row],[时间戳]])</f>
        <v>1</v>
      </c>
      <c r="K3659">
        <v>6170</v>
      </c>
      <c r="L3659">
        <v>3</v>
      </c>
      <c r="M3659">
        <f>TB[[#This Row],[售价]]*TB[[#This Row],[销量]]</f>
        <v>18510</v>
      </c>
      <c r="N3659" t="str">
        <f>IF(TB[[#This Row],[售价]]&lt;1000,"低价商品",IF(TB[[#This Row],[售价]]&lt;5000,"中价商品",IF(TB[[#This Row],[售价]]&lt;10000,"高价商品","超高价商品")))</f>
        <v>高价商品</v>
      </c>
    </row>
    <row r="3660" spans="1:14" x14ac:dyDescent="0.2">
      <c r="A3660">
        <v>44</v>
      </c>
      <c r="B3660">
        <v>210</v>
      </c>
      <c r="C3660" t="s">
        <v>32</v>
      </c>
      <c r="D3660" t="s">
        <v>212</v>
      </c>
      <c r="E3660" t="s">
        <v>22</v>
      </c>
      <c r="F3660">
        <v>1</v>
      </c>
      <c r="G3660" t="s">
        <v>13</v>
      </c>
      <c r="H3660" s="1">
        <v>45998.1</v>
      </c>
      <c r="I3660" s="5">
        <f>INT(TB[[#This Row],[时间戳]])</f>
        <v>45998</v>
      </c>
      <c r="J3660" s="2">
        <f>HOUR(TB[[#This Row],[时间戳]])</f>
        <v>2</v>
      </c>
      <c r="K3660">
        <v>4639</v>
      </c>
      <c r="L3660">
        <v>2</v>
      </c>
      <c r="M3660">
        <f>TB[[#This Row],[售价]]*TB[[#This Row],[销量]]</f>
        <v>9278</v>
      </c>
      <c r="N3660" t="str">
        <f>IF(TB[[#This Row],[售价]]&lt;1000,"低价商品",IF(TB[[#This Row],[售价]]&lt;5000,"中价商品",IF(TB[[#This Row],[售价]]&lt;10000,"高价商品","超高价商品")))</f>
        <v>中价商品</v>
      </c>
    </row>
    <row r="3661" spans="1:14" x14ac:dyDescent="0.2">
      <c r="A3661">
        <v>474</v>
      </c>
      <c r="B3661">
        <v>118</v>
      </c>
      <c r="C3661" t="s">
        <v>32</v>
      </c>
      <c r="D3661" t="s">
        <v>71</v>
      </c>
      <c r="E3661" t="s">
        <v>25</v>
      </c>
      <c r="F3661">
        <v>7</v>
      </c>
      <c r="G3661" t="s">
        <v>13</v>
      </c>
      <c r="H3661" s="1">
        <v>45998.144444444442</v>
      </c>
      <c r="I3661" s="5">
        <f>INT(TB[[#This Row],[时间戳]])</f>
        <v>45998</v>
      </c>
      <c r="J3661" s="2">
        <f>HOUR(TB[[#This Row],[时间戳]])</f>
        <v>3</v>
      </c>
      <c r="K3661">
        <v>5062</v>
      </c>
      <c r="L3661">
        <v>2</v>
      </c>
      <c r="M3661">
        <f>TB[[#This Row],[售价]]*TB[[#This Row],[销量]]</f>
        <v>10124</v>
      </c>
      <c r="N3661" t="str">
        <f>IF(TB[[#This Row],[售价]]&lt;1000,"低价商品",IF(TB[[#This Row],[售价]]&lt;5000,"中价商品",IF(TB[[#This Row],[售价]]&lt;10000,"高价商品","超高价商品")))</f>
        <v>高价商品</v>
      </c>
    </row>
    <row r="3662" spans="1:14" x14ac:dyDescent="0.2">
      <c r="A3662">
        <v>370</v>
      </c>
      <c r="B3662">
        <v>272</v>
      </c>
      <c r="C3662" t="s">
        <v>10</v>
      </c>
      <c r="D3662" t="s">
        <v>241</v>
      </c>
      <c r="E3662" t="s">
        <v>12</v>
      </c>
      <c r="F3662">
        <v>2</v>
      </c>
      <c r="G3662" t="s">
        <v>42</v>
      </c>
      <c r="H3662" s="1">
        <v>45998.157638888886</v>
      </c>
      <c r="I3662" s="5">
        <f>INT(TB[[#This Row],[时间戳]])</f>
        <v>45998</v>
      </c>
      <c r="J3662" s="2">
        <f>HOUR(TB[[#This Row],[时间戳]])</f>
        <v>3</v>
      </c>
      <c r="K3662">
        <v>9281</v>
      </c>
      <c r="L3662">
        <v>0</v>
      </c>
      <c r="M3662">
        <f>TB[[#This Row],[售价]]*TB[[#This Row],[销量]]</f>
        <v>0</v>
      </c>
      <c r="N3662" t="str">
        <f>IF(TB[[#This Row],[售价]]&lt;1000,"低价商品",IF(TB[[#This Row],[售价]]&lt;5000,"中价商品",IF(TB[[#This Row],[售价]]&lt;10000,"高价商品","超高价商品")))</f>
        <v>高价商品</v>
      </c>
    </row>
    <row r="3663" spans="1:14" x14ac:dyDescent="0.2">
      <c r="A3663">
        <v>411</v>
      </c>
      <c r="B3663">
        <v>90</v>
      </c>
      <c r="C3663" t="s">
        <v>36</v>
      </c>
      <c r="D3663" t="s">
        <v>238</v>
      </c>
      <c r="E3663" t="s">
        <v>12</v>
      </c>
      <c r="F3663">
        <v>2</v>
      </c>
      <c r="G3663" t="s">
        <v>13</v>
      </c>
      <c r="H3663" s="1">
        <v>45998.170138888891</v>
      </c>
      <c r="I3663" s="5">
        <f>INT(TB[[#This Row],[时间戳]])</f>
        <v>45998</v>
      </c>
      <c r="J3663" s="2">
        <f>HOUR(TB[[#This Row],[时间戳]])</f>
        <v>4</v>
      </c>
      <c r="K3663">
        <v>8565</v>
      </c>
      <c r="L3663">
        <v>1</v>
      </c>
      <c r="M3663">
        <f>TB[[#This Row],[售价]]*TB[[#This Row],[销量]]</f>
        <v>8565</v>
      </c>
      <c r="N3663" t="str">
        <f>IF(TB[[#This Row],[售价]]&lt;1000,"低价商品",IF(TB[[#This Row],[售价]]&lt;5000,"中价商品",IF(TB[[#This Row],[售价]]&lt;10000,"高价商品","超高价商品")))</f>
        <v>高价商品</v>
      </c>
    </row>
    <row r="3664" spans="1:14" x14ac:dyDescent="0.2">
      <c r="A3664">
        <v>18</v>
      </c>
      <c r="B3664">
        <v>290</v>
      </c>
      <c r="C3664" t="s">
        <v>32</v>
      </c>
      <c r="D3664" t="s">
        <v>286</v>
      </c>
      <c r="E3664" t="s">
        <v>22</v>
      </c>
      <c r="F3664">
        <v>1</v>
      </c>
      <c r="G3664" t="s">
        <v>13</v>
      </c>
      <c r="H3664" s="1">
        <v>45998.17083333333</v>
      </c>
      <c r="I3664" s="5">
        <f>INT(TB[[#This Row],[时间戳]])</f>
        <v>45998</v>
      </c>
      <c r="J3664" s="2">
        <f>HOUR(TB[[#This Row],[时间戳]])</f>
        <v>4</v>
      </c>
      <c r="K3664">
        <v>2095</v>
      </c>
      <c r="L3664">
        <v>2</v>
      </c>
      <c r="M3664">
        <f>TB[[#This Row],[售价]]*TB[[#This Row],[销量]]</f>
        <v>4190</v>
      </c>
      <c r="N3664" t="str">
        <f>IF(TB[[#This Row],[售价]]&lt;1000,"低价商品",IF(TB[[#This Row],[售价]]&lt;5000,"中价商品",IF(TB[[#This Row],[售价]]&lt;10000,"高价商品","超高价商品")))</f>
        <v>中价商品</v>
      </c>
    </row>
    <row r="3665" spans="1:14" x14ac:dyDescent="0.2">
      <c r="A3665">
        <v>541</v>
      </c>
      <c r="B3665">
        <v>182</v>
      </c>
      <c r="C3665" t="s">
        <v>34</v>
      </c>
      <c r="D3665" t="s">
        <v>125</v>
      </c>
      <c r="E3665" t="s">
        <v>31</v>
      </c>
      <c r="F3665">
        <v>4</v>
      </c>
      <c r="G3665" t="s">
        <v>13</v>
      </c>
      <c r="H3665" s="1">
        <v>45998.171527777777</v>
      </c>
      <c r="I3665" s="5">
        <f>INT(TB[[#This Row],[时间戳]])</f>
        <v>45998</v>
      </c>
      <c r="J3665" s="2">
        <f>HOUR(TB[[#This Row],[时间戳]])</f>
        <v>4</v>
      </c>
      <c r="K3665">
        <v>834</v>
      </c>
      <c r="L3665">
        <v>3</v>
      </c>
      <c r="M3665">
        <f>TB[[#This Row],[售价]]*TB[[#This Row],[销量]]</f>
        <v>2502</v>
      </c>
      <c r="N3665" t="str">
        <f>IF(TB[[#This Row],[售价]]&lt;1000,"低价商品",IF(TB[[#This Row],[售价]]&lt;5000,"中价商品",IF(TB[[#This Row],[售价]]&lt;10000,"高价商品","超高价商品")))</f>
        <v>低价商品</v>
      </c>
    </row>
    <row r="3666" spans="1:14" x14ac:dyDescent="0.2">
      <c r="A3666">
        <v>260</v>
      </c>
      <c r="B3666">
        <v>255</v>
      </c>
      <c r="C3666" t="s">
        <v>17</v>
      </c>
      <c r="D3666" t="s">
        <v>93</v>
      </c>
      <c r="E3666" t="s">
        <v>12</v>
      </c>
      <c r="F3666">
        <v>2</v>
      </c>
      <c r="G3666" t="s">
        <v>13</v>
      </c>
      <c r="H3666" s="1">
        <v>45998.186805555553</v>
      </c>
      <c r="I3666" s="5">
        <f>INT(TB[[#This Row],[时间戳]])</f>
        <v>45998</v>
      </c>
      <c r="J3666" s="2">
        <f>HOUR(TB[[#This Row],[时间戳]])</f>
        <v>4</v>
      </c>
      <c r="K3666">
        <v>11338</v>
      </c>
      <c r="L3666">
        <v>4</v>
      </c>
      <c r="M3666">
        <f>TB[[#This Row],[售价]]*TB[[#This Row],[销量]]</f>
        <v>45352</v>
      </c>
      <c r="N3666" t="str">
        <f>IF(TB[[#This Row],[售价]]&lt;1000,"低价商品",IF(TB[[#This Row],[售价]]&lt;5000,"中价商品",IF(TB[[#This Row],[售价]]&lt;10000,"高价商品","超高价商品")))</f>
        <v>超高价商品</v>
      </c>
    </row>
    <row r="3667" spans="1:14" x14ac:dyDescent="0.2">
      <c r="A3667">
        <v>6</v>
      </c>
      <c r="B3667">
        <v>171</v>
      </c>
      <c r="C3667" t="s">
        <v>14</v>
      </c>
      <c r="D3667" t="s">
        <v>388</v>
      </c>
      <c r="E3667" t="s">
        <v>19</v>
      </c>
      <c r="F3667">
        <v>3</v>
      </c>
      <c r="G3667" t="s">
        <v>13</v>
      </c>
      <c r="H3667" s="1">
        <v>45998.197222222225</v>
      </c>
      <c r="I3667" s="5">
        <f>INT(TB[[#This Row],[时间戳]])</f>
        <v>45998</v>
      </c>
      <c r="J3667" s="2">
        <f>HOUR(TB[[#This Row],[时间戳]])</f>
        <v>4</v>
      </c>
      <c r="K3667">
        <v>1647</v>
      </c>
      <c r="L3667">
        <v>2</v>
      </c>
      <c r="M3667">
        <f>TB[[#This Row],[售价]]*TB[[#This Row],[销量]]</f>
        <v>3294</v>
      </c>
      <c r="N3667" t="str">
        <f>IF(TB[[#This Row],[售价]]&lt;1000,"低价商品",IF(TB[[#This Row],[售价]]&lt;5000,"中价商品",IF(TB[[#This Row],[售价]]&lt;10000,"高价商品","超高价商品")))</f>
        <v>中价商品</v>
      </c>
    </row>
    <row r="3668" spans="1:14" x14ac:dyDescent="0.2">
      <c r="A3668">
        <v>413</v>
      </c>
      <c r="B3668">
        <v>81</v>
      </c>
      <c r="C3668" t="s">
        <v>32</v>
      </c>
      <c r="D3668" t="s">
        <v>212</v>
      </c>
      <c r="E3668" t="s">
        <v>22</v>
      </c>
      <c r="F3668">
        <v>1</v>
      </c>
      <c r="G3668" t="s">
        <v>13</v>
      </c>
      <c r="H3668" s="1">
        <v>45998.230555555558</v>
      </c>
      <c r="I3668" s="5">
        <f>INT(TB[[#This Row],[时间戳]])</f>
        <v>45998</v>
      </c>
      <c r="J3668" s="2">
        <f>HOUR(TB[[#This Row],[时间戳]])</f>
        <v>5</v>
      </c>
      <c r="K3668">
        <v>2772</v>
      </c>
      <c r="L3668">
        <v>3</v>
      </c>
      <c r="M3668">
        <f>TB[[#This Row],[售价]]*TB[[#This Row],[销量]]</f>
        <v>8316</v>
      </c>
      <c r="N3668" t="str">
        <f>IF(TB[[#This Row],[售价]]&lt;1000,"低价商品",IF(TB[[#This Row],[售价]]&lt;5000,"中价商品",IF(TB[[#This Row],[售价]]&lt;10000,"高价商品","超高价商品")))</f>
        <v>中价商品</v>
      </c>
    </row>
    <row r="3669" spans="1:14" x14ac:dyDescent="0.2">
      <c r="A3669">
        <v>448</v>
      </c>
      <c r="B3669">
        <v>77</v>
      </c>
      <c r="C3669" t="s">
        <v>17</v>
      </c>
      <c r="D3669" t="s">
        <v>391</v>
      </c>
      <c r="E3669" t="s">
        <v>25</v>
      </c>
      <c r="F3669">
        <v>7</v>
      </c>
      <c r="G3669" t="s">
        <v>42</v>
      </c>
      <c r="H3669" s="1">
        <v>45998.234027777777</v>
      </c>
      <c r="I3669" s="5">
        <f>INT(TB[[#This Row],[时间戳]])</f>
        <v>45998</v>
      </c>
      <c r="J3669" s="2">
        <f>HOUR(TB[[#This Row],[时间戳]])</f>
        <v>5</v>
      </c>
      <c r="K3669">
        <v>5030</v>
      </c>
      <c r="L3669">
        <v>0</v>
      </c>
      <c r="M3669">
        <f>TB[[#This Row],[售价]]*TB[[#This Row],[销量]]</f>
        <v>0</v>
      </c>
      <c r="N3669" t="str">
        <f>IF(TB[[#This Row],[售价]]&lt;1000,"低价商品",IF(TB[[#This Row],[售价]]&lt;5000,"中价商品",IF(TB[[#This Row],[售价]]&lt;10000,"高价商品","超高价商品")))</f>
        <v>高价商品</v>
      </c>
    </row>
    <row r="3670" spans="1:14" x14ac:dyDescent="0.2">
      <c r="A3670">
        <v>538</v>
      </c>
      <c r="B3670">
        <v>124</v>
      </c>
      <c r="C3670" t="s">
        <v>46</v>
      </c>
      <c r="D3670" t="s">
        <v>359</v>
      </c>
      <c r="E3670" t="s">
        <v>25</v>
      </c>
      <c r="F3670">
        <v>7</v>
      </c>
      <c r="G3670" t="s">
        <v>13</v>
      </c>
      <c r="H3670" s="1">
        <v>45998.234722222223</v>
      </c>
      <c r="I3670" s="5">
        <f>INT(TB[[#This Row],[时间戳]])</f>
        <v>45998</v>
      </c>
      <c r="J3670" s="2">
        <f>HOUR(TB[[#This Row],[时间戳]])</f>
        <v>5</v>
      </c>
      <c r="K3670">
        <v>2126</v>
      </c>
      <c r="L3670">
        <v>3</v>
      </c>
      <c r="M3670">
        <f>TB[[#This Row],[售价]]*TB[[#This Row],[销量]]</f>
        <v>6378</v>
      </c>
      <c r="N3670" t="str">
        <f>IF(TB[[#This Row],[售价]]&lt;1000,"低价商品",IF(TB[[#This Row],[售价]]&lt;5000,"中价商品",IF(TB[[#This Row],[售价]]&lt;10000,"高价商品","超高价商品")))</f>
        <v>中价商品</v>
      </c>
    </row>
    <row r="3671" spans="1:14" x14ac:dyDescent="0.2">
      <c r="A3671">
        <v>33</v>
      </c>
      <c r="B3671">
        <v>30</v>
      </c>
      <c r="C3671" t="s">
        <v>44</v>
      </c>
      <c r="D3671" t="s">
        <v>243</v>
      </c>
      <c r="E3671" t="s">
        <v>31</v>
      </c>
      <c r="F3671">
        <v>4</v>
      </c>
      <c r="G3671" t="s">
        <v>13</v>
      </c>
      <c r="H3671" s="1">
        <v>45998.245138888888</v>
      </c>
      <c r="I3671" s="5">
        <f>INT(TB[[#This Row],[时间戳]])</f>
        <v>45998</v>
      </c>
      <c r="J3671" s="2">
        <f>HOUR(TB[[#This Row],[时间戳]])</f>
        <v>5</v>
      </c>
      <c r="K3671">
        <v>491</v>
      </c>
      <c r="L3671">
        <v>3</v>
      </c>
      <c r="M3671">
        <f>TB[[#This Row],[售价]]*TB[[#This Row],[销量]]</f>
        <v>1473</v>
      </c>
      <c r="N3671" t="str">
        <f>IF(TB[[#This Row],[售价]]&lt;1000,"低价商品",IF(TB[[#This Row],[售价]]&lt;5000,"中价商品",IF(TB[[#This Row],[售价]]&lt;10000,"高价商品","超高价商品")))</f>
        <v>低价商品</v>
      </c>
    </row>
    <row r="3672" spans="1:14" x14ac:dyDescent="0.2">
      <c r="A3672">
        <v>103</v>
      </c>
      <c r="B3672">
        <v>160</v>
      </c>
      <c r="C3672" t="s">
        <v>17</v>
      </c>
      <c r="D3672" t="s">
        <v>137</v>
      </c>
      <c r="E3672" t="s">
        <v>31</v>
      </c>
      <c r="F3672">
        <v>4</v>
      </c>
      <c r="G3672" t="s">
        <v>42</v>
      </c>
      <c r="H3672" s="1">
        <v>45998.250694444447</v>
      </c>
      <c r="I3672" s="5">
        <f>INT(TB[[#This Row],[时间戳]])</f>
        <v>45998</v>
      </c>
      <c r="J3672" s="2">
        <f>HOUR(TB[[#This Row],[时间戳]])</f>
        <v>6</v>
      </c>
      <c r="K3672">
        <v>600</v>
      </c>
      <c r="L3672">
        <v>0</v>
      </c>
      <c r="M3672">
        <f>TB[[#This Row],[售价]]*TB[[#This Row],[销量]]</f>
        <v>0</v>
      </c>
      <c r="N3672" t="str">
        <f>IF(TB[[#This Row],[售价]]&lt;1000,"低价商品",IF(TB[[#This Row],[售价]]&lt;5000,"中价商品",IF(TB[[#This Row],[售价]]&lt;10000,"高价商品","超高价商品")))</f>
        <v>低价商品</v>
      </c>
    </row>
    <row r="3673" spans="1:14" x14ac:dyDescent="0.2">
      <c r="A3673">
        <v>774</v>
      </c>
      <c r="B3673">
        <v>35</v>
      </c>
      <c r="C3673" t="s">
        <v>46</v>
      </c>
      <c r="D3673" t="s">
        <v>80</v>
      </c>
      <c r="E3673" t="s">
        <v>22</v>
      </c>
      <c r="F3673">
        <v>1</v>
      </c>
      <c r="G3673" t="s">
        <v>13</v>
      </c>
      <c r="H3673" s="1">
        <v>45998.251388888886</v>
      </c>
      <c r="I3673" s="5">
        <f>INT(TB[[#This Row],[时间戳]])</f>
        <v>45998</v>
      </c>
      <c r="J3673" s="2">
        <f>HOUR(TB[[#This Row],[时间戳]])</f>
        <v>6</v>
      </c>
      <c r="K3673">
        <v>3826</v>
      </c>
      <c r="L3673">
        <v>2</v>
      </c>
      <c r="M3673">
        <f>TB[[#This Row],[售价]]*TB[[#This Row],[销量]]</f>
        <v>7652</v>
      </c>
      <c r="N3673" t="str">
        <f>IF(TB[[#This Row],[售价]]&lt;1000,"低价商品",IF(TB[[#This Row],[售价]]&lt;5000,"中价商品",IF(TB[[#This Row],[售价]]&lt;10000,"高价商品","超高价商品")))</f>
        <v>中价商品</v>
      </c>
    </row>
    <row r="3674" spans="1:14" x14ac:dyDescent="0.2">
      <c r="A3674">
        <v>603</v>
      </c>
      <c r="B3674">
        <v>249</v>
      </c>
      <c r="C3674" t="s">
        <v>10</v>
      </c>
      <c r="D3674" t="s">
        <v>183</v>
      </c>
      <c r="E3674" t="s">
        <v>22</v>
      </c>
      <c r="F3674">
        <v>1</v>
      </c>
      <c r="G3674" t="s">
        <v>13</v>
      </c>
      <c r="H3674" s="1">
        <v>45998.275000000001</v>
      </c>
      <c r="I3674" s="5">
        <f>INT(TB[[#This Row],[时间戳]])</f>
        <v>45998</v>
      </c>
      <c r="J3674" s="2">
        <f>HOUR(TB[[#This Row],[时间戳]])</f>
        <v>6</v>
      </c>
      <c r="K3674">
        <v>7372</v>
      </c>
      <c r="L3674">
        <v>2</v>
      </c>
      <c r="M3674">
        <f>TB[[#This Row],[售价]]*TB[[#This Row],[销量]]</f>
        <v>14744</v>
      </c>
      <c r="N3674" t="str">
        <f>IF(TB[[#This Row],[售价]]&lt;1000,"低价商品",IF(TB[[#This Row],[售价]]&lt;5000,"中价商品",IF(TB[[#This Row],[售价]]&lt;10000,"高价商品","超高价商品")))</f>
        <v>高价商品</v>
      </c>
    </row>
    <row r="3675" spans="1:14" x14ac:dyDescent="0.2">
      <c r="A3675">
        <v>21</v>
      </c>
      <c r="B3675">
        <v>135</v>
      </c>
      <c r="C3675" t="s">
        <v>36</v>
      </c>
      <c r="D3675" t="s">
        <v>173</v>
      </c>
      <c r="E3675" t="s">
        <v>19</v>
      </c>
      <c r="F3675">
        <v>3</v>
      </c>
      <c r="G3675" t="s">
        <v>13</v>
      </c>
      <c r="H3675" s="1">
        <v>45998.277083333334</v>
      </c>
      <c r="I3675" s="5">
        <f>INT(TB[[#This Row],[时间戳]])</f>
        <v>45998</v>
      </c>
      <c r="J3675" s="2">
        <f>HOUR(TB[[#This Row],[时间戳]])</f>
        <v>6</v>
      </c>
      <c r="K3675">
        <v>5191</v>
      </c>
      <c r="L3675">
        <v>5</v>
      </c>
      <c r="M3675">
        <f>TB[[#This Row],[售价]]*TB[[#This Row],[销量]]</f>
        <v>25955</v>
      </c>
      <c r="N3675" t="str">
        <f>IF(TB[[#This Row],[售价]]&lt;1000,"低价商品",IF(TB[[#This Row],[售价]]&lt;5000,"中价商品",IF(TB[[#This Row],[售价]]&lt;10000,"高价商品","超高价商品")))</f>
        <v>高价商品</v>
      </c>
    </row>
    <row r="3676" spans="1:14" x14ac:dyDescent="0.2">
      <c r="A3676">
        <v>70</v>
      </c>
      <c r="B3676">
        <v>289</v>
      </c>
      <c r="C3676" t="s">
        <v>20</v>
      </c>
      <c r="D3676" t="s">
        <v>355</v>
      </c>
      <c r="E3676" t="s">
        <v>39</v>
      </c>
      <c r="F3676">
        <v>5</v>
      </c>
      <c r="G3676" t="s">
        <v>13</v>
      </c>
      <c r="H3676" s="1">
        <v>45998.294444444444</v>
      </c>
      <c r="I3676" s="5">
        <f>INT(TB[[#This Row],[时间戳]])</f>
        <v>45998</v>
      </c>
      <c r="J3676" s="2">
        <f>HOUR(TB[[#This Row],[时间戳]])</f>
        <v>7</v>
      </c>
      <c r="K3676">
        <v>3118</v>
      </c>
      <c r="L3676">
        <v>1</v>
      </c>
      <c r="M3676">
        <f>TB[[#This Row],[售价]]*TB[[#This Row],[销量]]</f>
        <v>3118</v>
      </c>
      <c r="N3676" t="str">
        <f>IF(TB[[#This Row],[售价]]&lt;1000,"低价商品",IF(TB[[#This Row],[售价]]&lt;5000,"中价商品",IF(TB[[#This Row],[售价]]&lt;10000,"高价商品","超高价商品")))</f>
        <v>中价商品</v>
      </c>
    </row>
    <row r="3677" spans="1:14" x14ac:dyDescent="0.2">
      <c r="A3677">
        <v>4</v>
      </c>
      <c r="B3677">
        <v>162</v>
      </c>
      <c r="C3677" t="s">
        <v>36</v>
      </c>
      <c r="D3677" t="s">
        <v>123</v>
      </c>
      <c r="E3677" t="s">
        <v>31</v>
      </c>
      <c r="F3677">
        <v>4</v>
      </c>
      <c r="G3677" t="s">
        <v>13</v>
      </c>
      <c r="H3677" s="1">
        <v>45998.300694444442</v>
      </c>
      <c r="I3677" s="5">
        <f>INT(TB[[#This Row],[时间戳]])</f>
        <v>45998</v>
      </c>
      <c r="J3677" s="2">
        <f>HOUR(TB[[#This Row],[时间戳]])</f>
        <v>7</v>
      </c>
      <c r="K3677">
        <v>1500</v>
      </c>
      <c r="L3677">
        <v>3</v>
      </c>
      <c r="M3677">
        <f>TB[[#This Row],[售价]]*TB[[#This Row],[销量]]</f>
        <v>4500</v>
      </c>
      <c r="N3677" t="str">
        <f>IF(TB[[#This Row],[售价]]&lt;1000,"低价商品",IF(TB[[#This Row],[售价]]&lt;5000,"中价商品",IF(TB[[#This Row],[售价]]&lt;10000,"高价商品","超高价商品")))</f>
        <v>中价商品</v>
      </c>
    </row>
    <row r="3678" spans="1:14" x14ac:dyDescent="0.2">
      <c r="A3678">
        <v>177</v>
      </c>
      <c r="B3678">
        <v>22</v>
      </c>
      <c r="C3678" t="s">
        <v>14</v>
      </c>
      <c r="D3678" t="s">
        <v>145</v>
      </c>
      <c r="E3678" t="s">
        <v>22</v>
      </c>
      <c r="F3678">
        <v>1</v>
      </c>
      <c r="G3678" t="s">
        <v>13</v>
      </c>
      <c r="H3678" s="1">
        <v>45998.304166666669</v>
      </c>
      <c r="I3678" s="5">
        <f>INT(TB[[#This Row],[时间戳]])</f>
        <v>45998</v>
      </c>
      <c r="J3678" s="2">
        <f>HOUR(TB[[#This Row],[时间戳]])</f>
        <v>7</v>
      </c>
      <c r="K3678">
        <v>3183</v>
      </c>
      <c r="L3678">
        <v>4</v>
      </c>
      <c r="M3678">
        <f>TB[[#This Row],[售价]]*TB[[#This Row],[销量]]</f>
        <v>12732</v>
      </c>
      <c r="N3678" t="str">
        <f>IF(TB[[#This Row],[售价]]&lt;1000,"低价商品",IF(TB[[#This Row],[售价]]&lt;5000,"中价商品",IF(TB[[#This Row],[售价]]&lt;10000,"高价商品","超高价商品")))</f>
        <v>中价商品</v>
      </c>
    </row>
    <row r="3679" spans="1:14" x14ac:dyDescent="0.2">
      <c r="A3679">
        <v>39</v>
      </c>
      <c r="B3679">
        <v>153</v>
      </c>
      <c r="C3679" t="s">
        <v>46</v>
      </c>
      <c r="D3679" t="s">
        <v>141</v>
      </c>
      <c r="E3679" t="s">
        <v>22</v>
      </c>
      <c r="F3679">
        <v>1</v>
      </c>
      <c r="G3679" t="s">
        <v>13</v>
      </c>
      <c r="H3679" s="1">
        <v>45998.313194444447</v>
      </c>
      <c r="I3679" s="5">
        <f>INT(TB[[#This Row],[时间戳]])</f>
        <v>45998</v>
      </c>
      <c r="J3679" s="2">
        <f>HOUR(TB[[#This Row],[时间戳]])</f>
        <v>7</v>
      </c>
      <c r="K3679">
        <v>3205</v>
      </c>
      <c r="L3679">
        <v>2</v>
      </c>
      <c r="M3679">
        <f>TB[[#This Row],[售价]]*TB[[#This Row],[销量]]</f>
        <v>6410</v>
      </c>
      <c r="N3679" t="str">
        <f>IF(TB[[#This Row],[售价]]&lt;1000,"低价商品",IF(TB[[#This Row],[售价]]&lt;5000,"中价商品",IF(TB[[#This Row],[售价]]&lt;10000,"高价商品","超高价商品")))</f>
        <v>中价商品</v>
      </c>
    </row>
    <row r="3680" spans="1:14" x14ac:dyDescent="0.2">
      <c r="A3680">
        <v>621</v>
      </c>
      <c r="B3680">
        <v>271</v>
      </c>
      <c r="C3680" t="s">
        <v>44</v>
      </c>
      <c r="D3680" t="s">
        <v>73</v>
      </c>
      <c r="E3680" t="s">
        <v>39</v>
      </c>
      <c r="F3680">
        <v>5</v>
      </c>
      <c r="G3680" t="s">
        <v>13</v>
      </c>
      <c r="H3680" s="1">
        <v>45998.342361111114</v>
      </c>
      <c r="I3680" s="5">
        <f>INT(TB[[#This Row],[时间戳]])</f>
        <v>45998</v>
      </c>
      <c r="J3680" s="2">
        <f>HOUR(TB[[#This Row],[时间戳]])</f>
        <v>8</v>
      </c>
      <c r="K3680">
        <v>3554</v>
      </c>
      <c r="L3680">
        <v>1</v>
      </c>
      <c r="M3680">
        <f>TB[[#This Row],[售价]]*TB[[#This Row],[销量]]</f>
        <v>3554</v>
      </c>
      <c r="N3680" t="str">
        <f>IF(TB[[#This Row],[售价]]&lt;1000,"低价商品",IF(TB[[#This Row],[售价]]&lt;5000,"中价商品",IF(TB[[#This Row],[售价]]&lt;10000,"高价商品","超高价商品")))</f>
        <v>中价商品</v>
      </c>
    </row>
    <row r="3681" spans="1:14" x14ac:dyDescent="0.2">
      <c r="A3681">
        <v>67</v>
      </c>
      <c r="B3681">
        <v>102</v>
      </c>
      <c r="C3681" t="s">
        <v>32</v>
      </c>
      <c r="D3681" t="s">
        <v>251</v>
      </c>
      <c r="E3681" t="s">
        <v>12</v>
      </c>
      <c r="F3681">
        <v>2</v>
      </c>
      <c r="G3681" t="s">
        <v>13</v>
      </c>
      <c r="H3681" s="1">
        <v>45998.352083333331</v>
      </c>
      <c r="I3681" s="5">
        <f>INT(TB[[#This Row],[时间戳]])</f>
        <v>45998</v>
      </c>
      <c r="J3681" s="2">
        <f>HOUR(TB[[#This Row],[时间戳]])</f>
        <v>8</v>
      </c>
      <c r="K3681">
        <v>12201</v>
      </c>
      <c r="L3681">
        <v>3</v>
      </c>
      <c r="M3681">
        <f>TB[[#This Row],[售价]]*TB[[#This Row],[销量]]</f>
        <v>36603</v>
      </c>
      <c r="N3681" t="str">
        <f>IF(TB[[#This Row],[售价]]&lt;1000,"低价商品",IF(TB[[#This Row],[售价]]&lt;5000,"中价商品",IF(TB[[#This Row],[售价]]&lt;10000,"高价商品","超高价商品")))</f>
        <v>超高价商品</v>
      </c>
    </row>
    <row r="3682" spans="1:14" x14ac:dyDescent="0.2">
      <c r="A3682">
        <v>124</v>
      </c>
      <c r="B3682">
        <v>213</v>
      </c>
      <c r="C3682" t="s">
        <v>44</v>
      </c>
      <c r="D3682" t="s">
        <v>372</v>
      </c>
      <c r="E3682" t="s">
        <v>22</v>
      </c>
      <c r="F3682">
        <v>1</v>
      </c>
      <c r="G3682" t="s">
        <v>42</v>
      </c>
      <c r="H3682" s="1">
        <v>45998.377083333333</v>
      </c>
      <c r="I3682" s="5">
        <f>INT(TB[[#This Row],[时间戳]])</f>
        <v>45998</v>
      </c>
      <c r="J3682" s="2">
        <f>HOUR(TB[[#This Row],[时间戳]])</f>
        <v>9</v>
      </c>
      <c r="K3682">
        <v>4896</v>
      </c>
      <c r="L3682">
        <v>0</v>
      </c>
      <c r="M3682">
        <f>TB[[#This Row],[售价]]*TB[[#This Row],[销量]]</f>
        <v>0</v>
      </c>
      <c r="N3682" t="str">
        <f>IF(TB[[#This Row],[售价]]&lt;1000,"低价商品",IF(TB[[#This Row],[售价]]&lt;5000,"中价商品",IF(TB[[#This Row],[售价]]&lt;10000,"高价商品","超高价商品")))</f>
        <v>中价商品</v>
      </c>
    </row>
    <row r="3683" spans="1:14" x14ac:dyDescent="0.2">
      <c r="A3683">
        <v>300</v>
      </c>
      <c r="B3683">
        <v>53</v>
      </c>
      <c r="C3683" t="s">
        <v>20</v>
      </c>
      <c r="D3683" t="s">
        <v>204</v>
      </c>
      <c r="E3683" t="s">
        <v>25</v>
      </c>
      <c r="F3683">
        <v>7</v>
      </c>
      <c r="G3683" t="s">
        <v>13</v>
      </c>
      <c r="H3683" s="1">
        <v>45998.379861111112</v>
      </c>
      <c r="I3683" s="5">
        <f>INT(TB[[#This Row],[时间戳]])</f>
        <v>45998</v>
      </c>
      <c r="J3683" s="2">
        <f>HOUR(TB[[#This Row],[时间戳]])</f>
        <v>9</v>
      </c>
      <c r="K3683">
        <v>4739</v>
      </c>
      <c r="L3683">
        <v>1</v>
      </c>
      <c r="M3683">
        <f>TB[[#This Row],[售价]]*TB[[#This Row],[销量]]</f>
        <v>4739</v>
      </c>
      <c r="N3683" t="str">
        <f>IF(TB[[#This Row],[售价]]&lt;1000,"低价商品",IF(TB[[#This Row],[售价]]&lt;5000,"中价商品",IF(TB[[#This Row],[售价]]&lt;10000,"高价商品","超高价商品")))</f>
        <v>中价商品</v>
      </c>
    </row>
    <row r="3684" spans="1:14" x14ac:dyDescent="0.2">
      <c r="A3684">
        <v>222</v>
      </c>
      <c r="B3684">
        <v>249</v>
      </c>
      <c r="C3684" t="s">
        <v>14</v>
      </c>
      <c r="D3684" t="s">
        <v>43</v>
      </c>
      <c r="E3684" t="s">
        <v>31</v>
      </c>
      <c r="F3684">
        <v>4</v>
      </c>
      <c r="G3684" t="s">
        <v>13</v>
      </c>
      <c r="H3684" s="1">
        <v>45998.406944444447</v>
      </c>
      <c r="I3684" s="5">
        <f>INT(TB[[#This Row],[时间戳]])</f>
        <v>45998</v>
      </c>
      <c r="J3684" s="2">
        <f>HOUR(TB[[#This Row],[时间戳]])</f>
        <v>9</v>
      </c>
      <c r="K3684">
        <v>886</v>
      </c>
      <c r="L3684">
        <v>4</v>
      </c>
      <c r="M3684">
        <f>TB[[#This Row],[售价]]*TB[[#This Row],[销量]]</f>
        <v>3544</v>
      </c>
      <c r="N3684" t="str">
        <f>IF(TB[[#This Row],[售价]]&lt;1000,"低价商品",IF(TB[[#This Row],[售价]]&lt;5000,"中价商品",IF(TB[[#This Row],[售价]]&lt;10000,"高价商品","超高价商品")))</f>
        <v>低价商品</v>
      </c>
    </row>
    <row r="3685" spans="1:14" x14ac:dyDescent="0.2">
      <c r="A3685">
        <v>585</v>
      </c>
      <c r="B3685">
        <v>137</v>
      </c>
      <c r="C3685" t="s">
        <v>44</v>
      </c>
      <c r="D3685" t="s">
        <v>254</v>
      </c>
      <c r="E3685" t="s">
        <v>25</v>
      </c>
      <c r="F3685">
        <v>7</v>
      </c>
      <c r="G3685" t="s">
        <v>13</v>
      </c>
      <c r="H3685" s="1">
        <v>45998.411805555559</v>
      </c>
      <c r="I3685" s="5">
        <f>INT(TB[[#This Row],[时间戳]])</f>
        <v>45998</v>
      </c>
      <c r="J3685" s="2">
        <f>HOUR(TB[[#This Row],[时间戳]])</f>
        <v>9</v>
      </c>
      <c r="K3685">
        <v>3673</v>
      </c>
      <c r="L3685">
        <v>3</v>
      </c>
      <c r="M3685">
        <f>TB[[#This Row],[售价]]*TB[[#This Row],[销量]]</f>
        <v>11019</v>
      </c>
      <c r="N3685" t="str">
        <f>IF(TB[[#This Row],[售价]]&lt;1000,"低价商品",IF(TB[[#This Row],[售价]]&lt;5000,"中价商品",IF(TB[[#This Row],[售价]]&lt;10000,"高价商品","超高价商品")))</f>
        <v>中价商品</v>
      </c>
    </row>
    <row r="3686" spans="1:14" x14ac:dyDescent="0.2">
      <c r="A3686">
        <v>448</v>
      </c>
      <c r="B3686">
        <v>94</v>
      </c>
      <c r="C3686" t="s">
        <v>26</v>
      </c>
      <c r="D3686" t="s">
        <v>92</v>
      </c>
      <c r="E3686" t="s">
        <v>19</v>
      </c>
      <c r="F3686">
        <v>3</v>
      </c>
      <c r="G3686" t="s">
        <v>13</v>
      </c>
      <c r="H3686" s="1">
        <v>45998.432638888888</v>
      </c>
      <c r="I3686" s="5">
        <f>INT(TB[[#This Row],[时间戳]])</f>
        <v>45998</v>
      </c>
      <c r="J3686" s="2">
        <f>HOUR(TB[[#This Row],[时间戳]])</f>
        <v>10</v>
      </c>
      <c r="K3686">
        <v>3452</v>
      </c>
      <c r="L3686">
        <v>3</v>
      </c>
      <c r="M3686">
        <f>TB[[#This Row],[售价]]*TB[[#This Row],[销量]]</f>
        <v>10356</v>
      </c>
      <c r="N3686" t="str">
        <f>IF(TB[[#This Row],[售价]]&lt;1000,"低价商品",IF(TB[[#This Row],[售价]]&lt;5000,"中价商品",IF(TB[[#This Row],[售价]]&lt;10000,"高价商品","超高价商品")))</f>
        <v>中价商品</v>
      </c>
    </row>
    <row r="3687" spans="1:14" x14ac:dyDescent="0.2">
      <c r="A3687">
        <v>606</v>
      </c>
      <c r="B3687">
        <v>149</v>
      </c>
      <c r="C3687" t="s">
        <v>20</v>
      </c>
      <c r="D3687" t="s">
        <v>334</v>
      </c>
      <c r="E3687" t="s">
        <v>22</v>
      </c>
      <c r="F3687">
        <v>1</v>
      </c>
      <c r="G3687" t="s">
        <v>13</v>
      </c>
      <c r="H3687" s="1">
        <v>45998.447916666664</v>
      </c>
      <c r="I3687" s="5">
        <f>INT(TB[[#This Row],[时间戳]])</f>
        <v>45998</v>
      </c>
      <c r="J3687" s="2">
        <f>HOUR(TB[[#This Row],[时间戳]])</f>
        <v>10</v>
      </c>
      <c r="K3687">
        <v>2904</v>
      </c>
      <c r="L3687">
        <v>3</v>
      </c>
      <c r="M3687">
        <f>TB[[#This Row],[售价]]*TB[[#This Row],[销量]]</f>
        <v>8712</v>
      </c>
      <c r="N3687" t="str">
        <f>IF(TB[[#This Row],[售价]]&lt;1000,"低价商品",IF(TB[[#This Row],[售价]]&lt;5000,"中价商品",IF(TB[[#This Row],[售价]]&lt;10000,"高价商品","超高价商品")))</f>
        <v>中价商品</v>
      </c>
    </row>
    <row r="3688" spans="1:14" x14ac:dyDescent="0.2">
      <c r="A3688">
        <v>457</v>
      </c>
      <c r="B3688">
        <v>8</v>
      </c>
      <c r="C3688" t="s">
        <v>14</v>
      </c>
      <c r="D3688" t="s">
        <v>29</v>
      </c>
      <c r="E3688" t="s">
        <v>22</v>
      </c>
      <c r="F3688">
        <v>1</v>
      </c>
      <c r="G3688" t="s">
        <v>42</v>
      </c>
      <c r="H3688" s="1">
        <v>45998.49722222222</v>
      </c>
      <c r="I3688" s="5">
        <f>INT(TB[[#This Row],[时间戳]])</f>
        <v>45998</v>
      </c>
      <c r="J3688" s="2">
        <f>HOUR(TB[[#This Row],[时间戳]])</f>
        <v>11</v>
      </c>
      <c r="K3688">
        <v>5865</v>
      </c>
      <c r="L3688">
        <v>0</v>
      </c>
      <c r="M3688">
        <f>TB[[#This Row],[售价]]*TB[[#This Row],[销量]]</f>
        <v>0</v>
      </c>
      <c r="N3688" t="str">
        <f>IF(TB[[#This Row],[售价]]&lt;1000,"低价商品",IF(TB[[#This Row],[售价]]&lt;5000,"中价商品",IF(TB[[#This Row],[售价]]&lt;10000,"高价商品","超高价商品")))</f>
        <v>高价商品</v>
      </c>
    </row>
    <row r="3689" spans="1:14" x14ac:dyDescent="0.2">
      <c r="A3689">
        <v>442</v>
      </c>
      <c r="B3689">
        <v>72</v>
      </c>
      <c r="C3689" t="s">
        <v>36</v>
      </c>
      <c r="D3689" t="s">
        <v>318</v>
      </c>
      <c r="E3689" t="s">
        <v>16</v>
      </c>
      <c r="F3689">
        <v>6</v>
      </c>
      <c r="G3689" t="s">
        <v>13</v>
      </c>
      <c r="H3689" s="1">
        <v>45998.506249999999</v>
      </c>
      <c r="I3689" s="5">
        <f>INT(TB[[#This Row],[时间戳]])</f>
        <v>45998</v>
      </c>
      <c r="J3689" s="2">
        <f>HOUR(TB[[#This Row],[时间戳]])</f>
        <v>12</v>
      </c>
      <c r="K3689">
        <v>3261</v>
      </c>
      <c r="L3689">
        <v>4</v>
      </c>
      <c r="M3689">
        <f>TB[[#This Row],[售价]]*TB[[#This Row],[销量]]</f>
        <v>13044</v>
      </c>
      <c r="N3689" t="str">
        <f>IF(TB[[#This Row],[售价]]&lt;1000,"低价商品",IF(TB[[#This Row],[售价]]&lt;5000,"中价商品",IF(TB[[#This Row],[售价]]&lt;10000,"高价商品","超高价商品")))</f>
        <v>中价商品</v>
      </c>
    </row>
    <row r="3690" spans="1:14" x14ac:dyDescent="0.2">
      <c r="A3690">
        <v>528</v>
      </c>
      <c r="B3690">
        <v>236</v>
      </c>
      <c r="C3690" t="s">
        <v>44</v>
      </c>
      <c r="D3690" t="s">
        <v>397</v>
      </c>
      <c r="E3690" t="s">
        <v>25</v>
      </c>
      <c r="F3690">
        <v>7</v>
      </c>
      <c r="G3690" t="s">
        <v>13</v>
      </c>
      <c r="H3690" s="1">
        <v>45998.506944444445</v>
      </c>
      <c r="I3690" s="5">
        <f>INT(TB[[#This Row],[时间戳]])</f>
        <v>45998</v>
      </c>
      <c r="J3690" s="2">
        <f>HOUR(TB[[#This Row],[时间戳]])</f>
        <v>12</v>
      </c>
      <c r="K3690">
        <v>1624</v>
      </c>
      <c r="L3690">
        <v>1</v>
      </c>
      <c r="M3690">
        <f>TB[[#This Row],[售价]]*TB[[#This Row],[销量]]</f>
        <v>1624</v>
      </c>
      <c r="N3690" t="str">
        <f>IF(TB[[#This Row],[售价]]&lt;1000,"低价商品",IF(TB[[#This Row],[售价]]&lt;5000,"中价商品",IF(TB[[#This Row],[售价]]&lt;10000,"高价商品","超高价商品")))</f>
        <v>中价商品</v>
      </c>
    </row>
    <row r="3691" spans="1:14" x14ac:dyDescent="0.2">
      <c r="A3691">
        <v>421</v>
      </c>
      <c r="B3691">
        <v>29</v>
      </c>
      <c r="C3691" t="s">
        <v>14</v>
      </c>
      <c r="D3691" t="s">
        <v>395</v>
      </c>
      <c r="E3691" t="s">
        <v>12</v>
      </c>
      <c r="F3691">
        <v>2</v>
      </c>
      <c r="G3691" t="s">
        <v>13</v>
      </c>
      <c r="H3691" s="1">
        <v>45998.507638888892</v>
      </c>
      <c r="I3691" s="5">
        <f>INT(TB[[#This Row],[时间戳]])</f>
        <v>45998</v>
      </c>
      <c r="J3691" s="2">
        <f>HOUR(TB[[#This Row],[时间戳]])</f>
        <v>12</v>
      </c>
      <c r="K3691">
        <v>12743</v>
      </c>
      <c r="L3691">
        <v>3</v>
      </c>
      <c r="M3691">
        <f>TB[[#This Row],[售价]]*TB[[#This Row],[销量]]</f>
        <v>38229</v>
      </c>
      <c r="N3691" t="str">
        <f>IF(TB[[#This Row],[售价]]&lt;1000,"低价商品",IF(TB[[#This Row],[售价]]&lt;5000,"中价商品",IF(TB[[#This Row],[售价]]&lt;10000,"高价商品","超高价商品")))</f>
        <v>超高价商品</v>
      </c>
    </row>
    <row r="3692" spans="1:14" x14ac:dyDescent="0.2">
      <c r="A3692">
        <v>98</v>
      </c>
      <c r="B3692">
        <v>280</v>
      </c>
      <c r="C3692" t="s">
        <v>10</v>
      </c>
      <c r="D3692" t="s">
        <v>244</v>
      </c>
      <c r="E3692" t="s">
        <v>19</v>
      </c>
      <c r="F3692">
        <v>3</v>
      </c>
      <c r="G3692" t="s">
        <v>13</v>
      </c>
      <c r="H3692" s="1">
        <v>45998.539583333331</v>
      </c>
      <c r="I3692" s="5">
        <f>INT(TB[[#This Row],[时间戳]])</f>
        <v>45998</v>
      </c>
      <c r="J3692" s="2">
        <f>HOUR(TB[[#This Row],[时间戳]])</f>
        <v>12</v>
      </c>
      <c r="K3692">
        <v>2935</v>
      </c>
      <c r="L3692">
        <v>4</v>
      </c>
      <c r="M3692">
        <f>TB[[#This Row],[售价]]*TB[[#This Row],[销量]]</f>
        <v>11740</v>
      </c>
      <c r="N3692" t="str">
        <f>IF(TB[[#This Row],[售价]]&lt;1000,"低价商品",IF(TB[[#This Row],[售价]]&lt;5000,"中价商品",IF(TB[[#This Row],[售价]]&lt;10000,"高价商品","超高价商品")))</f>
        <v>中价商品</v>
      </c>
    </row>
    <row r="3693" spans="1:14" x14ac:dyDescent="0.2">
      <c r="A3693">
        <v>586</v>
      </c>
      <c r="B3693">
        <v>263</v>
      </c>
      <c r="C3693" t="s">
        <v>34</v>
      </c>
      <c r="D3693" t="s">
        <v>199</v>
      </c>
      <c r="E3693" t="s">
        <v>39</v>
      </c>
      <c r="F3693">
        <v>5</v>
      </c>
      <c r="G3693" t="s">
        <v>13</v>
      </c>
      <c r="H3693" s="1">
        <v>45998.553472222222</v>
      </c>
      <c r="I3693" s="5">
        <f>INT(TB[[#This Row],[时间戳]])</f>
        <v>45998</v>
      </c>
      <c r="J3693" s="2">
        <f>HOUR(TB[[#This Row],[时间戳]])</f>
        <v>13</v>
      </c>
      <c r="K3693">
        <v>1062</v>
      </c>
      <c r="L3693">
        <v>1</v>
      </c>
      <c r="M3693">
        <f>TB[[#This Row],[售价]]*TB[[#This Row],[销量]]</f>
        <v>1062</v>
      </c>
      <c r="N3693" t="str">
        <f>IF(TB[[#This Row],[售价]]&lt;1000,"低价商品",IF(TB[[#This Row],[售价]]&lt;5000,"中价商品",IF(TB[[#This Row],[售价]]&lt;10000,"高价商品","超高价商品")))</f>
        <v>中价商品</v>
      </c>
    </row>
    <row r="3694" spans="1:14" x14ac:dyDescent="0.2">
      <c r="A3694">
        <v>151</v>
      </c>
      <c r="B3694">
        <v>58</v>
      </c>
      <c r="C3694" t="s">
        <v>46</v>
      </c>
      <c r="D3694" t="s">
        <v>371</v>
      </c>
      <c r="E3694" t="s">
        <v>16</v>
      </c>
      <c r="F3694">
        <v>6</v>
      </c>
      <c r="G3694" t="s">
        <v>13</v>
      </c>
      <c r="H3694" s="1">
        <v>45998.581250000003</v>
      </c>
      <c r="I3694" s="5">
        <f>INT(TB[[#This Row],[时间戳]])</f>
        <v>45998</v>
      </c>
      <c r="J3694" s="2">
        <f>HOUR(TB[[#This Row],[时间戳]])</f>
        <v>13</v>
      </c>
      <c r="K3694">
        <v>11814</v>
      </c>
      <c r="L3694">
        <v>5</v>
      </c>
      <c r="M3694">
        <f>TB[[#This Row],[售价]]*TB[[#This Row],[销量]]</f>
        <v>59070</v>
      </c>
      <c r="N3694" t="str">
        <f>IF(TB[[#This Row],[售价]]&lt;1000,"低价商品",IF(TB[[#This Row],[售价]]&lt;5000,"中价商品",IF(TB[[#This Row],[售价]]&lt;10000,"高价商品","超高价商品")))</f>
        <v>超高价商品</v>
      </c>
    </row>
    <row r="3695" spans="1:14" x14ac:dyDescent="0.2">
      <c r="A3695">
        <v>516</v>
      </c>
      <c r="B3695">
        <v>149</v>
      </c>
      <c r="C3695" t="s">
        <v>10</v>
      </c>
      <c r="D3695" t="s">
        <v>278</v>
      </c>
      <c r="E3695" t="s">
        <v>19</v>
      </c>
      <c r="F3695">
        <v>3</v>
      </c>
      <c r="G3695" t="s">
        <v>13</v>
      </c>
      <c r="H3695" s="1">
        <v>45998.586111111108</v>
      </c>
      <c r="I3695" s="5">
        <f>INT(TB[[#This Row],[时间戳]])</f>
        <v>45998</v>
      </c>
      <c r="J3695" s="2">
        <f>HOUR(TB[[#This Row],[时间戳]])</f>
        <v>14</v>
      </c>
      <c r="K3695">
        <v>2211</v>
      </c>
      <c r="L3695">
        <v>2</v>
      </c>
      <c r="M3695">
        <f>TB[[#This Row],[售价]]*TB[[#This Row],[销量]]</f>
        <v>4422</v>
      </c>
      <c r="N3695" t="str">
        <f>IF(TB[[#This Row],[售价]]&lt;1000,"低价商品",IF(TB[[#This Row],[售价]]&lt;5000,"中价商品",IF(TB[[#This Row],[售价]]&lt;10000,"高价商品","超高价商品")))</f>
        <v>中价商品</v>
      </c>
    </row>
    <row r="3696" spans="1:14" x14ac:dyDescent="0.2">
      <c r="A3696">
        <v>560</v>
      </c>
      <c r="B3696">
        <v>205</v>
      </c>
      <c r="C3696" t="s">
        <v>10</v>
      </c>
      <c r="D3696" t="s">
        <v>258</v>
      </c>
      <c r="E3696" t="s">
        <v>39</v>
      </c>
      <c r="F3696">
        <v>5</v>
      </c>
      <c r="G3696" t="s">
        <v>13</v>
      </c>
      <c r="H3696" s="1">
        <v>45998.59375</v>
      </c>
      <c r="I3696" s="5">
        <f>INT(TB[[#This Row],[时间戳]])</f>
        <v>45998</v>
      </c>
      <c r="J3696" s="2">
        <f>HOUR(TB[[#This Row],[时间戳]])</f>
        <v>14</v>
      </c>
      <c r="K3696">
        <v>3569</v>
      </c>
      <c r="L3696">
        <v>2</v>
      </c>
      <c r="M3696">
        <f>TB[[#This Row],[售价]]*TB[[#This Row],[销量]]</f>
        <v>7138</v>
      </c>
      <c r="N3696" t="str">
        <f>IF(TB[[#This Row],[售价]]&lt;1000,"低价商品",IF(TB[[#This Row],[售价]]&lt;5000,"中价商品",IF(TB[[#This Row],[售价]]&lt;10000,"高价商品","超高价商品")))</f>
        <v>中价商品</v>
      </c>
    </row>
    <row r="3697" spans="1:14" x14ac:dyDescent="0.2">
      <c r="A3697">
        <v>165</v>
      </c>
      <c r="B3697">
        <v>62</v>
      </c>
      <c r="C3697" t="s">
        <v>20</v>
      </c>
      <c r="D3697" t="s">
        <v>267</v>
      </c>
      <c r="E3697" t="s">
        <v>39</v>
      </c>
      <c r="F3697">
        <v>5</v>
      </c>
      <c r="G3697" t="s">
        <v>13</v>
      </c>
      <c r="H3697" s="1">
        <v>45998.594444444447</v>
      </c>
      <c r="I3697" s="5">
        <f>INT(TB[[#This Row],[时间戳]])</f>
        <v>45998</v>
      </c>
      <c r="J3697" s="2">
        <f>HOUR(TB[[#This Row],[时间戳]])</f>
        <v>14</v>
      </c>
      <c r="K3697">
        <v>1820</v>
      </c>
      <c r="L3697">
        <v>2</v>
      </c>
      <c r="M3697">
        <f>TB[[#This Row],[售价]]*TB[[#This Row],[销量]]</f>
        <v>3640</v>
      </c>
      <c r="N3697" t="str">
        <f>IF(TB[[#This Row],[售价]]&lt;1000,"低价商品",IF(TB[[#This Row],[售价]]&lt;5000,"中价商品",IF(TB[[#This Row],[售价]]&lt;10000,"高价商品","超高价商品")))</f>
        <v>中价商品</v>
      </c>
    </row>
    <row r="3698" spans="1:14" x14ac:dyDescent="0.2">
      <c r="A3698">
        <v>756</v>
      </c>
      <c r="B3698">
        <v>120</v>
      </c>
      <c r="C3698" t="s">
        <v>20</v>
      </c>
      <c r="D3698" t="s">
        <v>328</v>
      </c>
      <c r="E3698" t="s">
        <v>16</v>
      </c>
      <c r="F3698">
        <v>6</v>
      </c>
      <c r="G3698" t="s">
        <v>13</v>
      </c>
      <c r="H3698" s="1">
        <v>45998.654166666667</v>
      </c>
      <c r="I3698" s="5">
        <f>INT(TB[[#This Row],[时间戳]])</f>
        <v>45998</v>
      </c>
      <c r="J3698" s="2">
        <f>HOUR(TB[[#This Row],[时间戳]])</f>
        <v>15</v>
      </c>
      <c r="K3698">
        <v>9375</v>
      </c>
      <c r="L3698">
        <v>3</v>
      </c>
      <c r="M3698">
        <f>TB[[#This Row],[售价]]*TB[[#This Row],[销量]]</f>
        <v>28125</v>
      </c>
      <c r="N3698" t="str">
        <f>IF(TB[[#This Row],[售价]]&lt;1000,"低价商品",IF(TB[[#This Row],[售价]]&lt;5000,"中价商品",IF(TB[[#This Row],[售价]]&lt;10000,"高价商品","超高价商品")))</f>
        <v>高价商品</v>
      </c>
    </row>
    <row r="3699" spans="1:14" x14ac:dyDescent="0.2">
      <c r="A3699">
        <v>449</v>
      </c>
      <c r="B3699">
        <v>6</v>
      </c>
      <c r="C3699" t="s">
        <v>20</v>
      </c>
      <c r="D3699" t="s">
        <v>383</v>
      </c>
      <c r="E3699" t="s">
        <v>12</v>
      </c>
      <c r="F3699">
        <v>2</v>
      </c>
      <c r="G3699" t="s">
        <v>13</v>
      </c>
      <c r="H3699" s="1">
        <v>45998.674305555556</v>
      </c>
      <c r="I3699" s="5">
        <f>INT(TB[[#This Row],[时间戳]])</f>
        <v>45998</v>
      </c>
      <c r="J3699" s="2">
        <f>HOUR(TB[[#This Row],[时间戳]])</f>
        <v>16</v>
      </c>
      <c r="K3699">
        <v>13381</v>
      </c>
      <c r="L3699">
        <v>2</v>
      </c>
      <c r="M3699">
        <f>TB[[#This Row],[售价]]*TB[[#This Row],[销量]]</f>
        <v>26762</v>
      </c>
      <c r="N3699" t="str">
        <f>IF(TB[[#This Row],[售价]]&lt;1000,"低价商品",IF(TB[[#This Row],[售价]]&lt;5000,"中价商品",IF(TB[[#This Row],[售价]]&lt;10000,"高价商品","超高价商品")))</f>
        <v>超高价商品</v>
      </c>
    </row>
    <row r="3700" spans="1:14" x14ac:dyDescent="0.2">
      <c r="A3700">
        <v>266</v>
      </c>
      <c r="B3700">
        <v>277</v>
      </c>
      <c r="C3700" t="s">
        <v>10</v>
      </c>
      <c r="D3700" t="s">
        <v>237</v>
      </c>
      <c r="E3700" t="s">
        <v>25</v>
      </c>
      <c r="F3700">
        <v>7</v>
      </c>
      <c r="G3700" t="s">
        <v>42</v>
      </c>
      <c r="H3700" s="1">
        <v>45998.724305555559</v>
      </c>
      <c r="I3700" s="5">
        <f>INT(TB[[#This Row],[时间戳]])</f>
        <v>45998</v>
      </c>
      <c r="J3700" s="2">
        <f>HOUR(TB[[#This Row],[时间戳]])</f>
        <v>17</v>
      </c>
      <c r="K3700">
        <v>5804</v>
      </c>
      <c r="L3700">
        <v>0</v>
      </c>
      <c r="M3700">
        <f>TB[[#This Row],[售价]]*TB[[#This Row],[销量]]</f>
        <v>0</v>
      </c>
      <c r="N3700" t="str">
        <f>IF(TB[[#This Row],[售价]]&lt;1000,"低价商品",IF(TB[[#This Row],[售价]]&lt;5000,"中价商品",IF(TB[[#This Row],[售价]]&lt;10000,"高价商品","超高价商品")))</f>
        <v>高价商品</v>
      </c>
    </row>
    <row r="3701" spans="1:14" x14ac:dyDescent="0.2">
      <c r="A3701">
        <v>485</v>
      </c>
      <c r="B3701">
        <v>48</v>
      </c>
      <c r="C3701" t="s">
        <v>44</v>
      </c>
      <c r="D3701" t="s">
        <v>410</v>
      </c>
      <c r="E3701" t="s">
        <v>25</v>
      </c>
      <c r="F3701">
        <v>7</v>
      </c>
      <c r="G3701" t="s">
        <v>13</v>
      </c>
      <c r="H3701" s="1">
        <v>45998.729861111111</v>
      </c>
      <c r="I3701" s="5">
        <f>INT(TB[[#This Row],[时间戳]])</f>
        <v>45998</v>
      </c>
      <c r="J3701" s="2">
        <f>HOUR(TB[[#This Row],[时间戳]])</f>
        <v>17</v>
      </c>
      <c r="K3701">
        <v>1897</v>
      </c>
      <c r="L3701">
        <v>3</v>
      </c>
      <c r="M3701">
        <f>TB[[#This Row],[售价]]*TB[[#This Row],[销量]]</f>
        <v>5691</v>
      </c>
      <c r="N3701" t="str">
        <f>IF(TB[[#This Row],[售价]]&lt;1000,"低价商品",IF(TB[[#This Row],[售价]]&lt;5000,"中价商品",IF(TB[[#This Row],[售价]]&lt;10000,"高价商品","超高价商品")))</f>
        <v>中价商品</v>
      </c>
    </row>
    <row r="3702" spans="1:14" x14ac:dyDescent="0.2">
      <c r="A3702">
        <v>577</v>
      </c>
      <c r="B3702">
        <v>44</v>
      </c>
      <c r="C3702" t="s">
        <v>32</v>
      </c>
      <c r="D3702" t="s">
        <v>176</v>
      </c>
      <c r="E3702" t="s">
        <v>22</v>
      </c>
      <c r="F3702">
        <v>1</v>
      </c>
      <c r="G3702" t="s">
        <v>42</v>
      </c>
      <c r="H3702" s="1">
        <v>45998.74722222222</v>
      </c>
      <c r="I3702" s="5">
        <f>INT(TB[[#This Row],[时间戳]])</f>
        <v>45998</v>
      </c>
      <c r="J3702" s="2">
        <f>HOUR(TB[[#This Row],[时间戳]])</f>
        <v>17</v>
      </c>
      <c r="K3702">
        <v>7681</v>
      </c>
      <c r="L3702">
        <v>0</v>
      </c>
      <c r="M3702">
        <f>TB[[#This Row],[售价]]*TB[[#This Row],[销量]]</f>
        <v>0</v>
      </c>
      <c r="N3702" t="str">
        <f>IF(TB[[#This Row],[售价]]&lt;1000,"低价商品",IF(TB[[#This Row],[售价]]&lt;5000,"中价商品",IF(TB[[#This Row],[售价]]&lt;10000,"高价商品","超高价商品")))</f>
        <v>高价商品</v>
      </c>
    </row>
    <row r="3703" spans="1:14" x14ac:dyDescent="0.2">
      <c r="A3703">
        <v>783</v>
      </c>
      <c r="B3703">
        <v>44</v>
      </c>
      <c r="C3703" t="s">
        <v>17</v>
      </c>
      <c r="D3703" t="s">
        <v>74</v>
      </c>
      <c r="E3703" t="s">
        <v>22</v>
      </c>
      <c r="F3703">
        <v>1</v>
      </c>
      <c r="G3703" t="s">
        <v>13</v>
      </c>
      <c r="H3703" s="1">
        <v>45998.768055555556</v>
      </c>
      <c r="I3703" s="5">
        <f>INT(TB[[#This Row],[时间戳]])</f>
        <v>45998</v>
      </c>
      <c r="J3703" s="2">
        <f>HOUR(TB[[#This Row],[时间戳]])</f>
        <v>18</v>
      </c>
      <c r="K3703">
        <v>3557</v>
      </c>
      <c r="L3703">
        <v>1</v>
      </c>
      <c r="M3703">
        <f>TB[[#This Row],[售价]]*TB[[#This Row],[销量]]</f>
        <v>3557</v>
      </c>
      <c r="N3703" t="str">
        <f>IF(TB[[#This Row],[售价]]&lt;1000,"低价商品",IF(TB[[#This Row],[售价]]&lt;5000,"中价商品",IF(TB[[#This Row],[售价]]&lt;10000,"高价商品","超高价商品")))</f>
        <v>中价商品</v>
      </c>
    </row>
    <row r="3704" spans="1:14" x14ac:dyDescent="0.2">
      <c r="A3704">
        <v>605</v>
      </c>
      <c r="B3704">
        <v>139</v>
      </c>
      <c r="C3704" t="s">
        <v>44</v>
      </c>
      <c r="D3704" t="s">
        <v>236</v>
      </c>
      <c r="E3704" t="s">
        <v>12</v>
      </c>
      <c r="F3704">
        <v>2</v>
      </c>
      <c r="G3704" t="s">
        <v>13</v>
      </c>
      <c r="H3704" s="1">
        <v>45998.775000000001</v>
      </c>
      <c r="I3704" s="5">
        <f>INT(TB[[#This Row],[时间戳]])</f>
        <v>45998</v>
      </c>
      <c r="J3704" s="2">
        <f>HOUR(TB[[#This Row],[时间戳]])</f>
        <v>18</v>
      </c>
      <c r="K3704">
        <v>6646</v>
      </c>
      <c r="L3704">
        <v>5</v>
      </c>
      <c r="M3704">
        <f>TB[[#This Row],[售价]]*TB[[#This Row],[销量]]</f>
        <v>33230</v>
      </c>
      <c r="N3704" t="str">
        <f>IF(TB[[#This Row],[售价]]&lt;1000,"低价商品",IF(TB[[#This Row],[售价]]&lt;5000,"中价商品",IF(TB[[#This Row],[售价]]&lt;10000,"高价商品","超高价商品")))</f>
        <v>高价商品</v>
      </c>
    </row>
    <row r="3705" spans="1:14" x14ac:dyDescent="0.2">
      <c r="A3705">
        <v>517</v>
      </c>
      <c r="B3705">
        <v>78</v>
      </c>
      <c r="C3705" t="s">
        <v>17</v>
      </c>
      <c r="D3705" t="s">
        <v>255</v>
      </c>
      <c r="E3705" t="s">
        <v>31</v>
      </c>
      <c r="F3705">
        <v>4</v>
      </c>
      <c r="G3705" t="s">
        <v>13</v>
      </c>
      <c r="H3705" s="1">
        <v>45998.80972222222</v>
      </c>
      <c r="I3705" s="5">
        <f>INT(TB[[#This Row],[时间戳]])</f>
        <v>45998</v>
      </c>
      <c r="J3705" s="2">
        <f>HOUR(TB[[#This Row],[时间戳]])</f>
        <v>19</v>
      </c>
      <c r="K3705">
        <v>495</v>
      </c>
      <c r="L3705">
        <v>3</v>
      </c>
      <c r="M3705">
        <f>TB[[#This Row],[售价]]*TB[[#This Row],[销量]]</f>
        <v>1485</v>
      </c>
      <c r="N3705" t="str">
        <f>IF(TB[[#This Row],[售价]]&lt;1000,"低价商品",IF(TB[[#This Row],[售价]]&lt;5000,"中价商品",IF(TB[[#This Row],[售价]]&lt;10000,"高价商品","超高价商品")))</f>
        <v>低价商品</v>
      </c>
    </row>
    <row r="3706" spans="1:14" x14ac:dyDescent="0.2">
      <c r="A3706">
        <v>687</v>
      </c>
      <c r="B3706">
        <v>245</v>
      </c>
      <c r="C3706" t="s">
        <v>17</v>
      </c>
      <c r="D3706" t="s">
        <v>354</v>
      </c>
      <c r="E3706" t="s">
        <v>16</v>
      </c>
      <c r="F3706">
        <v>6</v>
      </c>
      <c r="G3706" t="s">
        <v>13</v>
      </c>
      <c r="H3706" s="1">
        <v>45998.863888888889</v>
      </c>
      <c r="I3706" s="5">
        <f>INT(TB[[#This Row],[时间戳]])</f>
        <v>45998</v>
      </c>
      <c r="J3706" s="2">
        <f>HOUR(TB[[#This Row],[时间戳]])</f>
        <v>20</v>
      </c>
      <c r="K3706">
        <v>9762</v>
      </c>
      <c r="L3706">
        <v>1</v>
      </c>
      <c r="M3706">
        <f>TB[[#This Row],[售价]]*TB[[#This Row],[销量]]</f>
        <v>9762</v>
      </c>
      <c r="N3706" t="str">
        <f>IF(TB[[#This Row],[售价]]&lt;1000,"低价商品",IF(TB[[#This Row],[售价]]&lt;5000,"中价商品",IF(TB[[#This Row],[售价]]&lt;10000,"高价商品","超高价商品")))</f>
        <v>高价商品</v>
      </c>
    </row>
    <row r="3707" spans="1:14" x14ac:dyDescent="0.2">
      <c r="A3707">
        <v>45</v>
      </c>
      <c r="B3707">
        <v>182</v>
      </c>
      <c r="C3707" t="s">
        <v>10</v>
      </c>
      <c r="D3707" t="s">
        <v>247</v>
      </c>
      <c r="E3707" t="s">
        <v>31</v>
      </c>
      <c r="F3707">
        <v>4</v>
      </c>
      <c r="G3707" t="s">
        <v>13</v>
      </c>
      <c r="H3707" s="1">
        <v>45998.90347222222</v>
      </c>
      <c r="I3707" s="5">
        <f>INT(TB[[#This Row],[时间戳]])</f>
        <v>45998</v>
      </c>
      <c r="J3707" s="2">
        <f>HOUR(TB[[#This Row],[时间戳]])</f>
        <v>21</v>
      </c>
      <c r="K3707">
        <v>1500</v>
      </c>
      <c r="L3707">
        <v>4</v>
      </c>
      <c r="M3707">
        <f>TB[[#This Row],[售价]]*TB[[#This Row],[销量]]</f>
        <v>6000</v>
      </c>
      <c r="N3707" t="str">
        <f>IF(TB[[#This Row],[售价]]&lt;1000,"低价商品",IF(TB[[#This Row],[售价]]&lt;5000,"中价商品",IF(TB[[#This Row],[售价]]&lt;10000,"高价商品","超高价商品")))</f>
        <v>中价商品</v>
      </c>
    </row>
    <row r="3708" spans="1:14" x14ac:dyDescent="0.2">
      <c r="A3708">
        <v>91</v>
      </c>
      <c r="B3708">
        <v>298</v>
      </c>
      <c r="C3708" t="s">
        <v>14</v>
      </c>
      <c r="D3708" t="s">
        <v>145</v>
      </c>
      <c r="E3708" t="s">
        <v>22</v>
      </c>
      <c r="F3708">
        <v>1</v>
      </c>
      <c r="G3708" t="s">
        <v>13</v>
      </c>
      <c r="H3708" s="1">
        <v>45998.928472222222</v>
      </c>
      <c r="I3708" s="5">
        <f>INT(TB[[#This Row],[时间戳]])</f>
        <v>45998</v>
      </c>
      <c r="J3708" s="2">
        <f>HOUR(TB[[#This Row],[时间戳]])</f>
        <v>22</v>
      </c>
      <c r="K3708">
        <v>3043</v>
      </c>
      <c r="L3708">
        <v>3</v>
      </c>
      <c r="M3708">
        <f>TB[[#This Row],[售价]]*TB[[#This Row],[销量]]</f>
        <v>9129</v>
      </c>
      <c r="N3708" t="str">
        <f>IF(TB[[#This Row],[售价]]&lt;1000,"低价商品",IF(TB[[#This Row],[售价]]&lt;5000,"中价商品",IF(TB[[#This Row],[售价]]&lt;10000,"高价商品","超高价商品")))</f>
        <v>中价商品</v>
      </c>
    </row>
    <row r="3709" spans="1:14" x14ac:dyDescent="0.2">
      <c r="A3709">
        <v>46</v>
      </c>
      <c r="B3709">
        <v>254</v>
      </c>
      <c r="C3709" t="s">
        <v>34</v>
      </c>
      <c r="D3709" t="s">
        <v>165</v>
      </c>
      <c r="E3709" t="s">
        <v>39</v>
      </c>
      <c r="F3709">
        <v>5</v>
      </c>
      <c r="G3709" t="s">
        <v>42</v>
      </c>
      <c r="H3709" s="1">
        <v>45998.93472222222</v>
      </c>
      <c r="I3709" s="5">
        <f>INT(TB[[#This Row],[时间戳]])</f>
        <v>45998</v>
      </c>
      <c r="J3709" s="2">
        <f>HOUR(TB[[#This Row],[时间戳]])</f>
        <v>22</v>
      </c>
      <c r="K3709">
        <v>2391</v>
      </c>
      <c r="L3709">
        <v>0</v>
      </c>
      <c r="M3709">
        <f>TB[[#This Row],[售价]]*TB[[#This Row],[销量]]</f>
        <v>0</v>
      </c>
      <c r="N3709" t="str">
        <f>IF(TB[[#This Row],[售价]]&lt;1000,"低价商品",IF(TB[[#This Row],[售价]]&lt;5000,"中价商品",IF(TB[[#This Row],[售价]]&lt;10000,"高价商品","超高价商品")))</f>
        <v>中价商品</v>
      </c>
    </row>
    <row r="3710" spans="1:14" x14ac:dyDescent="0.2">
      <c r="A3710">
        <v>500</v>
      </c>
      <c r="B3710">
        <v>146</v>
      </c>
      <c r="C3710" t="s">
        <v>32</v>
      </c>
      <c r="D3710" t="s">
        <v>208</v>
      </c>
      <c r="E3710" t="s">
        <v>12</v>
      </c>
      <c r="F3710">
        <v>2</v>
      </c>
      <c r="G3710" t="s">
        <v>13</v>
      </c>
      <c r="H3710" s="1">
        <v>45998.94027777778</v>
      </c>
      <c r="I3710" s="5">
        <f>INT(TB[[#This Row],[时间戳]])</f>
        <v>45998</v>
      </c>
      <c r="J3710" s="2">
        <f>HOUR(TB[[#This Row],[时间戳]])</f>
        <v>22</v>
      </c>
      <c r="K3710">
        <v>13169</v>
      </c>
      <c r="L3710">
        <v>1</v>
      </c>
      <c r="M3710">
        <f>TB[[#This Row],[售价]]*TB[[#This Row],[销量]]</f>
        <v>13169</v>
      </c>
      <c r="N3710" t="str">
        <f>IF(TB[[#This Row],[售价]]&lt;1000,"低价商品",IF(TB[[#This Row],[售价]]&lt;5000,"中价商品",IF(TB[[#This Row],[售价]]&lt;10000,"高价商品","超高价商品")))</f>
        <v>超高价商品</v>
      </c>
    </row>
    <row r="3711" spans="1:14" x14ac:dyDescent="0.2">
      <c r="A3711">
        <v>741</v>
      </c>
      <c r="B3711">
        <v>194</v>
      </c>
      <c r="C3711" t="s">
        <v>32</v>
      </c>
      <c r="D3711" t="s">
        <v>148</v>
      </c>
      <c r="E3711" t="s">
        <v>16</v>
      </c>
      <c r="F3711">
        <v>6</v>
      </c>
      <c r="G3711" t="s">
        <v>13</v>
      </c>
      <c r="H3711" s="1">
        <v>45999.001388888886</v>
      </c>
      <c r="I3711" s="5">
        <f>INT(TB[[#This Row],[时间戳]])</f>
        <v>45999</v>
      </c>
      <c r="J3711" s="2">
        <f>HOUR(TB[[#This Row],[时间戳]])</f>
        <v>0</v>
      </c>
      <c r="K3711">
        <v>11148</v>
      </c>
      <c r="L3711">
        <v>2</v>
      </c>
      <c r="M3711">
        <f>TB[[#This Row],[售价]]*TB[[#This Row],[销量]]</f>
        <v>22296</v>
      </c>
      <c r="N3711" t="str">
        <f>IF(TB[[#This Row],[售价]]&lt;1000,"低价商品",IF(TB[[#This Row],[售价]]&lt;5000,"中价商品",IF(TB[[#This Row],[售价]]&lt;10000,"高价商品","超高价商品")))</f>
        <v>超高价商品</v>
      </c>
    </row>
    <row r="3712" spans="1:14" x14ac:dyDescent="0.2">
      <c r="A3712">
        <v>675</v>
      </c>
      <c r="B3712">
        <v>204</v>
      </c>
      <c r="C3712" t="s">
        <v>44</v>
      </c>
      <c r="D3712" t="s">
        <v>60</v>
      </c>
      <c r="E3712" t="s">
        <v>12</v>
      </c>
      <c r="F3712">
        <v>2</v>
      </c>
      <c r="G3712" t="s">
        <v>42</v>
      </c>
      <c r="H3712" s="1">
        <v>45999.001388888886</v>
      </c>
      <c r="I3712" s="5">
        <f>INT(TB[[#This Row],[时间戳]])</f>
        <v>45999</v>
      </c>
      <c r="J3712" s="2">
        <f>HOUR(TB[[#This Row],[时间戳]])</f>
        <v>0</v>
      </c>
      <c r="K3712">
        <v>9654</v>
      </c>
      <c r="L3712">
        <v>0</v>
      </c>
      <c r="M3712">
        <f>TB[[#This Row],[售价]]*TB[[#This Row],[销量]]</f>
        <v>0</v>
      </c>
      <c r="N3712" t="str">
        <f>IF(TB[[#This Row],[售价]]&lt;1000,"低价商品",IF(TB[[#This Row],[售价]]&lt;5000,"中价商品",IF(TB[[#This Row],[售价]]&lt;10000,"高价商品","超高价商品")))</f>
        <v>高价商品</v>
      </c>
    </row>
    <row r="3713" spans="1:14" x14ac:dyDescent="0.2">
      <c r="A3713">
        <v>432</v>
      </c>
      <c r="B3713">
        <v>145</v>
      </c>
      <c r="C3713" t="s">
        <v>10</v>
      </c>
      <c r="D3713" t="s">
        <v>189</v>
      </c>
      <c r="E3713" t="s">
        <v>22</v>
      </c>
      <c r="F3713">
        <v>1</v>
      </c>
      <c r="G3713" t="s">
        <v>13</v>
      </c>
      <c r="H3713" s="1">
        <v>45999.025000000001</v>
      </c>
      <c r="I3713" s="5">
        <f>INT(TB[[#This Row],[时间戳]])</f>
        <v>45999</v>
      </c>
      <c r="J3713" s="2">
        <f>HOUR(TB[[#This Row],[时间戳]])</f>
        <v>0</v>
      </c>
      <c r="K3713">
        <v>2437</v>
      </c>
      <c r="L3713">
        <v>2</v>
      </c>
      <c r="M3713">
        <f>TB[[#This Row],[售价]]*TB[[#This Row],[销量]]</f>
        <v>4874</v>
      </c>
      <c r="N3713" t="str">
        <f>IF(TB[[#This Row],[售价]]&lt;1000,"低价商品",IF(TB[[#This Row],[售价]]&lt;5000,"中价商品",IF(TB[[#This Row],[售价]]&lt;10000,"高价商品","超高价商品")))</f>
        <v>中价商品</v>
      </c>
    </row>
    <row r="3714" spans="1:14" x14ac:dyDescent="0.2">
      <c r="A3714">
        <v>255</v>
      </c>
      <c r="B3714">
        <v>136</v>
      </c>
      <c r="C3714" t="s">
        <v>17</v>
      </c>
      <c r="D3714" t="s">
        <v>191</v>
      </c>
      <c r="E3714" t="s">
        <v>39</v>
      </c>
      <c r="F3714">
        <v>5</v>
      </c>
      <c r="G3714" t="s">
        <v>13</v>
      </c>
      <c r="H3714" s="1">
        <v>45999.047222222223</v>
      </c>
      <c r="I3714" s="5">
        <f>INT(TB[[#This Row],[时间戳]])</f>
        <v>45999</v>
      </c>
      <c r="J3714" s="2">
        <f>HOUR(TB[[#This Row],[时间戳]])</f>
        <v>1</v>
      </c>
      <c r="K3714">
        <v>3289</v>
      </c>
      <c r="L3714">
        <v>3</v>
      </c>
      <c r="M3714">
        <f>TB[[#This Row],[售价]]*TB[[#This Row],[销量]]</f>
        <v>9867</v>
      </c>
      <c r="N3714" t="str">
        <f>IF(TB[[#This Row],[售价]]&lt;1000,"低价商品",IF(TB[[#This Row],[售价]]&lt;5000,"中价商品",IF(TB[[#This Row],[售价]]&lt;10000,"高价商品","超高价商品")))</f>
        <v>中价商品</v>
      </c>
    </row>
    <row r="3715" spans="1:14" x14ac:dyDescent="0.2">
      <c r="A3715">
        <v>464</v>
      </c>
      <c r="B3715">
        <v>262</v>
      </c>
      <c r="C3715" t="s">
        <v>10</v>
      </c>
      <c r="D3715" t="s">
        <v>329</v>
      </c>
      <c r="E3715" t="s">
        <v>39</v>
      </c>
      <c r="F3715">
        <v>5</v>
      </c>
      <c r="G3715" t="s">
        <v>13</v>
      </c>
      <c r="H3715" s="1">
        <v>45999.06527777778</v>
      </c>
      <c r="I3715" s="5">
        <f>INT(TB[[#This Row],[时间戳]])</f>
        <v>45999</v>
      </c>
      <c r="J3715" s="2">
        <f>HOUR(TB[[#This Row],[时间戳]])</f>
        <v>1</v>
      </c>
      <c r="K3715">
        <v>3324</v>
      </c>
      <c r="L3715">
        <v>1</v>
      </c>
      <c r="M3715">
        <f>TB[[#This Row],[售价]]*TB[[#This Row],[销量]]</f>
        <v>3324</v>
      </c>
      <c r="N3715" t="str">
        <f>IF(TB[[#This Row],[售价]]&lt;1000,"低价商品",IF(TB[[#This Row],[售价]]&lt;5000,"中价商品",IF(TB[[#This Row],[售价]]&lt;10000,"高价商品","超高价商品")))</f>
        <v>中价商品</v>
      </c>
    </row>
    <row r="3716" spans="1:14" x14ac:dyDescent="0.2">
      <c r="A3716">
        <v>12</v>
      </c>
      <c r="B3716">
        <v>79</v>
      </c>
      <c r="C3716" t="s">
        <v>14</v>
      </c>
      <c r="D3716" t="s">
        <v>99</v>
      </c>
      <c r="E3716" t="s">
        <v>39</v>
      </c>
      <c r="F3716">
        <v>5</v>
      </c>
      <c r="G3716" t="s">
        <v>13</v>
      </c>
      <c r="H3716" s="1">
        <v>45999.15</v>
      </c>
      <c r="I3716" s="5">
        <f>INT(TB[[#This Row],[时间戳]])</f>
        <v>45999</v>
      </c>
      <c r="J3716" s="2">
        <f>HOUR(TB[[#This Row],[时间戳]])</f>
        <v>3</v>
      </c>
      <c r="K3716">
        <v>1956</v>
      </c>
      <c r="L3716">
        <v>1</v>
      </c>
      <c r="M3716">
        <f>TB[[#This Row],[售价]]*TB[[#This Row],[销量]]</f>
        <v>1956</v>
      </c>
      <c r="N3716" t="str">
        <f>IF(TB[[#This Row],[售价]]&lt;1000,"低价商品",IF(TB[[#This Row],[售价]]&lt;5000,"中价商品",IF(TB[[#This Row],[售价]]&lt;10000,"高价商品","超高价商品")))</f>
        <v>中价商品</v>
      </c>
    </row>
    <row r="3717" spans="1:14" x14ac:dyDescent="0.2">
      <c r="A3717">
        <v>146</v>
      </c>
      <c r="B3717">
        <v>82</v>
      </c>
      <c r="C3717" t="s">
        <v>14</v>
      </c>
      <c r="D3717" t="s">
        <v>207</v>
      </c>
      <c r="E3717" t="s">
        <v>25</v>
      </c>
      <c r="F3717">
        <v>7</v>
      </c>
      <c r="G3717" t="s">
        <v>13</v>
      </c>
      <c r="H3717" s="1">
        <v>45999.156944444447</v>
      </c>
      <c r="I3717" s="5">
        <f>INT(TB[[#This Row],[时间戳]])</f>
        <v>45999</v>
      </c>
      <c r="J3717" s="2">
        <f>HOUR(TB[[#This Row],[时间戳]])</f>
        <v>3</v>
      </c>
      <c r="K3717">
        <v>6067</v>
      </c>
      <c r="L3717">
        <v>4</v>
      </c>
      <c r="M3717">
        <f>TB[[#This Row],[售价]]*TB[[#This Row],[销量]]</f>
        <v>24268</v>
      </c>
      <c r="N3717" t="str">
        <f>IF(TB[[#This Row],[售价]]&lt;1000,"低价商品",IF(TB[[#This Row],[售价]]&lt;5000,"中价商品",IF(TB[[#This Row],[售价]]&lt;10000,"高价商品","超高价商品")))</f>
        <v>高价商品</v>
      </c>
    </row>
    <row r="3718" spans="1:14" x14ac:dyDescent="0.2">
      <c r="A3718">
        <v>282</v>
      </c>
      <c r="B3718">
        <v>278</v>
      </c>
      <c r="C3718" t="s">
        <v>32</v>
      </c>
      <c r="D3718" t="s">
        <v>326</v>
      </c>
      <c r="E3718" t="s">
        <v>19</v>
      </c>
      <c r="F3718">
        <v>3</v>
      </c>
      <c r="G3718" t="s">
        <v>13</v>
      </c>
      <c r="H3718" s="1">
        <v>45999.164583333331</v>
      </c>
      <c r="I3718" s="5">
        <f>INT(TB[[#This Row],[时间戳]])</f>
        <v>45999</v>
      </c>
      <c r="J3718" s="2">
        <f>HOUR(TB[[#This Row],[时间戳]])</f>
        <v>3</v>
      </c>
      <c r="K3718">
        <v>4508</v>
      </c>
      <c r="L3718">
        <v>3</v>
      </c>
      <c r="M3718">
        <f>TB[[#This Row],[售价]]*TB[[#This Row],[销量]]</f>
        <v>13524</v>
      </c>
      <c r="N3718" t="str">
        <f>IF(TB[[#This Row],[售价]]&lt;1000,"低价商品",IF(TB[[#This Row],[售价]]&lt;5000,"中价商品",IF(TB[[#This Row],[售价]]&lt;10000,"高价商品","超高价商品")))</f>
        <v>中价商品</v>
      </c>
    </row>
    <row r="3719" spans="1:14" x14ac:dyDescent="0.2">
      <c r="A3719">
        <v>588</v>
      </c>
      <c r="B3719">
        <v>114</v>
      </c>
      <c r="C3719" t="s">
        <v>10</v>
      </c>
      <c r="D3719" t="s">
        <v>294</v>
      </c>
      <c r="E3719" t="s">
        <v>31</v>
      </c>
      <c r="F3719">
        <v>4</v>
      </c>
      <c r="G3719" t="s">
        <v>42</v>
      </c>
      <c r="H3719" s="1">
        <v>45999.165972222225</v>
      </c>
      <c r="I3719" s="5">
        <f>INT(TB[[#This Row],[时间戳]])</f>
        <v>45999</v>
      </c>
      <c r="J3719" s="2">
        <f>HOUR(TB[[#This Row],[时间戳]])</f>
        <v>3</v>
      </c>
      <c r="K3719">
        <v>1033</v>
      </c>
      <c r="L3719">
        <v>0</v>
      </c>
      <c r="M3719">
        <f>TB[[#This Row],[售价]]*TB[[#This Row],[销量]]</f>
        <v>0</v>
      </c>
      <c r="N3719" t="str">
        <f>IF(TB[[#This Row],[售价]]&lt;1000,"低价商品",IF(TB[[#This Row],[售价]]&lt;5000,"中价商品",IF(TB[[#This Row],[售价]]&lt;10000,"高价商品","超高价商品")))</f>
        <v>中价商品</v>
      </c>
    </row>
    <row r="3720" spans="1:14" x14ac:dyDescent="0.2">
      <c r="A3720">
        <v>714</v>
      </c>
      <c r="B3720">
        <v>257</v>
      </c>
      <c r="C3720" t="s">
        <v>17</v>
      </c>
      <c r="D3720" t="s">
        <v>255</v>
      </c>
      <c r="E3720" t="s">
        <v>31</v>
      </c>
      <c r="F3720">
        <v>4</v>
      </c>
      <c r="G3720" t="s">
        <v>13</v>
      </c>
      <c r="H3720" s="1">
        <v>45999.177083333336</v>
      </c>
      <c r="I3720" s="5">
        <f>INT(TB[[#This Row],[时间戳]])</f>
        <v>45999</v>
      </c>
      <c r="J3720" s="2">
        <f>HOUR(TB[[#This Row],[时间戳]])</f>
        <v>4</v>
      </c>
      <c r="K3720">
        <v>667</v>
      </c>
      <c r="L3720">
        <v>2</v>
      </c>
      <c r="M3720">
        <f>TB[[#This Row],[售价]]*TB[[#This Row],[销量]]</f>
        <v>1334</v>
      </c>
      <c r="N3720" t="str">
        <f>IF(TB[[#This Row],[售价]]&lt;1000,"低价商品",IF(TB[[#This Row],[售价]]&lt;5000,"中价商品",IF(TB[[#This Row],[售价]]&lt;10000,"高价商品","超高价商品")))</f>
        <v>低价商品</v>
      </c>
    </row>
    <row r="3721" spans="1:14" x14ac:dyDescent="0.2">
      <c r="A3721">
        <v>141</v>
      </c>
      <c r="B3721">
        <v>133</v>
      </c>
      <c r="C3721" t="s">
        <v>10</v>
      </c>
      <c r="D3721" t="s">
        <v>312</v>
      </c>
      <c r="E3721" t="s">
        <v>12</v>
      </c>
      <c r="F3721">
        <v>2</v>
      </c>
      <c r="G3721" t="s">
        <v>13</v>
      </c>
      <c r="H3721" s="1">
        <v>45999.182638888888</v>
      </c>
      <c r="I3721" s="5">
        <f>INT(TB[[#This Row],[时间戳]])</f>
        <v>45999</v>
      </c>
      <c r="J3721" s="2">
        <f>HOUR(TB[[#This Row],[时间戳]])</f>
        <v>4</v>
      </c>
      <c r="K3721">
        <v>7848</v>
      </c>
      <c r="L3721">
        <v>2</v>
      </c>
      <c r="M3721">
        <f>TB[[#This Row],[售价]]*TB[[#This Row],[销量]]</f>
        <v>15696</v>
      </c>
      <c r="N3721" t="str">
        <f>IF(TB[[#This Row],[售价]]&lt;1000,"低价商品",IF(TB[[#This Row],[售价]]&lt;5000,"中价商品",IF(TB[[#This Row],[售价]]&lt;10000,"高价商品","超高价商品")))</f>
        <v>高价商品</v>
      </c>
    </row>
    <row r="3722" spans="1:14" x14ac:dyDescent="0.2">
      <c r="A3722">
        <v>456</v>
      </c>
      <c r="B3722">
        <v>295</v>
      </c>
      <c r="C3722" t="s">
        <v>26</v>
      </c>
      <c r="D3722" t="s">
        <v>364</v>
      </c>
      <c r="E3722" t="s">
        <v>39</v>
      </c>
      <c r="F3722">
        <v>5</v>
      </c>
      <c r="G3722" t="s">
        <v>13</v>
      </c>
      <c r="H3722" s="1">
        <v>45999.19027777778</v>
      </c>
      <c r="I3722" s="5">
        <f>INT(TB[[#This Row],[时间戳]])</f>
        <v>45999</v>
      </c>
      <c r="J3722" s="2">
        <f>HOUR(TB[[#This Row],[时间戳]])</f>
        <v>4</v>
      </c>
      <c r="K3722">
        <v>2463</v>
      </c>
      <c r="L3722">
        <v>1</v>
      </c>
      <c r="M3722">
        <f>TB[[#This Row],[售价]]*TB[[#This Row],[销量]]</f>
        <v>2463</v>
      </c>
      <c r="N3722" t="str">
        <f>IF(TB[[#This Row],[售价]]&lt;1000,"低价商品",IF(TB[[#This Row],[售价]]&lt;5000,"中价商品",IF(TB[[#This Row],[售价]]&lt;10000,"高价商品","超高价商品")))</f>
        <v>中价商品</v>
      </c>
    </row>
    <row r="3723" spans="1:14" x14ac:dyDescent="0.2">
      <c r="A3723">
        <v>65</v>
      </c>
      <c r="B3723">
        <v>46</v>
      </c>
      <c r="C3723" t="s">
        <v>10</v>
      </c>
      <c r="D3723" t="s">
        <v>189</v>
      </c>
      <c r="E3723" t="s">
        <v>22</v>
      </c>
      <c r="F3723">
        <v>1</v>
      </c>
      <c r="G3723" t="s">
        <v>13</v>
      </c>
      <c r="H3723" s="1">
        <v>45999.223611111112</v>
      </c>
      <c r="I3723" s="5">
        <f>INT(TB[[#This Row],[时间戳]])</f>
        <v>45999</v>
      </c>
      <c r="J3723" s="2">
        <f>HOUR(TB[[#This Row],[时间戳]])</f>
        <v>5</v>
      </c>
      <c r="K3723">
        <v>1575</v>
      </c>
      <c r="L3723">
        <v>2</v>
      </c>
      <c r="M3723">
        <f>TB[[#This Row],[售价]]*TB[[#This Row],[销量]]</f>
        <v>3150</v>
      </c>
      <c r="N3723" t="str">
        <f>IF(TB[[#This Row],[售价]]&lt;1000,"低价商品",IF(TB[[#This Row],[售价]]&lt;5000,"中价商品",IF(TB[[#This Row],[售价]]&lt;10000,"高价商品","超高价商品")))</f>
        <v>中价商品</v>
      </c>
    </row>
    <row r="3724" spans="1:14" x14ac:dyDescent="0.2">
      <c r="A3724">
        <v>601</v>
      </c>
      <c r="B3724">
        <v>128</v>
      </c>
      <c r="C3724" t="s">
        <v>32</v>
      </c>
      <c r="D3724" t="s">
        <v>58</v>
      </c>
      <c r="E3724" t="s">
        <v>31</v>
      </c>
      <c r="F3724">
        <v>4</v>
      </c>
      <c r="G3724" t="s">
        <v>13</v>
      </c>
      <c r="H3724" s="1">
        <v>45999.273611111108</v>
      </c>
      <c r="I3724" s="5">
        <f>INT(TB[[#This Row],[时间戳]])</f>
        <v>45999</v>
      </c>
      <c r="J3724" s="2">
        <f>HOUR(TB[[#This Row],[时间戳]])</f>
        <v>6</v>
      </c>
      <c r="K3724">
        <v>501</v>
      </c>
      <c r="L3724">
        <v>2</v>
      </c>
      <c r="M3724">
        <f>TB[[#This Row],[售价]]*TB[[#This Row],[销量]]</f>
        <v>1002</v>
      </c>
      <c r="N3724" t="str">
        <f>IF(TB[[#This Row],[售价]]&lt;1000,"低价商品",IF(TB[[#This Row],[售价]]&lt;5000,"中价商品",IF(TB[[#This Row],[售价]]&lt;10000,"高价商品","超高价商品")))</f>
        <v>低价商品</v>
      </c>
    </row>
    <row r="3725" spans="1:14" x14ac:dyDescent="0.2">
      <c r="A3725">
        <v>210</v>
      </c>
      <c r="B3725">
        <v>209</v>
      </c>
      <c r="C3725" t="s">
        <v>46</v>
      </c>
      <c r="D3725" t="s">
        <v>341</v>
      </c>
      <c r="E3725" t="s">
        <v>31</v>
      </c>
      <c r="F3725">
        <v>4</v>
      </c>
      <c r="G3725" t="s">
        <v>13</v>
      </c>
      <c r="H3725" s="1">
        <v>45999.277777777781</v>
      </c>
      <c r="I3725" s="5">
        <f>INT(TB[[#This Row],[时间戳]])</f>
        <v>45999</v>
      </c>
      <c r="J3725" s="2">
        <f>HOUR(TB[[#This Row],[时间戳]])</f>
        <v>6</v>
      </c>
      <c r="K3725">
        <v>920</v>
      </c>
      <c r="L3725">
        <v>1</v>
      </c>
      <c r="M3725">
        <f>TB[[#This Row],[售价]]*TB[[#This Row],[销量]]</f>
        <v>920</v>
      </c>
      <c r="N3725" t="str">
        <f>IF(TB[[#This Row],[售价]]&lt;1000,"低价商品",IF(TB[[#This Row],[售价]]&lt;5000,"中价商品",IF(TB[[#This Row],[售价]]&lt;10000,"高价商品","超高价商品")))</f>
        <v>低价商品</v>
      </c>
    </row>
    <row r="3726" spans="1:14" x14ac:dyDescent="0.2">
      <c r="A3726">
        <v>737</v>
      </c>
      <c r="B3726">
        <v>209</v>
      </c>
      <c r="C3726" t="s">
        <v>32</v>
      </c>
      <c r="D3726" t="s">
        <v>110</v>
      </c>
      <c r="E3726" t="s">
        <v>25</v>
      </c>
      <c r="F3726">
        <v>7</v>
      </c>
      <c r="G3726" t="s">
        <v>13</v>
      </c>
      <c r="H3726" s="1">
        <v>45999.286111111112</v>
      </c>
      <c r="I3726" s="5">
        <f>INT(TB[[#This Row],[时间戳]])</f>
        <v>45999</v>
      </c>
      <c r="J3726" s="2">
        <f>HOUR(TB[[#This Row],[时间戳]])</f>
        <v>6</v>
      </c>
      <c r="K3726">
        <v>2303</v>
      </c>
      <c r="L3726">
        <v>4</v>
      </c>
      <c r="M3726">
        <f>TB[[#This Row],[售价]]*TB[[#This Row],[销量]]</f>
        <v>9212</v>
      </c>
      <c r="N3726" t="str">
        <f>IF(TB[[#This Row],[售价]]&lt;1000,"低价商品",IF(TB[[#This Row],[售价]]&lt;5000,"中价商品",IF(TB[[#This Row],[售价]]&lt;10000,"高价商品","超高价商品")))</f>
        <v>中价商品</v>
      </c>
    </row>
    <row r="3727" spans="1:14" x14ac:dyDescent="0.2">
      <c r="A3727">
        <v>45</v>
      </c>
      <c r="B3727">
        <v>131</v>
      </c>
      <c r="C3727" t="s">
        <v>26</v>
      </c>
      <c r="D3727" t="s">
        <v>27</v>
      </c>
      <c r="E3727" t="s">
        <v>22</v>
      </c>
      <c r="F3727">
        <v>1</v>
      </c>
      <c r="G3727" t="s">
        <v>13</v>
      </c>
      <c r="H3727" s="1">
        <v>45999.334722222222</v>
      </c>
      <c r="I3727" s="5">
        <f>INT(TB[[#This Row],[时间戳]])</f>
        <v>45999</v>
      </c>
      <c r="J3727" s="2">
        <f>HOUR(TB[[#This Row],[时间戳]])</f>
        <v>8</v>
      </c>
      <c r="K3727">
        <v>1000</v>
      </c>
      <c r="L3727">
        <v>2</v>
      </c>
      <c r="M3727">
        <f>TB[[#This Row],[售价]]*TB[[#This Row],[销量]]</f>
        <v>2000</v>
      </c>
      <c r="N3727" t="str">
        <f>IF(TB[[#This Row],[售价]]&lt;1000,"低价商品",IF(TB[[#This Row],[售价]]&lt;5000,"中价商品",IF(TB[[#This Row],[售价]]&lt;10000,"高价商品","超高价商品")))</f>
        <v>中价商品</v>
      </c>
    </row>
    <row r="3728" spans="1:14" x14ac:dyDescent="0.2">
      <c r="A3728">
        <v>411</v>
      </c>
      <c r="B3728">
        <v>171</v>
      </c>
      <c r="C3728" t="s">
        <v>20</v>
      </c>
      <c r="D3728" t="s">
        <v>206</v>
      </c>
      <c r="E3728" t="s">
        <v>19</v>
      </c>
      <c r="F3728">
        <v>3</v>
      </c>
      <c r="G3728" t="s">
        <v>13</v>
      </c>
      <c r="H3728" s="1">
        <v>45999.336111111108</v>
      </c>
      <c r="I3728" s="5">
        <f>INT(TB[[#This Row],[时间戳]])</f>
        <v>45999</v>
      </c>
      <c r="J3728" s="2">
        <f>HOUR(TB[[#This Row],[时间戳]])</f>
        <v>8</v>
      </c>
      <c r="K3728">
        <v>4215</v>
      </c>
      <c r="L3728">
        <v>3</v>
      </c>
      <c r="M3728">
        <f>TB[[#This Row],[售价]]*TB[[#This Row],[销量]]</f>
        <v>12645</v>
      </c>
      <c r="N3728" t="str">
        <f>IF(TB[[#This Row],[售价]]&lt;1000,"低价商品",IF(TB[[#This Row],[售价]]&lt;5000,"中价商品",IF(TB[[#This Row],[售价]]&lt;10000,"高价商品","超高价商品")))</f>
        <v>中价商品</v>
      </c>
    </row>
    <row r="3729" spans="1:14" x14ac:dyDescent="0.2">
      <c r="A3729">
        <v>769</v>
      </c>
      <c r="B3729">
        <v>155</v>
      </c>
      <c r="C3729" t="s">
        <v>34</v>
      </c>
      <c r="D3729" t="s">
        <v>86</v>
      </c>
      <c r="E3729" t="s">
        <v>12</v>
      </c>
      <c r="F3729">
        <v>2</v>
      </c>
      <c r="G3729" t="s">
        <v>13</v>
      </c>
      <c r="H3729" s="1">
        <v>45999.337500000001</v>
      </c>
      <c r="I3729" s="5">
        <f>INT(TB[[#This Row],[时间戳]])</f>
        <v>45999</v>
      </c>
      <c r="J3729" s="2">
        <f>HOUR(TB[[#This Row],[时间戳]])</f>
        <v>8</v>
      </c>
      <c r="K3729">
        <v>4243</v>
      </c>
      <c r="L3729">
        <v>3</v>
      </c>
      <c r="M3729">
        <f>TB[[#This Row],[售价]]*TB[[#This Row],[销量]]</f>
        <v>12729</v>
      </c>
      <c r="N3729" t="str">
        <f>IF(TB[[#This Row],[售价]]&lt;1000,"低价商品",IF(TB[[#This Row],[售价]]&lt;5000,"中价商品",IF(TB[[#This Row],[售价]]&lt;10000,"高价商品","超高价商品")))</f>
        <v>中价商品</v>
      </c>
    </row>
    <row r="3730" spans="1:14" x14ac:dyDescent="0.2">
      <c r="A3730">
        <v>632</v>
      </c>
      <c r="B3730">
        <v>50</v>
      </c>
      <c r="C3730" t="s">
        <v>36</v>
      </c>
      <c r="D3730" t="s">
        <v>386</v>
      </c>
      <c r="E3730" t="s">
        <v>22</v>
      </c>
      <c r="F3730">
        <v>1</v>
      </c>
      <c r="G3730" t="s">
        <v>13</v>
      </c>
      <c r="H3730" s="1">
        <v>45999.34097222222</v>
      </c>
      <c r="I3730" s="5">
        <f>INT(TB[[#This Row],[时间戳]])</f>
        <v>45999</v>
      </c>
      <c r="J3730" s="2">
        <f>HOUR(TB[[#This Row],[时间戳]])</f>
        <v>8</v>
      </c>
      <c r="K3730">
        <v>4933</v>
      </c>
      <c r="L3730">
        <v>3</v>
      </c>
      <c r="M3730">
        <f>TB[[#This Row],[售价]]*TB[[#This Row],[销量]]</f>
        <v>14799</v>
      </c>
      <c r="N3730" t="str">
        <f>IF(TB[[#This Row],[售价]]&lt;1000,"低价商品",IF(TB[[#This Row],[售价]]&lt;5000,"中价商品",IF(TB[[#This Row],[售价]]&lt;10000,"高价商品","超高价商品")))</f>
        <v>中价商品</v>
      </c>
    </row>
    <row r="3731" spans="1:14" x14ac:dyDescent="0.2">
      <c r="A3731">
        <v>714</v>
      </c>
      <c r="B3731">
        <v>149</v>
      </c>
      <c r="C3731" t="s">
        <v>10</v>
      </c>
      <c r="D3731" t="s">
        <v>41</v>
      </c>
      <c r="E3731" t="s">
        <v>22</v>
      </c>
      <c r="F3731">
        <v>1</v>
      </c>
      <c r="G3731" t="s">
        <v>13</v>
      </c>
      <c r="H3731" s="1">
        <v>45999.357638888891</v>
      </c>
      <c r="I3731" s="5">
        <f>INT(TB[[#This Row],[时间戳]])</f>
        <v>45999</v>
      </c>
      <c r="J3731" s="2">
        <f>HOUR(TB[[#This Row],[时间戳]])</f>
        <v>8</v>
      </c>
      <c r="K3731">
        <v>4475</v>
      </c>
      <c r="L3731">
        <v>1</v>
      </c>
      <c r="M3731">
        <f>TB[[#This Row],[售价]]*TB[[#This Row],[销量]]</f>
        <v>4475</v>
      </c>
      <c r="N3731" t="str">
        <f>IF(TB[[#This Row],[售价]]&lt;1000,"低价商品",IF(TB[[#This Row],[售价]]&lt;5000,"中价商品",IF(TB[[#This Row],[售价]]&lt;10000,"高价商品","超高价商品")))</f>
        <v>中价商品</v>
      </c>
    </row>
    <row r="3732" spans="1:14" x14ac:dyDescent="0.2">
      <c r="A3732">
        <v>412</v>
      </c>
      <c r="B3732">
        <v>33</v>
      </c>
      <c r="C3732" t="s">
        <v>46</v>
      </c>
      <c r="D3732" t="s">
        <v>217</v>
      </c>
      <c r="E3732" t="s">
        <v>19</v>
      </c>
      <c r="F3732">
        <v>3</v>
      </c>
      <c r="G3732" t="s">
        <v>42</v>
      </c>
      <c r="H3732" s="1">
        <v>45999.36041666667</v>
      </c>
      <c r="I3732" s="5">
        <f>INT(TB[[#This Row],[时间戳]])</f>
        <v>45999</v>
      </c>
      <c r="J3732" s="2">
        <f>HOUR(TB[[#This Row],[时间戳]])</f>
        <v>8</v>
      </c>
      <c r="K3732">
        <v>3555</v>
      </c>
      <c r="L3732">
        <v>0</v>
      </c>
      <c r="M3732">
        <f>TB[[#This Row],[售价]]*TB[[#This Row],[销量]]</f>
        <v>0</v>
      </c>
      <c r="N3732" t="str">
        <f>IF(TB[[#This Row],[售价]]&lt;1000,"低价商品",IF(TB[[#This Row],[售价]]&lt;5000,"中价商品",IF(TB[[#This Row],[售价]]&lt;10000,"高价商品","超高价商品")))</f>
        <v>中价商品</v>
      </c>
    </row>
    <row r="3733" spans="1:14" x14ac:dyDescent="0.2">
      <c r="A3733">
        <v>791</v>
      </c>
      <c r="B3733">
        <v>265</v>
      </c>
      <c r="C3733" t="s">
        <v>44</v>
      </c>
      <c r="D3733" t="s">
        <v>243</v>
      </c>
      <c r="E3733" t="s">
        <v>31</v>
      </c>
      <c r="F3733">
        <v>4</v>
      </c>
      <c r="G3733" t="s">
        <v>13</v>
      </c>
      <c r="H3733" s="1">
        <v>45999.424305555556</v>
      </c>
      <c r="I3733" s="5">
        <f>INT(TB[[#This Row],[时间戳]])</f>
        <v>45999</v>
      </c>
      <c r="J3733" s="2">
        <f>HOUR(TB[[#This Row],[时间戳]])</f>
        <v>10</v>
      </c>
      <c r="K3733">
        <v>1198</v>
      </c>
      <c r="L3733">
        <v>1</v>
      </c>
      <c r="M3733">
        <f>TB[[#This Row],[售价]]*TB[[#This Row],[销量]]</f>
        <v>1198</v>
      </c>
      <c r="N3733" t="str">
        <f>IF(TB[[#This Row],[售价]]&lt;1000,"低价商品",IF(TB[[#This Row],[售价]]&lt;5000,"中价商品",IF(TB[[#This Row],[售价]]&lt;10000,"高价商品","超高价商品")))</f>
        <v>中价商品</v>
      </c>
    </row>
    <row r="3734" spans="1:14" x14ac:dyDescent="0.2">
      <c r="A3734">
        <v>552</v>
      </c>
      <c r="B3734">
        <v>294</v>
      </c>
      <c r="C3734" t="s">
        <v>36</v>
      </c>
      <c r="D3734" t="s">
        <v>54</v>
      </c>
      <c r="E3734" t="s">
        <v>12</v>
      </c>
      <c r="F3734">
        <v>2</v>
      </c>
      <c r="G3734" t="s">
        <v>13</v>
      </c>
      <c r="H3734" s="1">
        <v>45999.43472222222</v>
      </c>
      <c r="I3734" s="5">
        <f>INT(TB[[#This Row],[时间戳]])</f>
        <v>45999</v>
      </c>
      <c r="J3734" s="2">
        <f>HOUR(TB[[#This Row],[时间戳]])</f>
        <v>10</v>
      </c>
      <c r="K3734">
        <v>6235</v>
      </c>
      <c r="L3734">
        <v>2</v>
      </c>
      <c r="M3734">
        <f>TB[[#This Row],[售价]]*TB[[#This Row],[销量]]</f>
        <v>12470</v>
      </c>
      <c r="N3734" t="str">
        <f>IF(TB[[#This Row],[售价]]&lt;1000,"低价商品",IF(TB[[#This Row],[售价]]&lt;5000,"中价商品",IF(TB[[#This Row],[售价]]&lt;10000,"高价商品","超高价商品")))</f>
        <v>高价商品</v>
      </c>
    </row>
    <row r="3735" spans="1:14" x14ac:dyDescent="0.2">
      <c r="A3735">
        <v>555</v>
      </c>
      <c r="B3735">
        <v>2</v>
      </c>
      <c r="C3735" t="s">
        <v>10</v>
      </c>
      <c r="D3735" t="s">
        <v>294</v>
      </c>
      <c r="E3735" t="s">
        <v>31</v>
      </c>
      <c r="F3735">
        <v>4</v>
      </c>
      <c r="G3735" t="s">
        <v>13</v>
      </c>
      <c r="H3735" s="1">
        <v>45999.447916666664</v>
      </c>
      <c r="I3735" s="5">
        <f>INT(TB[[#This Row],[时间戳]])</f>
        <v>45999</v>
      </c>
      <c r="J3735" s="2">
        <f>HOUR(TB[[#This Row],[时间戳]])</f>
        <v>10</v>
      </c>
      <c r="K3735">
        <v>1291</v>
      </c>
      <c r="L3735">
        <v>1</v>
      </c>
      <c r="M3735">
        <f>TB[[#This Row],[售价]]*TB[[#This Row],[销量]]</f>
        <v>1291</v>
      </c>
      <c r="N3735" t="str">
        <f>IF(TB[[#This Row],[售价]]&lt;1000,"低价商品",IF(TB[[#This Row],[售价]]&lt;5000,"中价商品",IF(TB[[#This Row],[售价]]&lt;10000,"高价商品","超高价商品")))</f>
        <v>中价商品</v>
      </c>
    </row>
    <row r="3736" spans="1:14" x14ac:dyDescent="0.2">
      <c r="A3736">
        <v>100</v>
      </c>
      <c r="B3736">
        <v>140</v>
      </c>
      <c r="C3736" t="s">
        <v>20</v>
      </c>
      <c r="D3736" t="s">
        <v>120</v>
      </c>
      <c r="E3736" t="s">
        <v>22</v>
      </c>
      <c r="F3736">
        <v>1</v>
      </c>
      <c r="G3736" t="s">
        <v>13</v>
      </c>
      <c r="H3736" s="1">
        <v>45999.452777777777</v>
      </c>
      <c r="I3736" s="5">
        <f>INT(TB[[#This Row],[时间戳]])</f>
        <v>45999</v>
      </c>
      <c r="J3736" s="2">
        <f>HOUR(TB[[#This Row],[时间戳]])</f>
        <v>10</v>
      </c>
      <c r="K3736">
        <v>4318</v>
      </c>
      <c r="L3736">
        <v>1</v>
      </c>
      <c r="M3736">
        <f>TB[[#This Row],[售价]]*TB[[#This Row],[销量]]</f>
        <v>4318</v>
      </c>
      <c r="N3736" t="str">
        <f>IF(TB[[#This Row],[售价]]&lt;1000,"低价商品",IF(TB[[#This Row],[售价]]&lt;5000,"中价商品",IF(TB[[#This Row],[售价]]&lt;10000,"高价商品","超高价商品")))</f>
        <v>中价商品</v>
      </c>
    </row>
    <row r="3737" spans="1:14" x14ac:dyDescent="0.2">
      <c r="A3737">
        <v>530</v>
      </c>
      <c r="B3737">
        <v>54</v>
      </c>
      <c r="C3737" t="s">
        <v>36</v>
      </c>
      <c r="D3737" t="s">
        <v>185</v>
      </c>
      <c r="E3737" t="s">
        <v>12</v>
      </c>
      <c r="F3737">
        <v>2</v>
      </c>
      <c r="G3737" t="s">
        <v>13</v>
      </c>
      <c r="H3737" s="1">
        <v>45999.464583333334</v>
      </c>
      <c r="I3737" s="5">
        <f>INT(TB[[#This Row],[时间戳]])</f>
        <v>45999</v>
      </c>
      <c r="J3737" s="2">
        <f>HOUR(TB[[#This Row],[时间戳]])</f>
        <v>11</v>
      </c>
      <c r="K3737">
        <v>5330</v>
      </c>
      <c r="L3737">
        <v>4</v>
      </c>
      <c r="M3737">
        <f>TB[[#This Row],[售价]]*TB[[#This Row],[销量]]</f>
        <v>21320</v>
      </c>
      <c r="N3737" t="str">
        <f>IF(TB[[#This Row],[售价]]&lt;1000,"低价商品",IF(TB[[#This Row],[售价]]&lt;5000,"中价商品",IF(TB[[#This Row],[售价]]&lt;10000,"高价商品","超高价商品")))</f>
        <v>高价商品</v>
      </c>
    </row>
    <row r="3738" spans="1:14" x14ac:dyDescent="0.2">
      <c r="A3738">
        <v>404</v>
      </c>
      <c r="B3738">
        <v>193</v>
      </c>
      <c r="C3738" t="s">
        <v>46</v>
      </c>
      <c r="D3738" t="s">
        <v>231</v>
      </c>
      <c r="E3738" t="s">
        <v>16</v>
      </c>
      <c r="F3738">
        <v>6</v>
      </c>
      <c r="G3738" t="s">
        <v>13</v>
      </c>
      <c r="H3738" s="1">
        <v>45999.484722222223</v>
      </c>
      <c r="I3738" s="5">
        <f>INT(TB[[#This Row],[时间戳]])</f>
        <v>45999</v>
      </c>
      <c r="J3738" s="2">
        <f>HOUR(TB[[#This Row],[时间戳]])</f>
        <v>11</v>
      </c>
      <c r="K3738">
        <v>5677</v>
      </c>
      <c r="L3738">
        <v>2</v>
      </c>
      <c r="M3738">
        <f>TB[[#This Row],[售价]]*TB[[#This Row],[销量]]</f>
        <v>11354</v>
      </c>
      <c r="N3738" t="str">
        <f>IF(TB[[#This Row],[售价]]&lt;1000,"低价商品",IF(TB[[#This Row],[售价]]&lt;5000,"中价商品",IF(TB[[#This Row],[售价]]&lt;10000,"高价商品","超高价商品")))</f>
        <v>高价商品</v>
      </c>
    </row>
    <row r="3739" spans="1:14" x14ac:dyDescent="0.2">
      <c r="A3739">
        <v>680</v>
      </c>
      <c r="B3739">
        <v>276</v>
      </c>
      <c r="C3739" t="s">
        <v>17</v>
      </c>
      <c r="D3739" t="s">
        <v>50</v>
      </c>
      <c r="E3739" t="s">
        <v>22</v>
      </c>
      <c r="F3739">
        <v>1</v>
      </c>
      <c r="G3739" t="s">
        <v>42</v>
      </c>
      <c r="H3739" s="1">
        <v>45999.510416666664</v>
      </c>
      <c r="I3739" s="5">
        <f>INT(TB[[#This Row],[时间戳]])</f>
        <v>45999</v>
      </c>
      <c r="J3739" s="2">
        <f>HOUR(TB[[#This Row],[时间戳]])</f>
        <v>12</v>
      </c>
      <c r="K3739">
        <v>3250</v>
      </c>
      <c r="L3739">
        <v>0</v>
      </c>
      <c r="M3739">
        <f>TB[[#This Row],[售价]]*TB[[#This Row],[销量]]</f>
        <v>0</v>
      </c>
      <c r="N3739" t="str">
        <f>IF(TB[[#This Row],[售价]]&lt;1000,"低价商品",IF(TB[[#This Row],[售价]]&lt;5000,"中价商品",IF(TB[[#This Row],[售价]]&lt;10000,"高价商品","超高价商品")))</f>
        <v>中价商品</v>
      </c>
    </row>
    <row r="3740" spans="1:14" x14ac:dyDescent="0.2">
      <c r="A3740">
        <v>714</v>
      </c>
      <c r="B3740">
        <v>282</v>
      </c>
      <c r="C3740" t="s">
        <v>46</v>
      </c>
      <c r="D3740" t="s">
        <v>47</v>
      </c>
      <c r="E3740" t="s">
        <v>22</v>
      </c>
      <c r="F3740">
        <v>1</v>
      </c>
      <c r="G3740" t="s">
        <v>13</v>
      </c>
      <c r="H3740" s="1">
        <v>45999.536111111112</v>
      </c>
      <c r="I3740" s="5">
        <f>INT(TB[[#This Row],[时间戳]])</f>
        <v>45999</v>
      </c>
      <c r="J3740" s="2">
        <f>HOUR(TB[[#This Row],[时间戳]])</f>
        <v>12</v>
      </c>
      <c r="K3740">
        <v>5984</v>
      </c>
      <c r="L3740">
        <v>2</v>
      </c>
      <c r="M3740">
        <f>TB[[#This Row],[售价]]*TB[[#This Row],[销量]]</f>
        <v>11968</v>
      </c>
      <c r="N3740" t="str">
        <f>IF(TB[[#This Row],[售价]]&lt;1000,"低价商品",IF(TB[[#This Row],[售价]]&lt;5000,"中价商品",IF(TB[[#This Row],[售价]]&lt;10000,"高价商品","超高价商品")))</f>
        <v>高价商品</v>
      </c>
    </row>
    <row r="3741" spans="1:14" x14ac:dyDescent="0.2">
      <c r="A3741">
        <v>581</v>
      </c>
      <c r="B3741">
        <v>160</v>
      </c>
      <c r="C3741" t="s">
        <v>20</v>
      </c>
      <c r="D3741" t="s">
        <v>261</v>
      </c>
      <c r="E3741" t="s">
        <v>22</v>
      </c>
      <c r="F3741">
        <v>1</v>
      </c>
      <c r="G3741" t="s">
        <v>13</v>
      </c>
      <c r="H3741" s="1">
        <v>45999.552083333336</v>
      </c>
      <c r="I3741" s="5">
        <f>INT(TB[[#This Row],[时间戳]])</f>
        <v>45999</v>
      </c>
      <c r="J3741" s="2">
        <f>HOUR(TB[[#This Row],[时间戳]])</f>
        <v>13</v>
      </c>
      <c r="K3741">
        <v>4566</v>
      </c>
      <c r="L3741">
        <v>1</v>
      </c>
      <c r="M3741">
        <f>TB[[#This Row],[售价]]*TB[[#This Row],[销量]]</f>
        <v>4566</v>
      </c>
      <c r="N3741" t="str">
        <f>IF(TB[[#This Row],[售价]]&lt;1000,"低价商品",IF(TB[[#This Row],[售价]]&lt;5000,"中价商品",IF(TB[[#This Row],[售价]]&lt;10000,"高价商品","超高价商品")))</f>
        <v>中价商品</v>
      </c>
    </row>
    <row r="3742" spans="1:14" x14ac:dyDescent="0.2">
      <c r="A3742">
        <v>268</v>
      </c>
      <c r="B3742">
        <v>161</v>
      </c>
      <c r="C3742" t="s">
        <v>34</v>
      </c>
      <c r="D3742" t="s">
        <v>203</v>
      </c>
      <c r="E3742" t="s">
        <v>16</v>
      </c>
      <c r="F3742">
        <v>6</v>
      </c>
      <c r="G3742" t="s">
        <v>13</v>
      </c>
      <c r="H3742" s="1">
        <v>45999.595138888886</v>
      </c>
      <c r="I3742" s="5">
        <f>INT(TB[[#This Row],[时间戳]])</f>
        <v>45999</v>
      </c>
      <c r="J3742" s="2">
        <f>HOUR(TB[[#This Row],[时间戳]])</f>
        <v>14</v>
      </c>
      <c r="K3742">
        <v>3446</v>
      </c>
      <c r="L3742">
        <v>1</v>
      </c>
      <c r="M3742">
        <f>TB[[#This Row],[售价]]*TB[[#This Row],[销量]]</f>
        <v>3446</v>
      </c>
      <c r="N3742" t="str">
        <f>IF(TB[[#This Row],[售价]]&lt;1000,"低价商品",IF(TB[[#This Row],[售价]]&lt;5000,"中价商品",IF(TB[[#This Row],[售价]]&lt;10000,"高价商品","超高价商品")))</f>
        <v>中价商品</v>
      </c>
    </row>
    <row r="3743" spans="1:14" x14ac:dyDescent="0.2">
      <c r="A3743">
        <v>629</v>
      </c>
      <c r="B3743">
        <v>70</v>
      </c>
      <c r="C3743" t="s">
        <v>14</v>
      </c>
      <c r="D3743" t="s">
        <v>30</v>
      </c>
      <c r="E3743" t="s">
        <v>31</v>
      </c>
      <c r="F3743">
        <v>4</v>
      </c>
      <c r="G3743" t="s">
        <v>42</v>
      </c>
      <c r="H3743" s="1">
        <v>45999.626388888886</v>
      </c>
      <c r="I3743" s="5">
        <f>INT(TB[[#This Row],[时间戳]])</f>
        <v>45999</v>
      </c>
      <c r="J3743" s="2">
        <f>HOUR(TB[[#This Row],[时间戳]])</f>
        <v>15</v>
      </c>
      <c r="K3743">
        <v>1226</v>
      </c>
      <c r="L3743">
        <v>0</v>
      </c>
      <c r="M3743">
        <f>TB[[#This Row],[售价]]*TB[[#This Row],[销量]]</f>
        <v>0</v>
      </c>
      <c r="N3743" t="str">
        <f>IF(TB[[#This Row],[售价]]&lt;1000,"低价商品",IF(TB[[#This Row],[售价]]&lt;5000,"中价商品",IF(TB[[#This Row],[售价]]&lt;10000,"高价商品","超高价商品")))</f>
        <v>中价商品</v>
      </c>
    </row>
    <row r="3744" spans="1:14" x14ac:dyDescent="0.2">
      <c r="A3744">
        <v>704</v>
      </c>
      <c r="B3744">
        <v>245</v>
      </c>
      <c r="C3744" t="s">
        <v>26</v>
      </c>
      <c r="D3744" t="s">
        <v>131</v>
      </c>
      <c r="E3744" t="s">
        <v>22</v>
      </c>
      <c r="F3744">
        <v>1</v>
      </c>
      <c r="G3744" t="s">
        <v>13</v>
      </c>
      <c r="H3744" s="1">
        <v>45999.652083333334</v>
      </c>
      <c r="I3744" s="5">
        <f>INT(TB[[#This Row],[时间戳]])</f>
        <v>45999</v>
      </c>
      <c r="J3744" s="2">
        <f>HOUR(TB[[#This Row],[时间戳]])</f>
        <v>15</v>
      </c>
      <c r="K3744">
        <v>7023</v>
      </c>
      <c r="L3744">
        <v>2</v>
      </c>
      <c r="M3744">
        <f>TB[[#This Row],[售价]]*TB[[#This Row],[销量]]</f>
        <v>14046</v>
      </c>
      <c r="N3744" t="str">
        <f>IF(TB[[#This Row],[售价]]&lt;1000,"低价商品",IF(TB[[#This Row],[售价]]&lt;5000,"中价商品",IF(TB[[#This Row],[售价]]&lt;10000,"高价商品","超高价商品")))</f>
        <v>高价商品</v>
      </c>
    </row>
    <row r="3745" spans="1:14" x14ac:dyDescent="0.2">
      <c r="A3745">
        <v>360</v>
      </c>
      <c r="B3745">
        <v>59</v>
      </c>
      <c r="C3745" t="s">
        <v>17</v>
      </c>
      <c r="D3745" t="s">
        <v>370</v>
      </c>
      <c r="E3745" t="s">
        <v>31</v>
      </c>
      <c r="F3745">
        <v>4</v>
      </c>
      <c r="G3745" t="s">
        <v>13</v>
      </c>
      <c r="H3745" s="1">
        <v>45999.65347222222</v>
      </c>
      <c r="I3745" s="5">
        <f>INT(TB[[#This Row],[时间戳]])</f>
        <v>45999</v>
      </c>
      <c r="J3745" s="2">
        <f>HOUR(TB[[#This Row],[时间戳]])</f>
        <v>15</v>
      </c>
      <c r="K3745">
        <v>715</v>
      </c>
      <c r="L3745">
        <v>4</v>
      </c>
      <c r="M3745">
        <f>TB[[#This Row],[售价]]*TB[[#This Row],[销量]]</f>
        <v>2860</v>
      </c>
      <c r="N3745" t="str">
        <f>IF(TB[[#This Row],[售价]]&lt;1000,"低价商品",IF(TB[[#This Row],[售价]]&lt;5000,"中价商品",IF(TB[[#This Row],[售价]]&lt;10000,"高价商品","超高价商品")))</f>
        <v>低价商品</v>
      </c>
    </row>
    <row r="3746" spans="1:14" x14ac:dyDescent="0.2">
      <c r="A3746">
        <v>700</v>
      </c>
      <c r="B3746">
        <v>32</v>
      </c>
      <c r="C3746" t="s">
        <v>14</v>
      </c>
      <c r="D3746" t="s">
        <v>405</v>
      </c>
      <c r="E3746" t="s">
        <v>19</v>
      </c>
      <c r="F3746">
        <v>3</v>
      </c>
      <c r="G3746" t="s">
        <v>13</v>
      </c>
      <c r="H3746" s="1">
        <v>45999.65347222222</v>
      </c>
      <c r="I3746" s="5">
        <f>INT(TB[[#This Row],[时间戳]])</f>
        <v>45999</v>
      </c>
      <c r="J3746" s="2">
        <f>HOUR(TB[[#This Row],[时间戳]])</f>
        <v>15</v>
      </c>
      <c r="K3746">
        <v>2118</v>
      </c>
      <c r="L3746">
        <v>4</v>
      </c>
      <c r="M3746">
        <f>TB[[#This Row],[售价]]*TB[[#This Row],[销量]]</f>
        <v>8472</v>
      </c>
      <c r="N3746" t="str">
        <f>IF(TB[[#This Row],[售价]]&lt;1000,"低价商品",IF(TB[[#This Row],[售价]]&lt;5000,"中价商品",IF(TB[[#This Row],[售价]]&lt;10000,"高价商品","超高价商品")))</f>
        <v>中价商品</v>
      </c>
    </row>
    <row r="3747" spans="1:14" x14ac:dyDescent="0.2">
      <c r="A3747">
        <v>405</v>
      </c>
      <c r="B3747">
        <v>107</v>
      </c>
      <c r="C3747" t="s">
        <v>20</v>
      </c>
      <c r="D3747" t="s">
        <v>21</v>
      </c>
      <c r="E3747" t="s">
        <v>22</v>
      </c>
      <c r="F3747">
        <v>1</v>
      </c>
      <c r="G3747" t="s">
        <v>13</v>
      </c>
      <c r="H3747" s="1">
        <v>45999.657638888886</v>
      </c>
      <c r="I3747" s="5">
        <f>INT(TB[[#This Row],[时间戳]])</f>
        <v>45999</v>
      </c>
      <c r="J3747" s="2">
        <f>HOUR(TB[[#This Row],[时间戳]])</f>
        <v>15</v>
      </c>
      <c r="K3747">
        <v>2965</v>
      </c>
      <c r="L3747">
        <v>2</v>
      </c>
      <c r="M3747">
        <f>TB[[#This Row],[售价]]*TB[[#This Row],[销量]]</f>
        <v>5930</v>
      </c>
      <c r="N3747" t="str">
        <f>IF(TB[[#This Row],[售价]]&lt;1000,"低价商品",IF(TB[[#This Row],[售价]]&lt;5000,"中价商品",IF(TB[[#This Row],[售价]]&lt;10000,"高价商品","超高价商品")))</f>
        <v>中价商品</v>
      </c>
    </row>
    <row r="3748" spans="1:14" x14ac:dyDescent="0.2">
      <c r="A3748">
        <v>727</v>
      </c>
      <c r="B3748">
        <v>65</v>
      </c>
      <c r="C3748" t="s">
        <v>32</v>
      </c>
      <c r="D3748" t="s">
        <v>335</v>
      </c>
      <c r="E3748" t="s">
        <v>12</v>
      </c>
      <c r="F3748">
        <v>2</v>
      </c>
      <c r="G3748" t="s">
        <v>13</v>
      </c>
      <c r="H3748" s="1">
        <v>45999.677777777775</v>
      </c>
      <c r="I3748" s="5">
        <f>INT(TB[[#This Row],[时间戳]])</f>
        <v>45999</v>
      </c>
      <c r="J3748" s="2">
        <f>HOUR(TB[[#This Row],[时间戳]])</f>
        <v>16</v>
      </c>
      <c r="K3748">
        <v>10861</v>
      </c>
      <c r="L3748">
        <v>5</v>
      </c>
      <c r="M3748">
        <f>TB[[#This Row],[售价]]*TB[[#This Row],[销量]]</f>
        <v>54305</v>
      </c>
      <c r="N3748" t="str">
        <f>IF(TB[[#This Row],[售价]]&lt;1000,"低价商品",IF(TB[[#This Row],[售价]]&lt;5000,"中价商品",IF(TB[[#This Row],[售价]]&lt;10000,"高价商品","超高价商品")))</f>
        <v>超高价商品</v>
      </c>
    </row>
    <row r="3749" spans="1:14" x14ac:dyDescent="0.2">
      <c r="A3749">
        <v>336</v>
      </c>
      <c r="B3749">
        <v>191</v>
      </c>
      <c r="C3749" t="s">
        <v>46</v>
      </c>
      <c r="D3749" t="s">
        <v>104</v>
      </c>
      <c r="E3749" t="s">
        <v>12</v>
      </c>
      <c r="F3749">
        <v>2</v>
      </c>
      <c r="G3749" t="s">
        <v>42</v>
      </c>
      <c r="H3749" s="1">
        <v>45999.6875</v>
      </c>
      <c r="I3749" s="5">
        <f>INT(TB[[#This Row],[时间戳]])</f>
        <v>45999</v>
      </c>
      <c r="J3749" s="2">
        <f>HOUR(TB[[#This Row],[时间戳]])</f>
        <v>16</v>
      </c>
      <c r="K3749">
        <v>5701</v>
      </c>
      <c r="L3749">
        <v>0</v>
      </c>
      <c r="M3749">
        <f>TB[[#This Row],[售价]]*TB[[#This Row],[销量]]</f>
        <v>0</v>
      </c>
      <c r="N3749" t="str">
        <f>IF(TB[[#This Row],[售价]]&lt;1000,"低价商品",IF(TB[[#This Row],[售价]]&lt;5000,"中价商品",IF(TB[[#This Row],[售价]]&lt;10000,"高价商品","超高价商品")))</f>
        <v>高价商品</v>
      </c>
    </row>
    <row r="3750" spans="1:14" x14ac:dyDescent="0.2">
      <c r="A3750">
        <v>8</v>
      </c>
      <c r="B3750">
        <v>26</v>
      </c>
      <c r="C3750" t="s">
        <v>17</v>
      </c>
      <c r="D3750" t="s">
        <v>137</v>
      </c>
      <c r="E3750" t="s">
        <v>31</v>
      </c>
      <c r="F3750">
        <v>4</v>
      </c>
      <c r="G3750" t="s">
        <v>13</v>
      </c>
      <c r="H3750" s="1">
        <v>45999.697222222225</v>
      </c>
      <c r="I3750" s="5">
        <f>INT(TB[[#This Row],[时间戳]])</f>
        <v>45999</v>
      </c>
      <c r="J3750" s="2">
        <f>HOUR(TB[[#This Row],[时间戳]])</f>
        <v>16</v>
      </c>
      <c r="K3750">
        <v>1105</v>
      </c>
      <c r="L3750">
        <v>3</v>
      </c>
      <c r="M3750">
        <f>TB[[#This Row],[售价]]*TB[[#This Row],[销量]]</f>
        <v>3315</v>
      </c>
      <c r="N3750" t="str">
        <f>IF(TB[[#This Row],[售价]]&lt;1000,"低价商品",IF(TB[[#This Row],[售价]]&lt;5000,"中价商品",IF(TB[[#This Row],[售价]]&lt;10000,"高价商品","超高价商品")))</f>
        <v>中价商品</v>
      </c>
    </row>
    <row r="3751" spans="1:14" x14ac:dyDescent="0.2">
      <c r="A3751">
        <v>140</v>
      </c>
      <c r="B3751">
        <v>153</v>
      </c>
      <c r="C3751" t="s">
        <v>46</v>
      </c>
      <c r="D3751" t="s">
        <v>260</v>
      </c>
      <c r="E3751" t="s">
        <v>22</v>
      </c>
      <c r="F3751">
        <v>1</v>
      </c>
      <c r="G3751" t="s">
        <v>13</v>
      </c>
      <c r="H3751" s="1">
        <v>45999.736805555556</v>
      </c>
      <c r="I3751" s="5">
        <f>INT(TB[[#This Row],[时间戳]])</f>
        <v>45999</v>
      </c>
      <c r="J3751" s="2">
        <f>HOUR(TB[[#This Row],[时间戳]])</f>
        <v>17</v>
      </c>
      <c r="K3751">
        <v>1306</v>
      </c>
      <c r="L3751">
        <v>3</v>
      </c>
      <c r="M3751">
        <f>TB[[#This Row],[售价]]*TB[[#This Row],[销量]]</f>
        <v>3918</v>
      </c>
      <c r="N3751" t="str">
        <f>IF(TB[[#This Row],[售价]]&lt;1000,"低价商品",IF(TB[[#This Row],[售价]]&lt;5000,"中价商品",IF(TB[[#This Row],[售价]]&lt;10000,"高价商品","超高价商品")))</f>
        <v>中价商品</v>
      </c>
    </row>
    <row r="3752" spans="1:14" x14ac:dyDescent="0.2">
      <c r="A3752">
        <v>49</v>
      </c>
      <c r="B3752">
        <v>151</v>
      </c>
      <c r="C3752" t="s">
        <v>36</v>
      </c>
      <c r="D3752" t="s">
        <v>238</v>
      </c>
      <c r="E3752" t="s">
        <v>12</v>
      </c>
      <c r="F3752">
        <v>2</v>
      </c>
      <c r="G3752" t="s">
        <v>13</v>
      </c>
      <c r="H3752" s="1">
        <v>45999.77847222222</v>
      </c>
      <c r="I3752" s="5">
        <f>INT(TB[[#This Row],[时间戳]])</f>
        <v>45999</v>
      </c>
      <c r="J3752" s="2">
        <f>HOUR(TB[[#This Row],[时间戳]])</f>
        <v>18</v>
      </c>
      <c r="K3752">
        <v>12786</v>
      </c>
      <c r="L3752">
        <v>3</v>
      </c>
      <c r="M3752">
        <f>TB[[#This Row],[售价]]*TB[[#This Row],[销量]]</f>
        <v>38358</v>
      </c>
      <c r="N3752" t="str">
        <f>IF(TB[[#This Row],[售价]]&lt;1000,"低价商品",IF(TB[[#This Row],[售价]]&lt;5000,"中价商品",IF(TB[[#This Row],[售价]]&lt;10000,"高价商品","超高价商品")))</f>
        <v>超高价商品</v>
      </c>
    </row>
    <row r="3753" spans="1:14" x14ac:dyDescent="0.2">
      <c r="A3753">
        <v>571</v>
      </c>
      <c r="B3753">
        <v>223</v>
      </c>
      <c r="C3753" t="s">
        <v>36</v>
      </c>
      <c r="D3753" t="s">
        <v>162</v>
      </c>
      <c r="E3753" t="s">
        <v>25</v>
      </c>
      <c r="F3753">
        <v>7</v>
      </c>
      <c r="G3753" t="s">
        <v>13</v>
      </c>
      <c r="H3753" s="1">
        <v>45999.822916666664</v>
      </c>
      <c r="I3753" s="5">
        <f>INT(TB[[#This Row],[时间戳]])</f>
        <v>45999</v>
      </c>
      <c r="J3753" s="2">
        <f>HOUR(TB[[#This Row],[时间戳]])</f>
        <v>19</v>
      </c>
      <c r="K3753">
        <v>4574</v>
      </c>
      <c r="L3753">
        <v>2</v>
      </c>
      <c r="M3753">
        <f>TB[[#This Row],[售价]]*TB[[#This Row],[销量]]</f>
        <v>9148</v>
      </c>
      <c r="N3753" t="str">
        <f>IF(TB[[#This Row],[售价]]&lt;1000,"低价商品",IF(TB[[#This Row],[售价]]&lt;5000,"中价商品",IF(TB[[#This Row],[售价]]&lt;10000,"高价商品","超高价商品")))</f>
        <v>中价商品</v>
      </c>
    </row>
    <row r="3754" spans="1:14" x14ac:dyDescent="0.2">
      <c r="A3754">
        <v>335</v>
      </c>
      <c r="B3754">
        <v>224</v>
      </c>
      <c r="C3754" t="s">
        <v>17</v>
      </c>
      <c r="D3754" t="s">
        <v>28</v>
      </c>
      <c r="E3754" t="s">
        <v>12</v>
      </c>
      <c r="F3754">
        <v>2</v>
      </c>
      <c r="G3754" t="s">
        <v>42</v>
      </c>
      <c r="H3754" s="1">
        <v>45999.829861111109</v>
      </c>
      <c r="I3754" s="5">
        <f>INT(TB[[#This Row],[时间戳]])</f>
        <v>45999</v>
      </c>
      <c r="J3754" s="2">
        <f>HOUR(TB[[#This Row],[时间戳]])</f>
        <v>19</v>
      </c>
      <c r="K3754">
        <v>11121</v>
      </c>
      <c r="L3754">
        <v>0</v>
      </c>
      <c r="M3754">
        <f>TB[[#This Row],[售价]]*TB[[#This Row],[销量]]</f>
        <v>0</v>
      </c>
      <c r="N3754" t="str">
        <f>IF(TB[[#This Row],[售价]]&lt;1000,"低价商品",IF(TB[[#This Row],[售价]]&lt;5000,"中价商品",IF(TB[[#This Row],[售价]]&lt;10000,"高价商品","超高价商品")))</f>
        <v>超高价商品</v>
      </c>
    </row>
    <row r="3755" spans="1:14" x14ac:dyDescent="0.2">
      <c r="A3755">
        <v>323</v>
      </c>
      <c r="B3755">
        <v>217</v>
      </c>
      <c r="C3755" t="s">
        <v>10</v>
      </c>
      <c r="D3755" t="s">
        <v>96</v>
      </c>
      <c r="E3755" t="s">
        <v>22</v>
      </c>
      <c r="F3755">
        <v>1</v>
      </c>
      <c r="G3755" t="s">
        <v>13</v>
      </c>
      <c r="H3755" s="1">
        <v>45999.851388888892</v>
      </c>
      <c r="I3755" s="5">
        <f>INT(TB[[#This Row],[时间戳]])</f>
        <v>45999</v>
      </c>
      <c r="J3755" s="2">
        <f>HOUR(TB[[#This Row],[时间戳]])</f>
        <v>20</v>
      </c>
      <c r="K3755">
        <v>3029</v>
      </c>
      <c r="L3755">
        <v>3</v>
      </c>
      <c r="M3755">
        <f>TB[[#This Row],[售价]]*TB[[#This Row],[销量]]</f>
        <v>9087</v>
      </c>
      <c r="N3755" t="str">
        <f>IF(TB[[#This Row],[售价]]&lt;1000,"低价商品",IF(TB[[#This Row],[售价]]&lt;5000,"中价商品",IF(TB[[#This Row],[售价]]&lt;10000,"高价商品","超高价商品")))</f>
        <v>中价商品</v>
      </c>
    </row>
    <row r="3756" spans="1:14" x14ac:dyDescent="0.2">
      <c r="A3756">
        <v>551</v>
      </c>
      <c r="B3756">
        <v>15</v>
      </c>
      <c r="C3756" t="s">
        <v>44</v>
      </c>
      <c r="D3756" t="s">
        <v>132</v>
      </c>
      <c r="E3756" t="s">
        <v>22</v>
      </c>
      <c r="F3756">
        <v>1</v>
      </c>
      <c r="G3756" t="s">
        <v>42</v>
      </c>
      <c r="H3756" s="1">
        <v>45999.856944444444</v>
      </c>
      <c r="I3756" s="5">
        <f>INT(TB[[#This Row],[时间戳]])</f>
        <v>45999</v>
      </c>
      <c r="J3756" s="2">
        <f>HOUR(TB[[#This Row],[时间戳]])</f>
        <v>20</v>
      </c>
      <c r="K3756">
        <v>4033</v>
      </c>
      <c r="L3756">
        <v>0</v>
      </c>
      <c r="M3756">
        <f>TB[[#This Row],[售价]]*TB[[#This Row],[销量]]</f>
        <v>0</v>
      </c>
      <c r="N3756" t="str">
        <f>IF(TB[[#This Row],[售价]]&lt;1000,"低价商品",IF(TB[[#This Row],[售价]]&lt;5000,"中价商品",IF(TB[[#This Row],[售价]]&lt;10000,"高价商品","超高价商品")))</f>
        <v>中价商品</v>
      </c>
    </row>
    <row r="3757" spans="1:14" x14ac:dyDescent="0.2">
      <c r="A3757">
        <v>227</v>
      </c>
      <c r="B3757">
        <v>99</v>
      </c>
      <c r="C3757" t="s">
        <v>36</v>
      </c>
      <c r="D3757" t="s">
        <v>210</v>
      </c>
      <c r="E3757" t="s">
        <v>31</v>
      </c>
      <c r="F3757">
        <v>4</v>
      </c>
      <c r="G3757" t="s">
        <v>13</v>
      </c>
      <c r="H3757" s="1">
        <v>45999.861111111109</v>
      </c>
      <c r="I3757" s="5">
        <f>INT(TB[[#This Row],[时间戳]])</f>
        <v>45999</v>
      </c>
      <c r="J3757" s="2">
        <f>HOUR(TB[[#This Row],[时间戳]])</f>
        <v>20</v>
      </c>
      <c r="K3757">
        <v>1249</v>
      </c>
      <c r="L3757">
        <v>1</v>
      </c>
      <c r="M3757">
        <f>TB[[#This Row],[售价]]*TB[[#This Row],[销量]]</f>
        <v>1249</v>
      </c>
      <c r="N3757" t="str">
        <f>IF(TB[[#This Row],[售价]]&lt;1000,"低价商品",IF(TB[[#This Row],[售价]]&lt;5000,"中价商品",IF(TB[[#This Row],[售价]]&lt;10000,"高价商品","超高价商品")))</f>
        <v>中价商品</v>
      </c>
    </row>
    <row r="3758" spans="1:14" x14ac:dyDescent="0.2">
      <c r="A3758">
        <v>436</v>
      </c>
      <c r="B3758">
        <v>67</v>
      </c>
      <c r="C3758" t="s">
        <v>46</v>
      </c>
      <c r="D3758" t="s">
        <v>359</v>
      </c>
      <c r="E3758" t="s">
        <v>25</v>
      </c>
      <c r="F3758">
        <v>7</v>
      </c>
      <c r="G3758" t="s">
        <v>13</v>
      </c>
      <c r="H3758" s="1">
        <v>45999.864583333336</v>
      </c>
      <c r="I3758" s="5">
        <f>INT(TB[[#This Row],[时间戳]])</f>
        <v>45999</v>
      </c>
      <c r="J3758" s="2">
        <f>HOUR(TB[[#This Row],[时间戳]])</f>
        <v>20</v>
      </c>
      <c r="K3758">
        <v>7959</v>
      </c>
      <c r="L3758">
        <v>2</v>
      </c>
      <c r="M3758">
        <f>TB[[#This Row],[售价]]*TB[[#This Row],[销量]]</f>
        <v>15918</v>
      </c>
      <c r="N3758" t="str">
        <f>IF(TB[[#This Row],[售价]]&lt;1000,"低价商品",IF(TB[[#This Row],[售价]]&lt;5000,"中价商品",IF(TB[[#This Row],[售价]]&lt;10000,"高价商品","超高价商品")))</f>
        <v>高价商品</v>
      </c>
    </row>
    <row r="3759" spans="1:14" x14ac:dyDescent="0.2">
      <c r="A3759">
        <v>415</v>
      </c>
      <c r="B3759">
        <v>196</v>
      </c>
      <c r="C3759" t="s">
        <v>34</v>
      </c>
      <c r="D3759" t="s">
        <v>365</v>
      </c>
      <c r="E3759" t="s">
        <v>16</v>
      </c>
      <c r="F3759">
        <v>6</v>
      </c>
      <c r="G3759" t="s">
        <v>13</v>
      </c>
      <c r="H3759" s="1">
        <v>45999.87222222222</v>
      </c>
      <c r="I3759" s="5">
        <f>INT(TB[[#This Row],[时间戳]])</f>
        <v>45999</v>
      </c>
      <c r="J3759" s="2">
        <f>HOUR(TB[[#This Row],[时间戳]])</f>
        <v>20</v>
      </c>
      <c r="K3759">
        <v>6173</v>
      </c>
      <c r="L3759">
        <v>2</v>
      </c>
      <c r="M3759">
        <f>TB[[#This Row],[售价]]*TB[[#This Row],[销量]]</f>
        <v>12346</v>
      </c>
      <c r="N3759" t="str">
        <f>IF(TB[[#This Row],[售价]]&lt;1000,"低价商品",IF(TB[[#This Row],[售价]]&lt;5000,"中价商品",IF(TB[[#This Row],[售价]]&lt;10000,"高价商品","超高价商品")))</f>
        <v>高价商品</v>
      </c>
    </row>
    <row r="3760" spans="1:14" x14ac:dyDescent="0.2">
      <c r="A3760">
        <v>345</v>
      </c>
      <c r="B3760">
        <v>149</v>
      </c>
      <c r="C3760" t="s">
        <v>26</v>
      </c>
      <c r="D3760" t="s">
        <v>358</v>
      </c>
      <c r="E3760" t="s">
        <v>16</v>
      </c>
      <c r="F3760">
        <v>6</v>
      </c>
      <c r="G3760" t="s">
        <v>13</v>
      </c>
      <c r="H3760" s="1">
        <v>45999.882638888892</v>
      </c>
      <c r="I3760" s="5">
        <f>INT(TB[[#This Row],[时间戳]])</f>
        <v>45999</v>
      </c>
      <c r="J3760" s="2">
        <f>HOUR(TB[[#This Row],[时间戳]])</f>
        <v>21</v>
      </c>
      <c r="K3760">
        <v>4267</v>
      </c>
      <c r="L3760">
        <v>4</v>
      </c>
      <c r="M3760">
        <f>TB[[#This Row],[售价]]*TB[[#This Row],[销量]]</f>
        <v>17068</v>
      </c>
      <c r="N3760" t="str">
        <f>IF(TB[[#This Row],[售价]]&lt;1000,"低价商品",IF(TB[[#This Row],[售价]]&lt;5000,"中价商品",IF(TB[[#This Row],[售价]]&lt;10000,"高价商品","超高价商品")))</f>
        <v>中价商品</v>
      </c>
    </row>
    <row r="3761" spans="1:14" x14ac:dyDescent="0.2">
      <c r="A3761">
        <v>619</v>
      </c>
      <c r="B3761">
        <v>178</v>
      </c>
      <c r="C3761" t="s">
        <v>17</v>
      </c>
      <c r="D3761" t="s">
        <v>67</v>
      </c>
      <c r="E3761" t="s">
        <v>39</v>
      </c>
      <c r="F3761">
        <v>5</v>
      </c>
      <c r="G3761" t="s">
        <v>13</v>
      </c>
      <c r="H3761" s="1">
        <v>45999.915277777778</v>
      </c>
      <c r="I3761" s="5">
        <f>INT(TB[[#This Row],[时间戳]])</f>
        <v>45999</v>
      </c>
      <c r="J3761" s="2">
        <f>HOUR(TB[[#This Row],[时间戳]])</f>
        <v>21</v>
      </c>
      <c r="K3761">
        <v>876</v>
      </c>
      <c r="L3761">
        <v>2</v>
      </c>
      <c r="M3761">
        <f>TB[[#This Row],[售价]]*TB[[#This Row],[销量]]</f>
        <v>1752</v>
      </c>
      <c r="N3761" t="str">
        <f>IF(TB[[#This Row],[售价]]&lt;1000,"低价商品",IF(TB[[#This Row],[售价]]&lt;5000,"中价商品",IF(TB[[#This Row],[售价]]&lt;10000,"高价商品","超高价商品")))</f>
        <v>低价商品</v>
      </c>
    </row>
    <row r="3762" spans="1:14" x14ac:dyDescent="0.2">
      <c r="A3762">
        <v>692</v>
      </c>
      <c r="B3762">
        <v>218</v>
      </c>
      <c r="C3762" t="s">
        <v>10</v>
      </c>
      <c r="D3762" t="s">
        <v>68</v>
      </c>
      <c r="E3762" t="s">
        <v>22</v>
      </c>
      <c r="F3762">
        <v>1</v>
      </c>
      <c r="G3762" t="s">
        <v>13</v>
      </c>
      <c r="H3762" s="1">
        <v>45999.918055555558</v>
      </c>
      <c r="I3762" s="5">
        <f>INT(TB[[#This Row],[时间戳]])</f>
        <v>45999</v>
      </c>
      <c r="J3762" s="2">
        <f>HOUR(TB[[#This Row],[时间戳]])</f>
        <v>22</v>
      </c>
      <c r="K3762">
        <v>2702</v>
      </c>
      <c r="L3762">
        <v>2</v>
      </c>
      <c r="M3762">
        <f>TB[[#This Row],[售价]]*TB[[#This Row],[销量]]</f>
        <v>5404</v>
      </c>
      <c r="N3762" t="str">
        <f>IF(TB[[#This Row],[售价]]&lt;1000,"低价商品",IF(TB[[#This Row],[售价]]&lt;5000,"中价商品",IF(TB[[#This Row],[售价]]&lt;10000,"高价商品","超高价商品")))</f>
        <v>中价商品</v>
      </c>
    </row>
    <row r="3763" spans="1:14" x14ac:dyDescent="0.2">
      <c r="A3763">
        <v>156</v>
      </c>
      <c r="B3763">
        <v>151</v>
      </c>
      <c r="C3763" t="s">
        <v>14</v>
      </c>
      <c r="D3763" t="s">
        <v>190</v>
      </c>
      <c r="E3763" t="s">
        <v>12</v>
      </c>
      <c r="F3763">
        <v>2</v>
      </c>
      <c r="G3763" t="s">
        <v>13</v>
      </c>
      <c r="H3763" s="1">
        <v>45999.942361111112</v>
      </c>
      <c r="I3763" s="5">
        <f>INT(TB[[#This Row],[时间戳]])</f>
        <v>45999</v>
      </c>
      <c r="J3763" s="2">
        <f>HOUR(TB[[#This Row],[时间戳]])</f>
        <v>22</v>
      </c>
      <c r="K3763">
        <v>6520</v>
      </c>
      <c r="L3763">
        <v>1</v>
      </c>
      <c r="M3763">
        <f>TB[[#This Row],[售价]]*TB[[#This Row],[销量]]</f>
        <v>6520</v>
      </c>
      <c r="N3763" t="str">
        <f>IF(TB[[#This Row],[售价]]&lt;1000,"低价商品",IF(TB[[#This Row],[售价]]&lt;5000,"中价商品",IF(TB[[#This Row],[售价]]&lt;10000,"高价商品","超高价商品")))</f>
        <v>高价商品</v>
      </c>
    </row>
    <row r="3764" spans="1:14" x14ac:dyDescent="0.2">
      <c r="A3764">
        <v>490</v>
      </c>
      <c r="B3764">
        <v>243</v>
      </c>
      <c r="C3764" t="s">
        <v>44</v>
      </c>
      <c r="D3764" t="s">
        <v>169</v>
      </c>
      <c r="E3764" t="s">
        <v>31</v>
      </c>
      <c r="F3764">
        <v>4</v>
      </c>
      <c r="G3764" t="s">
        <v>13</v>
      </c>
      <c r="H3764" s="1">
        <v>45999.956250000003</v>
      </c>
      <c r="I3764" s="5">
        <f>INT(TB[[#This Row],[时间戳]])</f>
        <v>45999</v>
      </c>
      <c r="J3764" s="2">
        <f>HOUR(TB[[#This Row],[时间戳]])</f>
        <v>22</v>
      </c>
      <c r="K3764">
        <v>610</v>
      </c>
      <c r="L3764">
        <v>4</v>
      </c>
      <c r="M3764">
        <f>TB[[#This Row],[售价]]*TB[[#This Row],[销量]]</f>
        <v>2440</v>
      </c>
      <c r="N3764" t="str">
        <f>IF(TB[[#This Row],[售价]]&lt;1000,"低价商品",IF(TB[[#This Row],[售价]]&lt;5000,"中价商品",IF(TB[[#This Row],[售价]]&lt;10000,"高价商品","超高价商品")))</f>
        <v>低价商品</v>
      </c>
    </row>
    <row r="3765" spans="1:14" x14ac:dyDescent="0.2">
      <c r="A3765">
        <v>628</v>
      </c>
      <c r="B3765">
        <v>35</v>
      </c>
      <c r="C3765" t="s">
        <v>26</v>
      </c>
      <c r="D3765" t="s">
        <v>219</v>
      </c>
      <c r="E3765" t="s">
        <v>22</v>
      </c>
      <c r="F3765">
        <v>1</v>
      </c>
      <c r="G3765" t="s">
        <v>13</v>
      </c>
      <c r="H3765" s="1">
        <v>45999.962500000001</v>
      </c>
      <c r="I3765" s="5">
        <f>INT(TB[[#This Row],[时间戳]])</f>
        <v>45999</v>
      </c>
      <c r="J3765" s="2">
        <f>HOUR(TB[[#This Row],[时间戳]])</f>
        <v>23</v>
      </c>
      <c r="K3765">
        <v>3549</v>
      </c>
      <c r="L3765">
        <v>1</v>
      </c>
      <c r="M3765">
        <f>TB[[#This Row],[售价]]*TB[[#This Row],[销量]]</f>
        <v>3549</v>
      </c>
      <c r="N3765" t="str">
        <f>IF(TB[[#This Row],[售价]]&lt;1000,"低价商品",IF(TB[[#This Row],[售价]]&lt;5000,"中价商品",IF(TB[[#This Row],[售价]]&lt;10000,"高价商品","超高价商品")))</f>
        <v>中价商品</v>
      </c>
    </row>
    <row r="3766" spans="1:14" x14ac:dyDescent="0.2">
      <c r="A3766">
        <v>182</v>
      </c>
      <c r="B3766">
        <v>144</v>
      </c>
      <c r="C3766" t="s">
        <v>14</v>
      </c>
      <c r="D3766" t="s">
        <v>395</v>
      </c>
      <c r="E3766" t="s">
        <v>12</v>
      </c>
      <c r="F3766">
        <v>2</v>
      </c>
      <c r="G3766" t="s">
        <v>13</v>
      </c>
      <c r="H3766" s="1">
        <v>45999.974999999999</v>
      </c>
      <c r="I3766" s="5">
        <f>INT(TB[[#This Row],[时间戳]])</f>
        <v>45999</v>
      </c>
      <c r="J3766" s="2">
        <f>HOUR(TB[[#This Row],[时间戳]])</f>
        <v>23</v>
      </c>
      <c r="K3766">
        <v>10206</v>
      </c>
      <c r="L3766">
        <v>3</v>
      </c>
      <c r="M3766">
        <f>TB[[#This Row],[售价]]*TB[[#This Row],[销量]]</f>
        <v>30618</v>
      </c>
      <c r="N3766" t="str">
        <f>IF(TB[[#This Row],[售价]]&lt;1000,"低价商品",IF(TB[[#This Row],[售价]]&lt;5000,"中价商品",IF(TB[[#This Row],[售价]]&lt;10000,"高价商品","超高价商品")))</f>
        <v>超高价商品</v>
      </c>
    </row>
    <row r="3767" spans="1:14" x14ac:dyDescent="0.2">
      <c r="A3767">
        <v>258</v>
      </c>
      <c r="B3767">
        <v>274</v>
      </c>
      <c r="C3767" t="s">
        <v>34</v>
      </c>
      <c r="D3767" t="s">
        <v>125</v>
      </c>
      <c r="E3767" t="s">
        <v>31</v>
      </c>
      <c r="F3767">
        <v>4</v>
      </c>
      <c r="G3767" t="s">
        <v>13</v>
      </c>
      <c r="H3767" s="1">
        <v>45999.981249999997</v>
      </c>
      <c r="I3767" s="5">
        <f>INT(TB[[#This Row],[时间戳]])</f>
        <v>45999</v>
      </c>
      <c r="J3767" s="2">
        <f>HOUR(TB[[#This Row],[时间戳]])</f>
        <v>23</v>
      </c>
      <c r="K3767">
        <v>101</v>
      </c>
      <c r="L3767">
        <v>5</v>
      </c>
      <c r="M3767">
        <f>TB[[#This Row],[售价]]*TB[[#This Row],[销量]]</f>
        <v>505</v>
      </c>
      <c r="N3767" t="str">
        <f>IF(TB[[#This Row],[售价]]&lt;1000,"低价商品",IF(TB[[#This Row],[售价]]&lt;5000,"中价商品",IF(TB[[#This Row],[售价]]&lt;10000,"高价商品","超高价商品")))</f>
        <v>低价商品</v>
      </c>
    </row>
    <row r="3768" spans="1:14" x14ac:dyDescent="0.2">
      <c r="A3768">
        <v>7</v>
      </c>
      <c r="B3768">
        <v>275</v>
      </c>
      <c r="C3768" t="s">
        <v>17</v>
      </c>
      <c r="D3768" t="s">
        <v>234</v>
      </c>
      <c r="E3768" t="s">
        <v>39</v>
      </c>
      <c r="F3768">
        <v>5</v>
      </c>
      <c r="G3768" t="s">
        <v>13</v>
      </c>
      <c r="H3768" s="1">
        <v>45999.997916666667</v>
      </c>
      <c r="I3768" s="5">
        <f>INT(TB[[#This Row],[时间戳]])</f>
        <v>45999</v>
      </c>
      <c r="J3768" s="2">
        <f>HOUR(TB[[#This Row],[时间戳]])</f>
        <v>23</v>
      </c>
      <c r="K3768">
        <v>3044</v>
      </c>
      <c r="L3768">
        <v>1</v>
      </c>
      <c r="M3768">
        <f>TB[[#This Row],[售价]]*TB[[#This Row],[销量]]</f>
        <v>3044</v>
      </c>
      <c r="N3768" t="str">
        <f>IF(TB[[#This Row],[售价]]&lt;1000,"低价商品",IF(TB[[#This Row],[售价]]&lt;5000,"中价商品",IF(TB[[#This Row],[售价]]&lt;10000,"高价商品","超高价商品")))</f>
        <v>中价商品</v>
      </c>
    </row>
    <row r="3769" spans="1:14" x14ac:dyDescent="0.2">
      <c r="A3769">
        <v>529</v>
      </c>
      <c r="B3769">
        <v>203</v>
      </c>
      <c r="C3769" t="s">
        <v>44</v>
      </c>
      <c r="D3769" t="s">
        <v>301</v>
      </c>
      <c r="E3769" t="s">
        <v>22</v>
      </c>
      <c r="F3769">
        <v>1</v>
      </c>
      <c r="G3769" t="s">
        <v>13</v>
      </c>
      <c r="H3769" s="1">
        <v>46000.008333333331</v>
      </c>
      <c r="I3769" s="5">
        <f>INT(TB[[#This Row],[时间戳]])</f>
        <v>46000</v>
      </c>
      <c r="J3769" s="2">
        <f>HOUR(TB[[#This Row],[时间戳]])</f>
        <v>0</v>
      </c>
      <c r="K3769">
        <v>1000</v>
      </c>
      <c r="L3769">
        <v>3</v>
      </c>
      <c r="M3769">
        <f>TB[[#This Row],[售价]]*TB[[#This Row],[销量]]</f>
        <v>3000</v>
      </c>
      <c r="N3769" t="str">
        <f>IF(TB[[#This Row],[售价]]&lt;1000,"低价商品",IF(TB[[#This Row],[售价]]&lt;5000,"中价商品",IF(TB[[#This Row],[售价]]&lt;10000,"高价商品","超高价商品")))</f>
        <v>中价商品</v>
      </c>
    </row>
    <row r="3770" spans="1:14" x14ac:dyDescent="0.2">
      <c r="A3770">
        <v>131</v>
      </c>
      <c r="B3770">
        <v>101</v>
      </c>
      <c r="C3770" t="s">
        <v>44</v>
      </c>
      <c r="D3770" t="s">
        <v>239</v>
      </c>
      <c r="E3770" t="s">
        <v>39</v>
      </c>
      <c r="F3770">
        <v>5</v>
      </c>
      <c r="G3770" t="s">
        <v>13</v>
      </c>
      <c r="H3770" s="1">
        <v>46000.011805555558</v>
      </c>
      <c r="I3770" s="5">
        <f>INT(TB[[#This Row],[时间戳]])</f>
        <v>46000</v>
      </c>
      <c r="J3770" s="2">
        <f>HOUR(TB[[#This Row],[时间戳]])</f>
        <v>0</v>
      </c>
      <c r="K3770">
        <v>2934</v>
      </c>
      <c r="L3770">
        <v>1</v>
      </c>
      <c r="M3770">
        <f>TB[[#This Row],[售价]]*TB[[#This Row],[销量]]</f>
        <v>2934</v>
      </c>
      <c r="N3770" t="str">
        <f>IF(TB[[#This Row],[售价]]&lt;1000,"低价商品",IF(TB[[#This Row],[售价]]&lt;5000,"中价商品",IF(TB[[#This Row],[售价]]&lt;10000,"高价商品","超高价商品")))</f>
        <v>中价商品</v>
      </c>
    </row>
    <row r="3771" spans="1:14" x14ac:dyDescent="0.2">
      <c r="A3771">
        <v>367</v>
      </c>
      <c r="B3771">
        <v>228</v>
      </c>
      <c r="C3771" t="s">
        <v>46</v>
      </c>
      <c r="D3771" t="s">
        <v>141</v>
      </c>
      <c r="E3771" t="s">
        <v>22</v>
      </c>
      <c r="F3771">
        <v>1</v>
      </c>
      <c r="G3771" t="s">
        <v>13</v>
      </c>
      <c r="H3771" s="1">
        <v>46000.013888888891</v>
      </c>
      <c r="I3771" s="5">
        <f>INT(TB[[#This Row],[时间戳]])</f>
        <v>46000</v>
      </c>
      <c r="J3771" s="2">
        <f>HOUR(TB[[#This Row],[时间戳]])</f>
        <v>0</v>
      </c>
      <c r="K3771">
        <v>1536</v>
      </c>
      <c r="L3771">
        <v>3</v>
      </c>
      <c r="M3771">
        <f>TB[[#This Row],[售价]]*TB[[#This Row],[销量]]</f>
        <v>4608</v>
      </c>
      <c r="N3771" t="str">
        <f>IF(TB[[#This Row],[售价]]&lt;1000,"低价商品",IF(TB[[#This Row],[售价]]&lt;5000,"中价商品",IF(TB[[#This Row],[售价]]&lt;10000,"高价商品","超高价商品")))</f>
        <v>中价商品</v>
      </c>
    </row>
    <row r="3772" spans="1:14" x14ac:dyDescent="0.2">
      <c r="A3772">
        <v>736</v>
      </c>
      <c r="B3772">
        <v>210</v>
      </c>
      <c r="C3772" t="s">
        <v>44</v>
      </c>
      <c r="D3772" t="s">
        <v>338</v>
      </c>
      <c r="E3772" t="s">
        <v>16</v>
      </c>
      <c r="F3772">
        <v>6</v>
      </c>
      <c r="G3772" t="s">
        <v>13</v>
      </c>
      <c r="H3772" s="1">
        <v>46000.02847222222</v>
      </c>
      <c r="I3772" s="5">
        <f>INT(TB[[#This Row],[时间戳]])</f>
        <v>46000</v>
      </c>
      <c r="J3772" s="2">
        <f>HOUR(TB[[#This Row],[时间戳]])</f>
        <v>0</v>
      </c>
      <c r="K3772">
        <v>2162</v>
      </c>
      <c r="L3772">
        <v>3</v>
      </c>
      <c r="M3772">
        <f>TB[[#This Row],[售价]]*TB[[#This Row],[销量]]</f>
        <v>6486</v>
      </c>
      <c r="N3772" t="str">
        <f>IF(TB[[#This Row],[售价]]&lt;1000,"低价商品",IF(TB[[#This Row],[售价]]&lt;5000,"中价商品",IF(TB[[#This Row],[售价]]&lt;10000,"高价商品","超高价商品")))</f>
        <v>中价商品</v>
      </c>
    </row>
    <row r="3773" spans="1:14" x14ac:dyDescent="0.2">
      <c r="A3773">
        <v>436</v>
      </c>
      <c r="B3773">
        <v>39</v>
      </c>
      <c r="C3773" t="s">
        <v>26</v>
      </c>
      <c r="D3773" t="s">
        <v>65</v>
      </c>
      <c r="E3773" t="s">
        <v>22</v>
      </c>
      <c r="F3773">
        <v>1</v>
      </c>
      <c r="G3773" t="s">
        <v>13</v>
      </c>
      <c r="H3773" s="1">
        <v>46000.071527777778</v>
      </c>
      <c r="I3773" s="5">
        <f>INT(TB[[#This Row],[时间戳]])</f>
        <v>46000</v>
      </c>
      <c r="J3773" s="2">
        <f>HOUR(TB[[#This Row],[时间戳]])</f>
        <v>1</v>
      </c>
      <c r="K3773">
        <v>7426</v>
      </c>
      <c r="L3773">
        <v>2</v>
      </c>
      <c r="M3773">
        <f>TB[[#This Row],[售价]]*TB[[#This Row],[销量]]</f>
        <v>14852</v>
      </c>
      <c r="N3773" t="str">
        <f>IF(TB[[#This Row],[售价]]&lt;1000,"低价商品",IF(TB[[#This Row],[售价]]&lt;5000,"中价商品",IF(TB[[#This Row],[售价]]&lt;10000,"高价商品","超高价商品")))</f>
        <v>高价商品</v>
      </c>
    </row>
    <row r="3774" spans="1:14" x14ac:dyDescent="0.2">
      <c r="A3774">
        <v>55</v>
      </c>
      <c r="B3774">
        <v>105</v>
      </c>
      <c r="C3774" t="s">
        <v>14</v>
      </c>
      <c r="D3774" t="s">
        <v>49</v>
      </c>
      <c r="E3774" t="s">
        <v>22</v>
      </c>
      <c r="F3774">
        <v>1</v>
      </c>
      <c r="G3774" t="s">
        <v>13</v>
      </c>
      <c r="H3774" s="1">
        <v>46000.07916666667</v>
      </c>
      <c r="I3774" s="5">
        <f>INT(TB[[#This Row],[时间戳]])</f>
        <v>46000</v>
      </c>
      <c r="J3774" s="2">
        <f>HOUR(TB[[#This Row],[时间戳]])</f>
        <v>1</v>
      </c>
      <c r="K3774">
        <v>2379</v>
      </c>
      <c r="L3774">
        <v>1</v>
      </c>
      <c r="M3774">
        <f>TB[[#This Row],[售价]]*TB[[#This Row],[销量]]</f>
        <v>2379</v>
      </c>
      <c r="N3774" t="str">
        <f>IF(TB[[#This Row],[售价]]&lt;1000,"低价商品",IF(TB[[#This Row],[售价]]&lt;5000,"中价商品",IF(TB[[#This Row],[售价]]&lt;10000,"高价商品","超高价商品")))</f>
        <v>中价商品</v>
      </c>
    </row>
    <row r="3775" spans="1:14" x14ac:dyDescent="0.2">
      <c r="A3775">
        <v>351</v>
      </c>
      <c r="B3775">
        <v>117</v>
      </c>
      <c r="C3775" t="s">
        <v>32</v>
      </c>
      <c r="D3775" t="s">
        <v>101</v>
      </c>
      <c r="E3775" t="s">
        <v>39</v>
      </c>
      <c r="F3775">
        <v>5</v>
      </c>
      <c r="G3775" t="s">
        <v>13</v>
      </c>
      <c r="H3775" s="1">
        <v>46000.103472222225</v>
      </c>
      <c r="I3775" s="5">
        <f>INT(TB[[#This Row],[时间戳]])</f>
        <v>46000</v>
      </c>
      <c r="J3775" s="2">
        <f>HOUR(TB[[#This Row],[时间戳]])</f>
        <v>2</v>
      </c>
      <c r="K3775">
        <v>2893</v>
      </c>
      <c r="L3775">
        <v>3</v>
      </c>
      <c r="M3775">
        <f>TB[[#This Row],[售价]]*TB[[#This Row],[销量]]</f>
        <v>8679</v>
      </c>
      <c r="N3775" t="str">
        <f>IF(TB[[#This Row],[售价]]&lt;1000,"低价商品",IF(TB[[#This Row],[售价]]&lt;5000,"中价商品",IF(TB[[#This Row],[售价]]&lt;10000,"高价商品","超高价商品")))</f>
        <v>中价商品</v>
      </c>
    </row>
    <row r="3776" spans="1:14" x14ac:dyDescent="0.2">
      <c r="A3776">
        <v>396</v>
      </c>
      <c r="B3776">
        <v>273</v>
      </c>
      <c r="C3776" t="s">
        <v>46</v>
      </c>
      <c r="D3776" t="s">
        <v>289</v>
      </c>
      <c r="E3776" t="s">
        <v>16</v>
      </c>
      <c r="F3776">
        <v>6</v>
      </c>
      <c r="G3776" t="s">
        <v>13</v>
      </c>
      <c r="H3776" s="1">
        <v>46000.123611111114</v>
      </c>
      <c r="I3776" s="5">
        <f>INT(TB[[#This Row],[时间戳]])</f>
        <v>46000</v>
      </c>
      <c r="J3776" s="2">
        <f>HOUR(TB[[#This Row],[时间戳]])</f>
        <v>2</v>
      </c>
      <c r="K3776">
        <v>9023</v>
      </c>
      <c r="L3776">
        <v>1</v>
      </c>
      <c r="M3776">
        <f>TB[[#This Row],[售价]]*TB[[#This Row],[销量]]</f>
        <v>9023</v>
      </c>
      <c r="N3776" t="str">
        <f>IF(TB[[#This Row],[售价]]&lt;1000,"低价商品",IF(TB[[#This Row],[售价]]&lt;5000,"中价商品",IF(TB[[#This Row],[售价]]&lt;10000,"高价商品","超高价商品")))</f>
        <v>高价商品</v>
      </c>
    </row>
    <row r="3777" spans="1:14" x14ac:dyDescent="0.2">
      <c r="A3777">
        <v>651</v>
      </c>
      <c r="B3777">
        <v>87</v>
      </c>
      <c r="C3777" t="s">
        <v>20</v>
      </c>
      <c r="D3777" t="s">
        <v>147</v>
      </c>
      <c r="E3777" t="s">
        <v>22</v>
      </c>
      <c r="F3777">
        <v>1</v>
      </c>
      <c r="G3777" t="s">
        <v>13</v>
      </c>
      <c r="H3777" s="1">
        <v>46000.17291666667</v>
      </c>
      <c r="I3777" s="5">
        <f>INT(TB[[#This Row],[时间戳]])</f>
        <v>46000</v>
      </c>
      <c r="J3777" s="2">
        <f>HOUR(TB[[#This Row],[时间戳]])</f>
        <v>4</v>
      </c>
      <c r="K3777">
        <v>1429</v>
      </c>
      <c r="L3777">
        <v>3</v>
      </c>
      <c r="M3777">
        <f>TB[[#This Row],[售价]]*TB[[#This Row],[销量]]</f>
        <v>4287</v>
      </c>
      <c r="N3777" t="str">
        <f>IF(TB[[#This Row],[售价]]&lt;1000,"低价商品",IF(TB[[#This Row],[售价]]&lt;5000,"中价商品",IF(TB[[#This Row],[售价]]&lt;10000,"高价商品","超高价商品")))</f>
        <v>中价商品</v>
      </c>
    </row>
    <row r="3778" spans="1:14" x14ac:dyDescent="0.2">
      <c r="A3778">
        <v>318</v>
      </c>
      <c r="B3778">
        <v>66</v>
      </c>
      <c r="C3778" t="s">
        <v>20</v>
      </c>
      <c r="D3778" t="s">
        <v>120</v>
      </c>
      <c r="E3778" t="s">
        <v>22</v>
      </c>
      <c r="F3778">
        <v>1</v>
      </c>
      <c r="G3778" t="s">
        <v>42</v>
      </c>
      <c r="H3778" s="1">
        <v>46000.20416666667</v>
      </c>
      <c r="I3778" s="5">
        <f>INT(TB[[#This Row],[时间戳]])</f>
        <v>46000</v>
      </c>
      <c r="J3778" s="2">
        <f>HOUR(TB[[#This Row],[时间戳]])</f>
        <v>4</v>
      </c>
      <c r="K3778">
        <v>3953</v>
      </c>
      <c r="L3778">
        <v>0</v>
      </c>
      <c r="M3778">
        <f>TB[[#This Row],[售价]]*TB[[#This Row],[销量]]</f>
        <v>0</v>
      </c>
      <c r="N3778" t="str">
        <f>IF(TB[[#This Row],[售价]]&lt;1000,"低价商品",IF(TB[[#This Row],[售价]]&lt;5000,"中价商品",IF(TB[[#This Row],[售价]]&lt;10000,"高价商品","超高价商品")))</f>
        <v>中价商品</v>
      </c>
    </row>
    <row r="3779" spans="1:14" x14ac:dyDescent="0.2">
      <c r="A3779">
        <v>516</v>
      </c>
      <c r="B3779">
        <v>167</v>
      </c>
      <c r="C3779" t="s">
        <v>20</v>
      </c>
      <c r="D3779" t="s">
        <v>64</v>
      </c>
      <c r="E3779" t="s">
        <v>31</v>
      </c>
      <c r="F3779">
        <v>4</v>
      </c>
      <c r="G3779" t="s">
        <v>13</v>
      </c>
      <c r="H3779" s="1">
        <v>46000.219444444447</v>
      </c>
      <c r="I3779" s="5">
        <f>INT(TB[[#This Row],[时间戳]])</f>
        <v>46000</v>
      </c>
      <c r="J3779" s="2">
        <f>HOUR(TB[[#This Row],[时间戳]])</f>
        <v>5</v>
      </c>
      <c r="K3779">
        <v>445</v>
      </c>
      <c r="L3779">
        <v>2</v>
      </c>
      <c r="M3779">
        <f>TB[[#This Row],[售价]]*TB[[#This Row],[销量]]</f>
        <v>890</v>
      </c>
      <c r="N3779" t="str">
        <f>IF(TB[[#This Row],[售价]]&lt;1000,"低价商品",IF(TB[[#This Row],[售价]]&lt;5000,"中价商品",IF(TB[[#This Row],[售价]]&lt;10000,"高价商品","超高价商品")))</f>
        <v>低价商品</v>
      </c>
    </row>
    <row r="3780" spans="1:14" x14ac:dyDescent="0.2">
      <c r="A3780">
        <v>33</v>
      </c>
      <c r="B3780">
        <v>220</v>
      </c>
      <c r="C3780" t="s">
        <v>36</v>
      </c>
      <c r="D3780" t="s">
        <v>386</v>
      </c>
      <c r="E3780" t="s">
        <v>22</v>
      </c>
      <c r="F3780">
        <v>1</v>
      </c>
      <c r="G3780" t="s">
        <v>13</v>
      </c>
      <c r="H3780" s="1">
        <v>46000.239583333336</v>
      </c>
      <c r="I3780" s="5">
        <f>INT(TB[[#This Row],[时间戳]])</f>
        <v>46000</v>
      </c>
      <c r="J3780" s="2">
        <f>HOUR(TB[[#This Row],[时间戳]])</f>
        <v>5</v>
      </c>
      <c r="K3780">
        <v>3059</v>
      </c>
      <c r="L3780">
        <v>1</v>
      </c>
      <c r="M3780">
        <f>TB[[#This Row],[售价]]*TB[[#This Row],[销量]]</f>
        <v>3059</v>
      </c>
      <c r="N3780" t="str">
        <f>IF(TB[[#This Row],[售价]]&lt;1000,"低价商品",IF(TB[[#This Row],[售价]]&lt;5000,"中价商品",IF(TB[[#This Row],[售价]]&lt;10000,"高价商品","超高价商品")))</f>
        <v>中价商品</v>
      </c>
    </row>
    <row r="3781" spans="1:14" x14ac:dyDescent="0.2">
      <c r="A3781">
        <v>668</v>
      </c>
      <c r="B3781">
        <v>240</v>
      </c>
      <c r="C3781" t="s">
        <v>34</v>
      </c>
      <c r="D3781" t="s">
        <v>248</v>
      </c>
      <c r="E3781" t="s">
        <v>22</v>
      </c>
      <c r="F3781">
        <v>1</v>
      </c>
      <c r="G3781" t="s">
        <v>42</v>
      </c>
      <c r="H3781" s="1">
        <v>46000.28125</v>
      </c>
      <c r="I3781" s="5">
        <f>INT(TB[[#This Row],[时间戳]])</f>
        <v>46000</v>
      </c>
      <c r="J3781" s="2">
        <f>HOUR(TB[[#This Row],[时间戳]])</f>
        <v>6</v>
      </c>
      <c r="K3781">
        <v>3040</v>
      </c>
      <c r="L3781">
        <v>0</v>
      </c>
      <c r="M3781">
        <f>TB[[#This Row],[售价]]*TB[[#This Row],[销量]]</f>
        <v>0</v>
      </c>
      <c r="N3781" t="str">
        <f>IF(TB[[#This Row],[售价]]&lt;1000,"低价商品",IF(TB[[#This Row],[售价]]&lt;5000,"中价商品",IF(TB[[#This Row],[售价]]&lt;10000,"高价商品","超高价商品")))</f>
        <v>中价商品</v>
      </c>
    </row>
    <row r="3782" spans="1:14" x14ac:dyDescent="0.2">
      <c r="A3782">
        <v>79</v>
      </c>
      <c r="B3782">
        <v>58</v>
      </c>
      <c r="C3782" t="s">
        <v>26</v>
      </c>
      <c r="D3782" t="s">
        <v>182</v>
      </c>
      <c r="E3782" t="s">
        <v>31</v>
      </c>
      <c r="F3782">
        <v>4</v>
      </c>
      <c r="G3782" t="s">
        <v>13</v>
      </c>
      <c r="H3782" s="1">
        <v>46000.290972222225</v>
      </c>
      <c r="I3782" s="5">
        <f>INT(TB[[#This Row],[时间戳]])</f>
        <v>46000</v>
      </c>
      <c r="J3782" s="2">
        <f>HOUR(TB[[#This Row],[时间戳]])</f>
        <v>6</v>
      </c>
      <c r="K3782">
        <v>921</v>
      </c>
      <c r="L3782">
        <v>3</v>
      </c>
      <c r="M3782">
        <f>TB[[#This Row],[售价]]*TB[[#This Row],[销量]]</f>
        <v>2763</v>
      </c>
      <c r="N3782" t="str">
        <f>IF(TB[[#This Row],[售价]]&lt;1000,"低价商品",IF(TB[[#This Row],[售价]]&lt;5000,"中价商品",IF(TB[[#This Row],[售价]]&lt;10000,"高价商品","超高价商品")))</f>
        <v>低价商品</v>
      </c>
    </row>
    <row r="3783" spans="1:14" x14ac:dyDescent="0.2">
      <c r="A3783">
        <v>459</v>
      </c>
      <c r="B3783">
        <v>147</v>
      </c>
      <c r="C3783" t="s">
        <v>26</v>
      </c>
      <c r="D3783" t="s">
        <v>281</v>
      </c>
      <c r="E3783" t="s">
        <v>16</v>
      </c>
      <c r="F3783">
        <v>6</v>
      </c>
      <c r="G3783" t="s">
        <v>13</v>
      </c>
      <c r="H3783" s="1">
        <v>46000.29791666667</v>
      </c>
      <c r="I3783" s="5">
        <f>INT(TB[[#This Row],[时间戳]])</f>
        <v>46000</v>
      </c>
      <c r="J3783" s="2">
        <f>HOUR(TB[[#This Row],[时间戳]])</f>
        <v>7</v>
      </c>
      <c r="K3783">
        <v>4191</v>
      </c>
      <c r="L3783">
        <v>1</v>
      </c>
      <c r="M3783">
        <f>TB[[#This Row],[售价]]*TB[[#This Row],[销量]]</f>
        <v>4191</v>
      </c>
      <c r="N3783" t="str">
        <f>IF(TB[[#This Row],[售价]]&lt;1000,"低价商品",IF(TB[[#This Row],[售价]]&lt;5000,"中价商品",IF(TB[[#This Row],[售价]]&lt;10000,"高价商品","超高价商品")))</f>
        <v>中价商品</v>
      </c>
    </row>
    <row r="3784" spans="1:14" x14ac:dyDescent="0.2">
      <c r="A3784">
        <v>636</v>
      </c>
      <c r="B3784">
        <v>44</v>
      </c>
      <c r="C3784" t="s">
        <v>44</v>
      </c>
      <c r="D3784" t="s">
        <v>236</v>
      </c>
      <c r="E3784" t="s">
        <v>12</v>
      </c>
      <c r="F3784">
        <v>2</v>
      </c>
      <c r="G3784" t="s">
        <v>13</v>
      </c>
      <c r="H3784" s="1">
        <v>46000.298611111109</v>
      </c>
      <c r="I3784" s="5">
        <f>INT(TB[[#This Row],[时间戳]])</f>
        <v>46000</v>
      </c>
      <c r="J3784" s="2">
        <f>HOUR(TB[[#This Row],[时间戳]])</f>
        <v>7</v>
      </c>
      <c r="K3784">
        <v>12916</v>
      </c>
      <c r="L3784">
        <v>2</v>
      </c>
      <c r="M3784">
        <f>TB[[#This Row],[售价]]*TB[[#This Row],[销量]]</f>
        <v>25832</v>
      </c>
      <c r="N3784" t="str">
        <f>IF(TB[[#This Row],[售价]]&lt;1000,"低价商品",IF(TB[[#This Row],[售价]]&lt;5000,"中价商品",IF(TB[[#This Row],[售价]]&lt;10000,"高价商品","超高价商品")))</f>
        <v>超高价商品</v>
      </c>
    </row>
    <row r="3785" spans="1:14" x14ac:dyDescent="0.2">
      <c r="A3785">
        <v>249</v>
      </c>
      <c r="B3785">
        <v>151</v>
      </c>
      <c r="C3785" t="s">
        <v>17</v>
      </c>
      <c r="D3785" t="s">
        <v>61</v>
      </c>
      <c r="E3785" t="s">
        <v>31</v>
      </c>
      <c r="F3785">
        <v>4</v>
      </c>
      <c r="G3785" t="s">
        <v>13</v>
      </c>
      <c r="H3785" s="1">
        <v>46000.330555555556</v>
      </c>
      <c r="I3785" s="5">
        <f>INT(TB[[#This Row],[时间戳]])</f>
        <v>46000</v>
      </c>
      <c r="J3785" s="2">
        <f>HOUR(TB[[#This Row],[时间戳]])</f>
        <v>7</v>
      </c>
      <c r="K3785">
        <v>997</v>
      </c>
      <c r="L3785">
        <v>4</v>
      </c>
      <c r="M3785">
        <f>TB[[#This Row],[售价]]*TB[[#This Row],[销量]]</f>
        <v>3988</v>
      </c>
      <c r="N3785" t="str">
        <f>IF(TB[[#This Row],[售价]]&lt;1000,"低价商品",IF(TB[[#This Row],[售价]]&lt;5000,"中价商品",IF(TB[[#This Row],[售价]]&lt;10000,"高价商品","超高价商品")))</f>
        <v>低价商品</v>
      </c>
    </row>
    <row r="3786" spans="1:14" x14ac:dyDescent="0.2">
      <c r="A3786">
        <v>174</v>
      </c>
      <c r="B3786">
        <v>16</v>
      </c>
      <c r="C3786" t="s">
        <v>26</v>
      </c>
      <c r="D3786" t="s">
        <v>417</v>
      </c>
      <c r="E3786" t="s">
        <v>25</v>
      </c>
      <c r="F3786">
        <v>7</v>
      </c>
      <c r="G3786" t="s">
        <v>13</v>
      </c>
      <c r="H3786" s="1">
        <v>46000.36041666667</v>
      </c>
      <c r="I3786" s="5">
        <f>INT(TB[[#This Row],[时间戳]])</f>
        <v>46000</v>
      </c>
      <c r="J3786" s="2">
        <f>HOUR(TB[[#This Row],[时间戳]])</f>
        <v>8</v>
      </c>
      <c r="K3786">
        <v>6912</v>
      </c>
      <c r="L3786">
        <v>1</v>
      </c>
      <c r="M3786">
        <f>TB[[#This Row],[售价]]*TB[[#This Row],[销量]]</f>
        <v>6912</v>
      </c>
      <c r="N3786" t="str">
        <f>IF(TB[[#This Row],[售价]]&lt;1000,"低价商品",IF(TB[[#This Row],[售价]]&lt;5000,"中价商品",IF(TB[[#This Row],[售价]]&lt;10000,"高价商品","超高价商品")))</f>
        <v>高价商品</v>
      </c>
    </row>
    <row r="3787" spans="1:14" x14ac:dyDescent="0.2">
      <c r="A3787">
        <v>702</v>
      </c>
      <c r="B3787">
        <v>87</v>
      </c>
      <c r="C3787" t="s">
        <v>20</v>
      </c>
      <c r="D3787" t="s">
        <v>23</v>
      </c>
      <c r="E3787" t="s">
        <v>12</v>
      </c>
      <c r="F3787">
        <v>2</v>
      </c>
      <c r="G3787" t="s">
        <v>13</v>
      </c>
      <c r="H3787" s="1">
        <v>46000.362500000003</v>
      </c>
      <c r="I3787" s="5">
        <f>INT(TB[[#This Row],[时间戳]])</f>
        <v>46000</v>
      </c>
      <c r="J3787" s="2">
        <f>HOUR(TB[[#This Row],[时间戳]])</f>
        <v>8</v>
      </c>
      <c r="K3787">
        <v>7223</v>
      </c>
      <c r="L3787">
        <v>2</v>
      </c>
      <c r="M3787">
        <f>TB[[#This Row],[售价]]*TB[[#This Row],[销量]]</f>
        <v>14446</v>
      </c>
      <c r="N3787" t="str">
        <f>IF(TB[[#This Row],[售价]]&lt;1000,"低价商品",IF(TB[[#This Row],[售价]]&lt;5000,"中价商品",IF(TB[[#This Row],[售价]]&lt;10000,"高价商品","超高价商品")))</f>
        <v>高价商品</v>
      </c>
    </row>
    <row r="3788" spans="1:14" x14ac:dyDescent="0.2">
      <c r="A3788">
        <v>732</v>
      </c>
      <c r="B3788">
        <v>7</v>
      </c>
      <c r="C3788" t="s">
        <v>44</v>
      </c>
      <c r="D3788" t="s">
        <v>132</v>
      </c>
      <c r="E3788" t="s">
        <v>22</v>
      </c>
      <c r="F3788">
        <v>1</v>
      </c>
      <c r="G3788" t="s">
        <v>13</v>
      </c>
      <c r="H3788" s="1">
        <v>46000.378472222219</v>
      </c>
      <c r="I3788" s="5">
        <f>INT(TB[[#This Row],[时间戳]])</f>
        <v>46000</v>
      </c>
      <c r="J3788" s="2">
        <f>HOUR(TB[[#This Row],[时间戳]])</f>
        <v>9</v>
      </c>
      <c r="K3788">
        <v>7551</v>
      </c>
      <c r="L3788">
        <v>5</v>
      </c>
      <c r="M3788">
        <f>TB[[#This Row],[售价]]*TB[[#This Row],[销量]]</f>
        <v>37755</v>
      </c>
      <c r="N3788" t="str">
        <f>IF(TB[[#This Row],[售价]]&lt;1000,"低价商品",IF(TB[[#This Row],[售价]]&lt;5000,"中价商品",IF(TB[[#This Row],[售价]]&lt;10000,"高价商品","超高价商品")))</f>
        <v>高价商品</v>
      </c>
    </row>
    <row r="3789" spans="1:14" x14ac:dyDescent="0.2">
      <c r="A3789">
        <v>622</v>
      </c>
      <c r="B3789">
        <v>199</v>
      </c>
      <c r="C3789" t="s">
        <v>10</v>
      </c>
      <c r="D3789" t="s">
        <v>134</v>
      </c>
      <c r="E3789" t="s">
        <v>22</v>
      </c>
      <c r="F3789">
        <v>1</v>
      </c>
      <c r="G3789" t="s">
        <v>13</v>
      </c>
      <c r="H3789" s="1">
        <v>46000.38958333333</v>
      </c>
      <c r="I3789" s="5">
        <f>INT(TB[[#This Row],[时间戳]])</f>
        <v>46000</v>
      </c>
      <c r="J3789" s="2">
        <f>HOUR(TB[[#This Row],[时间戳]])</f>
        <v>9</v>
      </c>
      <c r="K3789">
        <v>6443</v>
      </c>
      <c r="L3789">
        <v>3</v>
      </c>
      <c r="M3789">
        <f>TB[[#This Row],[售价]]*TB[[#This Row],[销量]]</f>
        <v>19329</v>
      </c>
      <c r="N3789" t="str">
        <f>IF(TB[[#This Row],[售价]]&lt;1000,"低价商品",IF(TB[[#This Row],[售价]]&lt;5000,"中价商品",IF(TB[[#This Row],[售价]]&lt;10000,"高价商品","超高价商品")))</f>
        <v>高价商品</v>
      </c>
    </row>
    <row r="3790" spans="1:14" x14ac:dyDescent="0.2">
      <c r="A3790">
        <v>732</v>
      </c>
      <c r="B3790">
        <v>100</v>
      </c>
      <c r="C3790" t="s">
        <v>36</v>
      </c>
      <c r="D3790" t="s">
        <v>337</v>
      </c>
      <c r="E3790" t="s">
        <v>25</v>
      </c>
      <c r="F3790">
        <v>7</v>
      </c>
      <c r="G3790" t="s">
        <v>13</v>
      </c>
      <c r="H3790" s="1">
        <v>46000.39166666667</v>
      </c>
      <c r="I3790" s="5">
        <f>INT(TB[[#This Row],[时间戳]])</f>
        <v>46000</v>
      </c>
      <c r="J3790" s="2">
        <f>HOUR(TB[[#This Row],[时间戳]])</f>
        <v>9</v>
      </c>
      <c r="K3790">
        <v>3343</v>
      </c>
      <c r="L3790">
        <v>1</v>
      </c>
      <c r="M3790">
        <f>TB[[#This Row],[售价]]*TB[[#This Row],[销量]]</f>
        <v>3343</v>
      </c>
      <c r="N3790" t="str">
        <f>IF(TB[[#This Row],[售价]]&lt;1000,"低价商品",IF(TB[[#This Row],[售价]]&lt;5000,"中价商品",IF(TB[[#This Row],[售价]]&lt;10000,"高价商品","超高价商品")))</f>
        <v>中价商品</v>
      </c>
    </row>
    <row r="3791" spans="1:14" x14ac:dyDescent="0.2">
      <c r="A3791">
        <v>333</v>
      </c>
      <c r="B3791">
        <v>280</v>
      </c>
      <c r="C3791" t="s">
        <v>46</v>
      </c>
      <c r="D3791" t="s">
        <v>341</v>
      </c>
      <c r="E3791" t="s">
        <v>31</v>
      </c>
      <c r="F3791">
        <v>4</v>
      </c>
      <c r="G3791" t="s">
        <v>42</v>
      </c>
      <c r="H3791" s="1">
        <v>46000.464583333334</v>
      </c>
      <c r="I3791" s="5">
        <f>INT(TB[[#This Row],[时间戳]])</f>
        <v>46000</v>
      </c>
      <c r="J3791" s="2">
        <f>HOUR(TB[[#This Row],[时间戳]])</f>
        <v>11</v>
      </c>
      <c r="K3791">
        <v>114</v>
      </c>
      <c r="L3791">
        <v>0</v>
      </c>
      <c r="M3791">
        <f>TB[[#This Row],[售价]]*TB[[#This Row],[销量]]</f>
        <v>0</v>
      </c>
      <c r="N3791" t="str">
        <f>IF(TB[[#This Row],[售价]]&lt;1000,"低价商品",IF(TB[[#This Row],[售价]]&lt;5000,"中价商品",IF(TB[[#This Row],[售价]]&lt;10000,"高价商品","超高价商品")))</f>
        <v>低价商品</v>
      </c>
    </row>
    <row r="3792" spans="1:14" x14ac:dyDescent="0.2">
      <c r="A3792">
        <v>235</v>
      </c>
      <c r="B3792">
        <v>170</v>
      </c>
      <c r="C3792" t="s">
        <v>36</v>
      </c>
      <c r="D3792" t="s">
        <v>192</v>
      </c>
      <c r="E3792" t="s">
        <v>22</v>
      </c>
      <c r="F3792">
        <v>1</v>
      </c>
      <c r="G3792" t="s">
        <v>13</v>
      </c>
      <c r="H3792" s="1">
        <v>46000.46875</v>
      </c>
      <c r="I3792" s="5">
        <f>INT(TB[[#This Row],[时间戳]])</f>
        <v>46000</v>
      </c>
      <c r="J3792" s="2">
        <f>HOUR(TB[[#This Row],[时间戳]])</f>
        <v>11</v>
      </c>
      <c r="K3792">
        <v>4994</v>
      </c>
      <c r="L3792">
        <v>2</v>
      </c>
      <c r="M3792">
        <f>TB[[#This Row],[售价]]*TB[[#This Row],[销量]]</f>
        <v>9988</v>
      </c>
      <c r="N3792" t="str">
        <f>IF(TB[[#This Row],[售价]]&lt;1000,"低价商品",IF(TB[[#This Row],[售价]]&lt;5000,"中价商品",IF(TB[[#This Row],[售价]]&lt;10000,"高价商品","超高价商品")))</f>
        <v>中价商品</v>
      </c>
    </row>
    <row r="3793" spans="1:14" x14ac:dyDescent="0.2">
      <c r="A3793">
        <v>717</v>
      </c>
      <c r="B3793">
        <v>54</v>
      </c>
      <c r="C3793" t="s">
        <v>10</v>
      </c>
      <c r="D3793" t="s">
        <v>130</v>
      </c>
      <c r="E3793" t="s">
        <v>16</v>
      </c>
      <c r="F3793">
        <v>6</v>
      </c>
      <c r="G3793" t="s">
        <v>13</v>
      </c>
      <c r="H3793" s="1">
        <v>46000.470138888886</v>
      </c>
      <c r="I3793" s="5">
        <f>INT(TB[[#This Row],[时间戳]])</f>
        <v>46000</v>
      </c>
      <c r="J3793" s="2">
        <f>HOUR(TB[[#This Row],[时间戳]])</f>
        <v>11</v>
      </c>
      <c r="K3793">
        <v>5716</v>
      </c>
      <c r="L3793">
        <v>1</v>
      </c>
      <c r="M3793">
        <f>TB[[#This Row],[售价]]*TB[[#This Row],[销量]]</f>
        <v>5716</v>
      </c>
      <c r="N3793" t="str">
        <f>IF(TB[[#This Row],[售价]]&lt;1000,"低价商品",IF(TB[[#This Row],[售价]]&lt;5000,"中价商品",IF(TB[[#This Row],[售价]]&lt;10000,"高价商品","超高价商品")))</f>
        <v>高价商品</v>
      </c>
    </row>
    <row r="3794" spans="1:14" x14ac:dyDescent="0.2">
      <c r="A3794">
        <v>486</v>
      </c>
      <c r="B3794">
        <v>259</v>
      </c>
      <c r="C3794" t="s">
        <v>17</v>
      </c>
      <c r="D3794" t="s">
        <v>177</v>
      </c>
      <c r="E3794" t="s">
        <v>22</v>
      </c>
      <c r="F3794">
        <v>1</v>
      </c>
      <c r="G3794" t="s">
        <v>13</v>
      </c>
      <c r="H3794" s="1">
        <v>46000.486805555556</v>
      </c>
      <c r="I3794" s="5">
        <f>INT(TB[[#This Row],[时间戳]])</f>
        <v>46000</v>
      </c>
      <c r="J3794" s="2">
        <f>HOUR(TB[[#This Row],[时间戳]])</f>
        <v>11</v>
      </c>
      <c r="K3794">
        <v>5051</v>
      </c>
      <c r="L3794">
        <v>2</v>
      </c>
      <c r="M3794">
        <f>TB[[#This Row],[售价]]*TB[[#This Row],[销量]]</f>
        <v>10102</v>
      </c>
      <c r="N3794" t="str">
        <f>IF(TB[[#This Row],[售价]]&lt;1000,"低价商品",IF(TB[[#This Row],[售价]]&lt;5000,"中价商品",IF(TB[[#This Row],[售价]]&lt;10000,"高价商品","超高价商品")))</f>
        <v>高价商品</v>
      </c>
    </row>
    <row r="3795" spans="1:14" x14ac:dyDescent="0.2">
      <c r="A3795">
        <v>354</v>
      </c>
      <c r="B3795">
        <v>89</v>
      </c>
      <c r="C3795" t="s">
        <v>14</v>
      </c>
      <c r="D3795" t="s">
        <v>106</v>
      </c>
      <c r="E3795" t="s">
        <v>22</v>
      </c>
      <c r="F3795">
        <v>1</v>
      </c>
      <c r="G3795" t="s">
        <v>13</v>
      </c>
      <c r="H3795" s="1">
        <v>46000.511805555558</v>
      </c>
      <c r="I3795" s="5">
        <f>INT(TB[[#This Row],[时间戳]])</f>
        <v>46000</v>
      </c>
      <c r="J3795" s="2">
        <f>HOUR(TB[[#This Row],[时间戳]])</f>
        <v>12</v>
      </c>
      <c r="K3795">
        <v>3410</v>
      </c>
      <c r="L3795">
        <v>2</v>
      </c>
      <c r="M3795">
        <f>TB[[#This Row],[售价]]*TB[[#This Row],[销量]]</f>
        <v>6820</v>
      </c>
      <c r="N3795" t="str">
        <f>IF(TB[[#This Row],[售价]]&lt;1000,"低价商品",IF(TB[[#This Row],[售价]]&lt;5000,"中价商品",IF(TB[[#This Row],[售价]]&lt;10000,"高价商品","超高价商品")))</f>
        <v>中价商品</v>
      </c>
    </row>
    <row r="3796" spans="1:14" x14ac:dyDescent="0.2">
      <c r="A3796">
        <v>268</v>
      </c>
      <c r="B3796">
        <v>135</v>
      </c>
      <c r="C3796" t="s">
        <v>36</v>
      </c>
      <c r="D3796" t="s">
        <v>210</v>
      </c>
      <c r="E3796" t="s">
        <v>31</v>
      </c>
      <c r="F3796">
        <v>4</v>
      </c>
      <c r="G3796" t="s">
        <v>13</v>
      </c>
      <c r="H3796" s="1">
        <v>46000.512499999997</v>
      </c>
      <c r="I3796" s="5">
        <f>INT(TB[[#This Row],[时间戳]])</f>
        <v>46000</v>
      </c>
      <c r="J3796" s="2">
        <f>HOUR(TB[[#This Row],[时间戳]])</f>
        <v>12</v>
      </c>
      <c r="K3796">
        <v>551</v>
      </c>
      <c r="L3796">
        <v>2</v>
      </c>
      <c r="M3796">
        <f>TB[[#This Row],[售价]]*TB[[#This Row],[销量]]</f>
        <v>1102</v>
      </c>
      <c r="N3796" t="str">
        <f>IF(TB[[#This Row],[售价]]&lt;1000,"低价商品",IF(TB[[#This Row],[售价]]&lt;5000,"中价商品",IF(TB[[#This Row],[售价]]&lt;10000,"高价商品","超高价商品")))</f>
        <v>低价商品</v>
      </c>
    </row>
    <row r="3797" spans="1:14" x14ac:dyDescent="0.2">
      <c r="A3797">
        <v>548</v>
      </c>
      <c r="B3797">
        <v>186</v>
      </c>
      <c r="C3797" t="s">
        <v>20</v>
      </c>
      <c r="D3797" t="s">
        <v>64</v>
      </c>
      <c r="E3797" t="s">
        <v>31</v>
      </c>
      <c r="F3797">
        <v>4</v>
      </c>
      <c r="G3797" t="s">
        <v>42</v>
      </c>
      <c r="H3797" s="1">
        <v>46000.531944444447</v>
      </c>
      <c r="I3797" s="5">
        <f>INT(TB[[#This Row],[时间戳]])</f>
        <v>46000</v>
      </c>
      <c r="J3797" s="2">
        <f>HOUR(TB[[#This Row],[时间戳]])</f>
        <v>12</v>
      </c>
      <c r="K3797">
        <v>752</v>
      </c>
      <c r="L3797">
        <v>0</v>
      </c>
      <c r="M3797">
        <f>TB[[#This Row],[售价]]*TB[[#This Row],[销量]]</f>
        <v>0</v>
      </c>
      <c r="N3797" t="str">
        <f>IF(TB[[#This Row],[售价]]&lt;1000,"低价商品",IF(TB[[#This Row],[售价]]&lt;5000,"中价商品",IF(TB[[#This Row],[售价]]&lt;10000,"高价商品","超高价商品")))</f>
        <v>低价商品</v>
      </c>
    </row>
    <row r="3798" spans="1:14" x14ac:dyDescent="0.2">
      <c r="A3798">
        <v>223</v>
      </c>
      <c r="B3798">
        <v>231</v>
      </c>
      <c r="C3798" t="s">
        <v>46</v>
      </c>
      <c r="D3798" t="s">
        <v>77</v>
      </c>
      <c r="E3798" t="s">
        <v>19</v>
      </c>
      <c r="F3798">
        <v>3</v>
      </c>
      <c r="G3798" t="s">
        <v>13</v>
      </c>
      <c r="H3798" s="1">
        <v>46000.54583333333</v>
      </c>
      <c r="I3798" s="5">
        <f>INT(TB[[#This Row],[时间戳]])</f>
        <v>46000</v>
      </c>
      <c r="J3798" s="2">
        <f>HOUR(TB[[#This Row],[时间戳]])</f>
        <v>13</v>
      </c>
      <c r="K3798">
        <v>2083</v>
      </c>
      <c r="L3798">
        <v>2</v>
      </c>
      <c r="M3798">
        <f>TB[[#This Row],[售价]]*TB[[#This Row],[销量]]</f>
        <v>4166</v>
      </c>
      <c r="N3798" t="str">
        <f>IF(TB[[#This Row],[售价]]&lt;1000,"低价商品",IF(TB[[#This Row],[售价]]&lt;5000,"中价商品",IF(TB[[#This Row],[售价]]&lt;10000,"高价商品","超高价商品")))</f>
        <v>中价商品</v>
      </c>
    </row>
    <row r="3799" spans="1:14" x14ac:dyDescent="0.2">
      <c r="A3799">
        <v>658</v>
      </c>
      <c r="B3799">
        <v>165</v>
      </c>
      <c r="C3799" t="s">
        <v>14</v>
      </c>
      <c r="D3799" t="s">
        <v>30</v>
      </c>
      <c r="E3799" t="s">
        <v>31</v>
      </c>
      <c r="F3799">
        <v>4</v>
      </c>
      <c r="G3799" t="s">
        <v>13</v>
      </c>
      <c r="H3799" s="1">
        <v>46000.54791666667</v>
      </c>
      <c r="I3799" s="5">
        <f>INT(TB[[#This Row],[时间戳]])</f>
        <v>46000</v>
      </c>
      <c r="J3799" s="2">
        <f>HOUR(TB[[#This Row],[时间戳]])</f>
        <v>13</v>
      </c>
      <c r="K3799">
        <v>1500</v>
      </c>
      <c r="L3799">
        <v>1</v>
      </c>
      <c r="M3799">
        <f>TB[[#This Row],[售价]]*TB[[#This Row],[销量]]</f>
        <v>1500</v>
      </c>
      <c r="N3799" t="str">
        <f>IF(TB[[#This Row],[售价]]&lt;1000,"低价商品",IF(TB[[#This Row],[售价]]&lt;5000,"中价商品",IF(TB[[#This Row],[售价]]&lt;10000,"高价商品","超高价商品")))</f>
        <v>中价商品</v>
      </c>
    </row>
    <row r="3800" spans="1:14" x14ac:dyDescent="0.2">
      <c r="A3800">
        <v>151</v>
      </c>
      <c r="B3800">
        <v>275</v>
      </c>
      <c r="C3800" t="s">
        <v>46</v>
      </c>
      <c r="D3800" t="s">
        <v>332</v>
      </c>
      <c r="E3800" t="s">
        <v>19</v>
      </c>
      <c r="F3800">
        <v>3</v>
      </c>
      <c r="G3800" t="s">
        <v>13</v>
      </c>
      <c r="H3800" s="1">
        <v>46000.551388888889</v>
      </c>
      <c r="I3800" s="5">
        <f>INT(TB[[#This Row],[时间戳]])</f>
        <v>46000</v>
      </c>
      <c r="J3800" s="2">
        <f>HOUR(TB[[#This Row],[时间戳]])</f>
        <v>13</v>
      </c>
      <c r="K3800">
        <v>3602</v>
      </c>
      <c r="L3800">
        <v>2</v>
      </c>
      <c r="M3800">
        <f>TB[[#This Row],[售价]]*TB[[#This Row],[销量]]</f>
        <v>7204</v>
      </c>
      <c r="N3800" t="str">
        <f>IF(TB[[#This Row],[售价]]&lt;1000,"低价商品",IF(TB[[#This Row],[售价]]&lt;5000,"中价商品",IF(TB[[#This Row],[售价]]&lt;10000,"高价商品","超高价商品")))</f>
        <v>中价商品</v>
      </c>
    </row>
    <row r="3801" spans="1:14" x14ac:dyDescent="0.2">
      <c r="A3801">
        <v>262</v>
      </c>
      <c r="B3801">
        <v>276</v>
      </c>
      <c r="C3801" t="s">
        <v>20</v>
      </c>
      <c r="D3801" t="s">
        <v>334</v>
      </c>
      <c r="E3801" t="s">
        <v>22</v>
      </c>
      <c r="F3801">
        <v>1</v>
      </c>
      <c r="G3801" t="s">
        <v>13</v>
      </c>
      <c r="H3801" s="1">
        <v>46000.566666666666</v>
      </c>
      <c r="I3801" s="5">
        <f>INT(TB[[#This Row],[时间戳]])</f>
        <v>46000</v>
      </c>
      <c r="J3801" s="2">
        <f>HOUR(TB[[#This Row],[时间戳]])</f>
        <v>13</v>
      </c>
      <c r="K3801">
        <v>4796</v>
      </c>
      <c r="L3801">
        <v>2</v>
      </c>
      <c r="M3801">
        <f>TB[[#This Row],[售价]]*TB[[#This Row],[销量]]</f>
        <v>9592</v>
      </c>
      <c r="N3801" t="str">
        <f>IF(TB[[#This Row],[售价]]&lt;1000,"低价商品",IF(TB[[#This Row],[售价]]&lt;5000,"中价商品",IF(TB[[#This Row],[售价]]&lt;10000,"高价商品","超高价商品")))</f>
        <v>中价商品</v>
      </c>
    </row>
    <row r="3802" spans="1:14" x14ac:dyDescent="0.2">
      <c r="A3802">
        <v>436</v>
      </c>
      <c r="B3802">
        <v>271</v>
      </c>
      <c r="C3802" t="s">
        <v>46</v>
      </c>
      <c r="D3802" t="s">
        <v>129</v>
      </c>
      <c r="E3802" t="s">
        <v>31</v>
      </c>
      <c r="F3802">
        <v>4</v>
      </c>
      <c r="G3802" t="s">
        <v>13</v>
      </c>
      <c r="H3802" s="1">
        <v>46000.573611111111</v>
      </c>
      <c r="I3802" s="5">
        <f>INT(TB[[#This Row],[时间戳]])</f>
        <v>46000</v>
      </c>
      <c r="J3802" s="2">
        <f>HOUR(TB[[#This Row],[时间戳]])</f>
        <v>13</v>
      </c>
      <c r="K3802">
        <v>958</v>
      </c>
      <c r="L3802">
        <v>2</v>
      </c>
      <c r="M3802">
        <f>TB[[#This Row],[售价]]*TB[[#This Row],[销量]]</f>
        <v>1916</v>
      </c>
      <c r="N3802" t="str">
        <f>IF(TB[[#This Row],[售价]]&lt;1000,"低价商品",IF(TB[[#This Row],[售价]]&lt;5000,"中价商品",IF(TB[[#This Row],[售价]]&lt;10000,"高价商品","超高价商品")))</f>
        <v>低价商品</v>
      </c>
    </row>
    <row r="3803" spans="1:14" x14ac:dyDescent="0.2">
      <c r="A3803">
        <v>614</v>
      </c>
      <c r="B3803">
        <v>32</v>
      </c>
      <c r="C3803" t="s">
        <v>26</v>
      </c>
      <c r="D3803" t="s">
        <v>409</v>
      </c>
      <c r="E3803" t="s">
        <v>12</v>
      </c>
      <c r="F3803">
        <v>2</v>
      </c>
      <c r="G3803" t="s">
        <v>13</v>
      </c>
      <c r="H3803" s="1">
        <v>46000.624305555553</v>
      </c>
      <c r="I3803" s="5">
        <f>INT(TB[[#This Row],[时间戳]])</f>
        <v>46000</v>
      </c>
      <c r="J3803" s="2">
        <f>HOUR(TB[[#This Row],[时间戳]])</f>
        <v>14</v>
      </c>
      <c r="K3803">
        <v>12626</v>
      </c>
      <c r="L3803">
        <v>1</v>
      </c>
      <c r="M3803">
        <f>TB[[#This Row],[售价]]*TB[[#This Row],[销量]]</f>
        <v>12626</v>
      </c>
      <c r="N3803" t="str">
        <f>IF(TB[[#This Row],[售价]]&lt;1000,"低价商品",IF(TB[[#This Row],[售价]]&lt;5000,"中价商品",IF(TB[[#This Row],[售价]]&lt;10000,"高价商品","超高价商品")))</f>
        <v>超高价商品</v>
      </c>
    </row>
    <row r="3804" spans="1:14" x14ac:dyDescent="0.2">
      <c r="A3804">
        <v>720</v>
      </c>
      <c r="B3804">
        <v>69</v>
      </c>
      <c r="C3804" t="s">
        <v>44</v>
      </c>
      <c r="D3804" t="s">
        <v>301</v>
      </c>
      <c r="E3804" t="s">
        <v>22</v>
      </c>
      <c r="F3804">
        <v>1</v>
      </c>
      <c r="G3804" t="s">
        <v>13</v>
      </c>
      <c r="H3804" s="1">
        <v>46000.65625</v>
      </c>
      <c r="I3804" s="5">
        <f>INT(TB[[#This Row],[时间戳]])</f>
        <v>46000</v>
      </c>
      <c r="J3804" s="2">
        <f>HOUR(TB[[#This Row],[时间戳]])</f>
        <v>15</v>
      </c>
      <c r="K3804">
        <v>3468</v>
      </c>
      <c r="L3804">
        <v>3</v>
      </c>
      <c r="M3804">
        <f>TB[[#This Row],[售价]]*TB[[#This Row],[销量]]</f>
        <v>10404</v>
      </c>
      <c r="N3804" t="str">
        <f>IF(TB[[#This Row],[售价]]&lt;1000,"低价商品",IF(TB[[#This Row],[售价]]&lt;5000,"中价商品",IF(TB[[#This Row],[售价]]&lt;10000,"高价商品","超高价商品")))</f>
        <v>中价商品</v>
      </c>
    </row>
    <row r="3805" spans="1:14" x14ac:dyDescent="0.2">
      <c r="A3805">
        <v>698</v>
      </c>
      <c r="B3805">
        <v>71</v>
      </c>
      <c r="C3805" t="s">
        <v>36</v>
      </c>
      <c r="D3805" t="s">
        <v>269</v>
      </c>
      <c r="E3805" t="s">
        <v>19</v>
      </c>
      <c r="F3805">
        <v>3</v>
      </c>
      <c r="G3805" t="s">
        <v>13</v>
      </c>
      <c r="H3805" s="1">
        <v>46000.731944444444</v>
      </c>
      <c r="I3805" s="5">
        <f>INT(TB[[#This Row],[时间戳]])</f>
        <v>46000</v>
      </c>
      <c r="J3805" s="2">
        <f>HOUR(TB[[#This Row],[时间戳]])</f>
        <v>17</v>
      </c>
      <c r="K3805">
        <v>5279</v>
      </c>
      <c r="L3805">
        <v>2</v>
      </c>
      <c r="M3805">
        <f>TB[[#This Row],[售价]]*TB[[#This Row],[销量]]</f>
        <v>10558</v>
      </c>
      <c r="N3805" t="str">
        <f>IF(TB[[#This Row],[售价]]&lt;1000,"低价商品",IF(TB[[#This Row],[售价]]&lt;5000,"中价商品",IF(TB[[#This Row],[售价]]&lt;10000,"高价商品","超高价商品")))</f>
        <v>高价商品</v>
      </c>
    </row>
    <row r="3806" spans="1:14" x14ac:dyDescent="0.2">
      <c r="A3806">
        <v>92</v>
      </c>
      <c r="B3806">
        <v>277</v>
      </c>
      <c r="C3806" t="s">
        <v>32</v>
      </c>
      <c r="D3806" t="s">
        <v>58</v>
      </c>
      <c r="E3806" t="s">
        <v>31</v>
      </c>
      <c r="F3806">
        <v>4</v>
      </c>
      <c r="G3806" t="s">
        <v>13</v>
      </c>
      <c r="H3806" s="1">
        <v>46000.736805555556</v>
      </c>
      <c r="I3806" s="5">
        <f>INT(TB[[#This Row],[时间戳]])</f>
        <v>46000</v>
      </c>
      <c r="J3806" s="2">
        <f>HOUR(TB[[#This Row],[时间戳]])</f>
        <v>17</v>
      </c>
      <c r="K3806">
        <v>561</v>
      </c>
      <c r="L3806">
        <v>2</v>
      </c>
      <c r="M3806">
        <f>TB[[#This Row],[售价]]*TB[[#This Row],[销量]]</f>
        <v>1122</v>
      </c>
      <c r="N3806" t="str">
        <f>IF(TB[[#This Row],[售价]]&lt;1000,"低价商品",IF(TB[[#This Row],[售价]]&lt;5000,"中价商品",IF(TB[[#This Row],[售价]]&lt;10000,"高价商品","超高价商品")))</f>
        <v>低价商品</v>
      </c>
    </row>
    <row r="3807" spans="1:14" x14ac:dyDescent="0.2">
      <c r="A3807">
        <v>275</v>
      </c>
      <c r="B3807">
        <v>68</v>
      </c>
      <c r="C3807" t="s">
        <v>36</v>
      </c>
      <c r="D3807" t="s">
        <v>317</v>
      </c>
      <c r="E3807" t="s">
        <v>19</v>
      </c>
      <c r="F3807">
        <v>3</v>
      </c>
      <c r="G3807" t="s">
        <v>13</v>
      </c>
      <c r="H3807" s="1">
        <v>46000.801388888889</v>
      </c>
      <c r="I3807" s="5">
        <f>INT(TB[[#This Row],[时间戳]])</f>
        <v>46000</v>
      </c>
      <c r="J3807" s="2">
        <f>HOUR(TB[[#This Row],[时间戳]])</f>
        <v>19</v>
      </c>
      <c r="K3807">
        <v>4786</v>
      </c>
      <c r="L3807">
        <v>2</v>
      </c>
      <c r="M3807">
        <f>TB[[#This Row],[售价]]*TB[[#This Row],[销量]]</f>
        <v>9572</v>
      </c>
      <c r="N3807" t="str">
        <f>IF(TB[[#This Row],[售价]]&lt;1000,"低价商品",IF(TB[[#This Row],[售价]]&lt;5000,"中价商品",IF(TB[[#This Row],[售价]]&lt;10000,"高价商品","超高价商品")))</f>
        <v>中价商品</v>
      </c>
    </row>
    <row r="3808" spans="1:14" x14ac:dyDescent="0.2">
      <c r="A3808">
        <v>461</v>
      </c>
      <c r="B3808">
        <v>84</v>
      </c>
      <c r="C3808" t="s">
        <v>32</v>
      </c>
      <c r="D3808" t="s">
        <v>336</v>
      </c>
      <c r="E3808" t="s">
        <v>16</v>
      </c>
      <c r="F3808">
        <v>6</v>
      </c>
      <c r="G3808" t="s">
        <v>13</v>
      </c>
      <c r="H3808" s="1">
        <v>46000.811805555553</v>
      </c>
      <c r="I3808" s="5">
        <f>INT(TB[[#This Row],[时间戳]])</f>
        <v>46000</v>
      </c>
      <c r="J3808" s="2">
        <f>HOUR(TB[[#This Row],[时间戳]])</f>
        <v>19</v>
      </c>
      <c r="K3808">
        <v>5422</v>
      </c>
      <c r="L3808">
        <v>5</v>
      </c>
      <c r="M3808">
        <f>TB[[#This Row],[售价]]*TB[[#This Row],[销量]]</f>
        <v>27110</v>
      </c>
      <c r="N3808" t="str">
        <f>IF(TB[[#This Row],[售价]]&lt;1000,"低价商品",IF(TB[[#This Row],[售价]]&lt;5000,"中价商品",IF(TB[[#This Row],[售价]]&lt;10000,"高价商品","超高价商品")))</f>
        <v>高价商品</v>
      </c>
    </row>
    <row r="3809" spans="1:14" x14ac:dyDescent="0.2">
      <c r="A3809">
        <v>106</v>
      </c>
      <c r="B3809">
        <v>78</v>
      </c>
      <c r="C3809" t="s">
        <v>32</v>
      </c>
      <c r="D3809" t="s">
        <v>212</v>
      </c>
      <c r="E3809" t="s">
        <v>22</v>
      </c>
      <c r="F3809">
        <v>1</v>
      </c>
      <c r="G3809" t="s">
        <v>13</v>
      </c>
      <c r="H3809" s="1">
        <v>46000.819444444445</v>
      </c>
      <c r="I3809" s="5">
        <f>INT(TB[[#This Row],[时间戳]])</f>
        <v>46000</v>
      </c>
      <c r="J3809" s="2">
        <f>HOUR(TB[[#This Row],[时间戳]])</f>
        <v>19</v>
      </c>
      <c r="K3809">
        <v>5191</v>
      </c>
      <c r="L3809">
        <v>3</v>
      </c>
      <c r="M3809">
        <f>TB[[#This Row],[售价]]*TB[[#This Row],[销量]]</f>
        <v>15573</v>
      </c>
      <c r="N3809" t="str">
        <f>IF(TB[[#This Row],[售价]]&lt;1000,"低价商品",IF(TB[[#This Row],[售价]]&lt;5000,"中价商品",IF(TB[[#This Row],[售价]]&lt;10000,"高价商品","超高价商品")))</f>
        <v>高价商品</v>
      </c>
    </row>
    <row r="3810" spans="1:14" x14ac:dyDescent="0.2">
      <c r="A3810">
        <v>31</v>
      </c>
      <c r="B3810">
        <v>201</v>
      </c>
      <c r="C3810" t="s">
        <v>20</v>
      </c>
      <c r="D3810" t="s">
        <v>113</v>
      </c>
      <c r="E3810" t="s">
        <v>31</v>
      </c>
      <c r="F3810">
        <v>4</v>
      </c>
      <c r="G3810" t="s">
        <v>13</v>
      </c>
      <c r="H3810" s="1">
        <v>46000.820833333331</v>
      </c>
      <c r="I3810" s="5">
        <f>INT(TB[[#This Row],[时间戳]])</f>
        <v>46000</v>
      </c>
      <c r="J3810" s="2">
        <f>HOUR(TB[[#This Row],[时间戳]])</f>
        <v>19</v>
      </c>
      <c r="K3810">
        <v>410</v>
      </c>
      <c r="L3810">
        <v>2</v>
      </c>
      <c r="M3810">
        <f>TB[[#This Row],[售价]]*TB[[#This Row],[销量]]</f>
        <v>820</v>
      </c>
      <c r="N3810" t="str">
        <f>IF(TB[[#This Row],[售价]]&lt;1000,"低价商品",IF(TB[[#This Row],[售价]]&lt;5000,"中价商品",IF(TB[[#This Row],[售价]]&lt;10000,"高价商品","超高价商品")))</f>
        <v>低价商品</v>
      </c>
    </row>
    <row r="3811" spans="1:14" x14ac:dyDescent="0.2">
      <c r="A3811">
        <v>530</v>
      </c>
      <c r="B3811">
        <v>264</v>
      </c>
      <c r="C3811" t="s">
        <v>32</v>
      </c>
      <c r="D3811" t="s">
        <v>404</v>
      </c>
      <c r="E3811" t="s">
        <v>25</v>
      </c>
      <c r="F3811">
        <v>7</v>
      </c>
      <c r="G3811" t="s">
        <v>42</v>
      </c>
      <c r="H3811" s="1">
        <v>46000.821527777778</v>
      </c>
      <c r="I3811" s="5">
        <f>INT(TB[[#This Row],[时间戳]])</f>
        <v>46000</v>
      </c>
      <c r="J3811" s="2">
        <f>HOUR(TB[[#This Row],[时间戳]])</f>
        <v>19</v>
      </c>
      <c r="K3811">
        <v>2877</v>
      </c>
      <c r="L3811">
        <v>0</v>
      </c>
      <c r="M3811">
        <f>TB[[#This Row],[售价]]*TB[[#This Row],[销量]]</f>
        <v>0</v>
      </c>
      <c r="N3811" t="str">
        <f>IF(TB[[#This Row],[售价]]&lt;1000,"低价商品",IF(TB[[#This Row],[售价]]&lt;5000,"中价商品",IF(TB[[#This Row],[售价]]&lt;10000,"高价商品","超高价商品")))</f>
        <v>中价商品</v>
      </c>
    </row>
    <row r="3812" spans="1:14" x14ac:dyDescent="0.2">
      <c r="A3812">
        <v>218</v>
      </c>
      <c r="B3812">
        <v>86</v>
      </c>
      <c r="C3812" t="s">
        <v>46</v>
      </c>
      <c r="D3812" t="s">
        <v>81</v>
      </c>
      <c r="E3812" t="s">
        <v>12</v>
      </c>
      <c r="F3812">
        <v>2</v>
      </c>
      <c r="G3812" t="s">
        <v>13</v>
      </c>
      <c r="H3812" s="1">
        <v>46000.843055555553</v>
      </c>
      <c r="I3812" s="5">
        <f>INT(TB[[#This Row],[时间戳]])</f>
        <v>46000</v>
      </c>
      <c r="J3812" s="2">
        <f>HOUR(TB[[#This Row],[时间戳]])</f>
        <v>20</v>
      </c>
      <c r="K3812">
        <v>4972</v>
      </c>
      <c r="L3812">
        <v>2</v>
      </c>
      <c r="M3812">
        <f>TB[[#This Row],[售价]]*TB[[#This Row],[销量]]</f>
        <v>9944</v>
      </c>
      <c r="N3812" t="str">
        <f>IF(TB[[#This Row],[售价]]&lt;1000,"低价商品",IF(TB[[#This Row],[售价]]&lt;5000,"中价商品",IF(TB[[#This Row],[售价]]&lt;10000,"高价商品","超高价商品")))</f>
        <v>中价商品</v>
      </c>
    </row>
    <row r="3813" spans="1:14" x14ac:dyDescent="0.2">
      <c r="A3813">
        <v>16</v>
      </c>
      <c r="B3813">
        <v>95</v>
      </c>
      <c r="C3813" t="s">
        <v>10</v>
      </c>
      <c r="D3813" t="s">
        <v>134</v>
      </c>
      <c r="E3813" t="s">
        <v>22</v>
      </c>
      <c r="F3813">
        <v>1</v>
      </c>
      <c r="G3813" t="s">
        <v>13</v>
      </c>
      <c r="H3813" s="1">
        <v>46000.854861111111</v>
      </c>
      <c r="I3813" s="5">
        <f>INT(TB[[#This Row],[时间戳]])</f>
        <v>46000</v>
      </c>
      <c r="J3813" s="2">
        <f>HOUR(TB[[#This Row],[时间戳]])</f>
        <v>20</v>
      </c>
      <c r="K3813">
        <v>2055</v>
      </c>
      <c r="L3813">
        <v>3</v>
      </c>
      <c r="M3813">
        <f>TB[[#This Row],[售价]]*TB[[#This Row],[销量]]</f>
        <v>6165</v>
      </c>
      <c r="N3813" t="str">
        <f>IF(TB[[#This Row],[售价]]&lt;1000,"低价商品",IF(TB[[#This Row],[售价]]&lt;5000,"中价商品",IF(TB[[#This Row],[售价]]&lt;10000,"高价商品","超高价商品")))</f>
        <v>中价商品</v>
      </c>
    </row>
    <row r="3814" spans="1:14" x14ac:dyDescent="0.2">
      <c r="A3814">
        <v>65</v>
      </c>
      <c r="B3814">
        <v>268</v>
      </c>
      <c r="C3814" t="s">
        <v>10</v>
      </c>
      <c r="D3814" t="s">
        <v>134</v>
      </c>
      <c r="E3814" t="s">
        <v>22</v>
      </c>
      <c r="F3814">
        <v>1</v>
      </c>
      <c r="G3814" t="s">
        <v>42</v>
      </c>
      <c r="H3814" s="1">
        <v>46000.859027777777</v>
      </c>
      <c r="I3814" s="5">
        <f>INT(TB[[#This Row],[时间戳]])</f>
        <v>46000</v>
      </c>
      <c r="J3814" s="2">
        <f>HOUR(TB[[#This Row],[时间戳]])</f>
        <v>20</v>
      </c>
      <c r="K3814">
        <v>2773</v>
      </c>
      <c r="L3814">
        <v>0</v>
      </c>
      <c r="M3814">
        <f>TB[[#This Row],[售价]]*TB[[#This Row],[销量]]</f>
        <v>0</v>
      </c>
      <c r="N3814" t="str">
        <f>IF(TB[[#This Row],[售价]]&lt;1000,"低价商品",IF(TB[[#This Row],[售价]]&lt;5000,"中价商品",IF(TB[[#This Row],[售价]]&lt;10000,"高价商品","超高价商品")))</f>
        <v>中价商品</v>
      </c>
    </row>
    <row r="3815" spans="1:14" x14ac:dyDescent="0.2">
      <c r="A3815">
        <v>118</v>
      </c>
      <c r="B3815">
        <v>24</v>
      </c>
      <c r="C3815" t="s">
        <v>17</v>
      </c>
      <c r="D3815" t="s">
        <v>126</v>
      </c>
      <c r="E3815" t="s">
        <v>39</v>
      </c>
      <c r="F3815">
        <v>5</v>
      </c>
      <c r="G3815" t="s">
        <v>13</v>
      </c>
      <c r="H3815" s="1">
        <v>46000.877083333333</v>
      </c>
      <c r="I3815" s="5">
        <f>INT(TB[[#This Row],[时间戳]])</f>
        <v>46000</v>
      </c>
      <c r="J3815" s="2">
        <f>HOUR(TB[[#This Row],[时间戳]])</f>
        <v>21</v>
      </c>
      <c r="K3815">
        <v>2416</v>
      </c>
      <c r="L3815">
        <v>2</v>
      </c>
      <c r="M3815">
        <f>TB[[#This Row],[售价]]*TB[[#This Row],[销量]]</f>
        <v>4832</v>
      </c>
      <c r="N3815" t="str">
        <f>IF(TB[[#This Row],[售价]]&lt;1000,"低价商品",IF(TB[[#This Row],[售价]]&lt;5000,"中价商品",IF(TB[[#This Row],[售价]]&lt;10000,"高价商品","超高价商品")))</f>
        <v>中价商品</v>
      </c>
    </row>
    <row r="3816" spans="1:14" x14ac:dyDescent="0.2">
      <c r="A3816">
        <v>572</v>
      </c>
      <c r="B3816">
        <v>247</v>
      </c>
      <c r="C3816" t="s">
        <v>46</v>
      </c>
      <c r="D3816" t="s">
        <v>266</v>
      </c>
      <c r="E3816" t="s">
        <v>12</v>
      </c>
      <c r="F3816">
        <v>2</v>
      </c>
      <c r="G3816" t="s">
        <v>13</v>
      </c>
      <c r="H3816" s="1">
        <v>46000.881944444445</v>
      </c>
      <c r="I3816" s="5">
        <f>INT(TB[[#This Row],[时间戳]])</f>
        <v>46000</v>
      </c>
      <c r="J3816" s="2">
        <f>HOUR(TB[[#This Row],[时间戳]])</f>
        <v>21</v>
      </c>
      <c r="K3816">
        <v>4548</v>
      </c>
      <c r="L3816">
        <v>1</v>
      </c>
      <c r="M3816">
        <f>TB[[#This Row],[售价]]*TB[[#This Row],[销量]]</f>
        <v>4548</v>
      </c>
      <c r="N3816" t="str">
        <f>IF(TB[[#This Row],[售价]]&lt;1000,"低价商品",IF(TB[[#This Row],[售价]]&lt;5000,"中价商品",IF(TB[[#This Row],[售价]]&lt;10000,"高价商品","超高价商品")))</f>
        <v>中价商品</v>
      </c>
    </row>
    <row r="3817" spans="1:14" x14ac:dyDescent="0.2">
      <c r="A3817">
        <v>86</v>
      </c>
      <c r="B3817">
        <v>152</v>
      </c>
      <c r="C3817" t="s">
        <v>10</v>
      </c>
      <c r="D3817" t="s">
        <v>294</v>
      </c>
      <c r="E3817" t="s">
        <v>31</v>
      </c>
      <c r="F3817">
        <v>4</v>
      </c>
      <c r="G3817" t="s">
        <v>13</v>
      </c>
      <c r="H3817" s="1">
        <v>46000.897916666669</v>
      </c>
      <c r="I3817" s="5">
        <f>INT(TB[[#This Row],[时间戳]])</f>
        <v>46000</v>
      </c>
      <c r="J3817" s="2">
        <f>HOUR(TB[[#This Row],[时间戳]])</f>
        <v>21</v>
      </c>
      <c r="K3817">
        <v>703</v>
      </c>
      <c r="L3817">
        <v>1</v>
      </c>
      <c r="M3817">
        <f>TB[[#This Row],[售价]]*TB[[#This Row],[销量]]</f>
        <v>703</v>
      </c>
      <c r="N3817" t="str">
        <f>IF(TB[[#This Row],[售价]]&lt;1000,"低价商品",IF(TB[[#This Row],[售价]]&lt;5000,"中价商品",IF(TB[[#This Row],[售价]]&lt;10000,"高价商品","超高价商品")))</f>
        <v>低价商品</v>
      </c>
    </row>
    <row r="3818" spans="1:14" x14ac:dyDescent="0.2">
      <c r="A3818">
        <v>296</v>
      </c>
      <c r="B3818">
        <v>32</v>
      </c>
      <c r="C3818" t="s">
        <v>17</v>
      </c>
      <c r="D3818" t="s">
        <v>370</v>
      </c>
      <c r="E3818" t="s">
        <v>31</v>
      </c>
      <c r="F3818">
        <v>4</v>
      </c>
      <c r="G3818" t="s">
        <v>13</v>
      </c>
      <c r="H3818" s="1">
        <v>46000.90625</v>
      </c>
      <c r="I3818" s="5">
        <f>INT(TB[[#This Row],[时间戳]])</f>
        <v>46000</v>
      </c>
      <c r="J3818" s="2">
        <f>HOUR(TB[[#This Row],[时间戳]])</f>
        <v>21</v>
      </c>
      <c r="K3818">
        <v>427</v>
      </c>
      <c r="L3818">
        <v>2</v>
      </c>
      <c r="M3818">
        <f>TB[[#This Row],[售价]]*TB[[#This Row],[销量]]</f>
        <v>854</v>
      </c>
      <c r="N3818" t="str">
        <f>IF(TB[[#This Row],[售价]]&lt;1000,"低价商品",IF(TB[[#This Row],[售价]]&lt;5000,"中价商品",IF(TB[[#This Row],[售价]]&lt;10000,"高价商品","超高价商品")))</f>
        <v>低价商品</v>
      </c>
    </row>
    <row r="3819" spans="1:14" x14ac:dyDescent="0.2">
      <c r="A3819">
        <v>666</v>
      </c>
      <c r="B3819">
        <v>125</v>
      </c>
      <c r="C3819" t="s">
        <v>36</v>
      </c>
      <c r="D3819" t="s">
        <v>304</v>
      </c>
      <c r="E3819" t="s">
        <v>16</v>
      </c>
      <c r="F3819">
        <v>6</v>
      </c>
      <c r="G3819" t="s">
        <v>13</v>
      </c>
      <c r="H3819" s="1">
        <v>46000.938194444447</v>
      </c>
      <c r="I3819" s="5">
        <f>INT(TB[[#This Row],[时间戳]])</f>
        <v>46000</v>
      </c>
      <c r="J3819" s="2">
        <f>HOUR(TB[[#This Row],[时间戳]])</f>
        <v>22</v>
      </c>
      <c r="K3819">
        <v>5937</v>
      </c>
      <c r="L3819">
        <v>1</v>
      </c>
      <c r="M3819">
        <f>TB[[#This Row],[售价]]*TB[[#This Row],[销量]]</f>
        <v>5937</v>
      </c>
      <c r="N3819" t="str">
        <f>IF(TB[[#This Row],[售价]]&lt;1000,"低价商品",IF(TB[[#This Row],[售价]]&lt;5000,"中价商品",IF(TB[[#This Row],[售价]]&lt;10000,"高价商品","超高价商品")))</f>
        <v>高价商品</v>
      </c>
    </row>
    <row r="3820" spans="1:14" x14ac:dyDescent="0.2">
      <c r="A3820">
        <v>774</v>
      </c>
      <c r="B3820">
        <v>25</v>
      </c>
      <c r="C3820" t="s">
        <v>46</v>
      </c>
      <c r="D3820" t="s">
        <v>129</v>
      </c>
      <c r="E3820" t="s">
        <v>31</v>
      </c>
      <c r="F3820">
        <v>4</v>
      </c>
      <c r="G3820" t="s">
        <v>13</v>
      </c>
      <c r="H3820" s="1">
        <v>46000.970138888886</v>
      </c>
      <c r="I3820" s="5">
        <f>INT(TB[[#This Row],[时间戳]])</f>
        <v>46000</v>
      </c>
      <c r="J3820" s="2">
        <f>HOUR(TB[[#This Row],[时间戳]])</f>
        <v>23</v>
      </c>
      <c r="K3820">
        <v>1206</v>
      </c>
      <c r="L3820">
        <v>1</v>
      </c>
      <c r="M3820">
        <f>TB[[#This Row],[售价]]*TB[[#This Row],[销量]]</f>
        <v>1206</v>
      </c>
      <c r="N3820" t="str">
        <f>IF(TB[[#This Row],[售价]]&lt;1000,"低价商品",IF(TB[[#This Row],[售价]]&lt;5000,"中价商品",IF(TB[[#This Row],[售价]]&lt;10000,"高价商品","超高价商品")))</f>
        <v>中价商品</v>
      </c>
    </row>
    <row r="3821" spans="1:14" x14ac:dyDescent="0.2">
      <c r="A3821">
        <v>657</v>
      </c>
      <c r="B3821">
        <v>71</v>
      </c>
      <c r="C3821" t="s">
        <v>17</v>
      </c>
      <c r="D3821" t="s">
        <v>255</v>
      </c>
      <c r="E3821" t="s">
        <v>31</v>
      </c>
      <c r="F3821">
        <v>4</v>
      </c>
      <c r="G3821" t="s">
        <v>13</v>
      </c>
      <c r="H3821" s="1">
        <v>46000.981944444444</v>
      </c>
      <c r="I3821" s="5">
        <f>INT(TB[[#This Row],[时间戳]])</f>
        <v>46000</v>
      </c>
      <c r="J3821" s="2">
        <f>HOUR(TB[[#This Row],[时间戳]])</f>
        <v>23</v>
      </c>
      <c r="K3821">
        <v>979</v>
      </c>
      <c r="L3821">
        <v>2</v>
      </c>
      <c r="M3821">
        <f>TB[[#This Row],[售价]]*TB[[#This Row],[销量]]</f>
        <v>1958</v>
      </c>
      <c r="N3821" t="str">
        <f>IF(TB[[#This Row],[售价]]&lt;1000,"低价商品",IF(TB[[#This Row],[售价]]&lt;5000,"中价商品",IF(TB[[#This Row],[售价]]&lt;10000,"高价商品","超高价商品")))</f>
        <v>低价商品</v>
      </c>
    </row>
    <row r="3822" spans="1:14" x14ac:dyDescent="0.2">
      <c r="A3822">
        <v>603</v>
      </c>
      <c r="B3822">
        <v>162</v>
      </c>
      <c r="C3822" t="s">
        <v>36</v>
      </c>
      <c r="D3822" t="s">
        <v>233</v>
      </c>
      <c r="E3822" t="s">
        <v>16</v>
      </c>
      <c r="F3822">
        <v>6</v>
      </c>
      <c r="G3822" t="s">
        <v>13</v>
      </c>
      <c r="H3822" s="1">
        <v>46000.989583333336</v>
      </c>
      <c r="I3822" s="5">
        <f>INT(TB[[#This Row],[时间戳]])</f>
        <v>46000</v>
      </c>
      <c r="J3822" s="2">
        <f>HOUR(TB[[#This Row],[时间戳]])</f>
        <v>23</v>
      </c>
      <c r="K3822">
        <v>5155</v>
      </c>
      <c r="L3822">
        <v>2</v>
      </c>
      <c r="M3822">
        <f>TB[[#This Row],[售价]]*TB[[#This Row],[销量]]</f>
        <v>10310</v>
      </c>
      <c r="N3822" t="str">
        <f>IF(TB[[#This Row],[售价]]&lt;1000,"低价商品",IF(TB[[#This Row],[售价]]&lt;5000,"中价商品",IF(TB[[#This Row],[售价]]&lt;10000,"高价商品","超高价商品")))</f>
        <v>高价商品</v>
      </c>
    </row>
    <row r="3823" spans="1:14" x14ac:dyDescent="0.2">
      <c r="A3823">
        <v>751</v>
      </c>
      <c r="B3823">
        <v>9</v>
      </c>
      <c r="C3823" t="s">
        <v>10</v>
      </c>
      <c r="D3823" t="s">
        <v>330</v>
      </c>
      <c r="E3823" t="s">
        <v>19</v>
      </c>
      <c r="F3823">
        <v>3</v>
      </c>
      <c r="G3823" t="s">
        <v>13</v>
      </c>
      <c r="H3823" s="1">
        <v>46000.997916666667</v>
      </c>
      <c r="I3823" s="5">
        <f>INT(TB[[#This Row],[时间戳]])</f>
        <v>46000</v>
      </c>
      <c r="J3823" s="2">
        <f>HOUR(TB[[#This Row],[时间戳]])</f>
        <v>23</v>
      </c>
      <c r="K3823">
        <v>2117</v>
      </c>
      <c r="L3823">
        <v>1</v>
      </c>
      <c r="M3823">
        <f>TB[[#This Row],[售价]]*TB[[#This Row],[销量]]</f>
        <v>2117</v>
      </c>
      <c r="N3823" t="str">
        <f>IF(TB[[#This Row],[售价]]&lt;1000,"低价商品",IF(TB[[#This Row],[售价]]&lt;5000,"中价商品",IF(TB[[#This Row],[售价]]&lt;10000,"高价商品","超高价商品")))</f>
        <v>中价商品</v>
      </c>
    </row>
    <row r="3824" spans="1:14" x14ac:dyDescent="0.2">
      <c r="A3824">
        <v>4</v>
      </c>
      <c r="B3824">
        <v>190</v>
      </c>
      <c r="C3824" t="s">
        <v>17</v>
      </c>
      <c r="D3824" t="s">
        <v>390</v>
      </c>
      <c r="E3824" t="s">
        <v>39</v>
      </c>
      <c r="F3824">
        <v>5</v>
      </c>
      <c r="G3824" t="s">
        <v>13</v>
      </c>
      <c r="H3824" s="1">
        <v>46001.027777777781</v>
      </c>
      <c r="I3824" s="5">
        <f>INT(TB[[#This Row],[时间戳]])</f>
        <v>46001</v>
      </c>
      <c r="J3824" s="2">
        <f>HOUR(TB[[#This Row],[时间戳]])</f>
        <v>0</v>
      </c>
      <c r="K3824">
        <v>2856</v>
      </c>
      <c r="L3824">
        <v>1</v>
      </c>
      <c r="M3824">
        <f>TB[[#This Row],[售价]]*TB[[#This Row],[销量]]</f>
        <v>2856</v>
      </c>
      <c r="N3824" t="str">
        <f>IF(TB[[#This Row],[售价]]&lt;1000,"低价商品",IF(TB[[#This Row],[售价]]&lt;5000,"中价商品",IF(TB[[#This Row],[售价]]&lt;10000,"高价商品","超高价商品")))</f>
        <v>中价商品</v>
      </c>
    </row>
    <row r="3825" spans="1:14" x14ac:dyDescent="0.2">
      <c r="A3825">
        <v>449</v>
      </c>
      <c r="B3825">
        <v>39</v>
      </c>
      <c r="C3825" t="s">
        <v>46</v>
      </c>
      <c r="D3825" t="s">
        <v>211</v>
      </c>
      <c r="E3825" t="s">
        <v>31</v>
      </c>
      <c r="F3825">
        <v>4</v>
      </c>
      <c r="G3825" t="s">
        <v>13</v>
      </c>
      <c r="H3825" s="1">
        <v>46001.035416666666</v>
      </c>
      <c r="I3825" s="5">
        <f>INT(TB[[#This Row],[时间戳]])</f>
        <v>46001</v>
      </c>
      <c r="J3825" s="2">
        <f>HOUR(TB[[#This Row],[时间戳]])</f>
        <v>0</v>
      </c>
      <c r="K3825">
        <v>589</v>
      </c>
      <c r="L3825">
        <v>1</v>
      </c>
      <c r="M3825">
        <f>TB[[#This Row],[售价]]*TB[[#This Row],[销量]]</f>
        <v>589</v>
      </c>
      <c r="N3825" t="str">
        <f>IF(TB[[#This Row],[售价]]&lt;1000,"低价商品",IF(TB[[#This Row],[售价]]&lt;5000,"中价商品",IF(TB[[#This Row],[售价]]&lt;10000,"高价商品","超高价商品")))</f>
        <v>低价商品</v>
      </c>
    </row>
    <row r="3826" spans="1:14" x14ac:dyDescent="0.2">
      <c r="A3826">
        <v>444</v>
      </c>
      <c r="B3826">
        <v>200</v>
      </c>
      <c r="C3826" t="s">
        <v>10</v>
      </c>
      <c r="D3826" t="s">
        <v>283</v>
      </c>
      <c r="E3826" t="s">
        <v>25</v>
      </c>
      <c r="F3826">
        <v>7</v>
      </c>
      <c r="G3826" t="s">
        <v>42</v>
      </c>
      <c r="H3826" s="1">
        <v>46001.039583333331</v>
      </c>
      <c r="I3826" s="5">
        <f>INT(TB[[#This Row],[时间戳]])</f>
        <v>46001</v>
      </c>
      <c r="J3826" s="2">
        <f>HOUR(TB[[#This Row],[时间戳]])</f>
        <v>0</v>
      </c>
      <c r="K3826">
        <v>4024</v>
      </c>
      <c r="L3826">
        <v>0</v>
      </c>
      <c r="M3826">
        <f>TB[[#This Row],[售价]]*TB[[#This Row],[销量]]</f>
        <v>0</v>
      </c>
      <c r="N3826" t="str">
        <f>IF(TB[[#This Row],[售价]]&lt;1000,"低价商品",IF(TB[[#This Row],[售价]]&lt;5000,"中价商品",IF(TB[[#This Row],[售价]]&lt;10000,"高价商品","超高价商品")))</f>
        <v>中价商品</v>
      </c>
    </row>
    <row r="3827" spans="1:14" x14ac:dyDescent="0.2">
      <c r="A3827">
        <v>14</v>
      </c>
      <c r="B3827">
        <v>202</v>
      </c>
      <c r="C3827" t="s">
        <v>14</v>
      </c>
      <c r="D3827" t="s">
        <v>395</v>
      </c>
      <c r="E3827" t="s">
        <v>12</v>
      </c>
      <c r="F3827">
        <v>2</v>
      </c>
      <c r="G3827" t="s">
        <v>13</v>
      </c>
      <c r="H3827" s="1">
        <v>46001.041666666664</v>
      </c>
      <c r="I3827" s="5">
        <f>INT(TB[[#This Row],[时间戳]])</f>
        <v>46001</v>
      </c>
      <c r="J3827" s="2">
        <f>HOUR(TB[[#This Row],[时间戳]])</f>
        <v>1</v>
      </c>
      <c r="K3827">
        <v>10852</v>
      </c>
      <c r="L3827">
        <v>2</v>
      </c>
      <c r="M3827">
        <f>TB[[#This Row],[售价]]*TB[[#This Row],[销量]]</f>
        <v>21704</v>
      </c>
      <c r="N3827" t="str">
        <f>IF(TB[[#This Row],[售价]]&lt;1000,"低价商品",IF(TB[[#This Row],[售价]]&lt;5000,"中价商品",IF(TB[[#This Row],[售价]]&lt;10000,"高价商品","超高价商品")))</f>
        <v>超高价商品</v>
      </c>
    </row>
    <row r="3828" spans="1:14" x14ac:dyDescent="0.2">
      <c r="A3828">
        <v>93</v>
      </c>
      <c r="B3828">
        <v>116</v>
      </c>
      <c r="C3828" t="s">
        <v>14</v>
      </c>
      <c r="D3828" t="s">
        <v>297</v>
      </c>
      <c r="E3828" t="s">
        <v>25</v>
      </c>
      <c r="F3828">
        <v>7</v>
      </c>
      <c r="G3828" t="s">
        <v>13</v>
      </c>
      <c r="H3828" s="1">
        <v>46001.052777777775</v>
      </c>
      <c r="I3828" s="5">
        <f>INT(TB[[#This Row],[时间戳]])</f>
        <v>46001</v>
      </c>
      <c r="J3828" s="2">
        <f>HOUR(TB[[#This Row],[时间戳]])</f>
        <v>1</v>
      </c>
      <c r="K3828">
        <v>4491</v>
      </c>
      <c r="L3828">
        <v>3</v>
      </c>
      <c r="M3828">
        <f>TB[[#This Row],[售价]]*TB[[#This Row],[销量]]</f>
        <v>13473</v>
      </c>
      <c r="N3828" t="str">
        <f>IF(TB[[#This Row],[售价]]&lt;1000,"低价商品",IF(TB[[#This Row],[售价]]&lt;5000,"中价商品",IF(TB[[#This Row],[售价]]&lt;10000,"高价商品","超高价商品")))</f>
        <v>中价商品</v>
      </c>
    </row>
    <row r="3829" spans="1:14" x14ac:dyDescent="0.2">
      <c r="A3829">
        <v>332</v>
      </c>
      <c r="B3829">
        <v>52</v>
      </c>
      <c r="C3829" t="s">
        <v>44</v>
      </c>
      <c r="D3829" t="s">
        <v>250</v>
      </c>
      <c r="E3829" t="s">
        <v>25</v>
      </c>
      <c r="F3829">
        <v>7</v>
      </c>
      <c r="G3829" t="s">
        <v>13</v>
      </c>
      <c r="H3829" s="1">
        <v>46001.06527777778</v>
      </c>
      <c r="I3829" s="5">
        <f>INT(TB[[#This Row],[时间戳]])</f>
        <v>46001</v>
      </c>
      <c r="J3829" s="2">
        <f>HOUR(TB[[#This Row],[时间戳]])</f>
        <v>1</v>
      </c>
      <c r="K3829">
        <v>3611</v>
      </c>
      <c r="L3829">
        <v>3</v>
      </c>
      <c r="M3829">
        <f>TB[[#This Row],[售价]]*TB[[#This Row],[销量]]</f>
        <v>10833</v>
      </c>
      <c r="N3829" t="str">
        <f>IF(TB[[#This Row],[售价]]&lt;1000,"低价商品",IF(TB[[#This Row],[售价]]&lt;5000,"中价商品",IF(TB[[#This Row],[售价]]&lt;10000,"高价商品","超高价商品")))</f>
        <v>中价商品</v>
      </c>
    </row>
    <row r="3830" spans="1:14" x14ac:dyDescent="0.2">
      <c r="A3830">
        <v>791</v>
      </c>
      <c r="B3830">
        <v>241</v>
      </c>
      <c r="C3830" t="s">
        <v>46</v>
      </c>
      <c r="D3830" t="s">
        <v>104</v>
      </c>
      <c r="E3830" t="s">
        <v>12</v>
      </c>
      <c r="F3830">
        <v>2</v>
      </c>
      <c r="G3830" t="s">
        <v>42</v>
      </c>
      <c r="H3830" s="1">
        <v>46001.098611111112</v>
      </c>
      <c r="I3830" s="5">
        <f>INT(TB[[#This Row],[时间戳]])</f>
        <v>46001</v>
      </c>
      <c r="J3830" s="2">
        <f>HOUR(TB[[#This Row],[时间戳]])</f>
        <v>2</v>
      </c>
      <c r="K3830">
        <v>10648</v>
      </c>
      <c r="L3830">
        <v>0</v>
      </c>
      <c r="M3830">
        <f>TB[[#This Row],[售价]]*TB[[#This Row],[销量]]</f>
        <v>0</v>
      </c>
      <c r="N3830" t="str">
        <f>IF(TB[[#This Row],[售价]]&lt;1000,"低价商品",IF(TB[[#This Row],[售价]]&lt;5000,"中价商品",IF(TB[[#This Row],[售价]]&lt;10000,"高价商品","超高价商品")))</f>
        <v>超高价商品</v>
      </c>
    </row>
    <row r="3831" spans="1:14" x14ac:dyDescent="0.2">
      <c r="A3831">
        <v>377</v>
      </c>
      <c r="B3831">
        <v>288</v>
      </c>
      <c r="C3831" t="s">
        <v>46</v>
      </c>
      <c r="D3831" t="s">
        <v>180</v>
      </c>
      <c r="E3831" t="s">
        <v>31</v>
      </c>
      <c r="F3831">
        <v>4</v>
      </c>
      <c r="G3831" t="s">
        <v>13</v>
      </c>
      <c r="H3831" s="1">
        <v>46001.103472222225</v>
      </c>
      <c r="I3831" s="5">
        <f>INT(TB[[#This Row],[时间戳]])</f>
        <v>46001</v>
      </c>
      <c r="J3831" s="2">
        <f>HOUR(TB[[#This Row],[时间戳]])</f>
        <v>2</v>
      </c>
      <c r="K3831">
        <v>202</v>
      </c>
      <c r="L3831">
        <v>1</v>
      </c>
      <c r="M3831">
        <f>TB[[#This Row],[售价]]*TB[[#This Row],[销量]]</f>
        <v>202</v>
      </c>
      <c r="N3831" t="str">
        <f>IF(TB[[#This Row],[售价]]&lt;1000,"低价商品",IF(TB[[#This Row],[售价]]&lt;5000,"中价商品",IF(TB[[#This Row],[售价]]&lt;10000,"高价商品","超高价商品")))</f>
        <v>低价商品</v>
      </c>
    </row>
    <row r="3832" spans="1:14" x14ac:dyDescent="0.2">
      <c r="A3832">
        <v>208</v>
      </c>
      <c r="B3832">
        <v>151</v>
      </c>
      <c r="C3832" t="s">
        <v>17</v>
      </c>
      <c r="D3832" t="s">
        <v>255</v>
      </c>
      <c r="E3832" t="s">
        <v>31</v>
      </c>
      <c r="F3832">
        <v>4</v>
      </c>
      <c r="G3832" t="s">
        <v>42</v>
      </c>
      <c r="H3832" s="1">
        <v>46001.112500000003</v>
      </c>
      <c r="I3832" s="5">
        <f>INT(TB[[#This Row],[时间戳]])</f>
        <v>46001</v>
      </c>
      <c r="J3832" s="2">
        <f>HOUR(TB[[#This Row],[时间戳]])</f>
        <v>2</v>
      </c>
      <c r="K3832">
        <v>468</v>
      </c>
      <c r="L3832">
        <v>0</v>
      </c>
      <c r="M3832">
        <f>TB[[#This Row],[售价]]*TB[[#This Row],[销量]]</f>
        <v>0</v>
      </c>
      <c r="N3832" t="str">
        <f>IF(TB[[#This Row],[售价]]&lt;1000,"低价商品",IF(TB[[#This Row],[售价]]&lt;5000,"中价商品",IF(TB[[#This Row],[售价]]&lt;10000,"高价商品","超高价商品")))</f>
        <v>低价商品</v>
      </c>
    </row>
    <row r="3833" spans="1:14" x14ac:dyDescent="0.2">
      <c r="A3833">
        <v>744</v>
      </c>
      <c r="B3833">
        <v>291</v>
      </c>
      <c r="C3833" t="s">
        <v>17</v>
      </c>
      <c r="D3833" t="s">
        <v>93</v>
      </c>
      <c r="E3833" t="s">
        <v>12</v>
      </c>
      <c r="F3833">
        <v>2</v>
      </c>
      <c r="G3833" t="s">
        <v>13</v>
      </c>
      <c r="H3833" s="1">
        <v>46001.143055555556</v>
      </c>
      <c r="I3833" s="5">
        <f>INT(TB[[#This Row],[时间戳]])</f>
        <v>46001</v>
      </c>
      <c r="J3833" s="2">
        <f>HOUR(TB[[#This Row],[时间戳]])</f>
        <v>3</v>
      </c>
      <c r="K3833">
        <v>12948</v>
      </c>
      <c r="L3833">
        <v>2</v>
      </c>
      <c r="M3833">
        <f>TB[[#This Row],[售价]]*TB[[#This Row],[销量]]</f>
        <v>25896</v>
      </c>
      <c r="N3833" t="str">
        <f>IF(TB[[#This Row],[售价]]&lt;1000,"低价商品",IF(TB[[#This Row],[售价]]&lt;5000,"中价商品",IF(TB[[#This Row],[售价]]&lt;10000,"高价商品","超高价商品")))</f>
        <v>超高价商品</v>
      </c>
    </row>
    <row r="3834" spans="1:14" x14ac:dyDescent="0.2">
      <c r="A3834">
        <v>398</v>
      </c>
      <c r="B3834">
        <v>236</v>
      </c>
      <c r="C3834" t="s">
        <v>17</v>
      </c>
      <c r="D3834" t="s">
        <v>214</v>
      </c>
      <c r="E3834" t="s">
        <v>22</v>
      </c>
      <c r="F3834">
        <v>1</v>
      </c>
      <c r="G3834" t="s">
        <v>42</v>
      </c>
      <c r="H3834" s="1">
        <v>46001.174305555556</v>
      </c>
      <c r="I3834" s="5">
        <f>INT(TB[[#This Row],[时间戳]])</f>
        <v>46001</v>
      </c>
      <c r="J3834" s="2">
        <f>HOUR(TB[[#This Row],[时间戳]])</f>
        <v>4</v>
      </c>
      <c r="K3834">
        <v>5743</v>
      </c>
      <c r="L3834">
        <v>0</v>
      </c>
      <c r="M3834">
        <f>TB[[#This Row],[售价]]*TB[[#This Row],[销量]]</f>
        <v>0</v>
      </c>
      <c r="N3834" t="str">
        <f>IF(TB[[#This Row],[售价]]&lt;1000,"低价商品",IF(TB[[#This Row],[售价]]&lt;5000,"中价商品",IF(TB[[#This Row],[售价]]&lt;10000,"高价商品","超高价商品")))</f>
        <v>高价商品</v>
      </c>
    </row>
    <row r="3835" spans="1:14" x14ac:dyDescent="0.2">
      <c r="A3835">
        <v>553</v>
      </c>
      <c r="B3835">
        <v>222</v>
      </c>
      <c r="C3835" t="s">
        <v>20</v>
      </c>
      <c r="D3835" t="s">
        <v>40</v>
      </c>
      <c r="E3835" t="s">
        <v>25</v>
      </c>
      <c r="F3835">
        <v>7</v>
      </c>
      <c r="G3835" t="s">
        <v>13</v>
      </c>
      <c r="H3835" s="1">
        <v>46001.183333333334</v>
      </c>
      <c r="I3835" s="5">
        <f>INT(TB[[#This Row],[时间戳]])</f>
        <v>46001</v>
      </c>
      <c r="J3835" s="2">
        <f>HOUR(TB[[#This Row],[时间戳]])</f>
        <v>4</v>
      </c>
      <c r="K3835">
        <v>7736</v>
      </c>
      <c r="L3835">
        <v>4</v>
      </c>
      <c r="M3835">
        <f>TB[[#This Row],[售价]]*TB[[#This Row],[销量]]</f>
        <v>30944</v>
      </c>
      <c r="N3835" t="str">
        <f>IF(TB[[#This Row],[售价]]&lt;1000,"低价商品",IF(TB[[#This Row],[售价]]&lt;5000,"中价商品",IF(TB[[#This Row],[售价]]&lt;10000,"高价商品","超高价商品")))</f>
        <v>高价商品</v>
      </c>
    </row>
    <row r="3836" spans="1:14" x14ac:dyDescent="0.2">
      <c r="A3836">
        <v>580</v>
      </c>
      <c r="B3836">
        <v>61</v>
      </c>
      <c r="C3836" t="s">
        <v>20</v>
      </c>
      <c r="D3836" t="s">
        <v>334</v>
      </c>
      <c r="E3836" t="s">
        <v>22</v>
      </c>
      <c r="F3836">
        <v>1</v>
      </c>
      <c r="G3836" t="s">
        <v>13</v>
      </c>
      <c r="H3836" s="1">
        <v>46001.195138888892</v>
      </c>
      <c r="I3836" s="5">
        <f>INT(TB[[#This Row],[时间戳]])</f>
        <v>46001</v>
      </c>
      <c r="J3836" s="2">
        <f>HOUR(TB[[#This Row],[时间戳]])</f>
        <v>4</v>
      </c>
      <c r="K3836">
        <v>5655</v>
      </c>
      <c r="L3836">
        <v>1</v>
      </c>
      <c r="M3836">
        <f>TB[[#This Row],[售价]]*TB[[#This Row],[销量]]</f>
        <v>5655</v>
      </c>
      <c r="N3836" t="str">
        <f>IF(TB[[#This Row],[售价]]&lt;1000,"低价商品",IF(TB[[#This Row],[售价]]&lt;5000,"中价商品",IF(TB[[#This Row],[售价]]&lt;10000,"高价商品","超高价商品")))</f>
        <v>高价商品</v>
      </c>
    </row>
    <row r="3837" spans="1:14" x14ac:dyDescent="0.2">
      <c r="A3837">
        <v>75</v>
      </c>
      <c r="B3837">
        <v>187</v>
      </c>
      <c r="C3837" t="s">
        <v>44</v>
      </c>
      <c r="D3837" t="s">
        <v>60</v>
      </c>
      <c r="E3837" t="s">
        <v>12</v>
      </c>
      <c r="F3837">
        <v>2</v>
      </c>
      <c r="G3837" t="s">
        <v>13</v>
      </c>
      <c r="H3837" s="1">
        <v>46001.201388888891</v>
      </c>
      <c r="I3837" s="5">
        <f>INT(TB[[#This Row],[时间戳]])</f>
        <v>46001</v>
      </c>
      <c r="J3837" s="2">
        <f>HOUR(TB[[#This Row],[时间戳]])</f>
        <v>4</v>
      </c>
      <c r="K3837">
        <v>11811</v>
      </c>
      <c r="L3837">
        <v>1</v>
      </c>
      <c r="M3837">
        <f>TB[[#This Row],[售价]]*TB[[#This Row],[销量]]</f>
        <v>11811</v>
      </c>
      <c r="N3837" t="str">
        <f>IF(TB[[#This Row],[售价]]&lt;1000,"低价商品",IF(TB[[#This Row],[售价]]&lt;5000,"中价商品",IF(TB[[#This Row],[售价]]&lt;10000,"高价商品","超高价商品")))</f>
        <v>超高价商品</v>
      </c>
    </row>
    <row r="3838" spans="1:14" x14ac:dyDescent="0.2">
      <c r="A3838">
        <v>185</v>
      </c>
      <c r="B3838">
        <v>186</v>
      </c>
      <c r="C3838" t="s">
        <v>46</v>
      </c>
      <c r="D3838" t="s">
        <v>47</v>
      </c>
      <c r="E3838" t="s">
        <v>22</v>
      </c>
      <c r="F3838">
        <v>1</v>
      </c>
      <c r="G3838" t="s">
        <v>13</v>
      </c>
      <c r="H3838" s="1">
        <v>46001.251388888886</v>
      </c>
      <c r="I3838" s="5">
        <f>INT(TB[[#This Row],[时间戳]])</f>
        <v>46001</v>
      </c>
      <c r="J3838" s="2">
        <f>HOUR(TB[[#This Row],[时间戳]])</f>
        <v>6</v>
      </c>
      <c r="K3838">
        <v>1239</v>
      </c>
      <c r="L3838">
        <v>1</v>
      </c>
      <c r="M3838">
        <f>TB[[#This Row],[售价]]*TB[[#This Row],[销量]]</f>
        <v>1239</v>
      </c>
      <c r="N3838" t="str">
        <f>IF(TB[[#This Row],[售价]]&lt;1000,"低价商品",IF(TB[[#This Row],[售价]]&lt;5000,"中价商品",IF(TB[[#This Row],[售价]]&lt;10000,"高价商品","超高价商品")))</f>
        <v>中价商品</v>
      </c>
    </row>
    <row r="3839" spans="1:14" x14ac:dyDescent="0.2">
      <c r="A3839">
        <v>387</v>
      </c>
      <c r="B3839">
        <v>12</v>
      </c>
      <c r="C3839" t="s">
        <v>46</v>
      </c>
      <c r="D3839" t="s">
        <v>246</v>
      </c>
      <c r="E3839" t="s">
        <v>39</v>
      </c>
      <c r="F3839">
        <v>5</v>
      </c>
      <c r="G3839" t="s">
        <v>13</v>
      </c>
      <c r="H3839" s="1">
        <v>46001.253472222219</v>
      </c>
      <c r="I3839" s="5">
        <f>INT(TB[[#This Row],[时间戳]])</f>
        <v>46001</v>
      </c>
      <c r="J3839" s="2">
        <f>HOUR(TB[[#This Row],[时间戳]])</f>
        <v>6</v>
      </c>
      <c r="K3839">
        <v>2496</v>
      </c>
      <c r="L3839">
        <v>5</v>
      </c>
      <c r="M3839">
        <f>TB[[#This Row],[售价]]*TB[[#This Row],[销量]]</f>
        <v>12480</v>
      </c>
      <c r="N3839" t="str">
        <f>IF(TB[[#This Row],[售价]]&lt;1000,"低价商品",IF(TB[[#This Row],[售价]]&lt;5000,"中价商品",IF(TB[[#This Row],[售价]]&lt;10000,"高价商品","超高价商品")))</f>
        <v>中价商品</v>
      </c>
    </row>
    <row r="3840" spans="1:14" x14ac:dyDescent="0.2">
      <c r="A3840">
        <v>23</v>
      </c>
      <c r="B3840">
        <v>45</v>
      </c>
      <c r="C3840" t="s">
        <v>32</v>
      </c>
      <c r="D3840" t="s">
        <v>404</v>
      </c>
      <c r="E3840" t="s">
        <v>25</v>
      </c>
      <c r="F3840">
        <v>7</v>
      </c>
      <c r="G3840" t="s">
        <v>13</v>
      </c>
      <c r="H3840" s="1">
        <v>46001.303472222222</v>
      </c>
      <c r="I3840" s="5">
        <f>INT(TB[[#This Row],[时间戳]])</f>
        <v>46001</v>
      </c>
      <c r="J3840" s="2">
        <f>HOUR(TB[[#This Row],[时间戳]])</f>
        <v>7</v>
      </c>
      <c r="K3840">
        <v>7282</v>
      </c>
      <c r="L3840">
        <v>2</v>
      </c>
      <c r="M3840">
        <f>TB[[#This Row],[售价]]*TB[[#This Row],[销量]]</f>
        <v>14564</v>
      </c>
      <c r="N3840" t="str">
        <f>IF(TB[[#This Row],[售价]]&lt;1000,"低价商品",IF(TB[[#This Row],[售价]]&lt;5000,"中价商品",IF(TB[[#This Row],[售价]]&lt;10000,"高价商品","超高价商品")))</f>
        <v>高价商品</v>
      </c>
    </row>
    <row r="3841" spans="1:14" x14ac:dyDescent="0.2">
      <c r="A3841">
        <v>647</v>
      </c>
      <c r="B3841">
        <v>268</v>
      </c>
      <c r="C3841" t="s">
        <v>34</v>
      </c>
      <c r="D3841" t="s">
        <v>62</v>
      </c>
      <c r="E3841" t="s">
        <v>31</v>
      </c>
      <c r="F3841">
        <v>4</v>
      </c>
      <c r="G3841" t="s">
        <v>13</v>
      </c>
      <c r="H3841" s="1">
        <v>46001.324305555558</v>
      </c>
      <c r="I3841" s="5">
        <f>INT(TB[[#This Row],[时间戳]])</f>
        <v>46001</v>
      </c>
      <c r="J3841" s="2">
        <f>HOUR(TB[[#This Row],[时间戳]])</f>
        <v>7</v>
      </c>
      <c r="K3841">
        <v>341</v>
      </c>
      <c r="L3841">
        <v>3</v>
      </c>
      <c r="M3841">
        <f>TB[[#This Row],[售价]]*TB[[#This Row],[销量]]</f>
        <v>1023</v>
      </c>
      <c r="N3841" t="str">
        <f>IF(TB[[#This Row],[售价]]&lt;1000,"低价商品",IF(TB[[#This Row],[售价]]&lt;5000,"中价商品",IF(TB[[#This Row],[售价]]&lt;10000,"高价商品","超高价商品")))</f>
        <v>低价商品</v>
      </c>
    </row>
    <row r="3842" spans="1:14" x14ac:dyDescent="0.2">
      <c r="A3842">
        <v>16</v>
      </c>
      <c r="B3842">
        <v>155</v>
      </c>
      <c r="C3842" t="s">
        <v>26</v>
      </c>
      <c r="D3842" t="s">
        <v>171</v>
      </c>
      <c r="E3842" t="s">
        <v>12</v>
      </c>
      <c r="F3842">
        <v>2</v>
      </c>
      <c r="G3842" t="s">
        <v>13</v>
      </c>
      <c r="H3842" s="1">
        <v>46001.338888888888</v>
      </c>
      <c r="I3842" s="5">
        <f>INT(TB[[#This Row],[时间戳]])</f>
        <v>46001</v>
      </c>
      <c r="J3842" s="2">
        <f>HOUR(TB[[#This Row],[时间戳]])</f>
        <v>8</v>
      </c>
      <c r="K3842">
        <v>13544</v>
      </c>
      <c r="L3842">
        <v>1</v>
      </c>
      <c r="M3842">
        <f>TB[[#This Row],[售价]]*TB[[#This Row],[销量]]</f>
        <v>13544</v>
      </c>
      <c r="N3842" t="str">
        <f>IF(TB[[#This Row],[售价]]&lt;1000,"低价商品",IF(TB[[#This Row],[售价]]&lt;5000,"中价商品",IF(TB[[#This Row],[售价]]&lt;10000,"高价商品","超高价商品")))</f>
        <v>超高价商品</v>
      </c>
    </row>
    <row r="3843" spans="1:14" x14ac:dyDescent="0.2">
      <c r="A3843">
        <v>378</v>
      </c>
      <c r="B3843">
        <v>72</v>
      </c>
      <c r="C3843" t="s">
        <v>10</v>
      </c>
      <c r="D3843" t="s">
        <v>189</v>
      </c>
      <c r="E3843" t="s">
        <v>22</v>
      </c>
      <c r="F3843">
        <v>1</v>
      </c>
      <c r="G3843" t="s">
        <v>13</v>
      </c>
      <c r="H3843" s="1">
        <v>46001.338888888888</v>
      </c>
      <c r="I3843" s="5">
        <f>INT(TB[[#This Row],[时间戳]])</f>
        <v>46001</v>
      </c>
      <c r="J3843" s="2">
        <f>HOUR(TB[[#This Row],[时间戳]])</f>
        <v>8</v>
      </c>
      <c r="K3843">
        <v>1727</v>
      </c>
      <c r="L3843">
        <v>2</v>
      </c>
      <c r="M3843">
        <f>TB[[#This Row],[售价]]*TB[[#This Row],[销量]]</f>
        <v>3454</v>
      </c>
      <c r="N3843" t="str">
        <f>IF(TB[[#This Row],[售价]]&lt;1000,"低价商品",IF(TB[[#This Row],[售价]]&lt;5000,"中价商品",IF(TB[[#This Row],[售价]]&lt;10000,"高价商品","超高价商品")))</f>
        <v>中价商品</v>
      </c>
    </row>
    <row r="3844" spans="1:14" x14ac:dyDescent="0.2">
      <c r="A3844">
        <v>523</v>
      </c>
      <c r="B3844">
        <v>161</v>
      </c>
      <c r="C3844" t="s">
        <v>34</v>
      </c>
      <c r="D3844" t="s">
        <v>248</v>
      </c>
      <c r="E3844" t="s">
        <v>22</v>
      </c>
      <c r="F3844">
        <v>1</v>
      </c>
      <c r="G3844" t="s">
        <v>42</v>
      </c>
      <c r="H3844" s="1">
        <v>46001.351388888892</v>
      </c>
      <c r="I3844" s="5">
        <f>INT(TB[[#This Row],[时间戳]])</f>
        <v>46001</v>
      </c>
      <c r="J3844" s="2">
        <f>HOUR(TB[[#This Row],[时间戳]])</f>
        <v>8</v>
      </c>
      <c r="K3844">
        <v>1632</v>
      </c>
      <c r="L3844">
        <v>0</v>
      </c>
      <c r="M3844">
        <f>TB[[#This Row],[售价]]*TB[[#This Row],[销量]]</f>
        <v>0</v>
      </c>
      <c r="N3844" t="str">
        <f>IF(TB[[#This Row],[售价]]&lt;1000,"低价商品",IF(TB[[#This Row],[售价]]&lt;5000,"中价商品",IF(TB[[#This Row],[售价]]&lt;10000,"高价商品","超高价商品")))</f>
        <v>中价商品</v>
      </c>
    </row>
    <row r="3845" spans="1:14" x14ac:dyDescent="0.2">
      <c r="A3845">
        <v>298</v>
      </c>
      <c r="B3845">
        <v>47</v>
      </c>
      <c r="C3845" t="s">
        <v>44</v>
      </c>
      <c r="D3845" t="s">
        <v>73</v>
      </c>
      <c r="E3845" t="s">
        <v>39</v>
      </c>
      <c r="F3845">
        <v>5</v>
      </c>
      <c r="G3845" t="s">
        <v>13</v>
      </c>
      <c r="H3845" s="1">
        <v>46001.36041666667</v>
      </c>
      <c r="I3845" s="5">
        <f>INT(TB[[#This Row],[时间戳]])</f>
        <v>46001</v>
      </c>
      <c r="J3845" s="2">
        <f>HOUR(TB[[#This Row],[时间戳]])</f>
        <v>8</v>
      </c>
      <c r="K3845">
        <v>1317</v>
      </c>
      <c r="L3845">
        <v>1</v>
      </c>
      <c r="M3845">
        <f>TB[[#This Row],[售价]]*TB[[#This Row],[销量]]</f>
        <v>1317</v>
      </c>
      <c r="N3845" t="str">
        <f>IF(TB[[#This Row],[售价]]&lt;1000,"低价商品",IF(TB[[#This Row],[售价]]&lt;5000,"中价商品",IF(TB[[#This Row],[售价]]&lt;10000,"高价商品","超高价商品")))</f>
        <v>中价商品</v>
      </c>
    </row>
    <row r="3846" spans="1:14" x14ac:dyDescent="0.2">
      <c r="A3846">
        <v>304</v>
      </c>
      <c r="B3846">
        <v>198</v>
      </c>
      <c r="C3846" t="s">
        <v>26</v>
      </c>
      <c r="D3846" t="s">
        <v>122</v>
      </c>
      <c r="E3846" t="s">
        <v>31</v>
      </c>
      <c r="F3846">
        <v>4</v>
      </c>
      <c r="G3846" t="s">
        <v>13</v>
      </c>
      <c r="H3846" s="1">
        <v>46001.363888888889</v>
      </c>
      <c r="I3846" s="5">
        <f>INT(TB[[#This Row],[时间戳]])</f>
        <v>46001</v>
      </c>
      <c r="J3846" s="2">
        <f>HOUR(TB[[#This Row],[时间戳]])</f>
        <v>8</v>
      </c>
      <c r="K3846">
        <v>1500</v>
      </c>
      <c r="L3846">
        <v>5</v>
      </c>
      <c r="M3846">
        <f>TB[[#This Row],[售价]]*TB[[#This Row],[销量]]</f>
        <v>7500</v>
      </c>
      <c r="N3846" t="str">
        <f>IF(TB[[#This Row],[售价]]&lt;1000,"低价商品",IF(TB[[#This Row],[售价]]&lt;5000,"中价商品",IF(TB[[#This Row],[售价]]&lt;10000,"高价商品","超高价商品")))</f>
        <v>中价商品</v>
      </c>
    </row>
    <row r="3847" spans="1:14" x14ac:dyDescent="0.2">
      <c r="A3847">
        <v>555</v>
      </c>
      <c r="B3847">
        <v>283</v>
      </c>
      <c r="C3847" t="s">
        <v>14</v>
      </c>
      <c r="D3847" t="s">
        <v>89</v>
      </c>
      <c r="E3847" t="s">
        <v>22</v>
      </c>
      <c r="F3847">
        <v>1</v>
      </c>
      <c r="G3847" t="s">
        <v>13</v>
      </c>
      <c r="H3847" s="1">
        <v>46001.383333333331</v>
      </c>
      <c r="I3847" s="5">
        <f>INT(TB[[#This Row],[时间戳]])</f>
        <v>46001</v>
      </c>
      <c r="J3847" s="2">
        <f>HOUR(TB[[#This Row],[时间戳]])</f>
        <v>9</v>
      </c>
      <c r="K3847">
        <v>5826</v>
      </c>
      <c r="L3847">
        <v>1</v>
      </c>
      <c r="M3847">
        <f>TB[[#This Row],[售价]]*TB[[#This Row],[销量]]</f>
        <v>5826</v>
      </c>
      <c r="N3847" t="str">
        <f>IF(TB[[#This Row],[售价]]&lt;1000,"低价商品",IF(TB[[#This Row],[售价]]&lt;5000,"中价商品",IF(TB[[#This Row],[售价]]&lt;10000,"高价商品","超高价商品")))</f>
        <v>高价商品</v>
      </c>
    </row>
    <row r="3848" spans="1:14" x14ac:dyDescent="0.2">
      <c r="A3848">
        <v>730</v>
      </c>
      <c r="B3848">
        <v>207</v>
      </c>
      <c r="C3848" t="s">
        <v>14</v>
      </c>
      <c r="D3848" t="s">
        <v>29</v>
      </c>
      <c r="E3848" t="s">
        <v>22</v>
      </c>
      <c r="F3848">
        <v>1</v>
      </c>
      <c r="G3848" t="s">
        <v>13</v>
      </c>
      <c r="H3848" s="1">
        <v>46001.448611111111</v>
      </c>
      <c r="I3848" s="5">
        <f>INT(TB[[#This Row],[时间戳]])</f>
        <v>46001</v>
      </c>
      <c r="J3848" s="2">
        <f>HOUR(TB[[#This Row],[时间戳]])</f>
        <v>10</v>
      </c>
      <c r="K3848">
        <v>2128</v>
      </c>
      <c r="L3848">
        <v>1</v>
      </c>
      <c r="M3848">
        <f>TB[[#This Row],[售价]]*TB[[#This Row],[销量]]</f>
        <v>2128</v>
      </c>
      <c r="N3848" t="str">
        <f>IF(TB[[#This Row],[售价]]&lt;1000,"低价商品",IF(TB[[#This Row],[售价]]&lt;5000,"中价商品",IF(TB[[#This Row],[售价]]&lt;10000,"高价商品","超高价商品")))</f>
        <v>中价商品</v>
      </c>
    </row>
    <row r="3849" spans="1:14" x14ac:dyDescent="0.2">
      <c r="A3849">
        <v>167</v>
      </c>
      <c r="B3849">
        <v>73</v>
      </c>
      <c r="C3849" t="s">
        <v>36</v>
      </c>
      <c r="D3849" t="s">
        <v>153</v>
      </c>
      <c r="E3849" t="s">
        <v>31</v>
      </c>
      <c r="F3849">
        <v>4</v>
      </c>
      <c r="G3849" t="s">
        <v>42</v>
      </c>
      <c r="H3849" s="1">
        <v>46001.463888888888</v>
      </c>
      <c r="I3849" s="5">
        <f>INT(TB[[#This Row],[时间戳]])</f>
        <v>46001</v>
      </c>
      <c r="J3849" s="2">
        <f>HOUR(TB[[#This Row],[时间戳]])</f>
        <v>11</v>
      </c>
      <c r="K3849">
        <v>355</v>
      </c>
      <c r="L3849">
        <v>0</v>
      </c>
      <c r="M3849">
        <f>TB[[#This Row],[售价]]*TB[[#This Row],[销量]]</f>
        <v>0</v>
      </c>
      <c r="N3849" t="str">
        <f>IF(TB[[#This Row],[售价]]&lt;1000,"低价商品",IF(TB[[#This Row],[售价]]&lt;5000,"中价商品",IF(TB[[#This Row],[售价]]&lt;10000,"高价商品","超高价商品")))</f>
        <v>低价商品</v>
      </c>
    </row>
    <row r="3850" spans="1:14" x14ac:dyDescent="0.2">
      <c r="A3850">
        <v>602</v>
      </c>
      <c r="B3850">
        <v>39</v>
      </c>
      <c r="C3850" t="s">
        <v>34</v>
      </c>
      <c r="D3850" t="s">
        <v>174</v>
      </c>
      <c r="E3850" t="s">
        <v>12</v>
      </c>
      <c r="F3850">
        <v>2</v>
      </c>
      <c r="G3850" t="s">
        <v>13</v>
      </c>
      <c r="H3850" s="1">
        <v>46001.486805555556</v>
      </c>
      <c r="I3850" s="5">
        <f>INT(TB[[#This Row],[时间戳]])</f>
        <v>46001</v>
      </c>
      <c r="J3850" s="2">
        <f>HOUR(TB[[#This Row],[时间戳]])</f>
        <v>11</v>
      </c>
      <c r="K3850">
        <v>13926</v>
      </c>
      <c r="L3850">
        <v>1</v>
      </c>
      <c r="M3850">
        <f>TB[[#This Row],[售价]]*TB[[#This Row],[销量]]</f>
        <v>13926</v>
      </c>
      <c r="N3850" t="str">
        <f>IF(TB[[#This Row],[售价]]&lt;1000,"低价商品",IF(TB[[#This Row],[售价]]&lt;5000,"中价商品",IF(TB[[#This Row],[售价]]&lt;10000,"高价商品","超高价商品")))</f>
        <v>超高价商品</v>
      </c>
    </row>
    <row r="3851" spans="1:14" x14ac:dyDescent="0.2">
      <c r="A3851">
        <v>749</v>
      </c>
      <c r="B3851">
        <v>188</v>
      </c>
      <c r="C3851" t="s">
        <v>36</v>
      </c>
      <c r="D3851" t="s">
        <v>146</v>
      </c>
      <c r="E3851" t="s">
        <v>22</v>
      </c>
      <c r="F3851">
        <v>1</v>
      </c>
      <c r="G3851" t="s">
        <v>13</v>
      </c>
      <c r="H3851" s="1">
        <v>46001.488194444442</v>
      </c>
      <c r="I3851" s="5">
        <f>INT(TB[[#This Row],[时间戳]])</f>
        <v>46001</v>
      </c>
      <c r="J3851" s="2">
        <f>HOUR(TB[[#This Row],[时间戳]])</f>
        <v>11</v>
      </c>
      <c r="K3851">
        <v>4507</v>
      </c>
      <c r="L3851">
        <v>1</v>
      </c>
      <c r="M3851">
        <f>TB[[#This Row],[售价]]*TB[[#This Row],[销量]]</f>
        <v>4507</v>
      </c>
      <c r="N3851" t="str">
        <f>IF(TB[[#This Row],[售价]]&lt;1000,"低价商品",IF(TB[[#This Row],[售价]]&lt;5000,"中价商品",IF(TB[[#This Row],[售价]]&lt;10000,"高价商品","超高价商品")))</f>
        <v>中价商品</v>
      </c>
    </row>
    <row r="3852" spans="1:14" x14ac:dyDescent="0.2">
      <c r="A3852">
        <v>355</v>
      </c>
      <c r="B3852">
        <v>151</v>
      </c>
      <c r="C3852" t="s">
        <v>14</v>
      </c>
      <c r="D3852" t="s">
        <v>388</v>
      </c>
      <c r="E3852" t="s">
        <v>19</v>
      </c>
      <c r="F3852">
        <v>3</v>
      </c>
      <c r="G3852" t="s">
        <v>13</v>
      </c>
      <c r="H3852" s="1">
        <v>46001.498611111114</v>
      </c>
      <c r="I3852" s="5">
        <f>INT(TB[[#This Row],[时间戳]])</f>
        <v>46001</v>
      </c>
      <c r="J3852" s="2">
        <f>HOUR(TB[[#This Row],[时间戳]])</f>
        <v>11</v>
      </c>
      <c r="K3852">
        <v>3549</v>
      </c>
      <c r="L3852">
        <v>4</v>
      </c>
      <c r="M3852">
        <f>TB[[#This Row],[售价]]*TB[[#This Row],[销量]]</f>
        <v>14196</v>
      </c>
      <c r="N3852" t="str">
        <f>IF(TB[[#This Row],[售价]]&lt;1000,"低价商品",IF(TB[[#This Row],[售价]]&lt;5000,"中价商品",IF(TB[[#This Row],[售价]]&lt;10000,"高价商品","超高价商品")))</f>
        <v>中价商品</v>
      </c>
    </row>
    <row r="3853" spans="1:14" x14ac:dyDescent="0.2">
      <c r="A3853">
        <v>446</v>
      </c>
      <c r="B3853">
        <v>259</v>
      </c>
      <c r="C3853" t="s">
        <v>10</v>
      </c>
      <c r="D3853" t="s">
        <v>96</v>
      </c>
      <c r="E3853" t="s">
        <v>22</v>
      </c>
      <c r="F3853">
        <v>1</v>
      </c>
      <c r="G3853" t="s">
        <v>13</v>
      </c>
      <c r="H3853" s="1">
        <v>46001.500694444447</v>
      </c>
      <c r="I3853" s="5">
        <f>INT(TB[[#This Row],[时间戳]])</f>
        <v>46001</v>
      </c>
      <c r="J3853" s="2">
        <f>HOUR(TB[[#This Row],[时间戳]])</f>
        <v>12</v>
      </c>
      <c r="K3853">
        <v>4102</v>
      </c>
      <c r="L3853">
        <v>2</v>
      </c>
      <c r="M3853">
        <f>TB[[#This Row],[售价]]*TB[[#This Row],[销量]]</f>
        <v>8204</v>
      </c>
      <c r="N3853" t="str">
        <f>IF(TB[[#This Row],[售价]]&lt;1000,"低价商品",IF(TB[[#This Row],[售价]]&lt;5000,"中价商品",IF(TB[[#This Row],[售价]]&lt;10000,"高价商品","超高价商品")))</f>
        <v>中价商品</v>
      </c>
    </row>
    <row r="3854" spans="1:14" x14ac:dyDescent="0.2">
      <c r="A3854">
        <v>130</v>
      </c>
      <c r="B3854">
        <v>188</v>
      </c>
      <c r="C3854" t="s">
        <v>46</v>
      </c>
      <c r="D3854" t="s">
        <v>231</v>
      </c>
      <c r="E3854" t="s">
        <v>16</v>
      </c>
      <c r="F3854">
        <v>6</v>
      </c>
      <c r="G3854" t="s">
        <v>13</v>
      </c>
      <c r="H3854" s="1">
        <v>46001.518055555556</v>
      </c>
      <c r="I3854" s="5">
        <f>INT(TB[[#This Row],[时间戳]])</f>
        <v>46001</v>
      </c>
      <c r="J3854" s="2">
        <f>HOUR(TB[[#This Row],[时间戳]])</f>
        <v>12</v>
      </c>
      <c r="K3854">
        <v>3872</v>
      </c>
      <c r="L3854">
        <v>1</v>
      </c>
      <c r="M3854">
        <f>TB[[#This Row],[售价]]*TB[[#This Row],[销量]]</f>
        <v>3872</v>
      </c>
      <c r="N3854" t="str">
        <f>IF(TB[[#This Row],[售价]]&lt;1000,"低价商品",IF(TB[[#This Row],[售价]]&lt;5000,"中价商品",IF(TB[[#This Row],[售价]]&lt;10000,"高价商品","超高价商品")))</f>
        <v>中价商品</v>
      </c>
    </row>
    <row r="3855" spans="1:14" x14ac:dyDescent="0.2">
      <c r="A3855">
        <v>752</v>
      </c>
      <c r="B3855">
        <v>26</v>
      </c>
      <c r="C3855" t="s">
        <v>46</v>
      </c>
      <c r="D3855" t="s">
        <v>159</v>
      </c>
      <c r="E3855" t="s">
        <v>16</v>
      </c>
      <c r="F3855">
        <v>6</v>
      </c>
      <c r="G3855" t="s">
        <v>42</v>
      </c>
      <c r="H3855" s="1">
        <v>46001.569444444445</v>
      </c>
      <c r="I3855" s="5">
        <f>INT(TB[[#This Row],[时间戳]])</f>
        <v>46001</v>
      </c>
      <c r="J3855" s="2">
        <f>HOUR(TB[[#This Row],[时间戳]])</f>
        <v>13</v>
      </c>
      <c r="K3855">
        <v>9941</v>
      </c>
      <c r="L3855">
        <v>0</v>
      </c>
      <c r="M3855">
        <f>TB[[#This Row],[售价]]*TB[[#This Row],[销量]]</f>
        <v>0</v>
      </c>
      <c r="N3855" t="str">
        <f>IF(TB[[#This Row],[售价]]&lt;1000,"低价商品",IF(TB[[#This Row],[售价]]&lt;5000,"中价商品",IF(TB[[#This Row],[售价]]&lt;10000,"高价商品","超高价商品")))</f>
        <v>高价商品</v>
      </c>
    </row>
    <row r="3856" spans="1:14" x14ac:dyDescent="0.2">
      <c r="A3856">
        <v>722</v>
      </c>
      <c r="B3856">
        <v>176</v>
      </c>
      <c r="C3856" t="s">
        <v>17</v>
      </c>
      <c r="D3856" t="s">
        <v>119</v>
      </c>
      <c r="E3856" t="s">
        <v>12</v>
      </c>
      <c r="F3856">
        <v>2</v>
      </c>
      <c r="G3856" t="s">
        <v>13</v>
      </c>
      <c r="H3856" s="1">
        <v>46001.589583333334</v>
      </c>
      <c r="I3856" s="5">
        <f>INT(TB[[#This Row],[时间戳]])</f>
        <v>46001</v>
      </c>
      <c r="J3856" s="2">
        <f>HOUR(TB[[#This Row],[时间戳]])</f>
        <v>14</v>
      </c>
      <c r="K3856">
        <v>5161</v>
      </c>
      <c r="L3856">
        <v>3</v>
      </c>
      <c r="M3856">
        <f>TB[[#This Row],[售价]]*TB[[#This Row],[销量]]</f>
        <v>15483</v>
      </c>
      <c r="N3856" t="str">
        <f>IF(TB[[#This Row],[售价]]&lt;1000,"低价商品",IF(TB[[#This Row],[售价]]&lt;5000,"中价商品",IF(TB[[#This Row],[售价]]&lt;10000,"高价商品","超高价商品")))</f>
        <v>高价商品</v>
      </c>
    </row>
    <row r="3857" spans="1:14" x14ac:dyDescent="0.2">
      <c r="A3857">
        <v>176</v>
      </c>
      <c r="B3857">
        <v>109</v>
      </c>
      <c r="C3857" t="s">
        <v>10</v>
      </c>
      <c r="D3857" t="s">
        <v>351</v>
      </c>
      <c r="E3857" t="s">
        <v>31</v>
      </c>
      <c r="F3857">
        <v>4</v>
      </c>
      <c r="G3857" t="s">
        <v>42</v>
      </c>
      <c r="H3857" s="1">
        <v>46001.59097222222</v>
      </c>
      <c r="I3857" s="5">
        <f>INT(TB[[#This Row],[时间戳]])</f>
        <v>46001</v>
      </c>
      <c r="J3857" s="2">
        <f>HOUR(TB[[#This Row],[时间戳]])</f>
        <v>14</v>
      </c>
      <c r="K3857">
        <v>829</v>
      </c>
      <c r="L3857">
        <v>0</v>
      </c>
      <c r="M3857">
        <f>TB[[#This Row],[售价]]*TB[[#This Row],[销量]]</f>
        <v>0</v>
      </c>
      <c r="N3857" t="str">
        <f>IF(TB[[#This Row],[售价]]&lt;1000,"低价商品",IF(TB[[#This Row],[售价]]&lt;5000,"中价商品",IF(TB[[#This Row],[售价]]&lt;10000,"高价商品","超高价商品")))</f>
        <v>低价商品</v>
      </c>
    </row>
    <row r="3858" spans="1:14" x14ac:dyDescent="0.2">
      <c r="A3858">
        <v>516</v>
      </c>
      <c r="B3858">
        <v>84</v>
      </c>
      <c r="C3858" t="s">
        <v>44</v>
      </c>
      <c r="D3858" t="s">
        <v>70</v>
      </c>
      <c r="E3858" t="s">
        <v>12</v>
      </c>
      <c r="F3858">
        <v>2</v>
      </c>
      <c r="G3858" t="s">
        <v>42</v>
      </c>
      <c r="H3858" s="1">
        <v>46001.598611111112</v>
      </c>
      <c r="I3858" s="5">
        <f>INT(TB[[#This Row],[时间戳]])</f>
        <v>46001</v>
      </c>
      <c r="J3858" s="2">
        <f>HOUR(TB[[#This Row],[时间戳]])</f>
        <v>14</v>
      </c>
      <c r="K3858">
        <v>6170</v>
      </c>
      <c r="L3858">
        <v>0</v>
      </c>
      <c r="M3858">
        <f>TB[[#This Row],[售价]]*TB[[#This Row],[销量]]</f>
        <v>0</v>
      </c>
      <c r="N3858" t="str">
        <f>IF(TB[[#This Row],[售价]]&lt;1000,"低价商品",IF(TB[[#This Row],[售价]]&lt;5000,"中价商品",IF(TB[[#This Row],[售价]]&lt;10000,"高价商品","超高价商品")))</f>
        <v>高价商品</v>
      </c>
    </row>
    <row r="3859" spans="1:14" x14ac:dyDescent="0.2">
      <c r="A3859">
        <v>287</v>
      </c>
      <c r="B3859">
        <v>3</v>
      </c>
      <c r="C3859" t="s">
        <v>34</v>
      </c>
      <c r="D3859" t="s">
        <v>374</v>
      </c>
      <c r="E3859" t="s">
        <v>25</v>
      </c>
      <c r="F3859">
        <v>7</v>
      </c>
      <c r="G3859" t="s">
        <v>13</v>
      </c>
      <c r="H3859" s="1">
        <v>46001.613888888889</v>
      </c>
      <c r="I3859" s="5">
        <f>INT(TB[[#This Row],[时间戳]])</f>
        <v>46001</v>
      </c>
      <c r="J3859" s="2">
        <f>HOUR(TB[[#This Row],[时间戳]])</f>
        <v>14</v>
      </c>
      <c r="K3859">
        <v>6199</v>
      </c>
      <c r="L3859">
        <v>2</v>
      </c>
      <c r="M3859">
        <f>TB[[#This Row],[售价]]*TB[[#This Row],[销量]]</f>
        <v>12398</v>
      </c>
      <c r="N3859" t="str">
        <f>IF(TB[[#This Row],[售价]]&lt;1000,"低价商品",IF(TB[[#This Row],[售价]]&lt;5000,"中价商品",IF(TB[[#This Row],[售价]]&lt;10000,"高价商品","超高价商品")))</f>
        <v>高价商品</v>
      </c>
    </row>
    <row r="3860" spans="1:14" x14ac:dyDescent="0.2">
      <c r="A3860">
        <v>668</v>
      </c>
      <c r="B3860">
        <v>265</v>
      </c>
      <c r="C3860" t="s">
        <v>44</v>
      </c>
      <c r="D3860" t="s">
        <v>239</v>
      </c>
      <c r="E3860" t="s">
        <v>39</v>
      </c>
      <c r="F3860">
        <v>5</v>
      </c>
      <c r="G3860" t="s">
        <v>13</v>
      </c>
      <c r="H3860" s="1">
        <v>46001.622916666667</v>
      </c>
      <c r="I3860" s="5">
        <f>INT(TB[[#This Row],[时间戳]])</f>
        <v>46001</v>
      </c>
      <c r="J3860" s="2">
        <f>HOUR(TB[[#This Row],[时间戳]])</f>
        <v>14</v>
      </c>
      <c r="K3860">
        <v>884</v>
      </c>
      <c r="L3860">
        <v>1</v>
      </c>
      <c r="M3860">
        <f>TB[[#This Row],[售价]]*TB[[#This Row],[销量]]</f>
        <v>884</v>
      </c>
      <c r="N3860" t="str">
        <f>IF(TB[[#This Row],[售价]]&lt;1000,"低价商品",IF(TB[[#This Row],[售价]]&lt;5000,"中价商品",IF(TB[[#This Row],[售价]]&lt;10000,"高价商品","超高价商品")))</f>
        <v>低价商品</v>
      </c>
    </row>
    <row r="3861" spans="1:14" x14ac:dyDescent="0.2">
      <c r="A3861">
        <v>247</v>
      </c>
      <c r="B3861">
        <v>47</v>
      </c>
      <c r="C3861" t="s">
        <v>36</v>
      </c>
      <c r="D3861" t="s">
        <v>284</v>
      </c>
      <c r="E3861" t="s">
        <v>39</v>
      </c>
      <c r="F3861">
        <v>5</v>
      </c>
      <c r="G3861" t="s">
        <v>13</v>
      </c>
      <c r="H3861" s="1">
        <v>46001.65625</v>
      </c>
      <c r="I3861" s="5">
        <f>INT(TB[[#This Row],[时间戳]])</f>
        <v>46001</v>
      </c>
      <c r="J3861" s="2">
        <f>HOUR(TB[[#This Row],[时间戳]])</f>
        <v>15</v>
      </c>
      <c r="K3861">
        <v>1430</v>
      </c>
      <c r="L3861">
        <v>2</v>
      </c>
      <c r="M3861">
        <f>TB[[#This Row],[售价]]*TB[[#This Row],[销量]]</f>
        <v>2860</v>
      </c>
      <c r="N3861" t="str">
        <f>IF(TB[[#This Row],[售价]]&lt;1000,"低价商品",IF(TB[[#This Row],[售价]]&lt;5000,"中价商品",IF(TB[[#This Row],[售价]]&lt;10000,"高价商品","超高价商品")))</f>
        <v>中价商品</v>
      </c>
    </row>
    <row r="3862" spans="1:14" x14ac:dyDescent="0.2">
      <c r="A3862">
        <v>556</v>
      </c>
      <c r="B3862">
        <v>192</v>
      </c>
      <c r="C3862" t="s">
        <v>14</v>
      </c>
      <c r="D3862" t="s">
        <v>106</v>
      </c>
      <c r="E3862" t="s">
        <v>22</v>
      </c>
      <c r="F3862">
        <v>1</v>
      </c>
      <c r="G3862" t="s">
        <v>13</v>
      </c>
      <c r="H3862" s="1">
        <v>46001.686805555553</v>
      </c>
      <c r="I3862" s="5">
        <f>INT(TB[[#This Row],[时间戳]])</f>
        <v>46001</v>
      </c>
      <c r="J3862" s="2">
        <f>HOUR(TB[[#This Row],[时间戳]])</f>
        <v>16</v>
      </c>
      <c r="K3862">
        <v>2130</v>
      </c>
      <c r="L3862">
        <v>4</v>
      </c>
      <c r="M3862">
        <f>TB[[#This Row],[售价]]*TB[[#This Row],[销量]]</f>
        <v>8520</v>
      </c>
      <c r="N3862" t="str">
        <f>IF(TB[[#This Row],[售价]]&lt;1000,"低价商品",IF(TB[[#This Row],[售价]]&lt;5000,"中价商品",IF(TB[[#This Row],[售价]]&lt;10000,"高价商品","超高价商品")))</f>
        <v>中价商品</v>
      </c>
    </row>
    <row r="3863" spans="1:14" x14ac:dyDescent="0.2">
      <c r="A3863">
        <v>360</v>
      </c>
      <c r="B3863">
        <v>288</v>
      </c>
      <c r="C3863" t="s">
        <v>14</v>
      </c>
      <c r="D3863" t="s">
        <v>395</v>
      </c>
      <c r="E3863" t="s">
        <v>12</v>
      </c>
      <c r="F3863">
        <v>2</v>
      </c>
      <c r="G3863" t="s">
        <v>13</v>
      </c>
      <c r="H3863" s="1">
        <v>46001.70416666667</v>
      </c>
      <c r="I3863" s="5">
        <f>INT(TB[[#This Row],[时间戳]])</f>
        <v>46001</v>
      </c>
      <c r="J3863" s="2">
        <f>HOUR(TB[[#This Row],[时间戳]])</f>
        <v>16</v>
      </c>
      <c r="K3863">
        <v>4148</v>
      </c>
      <c r="L3863">
        <v>2</v>
      </c>
      <c r="M3863">
        <f>TB[[#This Row],[售价]]*TB[[#This Row],[销量]]</f>
        <v>8296</v>
      </c>
      <c r="N3863" t="str">
        <f>IF(TB[[#This Row],[售价]]&lt;1000,"低价商品",IF(TB[[#This Row],[售价]]&lt;5000,"中价商品",IF(TB[[#This Row],[售价]]&lt;10000,"高价商品","超高价商品")))</f>
        <v>中价商品</v>
      </c>
    </row>
    <row r="3864" spans="1:14" x14ac:dyDescent="0.2">
      <c r="A3864">
        <v>119</v>
      </c>
      <c r="B3864">
        <v>295</v>
      </c>
      <c r="C3864" t="s">
        <v>10</v>
      </c>
      <c r="D3864" t="s">
        <v>201</v>
      </c>
      <c r="E3864" t="s">
        <v>31</v>
      </c>
      <c r="F3864">
        <v>4</v>
      </c>
      <c r="G3864" t="s">
        <v>42</v>
      </c>
      <c r="H3864" s="1">
        <v>46001.713194444441</v>
      </c>
      <c r="I3864" s="5">
        <f>INT(TB[[#This Row],[时间戳]])</f>
        <v>46001</v>
      </c>
      <c r="J3864" s="2">
        <f>HOUR(TB[[#This Row],[时间戳]])</f>
        <v>17</v>
      </c>
      <c r="K3864">
        <v>1500</v>
      </c>
      <c r="L3864">
        <v>0</v>
      </c>
      <c r="M3864">
        <f>TB[[#This Row],[售价]]*TB[[#This Row],[销量]]</f>
        <v>0</v>
      </c>
      <c r="N3864" t="str">
        <f>IF(TB[[#This Row],[售价]]&lt;1000,"低价商品",IF(TB[[#This Row],[售价]]&lt;5000,"中价商品",IF(TB[[#This Row],[售价]]&lt;10000,"高价商品","超高价商品")))</f>
        <v>中价商品</v>
      </c>
    </row>
    <row r="3865" spans="1:14" x14ac:dyDescent="0.2">
      <c r="A3865">
        <v>475</v>
      </c>
      <c r="B3865">
        <v>56</v>
      </c>
      <c r="C3865" t="s">
        <v>46</v>
      </c>
      <c r="D3865" t="s">
        <v>341</v>
      </c>
      <c r="E3865" t="s">
        <v>31</v>
      </c>
      <c r="F3865">
        <v>4</v>
      </c>
      <c r="G3865" t="s">
        <v>13</v>
      </c>
      <c r="H3865" s="1">
        <v>46001.71875</v>
      </c>
      <c r="I3865" s="5">
        <f>INT(TB[[#This Row],[时间戳]])</f>
        <v>46001</v>
      </c>
      <c r="J3865" s="2">
        <f>HOUR(TB[[#This Row],[时间戳]])</f>
        <v>17</v>
      </c>
      <c r="K3865">
        <v>611</v>
      </c>
      <c r="L3865">
        <v>1</v>
      </c>
      <c r="M3865">
        <f>TB[[#This Row],[售价]]*TB[[#This Row],[销量]]</f>
        <v>611</v>
      </c>
      <c r="N3865" t="str">
        <f>IF(TB[[#This Row],[售价]]&lt;1000,"低价商品",IF(TB[[#This Row],[售价]]&lt;5000,"中价商品",IF(TB[[#This Row],[售价]]&lt;10000,"高价商品","超高价商品")))</f>
        <v>低价商品</v>
      </c>
    </row>
    <row r="3866" spans="1:14" x14ac:dyDescent="0.2">
      <c r="A3866">
        <v>438</v>
      </c>
      <c r="B3866">
        <v>42</v>
      </c>
      <c r="C3866" t="s">
        <v>34</v>
      </c>
      <c r="D3866" t="s">
        <v>308</v>
      </c>
      <c r="E3866" t="s">
        <v>25</v>
      </c>
      <c r="F3866">
        <v>7</v>
      </c>
      <c r="G3866" t="s">
        <v>13</v>
      </c>
      <c r="H3866" s="1">
        <v>46001.720833333333</v>
      </c>
      <c r="I3866" s="5">
        <f>INT(TB[[#This Row],[时间戳]])</f>
        <v>46001</v>
      </c>
      <c r="J3866" s="2">
        <f>HOUR(TB[[#This Row],[时间戳]])</f>
        <v>17</v>
      </c>
      <c r="K3866">
        <v>6725</v>
      </c>
      <c r="L3866">
        <v>3</v>
      </c>
      <c r="M3866">
        <f>TB[[#This Row],[售价]]*TB[[#This Row],[销量]]</f>
        <v>20175</v>
      </c>
      <c r="N3866" t="str">
        <f>IF(TB[[#This Row],[售价]]&lt;1000,"低价商品",IF(TB[[#This Row],[售价]]&lt;5000,"中价商品",IF(TB[[#This Row],[售价]]&lt;10000,"高价商品","超高价商品")))</f>
        <v>高价商品</v>
      </c>
    </row>
    <row r="3867" spans="1:14" x14ac:dyDescent="0.2">
      <c r="A3867">
        <v>452</v>
      </c>
      <c r="B3867">
        <v>28</v>
      </c>
      <c r="C3867" t="s">
        <v>34</v>
      </c>
      <c r="D3867" t="s">
        <v>82</v>
      </c>
      <c r="E3867" t="s">
        <v>31</v>
      </c>
      <c r="F3867">
        <v>4</v>
      </c>
      <c r="G3867" t="s">
        <v>13</v>
      </c>
      <c r="H3867" s="1">
        <v>46001.728472222225</v>
      </c>
      <c r="I3867" s="5">
        <f>INT(TB[[#This Row],[时间戳]])</f>
        <v>46001</v>
      </c>
      <c r="J3867" s="2">
        <f>HOUR(TB[[#This Row],[时间戳]])</f>
        <v>17</v>
      </c>
      <c r="K3867">
        <v>319</v>
      </c>
      <c r="L3867">
        <v>3</v>
      </c>
      <c r="M3867">
        <f>TB[[#This Row],[售价]]*TB[[#This Row],[销量]]</f>
        <v>957</v>
      </c>
      <c r="N3867" t="str">
        <f>IF(TB[[#This Row],[售价]]&lt;1000,"低价商品",IF(TB[[#This Row],[售价]]&lt;5000,"中价商品",IF(TB[[#This Row],[售价]]&lt;10000,"高价商品","超高价商品")))</f>
        <v>低价商品</v>
      </c>
    </row>
    <row r="3868" spans="1:14" x14ac:dyDescent="0.2">
      <c r="A3868">
        <v>45</v>
      </c>
      <c r="B3868">
        <v>17</v>
      </c>
      <c r="C3868" t="s">
        <v>26</v>
      </c>
      <c r="D3868" t="s">
        <v>27</v>
      </c>
      <c r="E3868" t="s">
        <v>22</v>
      </c>
      <c r="F3868">
        <v>1</v>
      </c>
      <c r="G3868" t="s">
        <v>13</v>
      </c>
      <c r="H3868" s="1">
        <v>46001.738194444442</v>
      </c>
      <c r="I3868" s="5">
        <f>INT(TB[[#This Row],[时间戳]])</f>
        <v>46001</v>
      </c>
      <c r="J3868" s="2">
        <f>HOUR(TB[[#This Row],[时间戳]])</f>
        <v>17</v>
      </c>
      <c r="K3868">
        <v>7815</v>
      </c>
      <c r="L3868">
        <v>1</v>
      </c>
      <c r="M3868">
        <f>TB[[#This Row],[售价]]*TB[[#This Row],[销量]]</f>
        <v>7815</v>
      </c>
      <c r="N3868" t="str">
        <f>IF(TB[[#This Row],[售价]]&lt;1000,"低价商品",IF(TB[[#This Row],[售价]]&lt;5000,"中价商品",IF(TB[[#This Row],[售价]]&lt;10000,"高价商品","超高价商品")))</f>
        <v>高价商品</v>
      </c>
    </row>
    <row r="3869" spans="1:14" x14ac:dyDescent="0.2">
      <c r="A3869">
        <v>322</v>
      </c>
      <c r="B3869">
        <v>8</v>
      </c>
      <c r="C3869" t="s">
        <v>17</v>
      </c>
      <c r="D3869" t="s">
        <v>255</v>
      </c>
      <c r="E3869" t="s">
        <v>31</v>
      </c>
      <c r="F3869">
        <v>4</v>
      </c>
      <c r="G3869" t="s">
        <v>13</v>
      </c>
      <c r="H3869" s="1">
        <v>46001.759027777778</v>
      </c>
      <c r="I3869" s="5">
        <f>INT(TB[[#This Row],[时间戳]])</f>
        <v>46001</v>
      </c>
      <c r="J3869" s="2">
        <f>HOUR(TB[[#This Row],[时间戳]])</f>
        <v>18</v>
      </c>
      <c r="K3869">
        <v>832</v>
      </c>
      <c r="L3869">
        <v>2</v>
      </c>
      <c r="M3869">
        <f>TB[[#This Row],[售价]]*TB[[#This Row],[销量]]</f>
        <v>1664</v>
      </c>
      <c r="N3869" t="str">
        <f>IF(TB[[#This Row],[售价]]&lt;1000,"低价商品",IF(TB[[#This Row],[售价]]&lt;5000,"中价商品",IF(TB[[#This Row],[售价]]&lt;10000,"高价商品","超高价商品")))</f>
        <v>低价商品</v>
      </c>
    </row>
    <row r="3870" spans="1:14" x14ac:dyDescent="0.2">
      <c r="A3870">
        <v>517</v>
      </c>
      <c r="B3870">
        <v>294</v>
      </c>
      <c r="C3870" t="s">
        <v>36</v>
      </c>
      <c r="D3870" t="s">
        <v>37</v>
      </c>
      <c r="E3870" t="s">
        <v>31</v>
      </c>
      <c r="F3870">
        <v>4</v>
      </c>
      <c r="G3870" t="s">
        <v>42</v>
      </c>
      <c r="H3870" s="1">
        <v>46001.779166666667</v>
      </c>
      <c r="I3870" s="5">
        <f>INT(TB[[#This Row],[时间戳]])</f>
        <v>46001</v>
      </c>
      <c r="J3870" s="2">
        <f>HOUR(TB[[#This Row],[时间戳]])</f>
        <v>18</v>
      </c>
      <c r="K3870">
        <v>106</v>
      </c>
      <c r="L3870">
        <v>0</v>
      </c>
      <c r="M3870">
        <f>TB[[#This Row],[售价]]*TB[[#This Row],[销量]]</f>
        <v>0</v>
      </c>
      <c r="N3870" t="str">
        <f>IF(TB[[#This Row],[售价]]&lt;1000,"低价商品",IF(TB[[#This Row],[售价]]&lt;5000,"中价商品",IF(TB[[#This Row],[售价]]&lt;10000,"高价商品","超高价商品")))</f>
        <v>低价商品</v>
      </c>
    </row>
    <row r="3871" spans="1:14" x14ac:dyDescent="0.2">
      <c r="A3871">
        <v>233</v>
      </c>
      <c r="B3871">
        <v>73</v>
      </c>
      <c r="C3871" t="s">
        <v>34</v>
      </c>
      <c r="D3871" t="s">
        <v>389</v>
      </c>
      <c r="E3871" t="s">
        <v>39</v>
      </c>
      <c r="F3871">
        <v>5</v>
      </c>
      <c r="G3871" t="s">
        <v>42</v>
      </c>
      <c r="H3871" s="1">
        <v>46001.780555555553</v>
      </c>
      <c r="I3871" s="5">
        <f>INT(TB[[#This Row],[时间戳]])</f>
        <v>46001</v>
      </c>
      <c r="J3871" s="2">
        <f>HOUR(TB[[#This Row],[时间戳]])</f>
        <v>18</v>
      </c>
      <c r="K3871">
        <v>2166</v>
      </c>
      <c r="L3871">
        <v>0</v>
      </c>
      <c r="M3871">
        <f>TB[[#This Row],[售价]]*TB[[#This Row],[销量]]</f>
        <v>0</v>
      </c>
      <c r="N3871" t="str">
        <f>IF(TB[[#This Row],[售价]]&lt;1000,"低价商品",IF(TB[[#This Row],[售价]]&lt;5000,"中价商品",IF(TB[[#This Row],[售价]]&lt;10000,"高价商品","超高价商品")))</f>
        <v>中价商品</v>
      </c>
    </row>
    <row r="3872" spans="1:14" x14ac:dyDescent="0.2">
      <c r="A3872">
        <v>424</v>
      </c>
      <c r="B3872">
        <v>285</v>
      </c>
      <c r="C3872" t="s">
        <v>20</v>
      </c>
      <c r="D3872" t="s">
        <v>261</v>
      </c>
      <c r="E3872" t="s">
        <v>22</v>
      </c>
      <c r="F3872">
        <v>1</v>
      </c>
      <c r="G3872" t="s">
        <v>13</v>
      </c>
      <c r="H3872" s="1">
        <v>46001.789583333331</v>
      </c>
      <c r="I3872" s="5">
        <f>INT(TB[[#This Row],[时间戳]])</f>
        <v>46001</v>
      </c>
      <c r="J3872" s="2">
        <f>HOUR(TB[[#This Row],[时间戳]])</f>
        <v>18</v>
      </c>
      <c r="K3872">
        <v>7622</v>
      </c>
      <c r="L3872">
        <v>1</v>
      </c>
      <c r="M3872">
        <f>TB[[#This Row],[售价]]*TB[[#This Row],[销量]]</f>
        <v>7622</v>
      </c>
      <c r="N3872" t="str">
        <f>IF(TB[[#This Row],[售价]]&lt;1000,"低价商品",IF(TB[[#This Row],[售价]]&lt;5000,"中价商品",IF(TB[[#This Row],[售价]]&lt;10000,"高价商品","超高价商品")))</f>
        <v>高价商品</v>
      </c>
    </row>
    <row r="3873" spans="1:14" x14ac:dyDescent="0.2">
      <c r="A3873">
        <v>610</v>
      </c>
      <c r="B3873">
        <v>132</v>
      </c>
      <c r="C3873" t="s">
        <v>34</v>
      </c>
      <c r="D3873" t="s">
        <v>35</v>
      </c>
      <c r="E3873" t="s">
        <v>19</v>
      </c>
      <c r="F3873">
        <v>3</v>
      </c>
      <c r="G3873" t="s">
        <v>42</v>
      </c>
      <c r="H3873" s="1">
        <v>46001.793055555558</v>
      </c>
      <c r="I3873" s="5">
        <f>INT(TB[[#This Row],[时间戳]])</f>
        <v>46001</v>
      </c>
      <c r="J3873" s="2">
        <f>HOUR(TB[[#This Row],[时间戳]])</f>
        <v>19</v>
      </c>
      <c r="K3873">
        <v>3258</v>
      </c>
      <c r="L3873">
        <v>0</v>
      </c>
      <c r="M3873">
        <f>TB[[#This Row],[售价]]*TB[[#This Row],[销量]]</f>
        <v>0</v>
      </c>
      <c r="N3873" t="str">
        <f>IF(TB[[#This Row],[售价]]&lt;1000,"低价商品",IF(TB[[#This Row],[售价]]&lt;5000,"中价商品",IF(TB[[#This Row],[售价]]&lt;10000,"高价商品","超高价商品")))</f>
        <v>中价商品</v>
      </c>
    </row>
    <row r="3874" spans="1:14" x14ac:dyDescent="0.2">
      <c r="A3874">
        <v>751</v>
      </c>
      <c r="B3874">
        <v>46</v>
      </c>
      <c r="C3874" t="s">
        <v>14</v>
      </c>
      <c r="D3874" t="s">
        <v>405</v>
      </c>
      <c r="E3874" t="s">
        <v>19</v>
      </c>
      <c r="F3874">
        <v>3</v>
      </c>
      <c r="G3874" t="s">
        <v>13</v>
      </c>
      <c r="H3874" s="1">
        <v>46001.796527777777</v>
      </c>
      <c r="I3874" s="5">
        <f>INT(TB[[#This Row],[时间戳]])</f>
        <v>46001</v>
      </c>
      <c r="J3874" s="2">
        <f>HOUR(TB[[#This Row],[时间戳]])</f>
        <v>19</v>
      </c>
      <c r="K3874">
        <v>3826</v>
      </c>
      <c r="L3874">
        <v>2</v>
      </c>
      <c r="M3874">
        <f>TB[[#This Row],[售价]]*TB[[#This Row],[销量]]</f>
        <v>7652</v>
      </c>
      <c r="N3874" t="str">
        <f>IF(TB[[#This Row],[售价]]&lt;1000,"低价商品",IF(TB[[#This Row],[售价]]&lt;5000,"中价商品",IF(TB[[#This Row],[售价]]&lt;10000,"高价商品","超高价商品")))</f>
        <v>中价商品</v>
      </c>
    </row>
    <row r="3875" spans="1:14" x14ac:dyDescent="0.2">
      <c r="A3875">
        <v>319</v>
      </c>
      <c r="B3875">
        <v>276</v>
      </c>
      <c r="C3875" t="s">
        <v>44</v>
      </c>
      <c r="D3875" t="s">
        <v>338</v>
      </c>
      <c r="E3875" t="s">
        <v>16</v>
      </c>
      <c r="F3875">
        <v>6</v>
      </c>
      <c r="G3875" t="s">
        <v>13</v>
      </c>
      <c r="H3875" s="1">
        <v>46001.828472222223</v>
      </c>
      <c r="I3875" s="5">
        <f>INT(TB[[#This Row],[时间戳]])</f>
        <v>46001</v>
      </c>
      <c r="J3875" s="2">
        <f>HOUR(TB[[#This Row],[时间戳]])</f>
        <v>19</v>
      </c>
      <c r="K3875">
        <v>10304</v>
      </c>
      <c r="L3875">
        <v>2</v>
      </c>
      <c r="M3875">
        <f>TB[[#This Row],[售价]]*TB[[#This Row],[销量]]</f>
        <v>20608</v>
      </c>
      <c r="N3875" t="str">
        <f>IF(TB[[#This Row],[售价]]&lt;1000,"低价商品",IF(TB[[#This Row],[售价]]&lt;5000,"中价商品",IF(TB[[#This Row],[售价]]&lt;10000,"高价商品","超高价商品")))</f>
        <v>超高价商品</v>
      </c>
    </row>
    <row r="3876" spans="1:14" x14ac:dyDescent="0.2">
      <c r="A3876">
        <v>265</v>
      </c>
      <c r="B3876">
        <v>171</v>
      </c>
      <c r="C3876" t="s">
        <v>14</v>
      </c>
      <c r="D3876" t="s">
        <v>349</v>
      </c>
      <c r="E3876" t="s">
        <v>25</v>
      </c>
      <c r="F3876">
        <v>7</v>
      </c>
      <c r="G3876" t="s">
        <v>13</v>
      </c>
      <c r="H3876" s="1">
        <v>46001.82916666667</v>
      </c>
      <c r="I3876" s="5">
        <f>INT(TB[[#This Row],[时间戳]])</f>
        <v>46001</v>
      </c>
      <c r="J3876" s="2">
        <f>HOUR(TB[[#This Row],[时间戳]])</f>
        <v>19</v>
      </c>
      <c r="K3876">
        <v>2086</v>
      </c>
      <c r="L3876">
        <v>2</v>
      </c>
      <c r="M3876">
        <f>TB[[#This Row],[售价]]*TB[[#This Row],[销量]]</f>
        <v>4172</v>
      </c>
      <c r="N3876" t="str">
        <f>IF(TB[[#This Row],[售价]]&lt;1000,"低价商品",IF(TB[[#This Row],[售价]]&lt;5000,"中价商品",IF(TB[[#This Row],[售价]]&lt;10000,"高价商品","超高价商品")))</f>
        <v>中价商品</v>
      </c>
    </row>
    <row r="3877" spans="1:14" x14ac:dyDescent="0.2">
      <c r="A3877">
        <v>680</v>
      </c>
      <c r="B3877">
        <v>207</v>
      </c>
      <c r="C3877" t="s">
        <v>34</v>
      </c>
      <c r="D3877" t="s">
        <v>168</v>
      </c>
      <c r="E3877" t="s">
        <v>19</v>
      </c>
      <c r="F3877">
        <v>3</v>
      </c>
      <c r="G3877" t="s">
        <v>42</v>
      </c>
      <c r="H3877" s="1">
        <v>46001.839583333334</v>
      </c>
      <c r="I3877" s="5">
        <f>INT(TB[[#This Row],[时间戳]])</f>
        <v>46001</v>
      </c>
      <c r="J3877" s="2">
        <f>HOUR(TB[[#This Row],[时间戳]])</f>
        <v>20</v>
      </c>
      <c r="K3877">
        <v>1749</v>
      </c>
      <c r="L3877">
        <v>0</v>
      </c>
      <c r="M3877">
        <f>TB[[#This Row],[售价]]*TB[[#This Row],[销量]]</f>
        <v>0</v>
      </c>
      <c r="N3877" t="str">
        <f>IF(TB[[#This Row],[售价]]&lt;1000,"低价商品",IF(TB[[#This Row],[售价]]&lt;5000,"中价商品",IF(TB[[#This Row],[售价]]&lt;10000,"高价商品","超高价商品")))</f>
        <v>中价商品</v>
      </c>
    </row>
    <row r="3878" spans="1:14" x14ac:dyDescent="0.2">
      <c r="A3878">
        <v>480</v>
      </c>
      <c r="B3878">
        <v>152</v>
      </c>
      <c r="C3878" t="s">
        <v>26</v>
      </c>
      <c r="D3878" t="s">
        <v>179</v>
      </c>
      <c r="E3878" t="s">
        <v>16</v>
      </c>
      <c r="F3878">
        <v>6</v>
      </c>
      <c r="G3878" t="s">
        <v>13</v>
      </c>
      <c r="H3878" s="1">
        <v>46001.843055555553</v>
      </c>
      <c r="I3878" s="5">
        <f>INT(TB[[#This Row],[时间戳]])</f>
        <v>46001</v>
      </c>
      <c r="J3878" s="2">
        <f>HOUR(TB[[#This Row],[时间戳]])</f>
        <v>20</v>
      </c>
      <c r="K3878">
        <v>5783</v>
      </c>
      <c r="L3878">
        <v>2</v>
      </c>
      <c r="M3878">
        <f>TB[[#This Row],[售价]]*TB[[#This Row],[销量]]</f>
        <v>11566</v>
      </c>
      <c r="N3878" t="str">
        <f>IF(TB[[#This Row],[售价]]&lt;1000,"低价商品",IF(TB[[#This Row],[售价]]&lt;5000,"中价商品",IF(TB[[#This Row],[售价]]&lt;10000,"高价商品","超高价商品")))</f>
        <v>高价商品</v>
      </c>
    </row>
    <row r="3879" spans="1:14" x14ac:dyDescent="0.2">
      <c r="A3879">
        <v>263</v>
      </c>
      <c r="B3879">
        <v>269</v>
      </c>
      <c r="C3879" t="s">
        <v>34</v>
      </c>
      <c r="D3879" t="s">
        <v>346</v>
      </c>
      <c r="E3879" t="s">
        <v>22</v>
      </c>
      <c r="F3879">
        <v>1</v>
      </c>
      <c r="G3879" t="s">
        <v>13</v>
      </c>
      <c r="H3879" s="1">
        <v>46001.881944444445</v>
      </c>
      <c r="I3879" s="5">
        <f>INT(TB[[#This Row],[时间戳]])</f>
        <v>46001</v>
      </c>
      <c r="J3879" s="2">
        <f>HOUR(TB[[#This Row],[时间戳]])</f>
        <v>21</v>
      </c>
      <c r="K3879">
        <v>2919</v>
      </c>
      <c r="L3879">
        <v>1</v>
      </c>
      <c r="M3879">
        <f>TB[[#This Row],[售价]]*TB[[#This Row],[销量]]</f>
        <v>2919</v>
      </c>
      <c r="N3879" t="str">
        <f>IF(TB[[#This Row],[售价]]&lt;1000,"低价商品",IF(TB[[#This Row],[售价]]&lt;5000,"中价商品",IF(TB[[#This Row],[售价]]&lt;10000,"高价商品","超高价商品")))</f>
        <v>中价商品</v>
      </c>
    </row>
    <row r="3880" spans="1:14" x14ac:dyDescent="0.2">
      <c r="A3880">
        <v>543</v>
      </c>
      <c r="B3880">
        <v>31</v>
      </c>
      <c r="C3880" t="s">
        <v>26</v>
      </c>
      <c r="D3880" t="s">
        <v>171</v>
      </c>
      <c r="E3880" t="s">
        <v>12</v>
      </c>
      <c r="F3880">
        <v>2</v>
      </c>
      <c r="G3880" t="s">
        <v>13</v>
      </c>
      <c r="H3880" s="1">
        <v>46001.896527777775</v>
      </c>
      <c r="I3880" s="5">
        <f>INT(TB[[#This Row],[时间戳]])</f>
        <v>46001</v>
      </c>
      <c r="J3880" s="2">
        <f>HOUR(TB[[#This Row],[时间戳]])</f>
        <v>21</v>
      </c>
      <c r="K3880">
        <v>7936</v>
      </c>
      <c r="L3880">
        <v>4</v>
      </c>
      <c r="M3880">
        <f>TB[[#This Row],[售价]]*TB[[#This Row],[销量]]</f>
        <v>31744</v>
      </c>
      <c r="N3880" t="str">
        <f>IF(TB[[#This Row],[售价]]&lt;1000,"低价商品",IF(TB[[#This Row],[售价]]&lt;5000,"中价商品",IF(TB[[#This Row],[售价]]&lt;10000,"高价商品","超高价商品")))</f>
        <v>高价商品</v>
      </c>
    </row>
    <row r="3881" spans="1:14" x14ac:dyDescent="0.2">
      <c r="A3881">
        <v>40</v>
      </c>
      <c r="B3881">
        <v>220</v>
      </c>
      <c r="C3881" t="s">
        <v>20</v>
      </c>
      <c r="D3881" t="s">
        <v>167</v>
      </c>
      <c r="E3881" t="s">
        <v>39</v>
      </c>
      <c r="F3881">
        <v>5</v>
      </c>
      <c r="G3881" t="s">
        <v>13</v>
      </c>
      <c r="H3881" s="1">
        <v>46001.901388888888</v>
      </c>
      <c r="I3881" s="5">
        <f>INT(TB[[#This Row],[时间戳]])</f>
        <v>46001</v>
      </c>
      <c r="J3881" s="2">
        <f>HOUR(TB[[#This Row],[时间戳]])</f>
        <v>21</v>
      </c>
      <c r="K3881">
        <v>2400</v>
      </c>
      <c r="L3881">
        <v>2</v>
      </c>
      <c r="M3881">
        <f>TB[[#This Row],[售价]]*TB[[#This Row],[销量]]</f>
        <v>4800</v>
      </c>
      <c r="N3881" t="str">
        <f>IF(TB[[#This Row],[售价]]&lt;1000,"低价商品",IF(TB[[#This Row],[售价]]&lt;5000,"中价商品",IF(TB[[#This Row],[售价]]&lt;10000,"高价商品","超高价商品")))</f>
        <v>中价商品</v>
      </c>
    </row>
    <row r="3882" spans="1:14" x14ac:dyDescent="0.2">
      <c r="A3882">
        <v>225</v>
      </c>
      <c r="B3882">
        <v>129</v>
      </c>
      <c r="C3882" t="s">
        <v>46</v>
      </c>
      <c r="D3882" t="s">
        <v>141</v>
      </c>
      <c r="E3882" t="s">
        <v>22</v>
      </c>
      <c r="F3882">
        <v>1</v>
      </c>
      <c r="G3882" t="s">
        <v>13</v>
      </c>
      <c r="H3882" s="1">
        <v>46001.914583333331</v>
      </c>
      <c r="I3882" s="5">
        <f>INT(TB[[#This Row],[时间戳]])</f>
        <v>46001</v>
      </c>
      <c r="J3882" s="2">
        <f>HOUR(TB[[#This Row],[时间戳]])</f>
        <v>21</v>
      </c>
      <c r="K3882">
        <v>4567</v>
      </c>
      <c r="L3882">
        <v>3</v>
      </c>
      <c r="M3882">
        <f>TB[[#This Row],[售价]]*TB[[#This Row],[销量]]</f>
        <v>13701</v>
      </c>
      <c r="N3882" t="str">
        <f>IF(TB[[#This Row],[售价]]&lt;1000,"低价商品",IF(TB[[#This Row],[售价]]&lt;5000,"中价商品",IF(TB[[#This Row],[售价]]&lt;10000,"高价商品","超高价商品")))</f>
        <v>中价商品</v>
      </c>
    </row>
    <row r="3883" spans="1:14" x14ac:dyDescent="0.2">
      <c r="A3883">
        <v>561</v>
      </c>
      <c r="B3883">
        <v>156</v>
      </c>
      <c r="C3883" t="s">
        <v>20</v>
      </c>
      <c r="D3883" t="s">
        <v>40</v>
      </c>
      <c r="E3883" t="s">
        <v>25</v>
      </c>
      <c r="F3883">
        <v>7</v>
      </c>
      <c r="G3883" t="s">
        <v>13</v>
      </c>
      <c r="H3883" s="1">
        <v>46001.938888888886</v>
      </c>
      <c r="I3883" s="5">
        <f>INT(TB[[#This Row],[时间戳]])</f>
        <v>46001</v>
      </c>
      <c r="J3883" s="2">
        <f>HOUR(TB[[#This Row],[时间戳]])</f>
        <v>22</v>
      </c>
      <c r="K3883">
        <v>4031</v>
      </c>
      <c r="L3883">
        <v>1</v>
      </c>
      <c r="M3883">
        <f>TB[[#This Row],[售价]]*TB[[#This Row],[销量]]</f>
        <v>4031</v>
      </c>
      <c r="N3883" t="str">
        <f>IF(TB[[#This Row],[售价]]&lt;1000,"低价商品",IF(TB[[#This Row],[售价]]&lt;5000,"中价商品",IF(TB[[#This Row],[售价]]&lt;10000,"高价商品","超高价商品")))</f>
        <v>中价商品</v>
      </c>
    </row>
    <row r="3884" spans="1:14" x14ac:dyDescent="0.2">
      <c r="A3884">
        <v>646</v>
      </c>
      <c r="B3884">
        <v>153</v>
      </c>
      <c r="C3884" t="s">
        <v>32</v>
      </c>
      <c r="D3884" t="s">
        <v>335</v>
      </c>
      <c r="E3884" t="s">
        <v>12</v>
      </c>
      <c r="F3884">
        <v>2</v>
      </c>
      <c r="G3884" t="s">
        <v>13</v>
      </c>
      <c r="H3884" s="1">
        <v>46001.99722222222</v>
      </c>
      <c r="I3884" s="5">
        <f>INT(TB[[#This Row],[时间戳]])</f>
        <v>46001</v>
      </c>
      <c r="J3884" s="2">
        <f>HOUR(TB[[#This Row],[时间戳]])</f>
        <v>23</v>
      </c>
      <c r="K3884">
        <v>6859</v>
      </c>
      <c r="L3884">
        <v>2</v>
      </c>
      <c r="M3884">
        <f>TB[[#This Row],[售价]]*TB[[#This Row],[销量]]</f>
        <v>13718</v>
      </c>
      <c r="N3884" t="str">
        <f>IF(TB[[#This Row],[售价]]&lt;1000,"低价商品",IF(TB[[#This Row],[售价]]&lt;5000,"中价商品",IF(TB[[#This Row],[售价]]&lt;10000,"高价商品","超高价商品")))</f>
        <v>高价商品</v>
      </c>
    </row>
    <row r="3885" spans="1:14" x14ac:dyDescent="0.2">
      <c r="A3885">
        <v>339</v>
      </c>
      <c r="B3885">
        <v>172</v>
      </c>
      <c r="C3885" t="s">
        <v>20</v>
      </c>
      <c r="D3885" t="s">
        <v>319</v>
      </c>
      <c r="E3885" t="s">
        <v>31</v>
      </c>
      <c r="F3885">
        <v>4</v>
      </c>
      <c r="G3885" t="s">
        <v>13</v>
      </c>
      <c r="H3885" s="1">
        <v>46002.001388888886</v>
      </c>
      <c r="I3885" s="5">
        <f>INT(TB[[#This Row],[时间戳]])</f>
        <v>46002</v>
      </c>
      <c r="J3885" s="2">
        <f>HOUR(TB[[#This Row],[时间戳]])</f>
        <v>0</v>
      </c>
      <c r="K3885">
        <v>751</v>
      </c>
      <c r="L3885">
        <v>1</v>
      </c>
      <c r="M3885">
        <f>TB[[#This Row],[售价]]*TB[[#This Row],[销量]]</f>
        <v>751</v>
      </c>
      <c r="N3885" t="str">
        <f>IF(TB[[#This Row],[售价]]&lt;1000,"低价商品",IF(TB[[#This Row],[售价]]&lt;5000,"中价商品",IF(TB[[#This Row],[售价]]&lt;10000,"高价商品","超高价商品")))</f>
        <v>低价商品</v>
      </c>
    </row>
    <row r="3886" spans="1:14" x14ac:dyDescent="0.2">
      <c r="A3886">
        <v>722</v>
      </c>
      <c r="B3886">
        <v>26</v>
      </c>
      <c r="C3886" t="s">
        <v>44</v>
      </c>
      <c r="D3886" t="s">
        <v>132</v>
      </c>
      <c r="E3886" t="s">
        <v>22</v>
      </c>
      <c r="F3886">
        <v>1</v>
      </c>
      <c r="G3886" t="s">
        <v>13</v>
      </c>
      <c r="H3886" s="1">
        <v>46002.041666666664</v>
      </c>
      <c r="I3886" s="5">
        <f>INT(TB[[#This Row],[时间戳]])</f>
        <v>46002</v>
      </c>
      <c r="J3886" s="2">
        <f>HOUR(TB[[#This Row],[时间戳]])</f>
        <v>1</v>
      </c>
      <c r="K3886">
        <v>1462</v>
      </c>
      <c r="L3886">
        <v>1</v>
      </c>
      <c r="M3886">
        <f>TB[[#This Row],[售价]]*TB[[#This Row],[销量]]</f>
        <v>1462</v>
      </c>
      <c r="N3886" t="str">
        <f>IF(TB[[#This Row],[售价]]&lt;1000,"低价商品",IF(TB[[#This Row],[售价]]&lt;5000,"中价商品",IF(TB[[#This Row],[售价]]&lt;10000,"高价商品","超高价商品")))</f>
        <v>中价商品</v>
      </c>
    </row>
    <row r="3887" spans="1:14" x14ac:dyDescent="0.2">
      <c r="A3887">
        <v>344</v>
      </c>
      <c r="B3887">
        <v>181</v>
      </c>
      <c r="C3887" t="s">
        <v>44</v>
      </c>
      <c r="D3887" t="s">
        <v>239</v>
      </c>
      <c r="E3887" t="s">
        <v>39</v>
      </c>
      <c r="F3887">
        <v>5</v>
      </c>
      <c r="G3887" t="s">
        <v>13</v>
      </c>
      <c r="H3887" s="1">
        <v>46002.091666666667</v>
      </c>
      <c r="I3887" s="5">
        <f>INT(TB[[#This Row],[时间戳]])</f>
        <v>46002</v>
      </c>
      <c r="J3887" s="2">
        <f>HOUR(TB[[#This Row],[时间戳]])</f>
        <v>2</v>
      </c>
      <c r="K3887">
        <v>2395</v>
      </c>
      <c r="L3887">
        <v>2</v>
      </c>
      <c r="M3887">
        <f>TB[[#This Row],[售价]]*TB[[#This Row],[销量]]</f>
        <v>4790</v>
      </c>
      <c r="N3887" t="str">
        <f>IF(TB[[#This Row],[售价]]&lt;1000,"低价商品",IF(TB[[#This Row],[售价]]&lt;5000,"中价商品",IF(TB[[#This Row],[售价]]&lt;10000,"高价商品","超高价商品")))</f>
        <v>中价商品</v>
      </c>
    </row>
    <row r="3888" spans="1:14" x14ac:dyDescent="0.2">
      <c r="A3888">
        <v>211</v>
      </c>
      <c r="B3888">
        <v>290</v>
      </c>
      <c r="C3888" t="s">
        <v>17</v>
      </c>
      <c r="D3888" t="s">
        <v>214</v>
      </c>
      <c r="E3888" t="s">
        <v>22</v>
      </c>
      <c r="F3888">
        <v>1</v>
      </c>
      <c r="G3888" t="s">
        <v>13</v>
      </c>
      <c r="H3888" s="1">
        <v>46002.137499999997</v>
      </c>
      <c r="I3888" s="5">
        <f>INT(TB[[#This Row],[时间戳]])</f>
        <v>46002</v>
      </c>
      <c r="J3888" s="2">
        <f>HOUR(TB[[#This Row],[时间戳]])</f>
        <v>3</v>
      </c>
      <c r="K3888">
        <v>1641</v>
      </c>
      <c r="L3888">
        <v>2</v>
      </c>
      <c r="M3888">
        <f>TB[[#This Row],[售价]]*TB[[#This Row],[销量]]</f>
        <v>3282</v>
      </c>
      <c r="N3888" t="str">
        <f>IF(TB[[#This Row],[售价]]&lt;1000,"低价商品",IF(TB[[#This Row],[售价]]&lt;5000,"中价商品",IF(TB[[#This Row],[售价]]&lt;10000,"高价商品","超高价商品")))</f>
        <v>中价商品</v>
      </c>
    </row>
    <row r="3889" spans="1:14" x14ac:dyDescent="0.2">
      <c r="A3889">
        <v>35</v>
      </c>
      <c r="B3889">
        <v>277</v>
      </c>
      <c r="C3889" t="s">
        <v>10</v>
      </c>
      <c r="D3889" t="s">
        <v>387</v>
      </c>
      <c r="E3889" t="s">
        <v>16</v>
      </c>
      <c r="F3889">
        <v>6</v>
      </c>
      <c r="G3889" t="s">
        <v>13</v>
      </c>
      <c r="H3889" s="1">
        <v>46002.15625</v>
      </c>
      <c r="I3889" s="5">
        <f>INT(TB[[#This Row],[时间戳]])</f>
        <v>46002</v>
      </c>
      <c r="J3889" s="2">
        <f>HOUR(TB[[#This Row],[时间戳]])</f>
        <v>3</v>
      </c>
      <c r="K3889">
        <v>5167</v>
      </c>
      <c r="L3889">
        <v>1</v>
      </c>
      <c r="M3889">
        <f>TB[[#This Row],[售价]]*TB[[#This Row],[销量]]</f>
        <v>5167</v>
      </c>
      <c r="N3889" t="str">
        <f>IF(TB[[#This Row],[售价]]&lt;1000,"低价商品",IF(TB[[#This Row],[售价]]&lt;5000,"中价商品",IF(TB[[#This Row],[售价]]&lt;10000,"高价商品","超高价商品")))</f>
        <v>高价商品</v>
      </c>
    </row>
    <row r="3890" spans="1:14" x14ac:dyDescent="0.2">
      <c r="A3890">
        <v>44</v>
      </c>
      <c r="B3890">
        <v>253</v>
      </c>
      <c r="C3890" t="s">
        <v>34</v>
      </c>
      <c r="D3890" t="s">
        <v>139</v>
      </c>
      <c r="E3890" t="s">
        <v>39</v>
      </c>
      <c r="F3890">
        <v>5</v>
      </c>
      <c r="G3890" t="s">
        <v>13</v>
      </c>
      <c r="H3890" s="1">
        <v>46002.174305555556</v>
      </c>
      <c r="I3890" s="5">
        <f>INT(TB[[#This Row],[时间戳]])</f>
        <v>46002</v>
      </c>
      <c r="J3890" s="2">
        <f>HOUR(TB[[#This Row],[时间戳]])</f>
        <v>4</v>
      </c>
      <c r="K3890">
        <v>2357</v>
      </c>
      <c r="L3890">
        <v>1</v>
      </c>
      <c r="M3890">
        <f>TB[[#This Row],[售价]]*TB[[#This Row],[销量]]</f>
        <v>2357</v>
      </c>
      <c r="N3890" t="str">
        <f>IF(TB[[#This Row],[售价]]&lt;1000,"低价商品",IF(TB[[#This Row],[售价]]&lt;5000,"中价商品",IF(TB[[#This Row],[售价]]&lt;10000,"高价商品","超高价商品")))</f>
        <v>中价商品</v>
      </c>
    </row>
    <row r="3891" spans="1:14" x14ac:dyDescent="0.2">
      <c r="A3891">
        <v>29</v>
      </c>
      <c r="B3891">
        <v>53</v>
      </c>
      <c r="C3891" t="s">
        <v>36</v>
      </c>
      <c r="D3891" t="s">
        <v>146</v>
      </c>
      <c r="E3891" t="s">
        <v>22</v>
      </c>
      <c r="F3891">
        <v>1</v>
      </c>
      <c r="G3891" t="s">
        <v>42</v>
      </c>
      <c r="H3891" s="1">
        <v>46002.184027777781</v>
      </c>
      <c r="I3891" s="5">
        <f>INT(TB[[#This Row],[时间戳]])</f>
        <v>46002</v>
      </c>
      <c r="J3891" s="2">
        <f>HOUR(TB[[#This Row],[时间戳]])</f>
        <v>4</v>
      </c>
      <c r="K3891">
        <v>6310</v>
      </c>
      <c r="L3891">
        <v>0</v>
      </c>
      <c r="M3891">
        <f>TB[[#This Row],[售价]]*TB[[#This Row],[销量]]</f>
        <v>0</v>
      </c>
      <c r="N3891" t="str">
        <f>IF(TB[[#This Row],[售价]]&lt;1000,"低价商品",IF(TB[[#This Row],[售价]]&lt;5000,"中价商品",IF(TB[[#This Row],[售价]]&lt;10000,"高价商品","超高价商品")))</f>
        <v>高价商品</v>
      </c>
    </row>
    <row r="3892" spans="1:14" x14ac:dyDescent="0.2">
      <c r="A3892">
        <v>474</v>
      </c>
      <c r="B3892">
        <v>260</v>
      </c>
      <c r="C3892" t="s">
        <v>14</v>
      </c>
      <c r="D3892" t="s">
        <v>395</v>
      </c>
      <c r="E3892" t="s">
        <v>12</v>
      </c>
      <c r="F3892">
        <v>2</v>
      </c>
      <c r="G3892" t="s">
        <v>13</v>
      </c>
      <c r="H3892" s="1">
        <v>46002.209722222222</v>
      </c>
      <c r="I3892" s="5">
        <f>INT(TB[[#This Row],[时间戳]])</f>
        <v>46002</v>
      </c>
      <c r="J3892" s="2">
        <f>HOUR(TB[[#This Row],[时间戳]])</f>
        <v>5</v>
      </c>
      <c r="K3892">
        <v>7677</v>
      </c>
      <c r="L3892">
        <v>3</v>
      </c>
      <c r="M3892">
        <f>TB[[#This Row],[售价]]*TB[[#This Row],[销量]]</f>
        <v>23031</v>
      </c>
      <c r="N3892" t="str">
        <f>IF(TB[[#This Row],[售价]]&lt;1000,"低价商品",IF(TB[[#This Row],[售价]]&lt;5000,"中价商品",IF(TB[[#This Row],[售价]]&lt;10000,"高价商品","超高价商品")))</f>
        <v>高价商品</v>
      </c>
    </row>
    <row r="3893" spans="1:14" x14ac:dyDescent="0.2">
      <c r="A3893">
        <v>146</v>
      </c>
      <c r="B3893">
        <v>169</v>
      </c>
      <c r="C3893" t="s">
        <v>46</v>
      </c>
      <c r="D3893" t="s">
        <v>401</v>
      </c>
      <c r="E3893" t="s">
        <v>39</v>
      </c>
      <c r="F3893">
        <v>5</v>
      </c>
      <c r="G3893" t="s">
        <v>13</v>
      </c>
      <c r="H3893" s="1">
        <v>46002.223611111112</v>
      </c>
      <c r="I3893" s="5">
        <f>INT(TB[[#This Row],[时间戳]])</f>
        <v>46002</v>
      </c>
      <c r="J3893" s="2">
        <f>HOUR(TB[[#This Row],[时间戳]])</f>
        <v>5</v>
      </c>
      <c r="K3893">
        <v>2236</v>
      </c>
      <c r="L3893">
        <v>4</v>
      </c>
      <c r="M3893">
        <f>TB[[#This Row],[售价]]*TB[[#This Row],[销量]]</f>
        <v>8944</v>
      </c>
      <c r="N3893" t="str">
        <f>IF(TB[[#This Row],[售价]]&lt;1000,"低价商品",IF(TB[[#This Row],[售价]]&lt;5000,"中价商品",IF(TB[[#This Row],[售价]]&lt;10000,"高价商品","超高价商品")))</f>
        <v>中价商品</v>
      </c>
    </row>
    <row r="3894" spans="1:14" x14ac:dyDescent="0.2">
      <c r="A3894">
        <v>399</v>
      </c>
      <c r="B3894">
        <v>28</v>
      </c>
      <c r="C3894" t="s">
        <v>44</v>
      </c>
      <c r="D3894" t="s">
        <v>372</v>
      </c>
      <c r="E3894" t="s">
        <v>22</v>
      </c>
      <c r="F3894">
        <v>1</v>
      </c>
      <c r="G3894" t="s">
        <v>42</v>
      </c>
      <c r="H3894" s="1">
        <v>46002.244444444441</v>
      </c>
      <c r="I3894" s="5">
        <f>INT(TB[[#This Row],[时间戳]])</f>
        <v>46002</v>
      </c>
      <c r="J3894" s="2">
        <f>HOUR(TB[[#This Row],[时间戳]])</f>
        <v>5</v>
      </c>
      <c r="K3894">
        <v>7549</v>
      </c>
      <c r="L3894">
        <v>0</v>
      </c>
      <c r="M3894">
        <f>TB[[#This Row],[售价]]*TB[[#This Row],[销量]]</f>
        <v>0</v>
      </c>
      <c r="N3894" t="str">
        <f>IF(TB[[#This Row],[售价]]&lt;1000,"低价商品",IF(TB[[#This Row],[售价]]&lt;5000,"中价商品",IF(TB[[#This Row],[售价]]&lt;10000,"高价商品","超高价商品")))</f>
        <v>高价商品</v>
      </c>
    </row>
    <row r="3895" spans="1:14" x14ac:dyDescent="0.2">
      <c r="A3895">
        <v>650</v>
      </c>
      <c r="B3895">
        <v>13</v>
      </c>
      <c r="C3895" t="s">
        <v>26</v>
      </c>
      <c r="D3895" t="s">
        <v>182</v>
      </c>
      <c r="E3895" t="s">
        <v>31</v>
      </c>
      <c r="F3895">
        <v>4</v>
      </c>
      <c r="G3895" t="s">
        <v>13</v>
      </c>
      <c r="H3895" s="1">
        <v>46002.254166666666</v>
      </c>
      <c r="I3895" s="5">
        <f>INT(TB[[#This Row],[时间戳]])</f>
        <v>46002</v>
      </c>
      <c r="J3895" s="2">
        <f>HOUR(TB[[#This Row],[时间戳]])</f>
        <v>6</v>
      </c>
      <c r="K3895">
        <v>1500</v>
      </c>
      <c r="L3895">
        <v>5</v>
      </c>
      <c r="M3895">
        <f>TB[[#This Row],[售价]]*TB[[#This Row],[销量]]</f>
        <v>7500</v>
      </c>
      <c r="N3895" t="str">
        <f>IF(TB[[#This Row],[售价]]&lt;1000,"低价商品",IF(TB[[#This Row],[售价]]&lt;5000,"中价商品",IF(TB[[#This Row],[售价]]&lt;10000,"高价商品","超高价商品")))</f>
        <v>中价商品</v>
      </c>
    </row>
    <row r="3896" spans="1:14" x14ac:dyDescent="0.2">
      <c r="A3896">
        <v>240</v>
      </c>
      <c r="B3896">
        <v>162</v>
      </c>
      <c r="C3896" t="s">
        <v>46</v>
      </c>
      <c r="D3896" t="s">
        <v>104</v>
      </c>
      <c r="E3896" t="s">
        <v>12</v>
      </c>
      <c r="F3896">
        <v>2</v>
      </c>
      <c r="G3896" t="s">
        <v>13</v>
      </c>
      <c r="H3896" s="1">
        <v>46002.27847222222</v>
      </c>
      <c r="I3896" s="5">
        <f>INT(TB[[#This Row],[时间戳]])</f>
        <v>46002</v>
      </c>
      <c r="J3896" s="2">
        <f>HOUR(TB[[#This Row],[时间戳]])</f>
        <v>6</v>
      </c>
      <c r="K3896">
        <v>10820</v>
      </c>
      <c r="L3896">
        <v>2</v>
      </c>
      <c r="M3896">
        <f>TB[[#This Row],[售价]]*TB[[#This Row],[销量]]</f>
        <v>21640</v>
      </c>
      <c r="N3896" t="str">
        <f>IF(TB[[#This Row],[售价]]&lt;1000,"低价商品",IF(TB[[#This Row],[售价]]&lt;5000,"中价商品",IF(TB[[#This Row],[售价]]&lt;10000,"高价商品","超高价商品")))</f>
        <v>超高价商品</v>
      </c>
    </row>
    <row r="3897" spans="1:14" x14ac:dyDescent="0.2">
      <c r="A3897">
        <v>1</v>
      </c>
      <c r="B3897">
        <v>43</v>
      </c>
      <c r="C3897" t="s">
        <v>14</v>
      </c>
      <c r="D3897" t="s">
        <v>144</v>
      </c>
      <c r="E3897" t="s">
        <v>19</v>
      </c>
      <c r="F3897">
        <v>3</v>
      </c>
      <c r="G3897" t="s">
        <v>13</v>
      </c>
      <c r="H3897" s="1">
        <v>46002.310416666667</v>
      </c>
      <c r="I3897" s="5">
        <f>INT(TB[[#This Row],[时间戳]])</f>
        <v>46002</v>
      </c>
      <c r="J3897" s="2">
        <f>HOUR(TB[[#This Row],[时间戳]])</f>
        <v>7</v>
      </c>
      <c r="K3897">
        <v>3852</v>
      </c>
      <c r="L3897">
        <v>3</v>
      </c>
      <c r="M3897">
        <f>TB[[#This Row],[售价]]*TB[[#This Row],[销量]]</f>
        <v>11556</v>
      </c>
      <c r="N3897" t="str">
        <f>IF(TB[[#This Row],[售价]]&lt;1000,"低价商品",IF(TB[[#This Row],[售价]]&lt;5000,"中价商品",IF(TB[[#This Row],[售价]]&lt;10000,"高价商品","超高价商品")))</f>
        <v>中价商品</v>
      </c>
    </row>
    <row r="3898" spans="1:14" x14ac:dyDescent="0.2">
      <c r="A3898">
        <v>580</v>
      </c>
      <c r="B3898">
        <v>183</v>
      </c>
      <c r="C3898" t="s">
        <v>44</v>
      </c>
      <c r="D3898" t="s">
        <v>100</v>
      </c>
      <c r="E3898" t="s">
        <v>19</v>
      </c>
      <c r="F3898">
        <v>3</v>
      </c>
      <c r="G3898" t="s">
        <v>13</v>
      </c>
      <c r="H3898" s="1">
        <v>46002.313888888886</v>
      </c>
      <c r="I3898" s="5">
        <f>INT(TB[[#This Row],[时间戳]])</f>
        <v>46002</v>
      </c>
      <c r="J3898" s="2">
        <f>HOUR(TB[[#This Row],[时间戳]])</f>
        <v>7</v>
      </c>
      <c r="K3898">
        <v>2500</v>
      </c>
      <c r="L3898">
        <v>3</v>
      </c>
      <c r="M3898">
        <f>TB[[#This Row],[售价]]*TB[[#This Row],[销量]]</f>
        <v>7500</v>
      </c>
      <c r="N3898" t="str">
        <f>IF(TB[[#This Row],[售价]]&lt;1000,"低价商品",IF(TB[[#This Row],[售价]]&lt;5000,"中价商品",IF(TB[[#This Row],[售价]]&lt;10000,"高价商品","超高价商品")))</f>
        <v>中价商品</v>
      </c>
    </row>
    <row r="3899" spans="1:14" x14ac:dyDescent="0.2">
      <c r="A3899">
        <v>778</v>
      </c>
      <c r="B3899">
        <v>26</v>
      </c>
      <c r="C3899" t="s">
        <v>26</v>
      </c>
      <c r="D3899" t="s">
        <v>122</v>
      </c>
      <c r="E3899" t="s">
        <v>31</v>
      </c>
      <c r="F3899">
        <v>4</v>
      </c>
      <c r="G3899" t="s">
        <v>13</v>
      </c>
      <c r="H3899" s="1">
        <v>46002.34652777778</v>
      </c>
      <c r="I3899" s="5">
        <f>INT(TB[[#This Row],[时间戳]])</f>
        <v>46002</v>
      </c>
      <c r="J3899" s="2">
        <f>HOUR(TB[[#This Row],[时间戳]])</f>
        <v>8</v>
      </c>
      <c r="K3899">
        <v>50</v>
      </c>
      <c r="L3899">
        <v>1</v>
      </c>
      <c r="M3899">
        <f>TB[[#This Row],[售价]]*TB[[#This Row],[销量]]</f>
        <v>50</v>
      </c>
      <c r="N3899" t="str">
        <f>IF(TB[[#This Row],[售价]]&lt;1000,"低价商品",IF(TB[[#This Row],[售价]]&lt;5000,"中价商品",IF(TB[[#This Row],[售价]]&lt;10000,"高价商品","超高价商品")))</f>
        <v>低价商品</v>
      </c>
    </row>
    <row r="3900" spans="1:14" x14ac:dyDescent="0.2">
      <c r="A3900">
        <v>220</v>
      </c>
      <c r="B3900">
        <v>94</v>
      </c>
      <c r="C3900" t="s">
        <v>14</v>
      </c>
      <c r="D3900" t="s">
        <v>235</v>
      </c>
      <c r="E3900" t="s">
        <v>39</v>
      </c>
      <c r="F3900">
        <v>5</v>
      </c>
      <c r="G3900" t="s">
        <v>13</v>
      </c>
      <c r="H3900" s="1">
        <v>46002.361111111109</v>
      </c>
      <c r="I3900" s="5">
        <f>INT(TB[[#This Row],[时间戳]])</f>
        <v>46002</v>
      </c>
      <c r="J3900" s="2">
        <f>HOUR(TB[[#This Row],[时间戳]])</f>
        <v>8</v>
      </c>
      <c r="K3900">
        <v>1086</v>
      </c>
      <c r="L3900">
        <v>2</v>
      </c>
      <c r="M3900">
        <f>TB[[#This Row],[售价]]*TB[[#This Row],[销量]]</f>
        <v>2172</v>
      </c>
      <c r="N3900" t="str">
        <f>IF(TB[[#This Row],[售价]]&lt;1000,"低价商品",IF(TB[[#This Row],[售价]]&lt;5000,"中价商品",IF(TB[[#This Row],[售价]]&lt;10000,"高价商品","超高价商品")))</f>
        <v>中价商品</v>
      </c>
    </row>
    <row r="3901" spans="1:14" x14ac:dyDescent="0.2">
      <c r="A3901">
        <v>451</v>
      </c>
      <c r="B3901">
        <v>174</v>
      </c>
      <c r="C3901" t="s">
        <v>46</v>
      </c>
      <c r="D3901" t="s">
        <v>260</v>
      </c>
      <c r="E3901" t="s">
        <v>22</v>
      </c>
      <c r="F3901">
        <v>1</v>
      </c>
      <c r="G3901" t="s">
        <v>13</v>
      </c>
      <c r="H3901" s="1">
        <v>46002.395138888889</v>
      </c>
      <c r="I3901" s="5">
        <f>INT(TB[[#This Row],[时间戳]])</f>
        <v>46002</v>
      </c>
      <c r="J3901" s="2">
        <f>HOUR(TB[[#This Row],[时间戳]])</f>
        <v>9</v>
      </c>
      <c r="K3901">
        <v>3977</v>
      </c>
      <c r="L3901">
        <v>3</v>
      </c>
      <c r="M3901">
        <f>TB[[#This Row],[售价]]*TB[[#This Row],[销量]]</f>
        <v>11931</v>
      </c>
      <c r="N3901" t="str">
        <f>IF(TB[[#This Row],[售价]]&lt;1000,"低价商品",IF(TB[[#This Row],[售价]]&lt;5000,"中价商品",IF(TB[[#This Row],[售价]]&lt;10000,"高价商品","超高价商品")))</f>
        <v>中价商品</v>
      </c>
    </row>
    <row r="3902" spans="1:14" x14ac:dyDescent="0.2">
      <c r="A3902">
        <v>505</v>
      </c>
      <c r="B3902">
        <v>52</v>
      </c>
      <c r="C3902" t="s">
        <v>36</v>
      </c>
      <c r="D3902" t="s">
        <v>136</v>
      </c>
      <c r="E3902" t="s">
        <v>39</v>
      </c>
      <c r="F3902">
        <v>5</v>
      </c>
      <c r="G3902" t="s">
        <v>13</v>
      </c>
      <c r="H3902" s="1">
        <v>46002.405555555553</v>
      </c>
      <c r="I3902" s="5">
        <f>INT(TB[[#This Row],[时间戳]])</f>
        <v>46002</v>
      </c>
      <c r="J3902" s="2">
        <f>HOUR(TB[[#This Row],[时间戳]])</f>
        <v>9</v>
      </c>
      <c r="K3902">
        <v>955</v>
      </c>
      <c r="L3902">
        <v>3</v>
      </c>
      <c r="M3902">
        <f>TB[[#This Row],[售价]]*TB[[#This Row],[销量]]</f>
        <v>2865</v>
      </c>
      <c r="N3902" t="str">
        <f>IF(TB[[#This Row],[售价]]&lt;1000,"低价商品",IF(TB[[#This Row],[售价]]&lt;5000,"中价商品",IF(TB[[#This Row],[售价]]&lt;10000,"高价商品","超高价商品")))</f>
        <v>低价商品</v>
      </c>
    </row>
    <row r="3903" spans="1:14" x14ac:dyDescent="0.2">
      <c r="A3903">
        <v>475</v>
      </c>
      <c r="B3903">
        <v>282</v>
      </c>
      <c r="C3903" t="s">
        <v>32</v>
      </c>
      <c r="D3903" t="s">
        <v>170</v>
      </c>
      <c r="E3903" t="s">
        <v>31</v>
      </c>
      <c r="F3903">
        <v>4</v>
      </c>
      <c r="G3903" t="s">
        <v>42</v>
      </c>
      <c r="H3903" s="1">
        <v>46002.413888888892</v>
      </c>
      <c r="I3903" s="5">
        <f>INT(TB[[#This Row],[时间戳]])</f>
        <v>46002</v>
      </c>
      <c r="J3903" s="2">
        <f>HOUR(TB[[#This Row],[时间戳]])</f>
        <v>9</v>
      </c>
      <c r="K3903">
        <v>1117</v>
      </c>
      <c r="L3903">
        <v>0</v>
      </c>
      <c r="M3903">
        <f>TB[[#This Row],[售价]]*TB[[#This Row],[销量]]</f>
        <v>0</v>
      </c>
      <c r="N3903" t="str">
        <f>IF(TB[[#This Row],[售价]]&lt;1000,"低价商品",IF(TB[[#This Row],[售价]]&lt;5000,"中价商品",IF(TB[[#This Row],[售价]]&lt;10000,"高价商品","超高价商品")))</f>
        <v>中价商品</v>
      </c>
    </row>
    <row r="3904" spans="1:14" x14ac:dyDescent="0.2">
      <c r="A3904">
        <v>375</v>
      </c>
      <c r="B3904">
        <v>15</v>
      </c>
      <c r="C3904" t="s">
        <v>46</v>
      </c>
      <c r="D3904" t="s">
        <v>209</v>
      </c>
      <c r="E3904" t="s">
        <v>22</v>
      </c>
      <c r="F3904">
        <v>1</v>
      </c>
      <c r="G3904" t="s">
        <v>42</v>
      </c>
      <c r="H3904" s="1">
        <v>46002.459722222222</v>
      </c>
      <c r="I3904" s="5">
        <f>INT(TB[[#This Row],[时间戳]])</f>
        <v>46002</v>
      </c>
      <c r="J3904" s="2">
        <f>HOUR(TB[[#This Row],[时间戳]])</f>
        <v>11</v>
      </c>
      <c r="K3904">
        <v>1386</v>
      </c>
      <c r="L3904">
        <v>0</v>
      </c>
      <c r="M3904">
        <f>TB[[#This Row],[售价]]*TB[[#This Row],[销量]]</f>
        <v>0</v>
      </c>
      <c r="N3904" t="str">
        <f>IF(TB[[#This Row],[售价]]&lt;1000,"低价商品",IF(TB[[#This Row],[售价]]&lt;5000,"中价商品",IF(TB[[#This Row],[售价]]&lt;10000,"高价商品","超高价商品")))</f>
        <v>中价商品</v>
      </c>
    </row>
    <row r="3905" spans="1:14" x14ac:dyDescent="0.2">
      <c r="A3905">
        <v>10</v>
      </c>
      <c r="B3905">
        <v>202</v>
      </c>
      <c r="C3905" t="s">
        <v>14</v>
      </c>
      <c r="D3905" t="s">
        <v>89</v>
      </c>
      <c r="E3905" t="s">
        <v>22</v>
      </c>
      <c r="F3905">
        <v>1</v>
      </c>
      <c r="G3905" t="s">
        <v>13</v>
      </c>
      <c r="H3905" s="1">
        <v>46002.464583333334</v>
      </c>
      <c r="I3905" s="5">
        <f>INT(TB[[#This Row],[时间戳]])</f>
        <v>46002</v>
      </c>
      <c r="J3905" s="2">
        <f>HOUR(TB[[#This Row],[时间戳]])</f>
        <v>11</v>
      </c>
      <c r="K3905">
        <v>3030</v>
      </c>
      <c r="L3905">
        <v>1</v>
      </c>
      <c r="M3905">
        <f>TB[[#This Row],[售价]]*TB[[#This Row],[销量]]</f>
        <v>3030</v>
      </c>
      <c r="N3905" t="str">
        <f>IF(TB[[#This Row],[售价]]&lt;1000,"低价商品",IF(TB[[#This Row],[售价]]&lt;5000,"中价商品",IF(TB[[#This Row],[售价]]&lt;10000,"高价商品","超高价商品")))</f>
        <v>中价商品</v>
      </c>
    </row>
    <row r="3906" spans="1:14" x14ac:dyDescent="0.2">
      <c r="A3906">
        <v>312</v>
      </c>
      <c r="B3906">
        <v>7</v>
      </c>
      <c r="C3906" t="s">
        <v>46</v>
      </c>
      <c r="D3906" t="s">
        <v>341</v>
      </c>
      <c r="E3906" t="s">
        <v>31</v>
      </c>
      <c r="F3906">
        <v>4</v>
      </c>
      <c r="G3906" t="s">
        <v>13</v>
      </c>
      <c r="H3906" s="1">
        <v>46002.499305555553</v>
      </c>
      <c r="I3906" s="5">
        <f>INT(TB[[#This Row],[时间戳]])</f>
        <v>46002</v>
      </c>
      <c r="J3906" s="2">
        <f>HOUR(TB[[#This Row],[时间戳]])</f>
        <v>11</v>
      </c>
      <c r="K3906">
        <v>785</v>
      </c>
      <c r="L3906">
        <v>4</v>
      </c>
      <c r="M3906">
        <f>TB[[#This Row],[售价]]*TB[[#This Row],[销量]]</f>
        <v>3140</v>
      </c>
      <c r="N3906" t="str">
        <f>IF(TB[[#This Row],[售价]]&lt;1000,"低价商品",IF(TB[[#This Row],[售价]]&lt;5000,"中价商品",IF(TB[[#This Row],[售价]]&lt;10000,"高价商品","超高价商品")))</f>
        <v>低价商品</v>
      </c>
    </row>
    <row r="3907" spans="1:14" x14ac:dyDescent="0.2">
      <c r="A3907">
        <v>4</v>
      </c>
      <c r="B3907">
        <v>143</v>
      </c>
      <c r="C3907" t="s">
        <v>46</v>
      </c>
      <c r="D3907" t="s">
        <v>359</v>
      </c>
      <c r="E3907" t="s">
        <v>25</v>
      </c>
      <c r="F3907">
        <v>7</v>
      </c>
      <c r="G3907" t="s">
        <v>13</v>
      </c>
      <c r="H3907" s="1">
        <v>46002.511111111111</v>
      </c>
      <c r="I3907" s="5">
        <f>INT(TB[[#This Row],[时间戳]])</f>
        <v>46002</v>
      </c>
      <c r="J3907" s="2">
        <f>HOUR(TB[[#This Row],[时间戳]])</f>
        <v>12</v>
      </c>
      <c r="K3907">
        <v>3318</v>
      </c>
      <c r="L3907">
        <v>3</v>
      </c>
      <c r="M3907">
        <f>TB[[#This Row],[售价]]*TB[[#This Row],[销量]]</f>
        <v>9954</v>
      </c>
      <c r="N3907" t="str">
        <f>IF(TB[[#This Row],[售价]]&lt;1000,"低价商品",IF(TB[[#This Row],[售价]]&lt;5000,"中价商品",IF(TB[[#This Row],[售价]]&lt;10000,"高价商品","超高价商品")))</f>
        <v>中价商品</v>
      </c>
    </row>
    <row r="3908" spans="1:14" x14ac:dyDescent="0.2">
      <c r="A3908">
        <v>439</v>
      </c>
      <c r="B3908">
        <v>24</v>
      </c>
      <c r="C3908" t="s">
        <v>10</v>
      </c>
      <c r="D3908" t="s">
        <v>116</v>
      </c>
      <c r="E3908" t="s">
        <v>31</v>
      </c>
      <c r="F3908">
        <v>4</v>
      </c>
      <c r="G3908" t="s">
        <v>13</v>
      </c>
      <c r="H3908" s="1">
        <v>46002.524305555555</v>
      </c>
      <c r="I3908" s="5">
        <f>INT(TB[[#This Row],[时间戳]])</f>
        <v>46002</v>
      </c>
      <c r="J3908" s="2">
        <f>HOUR(TB[[#This Row],[时间戳]])</f>
        <v>12</v>
      </c>
      <c r="K3908">
        <v>627</v>
      </c>
      <c r="L3908">
        <v>2</v>
      </c>
      <c r="M3908">
        <f>TB[[#This Row],[售价]]*TB[[#This Row],[销量]]</f>
        <v>1254</v>
      </c>
      <c r="N3908" t="str">
        <f>IF(TB[[#This Row],[售价]]&lt;1000,"低价商品",IF(TB[[#This Row],[售价]]&lt;5000,"中价商品",IF(TB[[#This Row],[售价]]&lt;10000,"高价商品","超高价商品")))</f>
        <v>低价商品</v>
      </c>
    </row>
    <row r="3909" spans="1:14" x14ac:dyDescent="0.2">
      <c r="A3909">
        <v>74</v>
      </c>
      <c r="B3909">
        <v>278</v>
      </c>
      <c r="C3909" t="s">
        <v>36</v>
      </c>
      <c r="D3909" t="s">
        <v>187</v>
      </c>
      <c r="E3909" t="s">
        <v>12</v>
      </c>
      <c r="F3909">
        <v>2</v>
      </c>
      <c r="G3909" t="s">
        <v>13</v>
      </c>
      <c r="H3909" s="1">
        <v>46002.53125</v>
      </c>
      <c r="I3909" s="5">
        <f>INT(TB[[#This Row],[时间戳]])</f>
        <v>46002</v>
      </c>
      <c r="J3909" s="2">
        <f>HOUR(TB[[#This Row],[时间戳]])</f>
        <v>12</v>
      </c>
      <c r="K3909">
        <v>12411</v>
      </c>
      <c r="L3909">
        <v>5</v>
      </c>
      <c r="M3909">
        <f>TB[[#This Row],[售价]]*TB[[#This Row],[销量]]</f>
        <v>62055</v>
      </c>
      <c r="N3909" t="str">
        <f>IF(TB[[#This Row],[售价]]&lt;1000,"低价商品",IF(TB[[#This Row],[售价]]&lt;5000,"中价商品",IF(TB[[#This Row],[售价]]&lt;10000,"高价商品","超高价商品")))</f>
        <v>超高价商品</v>
      </c>
    </row>
    <row r="3910" spans="1:14" x14ac:dyDescent="0.2">
      <c r="A3910">
        <v>227</v>
      </c>
      <c r="B3910">
        <v>173</v>
      </c>
      <c r="C3910" t="s">
        <v>46</v>
      </c>
      <c r="D3910" t="s">
        <v>180</v>
      </c>
      <c r="E3910" t="s">
        <v>31</v>
      </c>
      <c r="F3910">
        <v>4</v>
      </c>
      <c r="G3910" t="s">
        <v>13</v>
      </c>
      <c r="H3910" s="1">
        <v>46002.547222222223</v>
      </c>
      <c r="I3910" s="5">
        <f>INT(TB[[#This Row],[时间戳]])</f>
        <v>46002</v>
      </c>
      <c r="J3910" s="2">
        <f>HOUR(TB[[#This Row],[时间戳]])</f>
        <v>13</v>
      </c>
      <c r="K3910">
        <v>784</v>
      </c>
      <c r="L3910">
        <v>1</v>
      </c>
      <c r="M3910">
        <f>TB[[#This Row],[售价]]*TB[[#This Row],[销量]]</f>
        <v>784</v>
      </c>
      <c r="N3910" t="str">
        <f>IF(TB[[#This Row],[售价]]&lt;1000,"低价商品",IF(TB[[#This Row],[售价]]&lt;5000,"中价商品",IF(TB[[#This Row],[售价]]&lt;10000,"高价商品","超高价商品")))</f>
        <v>低价商品</v>
      </c>
    </row>
    <row r="3911" spans="1:14" x14ac:dyDescent="0.2">
      <c r="A3911">
        <v>368</v>
      </c>
      <c r="B3911">
        <v>178</v>
      </c>
      <c r="C3911" t="s">
        <v>26</v>
      </c>
      <c r="D3911" t="s">
        <v>48</v>
      </c>
      <c r="E3911" t="s">
        <v>31</v>
      </c>
      <c r="F3911">
        <v>4</v>
      </c>
      <c r="G3911" t="s">
        <v>13</v>
      </c>
      <c r="H3911" s="1">
        <v>46002.554166666669</v>
      </c>
      <c r="I3911" s="5">
        <f>INT(TB[[#This Row],[时间戳]])</f>
        <v>46002</v>
      </c>
      <c r="J3911" s="2">
        <f>HOUR(TB[[#This Row],[时间戳]])</f>
        <v>13</v>
      </c>
      <c r="K3911">
        <v>1425</v>
      </c>
      <c r="L3911">
        <v>1</v>
      </c>
      <c r="M3911">
        <f>TB[[#This Row],[售价]]*TB[[#This Row],[销量]]</f>
        <v>1425</v>
      </c>
      <c r="N3911" t="str">
        <f>IF(TB[[#This Row],[售价]]&lt;1000,"低价商品",IF(TB[[#This Row],[售价]]&lt;5000,"中价商品",IF(TB[[#This Row],[售价]]&lt;10000,"高价商品","超高价商品")))</f>
        <v>中价商品</v>
      </c>
    </row>
    <row r="3912" spans="1:14" x14ac:dyDescent="0.2">
      <c r="A3912">
        <v>151</v>
      </c>
      <c r="B3912">
        <v>24</v>
      </c>
      <c r="C3912" t="s">
        <v>46</v>
      </c>
      <c r="D3912" t="s">
        <v>111</v>
      </c>
      <c r="E3912" t="s">
        <v>16</v>
      </c>
      <c r="F3912">
        <v>6</v>
      </c>
      <c r="G3912" t="s">
        <v>13</v>
      </c>
      <c r="H3912" s="1">
        <v>46002.554861111108</v>
      </c>
      <c r="I3912" s="5">
        <f>INT(TB[[#This Row],[时间戳]])</f>
        <v>46002</v>
      </c>
      <c r="J3912" s="2">
        <f>HOUR(TB[[#This Row],[时间戳]])</f>
        <v>13</v>
      </c>
      <c r="K3912">
        <v>5982</v>
      </c>
      <c r="L3912">
        <v>1</v>
      </c>
      <c r="M3912">
        <f>TB[[#This Row],[售价]]*TB[[#This Row],[销量]]</f>
        <v>5982</v>
      </c>
      <c r="N3912" t="str">
        <f>IF(TB[[#This Row],[售价]]&lt;1000,"低价商品",IF(TB[[#This Row],[售价]]&lt;5000,"中价商品",IF(TB[[#This Row],[售价]]&lt;10000,"高价商品","超高价商品")))</f>
        <v>高价商品</v>
      </c>
    </row>
    <row r="3913" spans="1:14" x14ac:dyDescent="0.2">
      <c r="A3913">
        <v>61</v>
      </c>
      <c r="B3913">
        <v>209</v>
      </c>
      <c r="C3913" t="s">
        <v>14</v>
      </c>
      <c r="D3913" t="s">
        <v>89</v>
      </c>
      <c r="E3913" t="s">
        <v>22</v>
      </c>
      <c r="F3913">
        <v>1</v>
      </c>
      <c r="G3913" t="s">
        <v>13</v>
      </c>
      <c r="H3913" s="1">
        <v>46002.561111111114</v>
      </c>
      <c r="I3913" s="5">
        <f>INT(TB[[#This Row],[时间戳]])</f>
        <v>46002</v>
      </c>
      <c r="J3913" s="2">
        <f>HOUR(TB[[#This Row],[时间戳]])</f>
        <v>13</v>
      </c>
      <c r="K3913">
        <v>3958</v>
      </c>
      <c r="L3913">
        <v>1</v>
      </c>
      <c r="M3913">
        <f>TB[[#This Row],[售价]]*TB[[#This Row],[销量]]</f>
        <v>3958</v>
      </c>
      <c r="N3913" t="str">
        <f>IF(TB[[#This Row],[售价]]&lt;1000,"低价商品",IF(TB[[#This Row],[售价]]&lt;5000,"中价商品",IF(TB[[#This Row],[售价]]&lt;10000,"高价商品","超高价商品")))</f>
        <v>中价商品</v>
      </c>
    </row>
    <row r="3914" spans="1:14" x14ac:dyDescent="0.2">
      <c r="A3914">
        <v>660</v>
      </c>
      <c r="B3914">
        <v>10</v>
      </c>
      <c r="C3914" t="s">
        <v>46</v>
      </c>
      <c r="D3914" t="s">
        <v>401</v>
      </c>
      <c r="E3914" t="s">
        <v>39</v>
      </c>
      <c r="F3914">
        <v>5</v>
      </c>
      <c r="G3914" t="s">
        <v>13</v>
      </c>
      <c r="H3914" s="1">
        <v>46002.561111111114</v>
      </c>
      <c r="I3914" s="5">
        <f>INT(TB[[#This Row],[时间戳]])</f>
        <v>46002</v>
      </c>
      <c r="J3914" s="2">
        <f>HOUR(TB[[#This Row],[时间戳]])</f>
        <v>13</v>
      </c>
      <c r="K3914">
        <v>2885</v>
      </c>
      <c r="L3914">
        <v>2</v>
      </c>
      <c r="M3914">
        <f>TB[[#This Row],[售价]]*TB[[#This Row],[销量]]</f>
        <v>5770</v>
      </c>
      <c r="N3914" t="str">
        <f>IF(TB[[#This Row],[售价]]&lt;1000,"低价商品",IF(TB[[#This Row],[售价]]&lt;5000,"中价商品",IF(TB[[#This Row],[售价]]&lt;10000,"高价商品","超高价商品")))</f>
        <v>中价商品</v>
      </c>
    </row>
    <row r="3915" spans="1:14" x14ac:dyDescent="0.2">
      <c r="A3915">
        <v>61</v>
      </c>
      <c r="B3915">
        <v>38</v>
      </c>
      <c r="C3915" t="s">
        <v>17</v>
      </c>
      <c r="D3915" t="s">
        <v>198</v>
      </c>
      <c r="E3915" t="s">
        <v>19</v>
      </c>
      <c r="F3915">
        <v>3</v>
      </c>
      <c r="G3915" t="s">
        <v>13</v>
      </c>
      <c r="H3915" s="1">
        <v>46002.631249999999</v>
      </c>
      <c r="I3915" s="5">
        <f>INT(TB[[#This Row],[时间戳]])</f>
        <v>46002</v>
      </c>
      <c r="J3915" s="2">
        <f>HOUR(TB[[#This Row],[时间戳]])</f>
        <v>15</v>
      </c>
      <c r="K3915">
        <v>4850</v>
      </c>
      <c r="L3915">
        <v>4</v>
      </c>
      <c r="M3915">
        <f>TB[[#This Row],[售价]]*TB[[#This Row],[销量]]</f>
        <v>19400</v>
      </c>
      <c r="N3915" t="str">
        <f>IF(TB[[#This Row],[售价]]&lt;1000,"低价商品",IF(TB[[#This Row],[售价]]&lt;5000,"中价商品",IF(TB[[#This Row],[售价]]&lt;10000,"高价商品","超高价商品")))</f>
        <v>中价商品</v>
      </c>
    </row>
    <row r="3916" spans="1:14" x14ac:dyDescent="0.2">
      <c r="A3916">
        <v>270</v>
      </c>
      <c r="B3916">
        <v>23</v>
      </c>
      <c r="C3916" t="s">
        <v>44</v>
      </c>
      <c r="D3916" t="s">
        <v>45</v>
      </c>
      <c r="E3916" t="s">
        <v>19</v>
      </c>
      <c r="F3916">
        <v>3</v>
      </c>
      <c r="G3916" t="s">
        <v>42</v>
      </c>
      <c r="H3916" s="1">
        <v>46002.693749999999</v>
      </c>
      <c r="I3916" s="5">
        <f>INT(TB[[#This Row],[时间戳]])</f>
        <v>46002</v>
      </c>
      <c r="J3916" s="2">
        <f>HOUR(TB[[#This Row],[时间戳]])</f>
        <v>16</v>
      </c>
      <c r="K3916">
        <v>5976</v>
      </c>
      <c r="L3916">
        <v>0</v>
      </c>
      <c r="M3916">
        <f>TB[[#This Row],[售价]]*TB[[#This Row],[销量]]</f>
        <v>0</v>
      </c>
      <c r="N3916" t="str">
        <f>IF(TB[[#This Row],[售价]]&lt;1000,"低价商品",IF(TB[[#This Row],[售价]]&lt;5000,"中价商品",IF(TB[[#This Row],[售价]]&lt;10000,"高价商品","超高价商品")))</f>
        <v>高价商品</v>
      </c>
    </row>
    <row r="3917" spans="1:14" x14ac:dyDescent="0.2">
      <c r="A3917">
        <v>513</v>
      </c>
      <c r="B3917">
        <v>137</v>
      </c>
      <c r="C3917" t="s">
        <v>32</v>
      </c>
      <c r="D3917" t="s">
        <v>176</v>
      </c>
      <c r="E3917" t="s">
        <v>22</v>
      </c>
      <c r="F3917">
        <v>1</v>
      </c>
      <c r="G3917" t="s">
        <v>13</v>
      </c>
      <c r="H3917" s="1">
        <v>46002.702777777777</v>
      </c>
      <c r="I3917" s="5">
        <f>INT(TB[[#This Row],[时间戳]])</f>
        <v>46002</v>
      </c>
      <c r="J3917" s="2">
        <f>HOUR(TB[[#This Row],[时间戳]])</f>
        <v>16</v>
      </c>
      <c r="K3917">
        <v>7531</v>
      </c>
      <c r="L3917">
        <v>1</v>
      </c>
      <c r="M3917">
        <f>TB[[#This Row],[售价]]*TB[[#This Row],[销量]]</f>
        <v>7531</v>
      </c>
      <c r="N3917" t="str">
        <f>IF(TB[[#This Row],[售价]]&lt;1000,"低价商品",IF(TB[[#This Row],[售价]]&lt;5000,"中价商品",IF(TB[[#This Row],[售价]]&lt;10000,"高价商品","超高价商品")))</f>
        <v>高价商品</v>
      </c>
    </row>
    <row r="3918" spans="1:14" x14ac:dyDescent="0.2">
      <c r="A3918">
        <v>679</v>
      </c>
      <c r="B3918">
        <v>100</v>
      </c>
      <c r="C3918" t="s">
        <v>26</v>
      </c>
      <c r="D3918" t="s">
        <v>182</v>
      </c>
      <c r="E3918" t="s">
        <v>31</v>
      </c>
      <c r="F3918">
        <v>4</v>
      </c>
      <c r="G3918" t="s">
        <v>13</v>
      </c>
      <c r="H3918" s="1">
        <v>46002.727083333331</v>
      </c>
      <c r="I3918" s="5">
        <f>INT(TB[[#This Row],[时间戳]])</f>
        <v>46002</v>
      </c>
      <c r="J3918" s="2">
        <f>HOUR(TB[[#This Row],[时间戳]])</f>
        <v>17</v>
      </c>
      <c r="K3918">
        <v>1500</v>
      </c>
      <c r="L3918">
        <v>1</v>
      </c>
      <c r="M3918">
        <f>TB[[#This Row],[售价]]*TB[[#This Row],[销量]]</f>
        <v>1500</v>
      </c>
      <c r="N3918" t="str">
        <f>IF(TB[[#This Row],[售价]]&lt;1000,"低价商品",IF(TB[[#This Row],[售价]]&lt;5000,"中价商品",IF(TB[[#This Row],[售价]]&lt;10000,"高价商品","超高价商品")))</f>
        <v>中价商品</v>
      </c>
    </row>
    <row r="3919" spans="1:14" x14ac:dyDescent="0.2">
      <c r="A3919">
        <v>231</v>
      </c>
      <c r="B3919">
        <v>11</v>
      </c>
      <c r="C3919" t="s">
        <v>46</v>
      </c>
      <c r="D3919" t="s">
        <v>303</v>
      </c>
      <c r="E3919" t="s">
        <v>19</v>
      </c>
      <c r="F3919">
        <v>3</v>
      </c>
      <c r="G3919" t="s">
        <v>13</v>
      </c>
      <c r="H3919" s="1">
        <v>46002.734722222223</v>
      </c>
      <c r="I3919" s="5">
        <f>INT(TB[[#This Row],[时间戳]])</f>
        <v>46002</v>
      </c>
      <c r="J3919" s="2">
        <f>HOUR(TB[[#This Row],[时间戳]])</f>
        <v>17</v>
      </c>
      <c r="K3919">
        <v>3824</v>
      </c>
      <c r="L3919">
        <v>1</v>
      </c>
      <c r="M3919">
        <f>TB[[#This Row],[售价]]*TB[[#This Row],[销量]]</f>
        <v>3824</v>
      </c>
      <c r="N3919" t="str">
        <f>IF(TB[[#This Row],[售价]]&lt;1000,"低价商品",IF(TB[[#This Row],[售价]]&lt;5000,"中价商品",IF(TB[[#This Row],[售价]]&lt;10000,"高价商品","超高价商品")))</f>
        <v>中价商品</v>
      </c>
    </row>
    <row r="3920" spans="1:14" x14ac:dyDescent="0.2">
      <c r="A3920">
        <v>387</v>
      </c>
      <c r="B3920">
        <v>81</v>
      </c>
      <c r="C3920" t="s">
        <v>44</v>
      </c>
      <c r="D3920" t="s">
        <v>163</v>
      </c>
      <c r="E3920" t="s">
        <v>12</v>
      </c>
      <c r="F3920">
        <v>2</v>
      </c>
      <c r="G3920" t="s">
        <v>13</v>
      </c>
      <c r="H3920" s="1">
        <v>46002.754861111112</v>
      </c>
      <c r="I3920" s="5">
        <f>INT(TB[[#This Row],[时间戳]])</f>
        <v>46002</v>
      </c>
      <c r="J3920" s="2">
        <f>HOUR(TB[[#This Row],[时间戳]])</f>
        <v>18</v>
      </c>
      <c r="K3920">
        <v>4046</v>
      </c>
      <c r="L3920">
        <v>4</v>
      </c>
      <c r="M3920">
        <f>TB[[#This Row],[售价]]*TB[[#This Row],[销量]]</f>
        <v>16184</v>
      </c>
      <c r="N3920" t="str">
        <f>IF(TB[[#This Row],[售价]]&lt;1000,"低价商品",IF(TB[[#This Row],[售价]]&lt;5000,"中价商品",IF(TB[[#This Row],[售价]]&lt;10000,"高价商品","超高价商品")))</f>
        <v>中价商品</v>
      </c>
    </row>
    <row r="3921" spans="1:14" x14ac:dyDescent="0.2">
      <c r="A3921">
        <v>165</v>
      </c>
      <c r="B3921">
        <v>179</v>
      </c>
      <c r="C3921" t="s">
        <v>10</v>
      </c>
      <c r="D3921" t="s">
        <v>298</v>
      </c>
      <c r="E3921" t="s">
        <v>12</v>
      </c>
      <c r="F3921">
        <v>2</v>
      </c>
      <c r="G3921" t="s">
        <v>13</v>
      </c>
      <c r="H3921" s="1">
        <v>46002.785416666666</v>
      </c>
      <c r="I3921" s="5">
        <f>INT(TB[[#This Row],[时间戳]])</f>
        <v>46002</v>
      </c>
      <c r="J3921" s="2">
        <f>HOUR(TB[[#This Row],[时间戳]])</f>
        <v>18</v>
      </c>
      <c r="K3921">
        <v>9442</v>
      </c>
      <c r="L3921">
        <v>5</v>
      </c>
      <c r="M3921">
        <f>TB[[#This Row],[售价]]*TB[[#This Row],[销量]]</f>
        <v>47210</v>
      </c>
      <c r="N3921" t="str">
        <f>IF(TB[[#This Row],[售价]]&lt;1000,"低价商品",IF(TB[[#This Row],[售价]]&lt;5000,"中价商品",IF(TB[[#This Row],[售价]]&lt;10000,"高价商品","超高价商品")))</f>
        <v>高价商品</v>
      </c>
    </row>
    <row r="3922" spans="1:14" x14ac:dyDescent="0.2">
      <c r="A3922">
        <v>218</v>
      </c>
      <c r="B3922">
        <v>195</v>
      </c>
      <c r="C3922" t="s">
        <v>14</v>
      </c>
      <c r="D3922" t="s">
        <v>106</v>
      </c>
      <c r="E3922" t="s">
        <v>22</v>
      </c>
      <c r="F3922">
        <v>1</v>
      </c>
      <c r="G3922" t="s">
        <v>13</v>
      </c>
      <c r="H3922" s="1">
        <v>46002.838888888888</v>
      </c>
      <c r="I3922" s="5">
        <f>INT(TB[[#This Row],[时间戳]])</f>
        <v>46002</v>
      </c>
      <c r="J3922" s="2">
        <f>HOUR(TB[[#This Row],[时间戳]])</f>
        <v>20</v>
      </c>
      <c r="K3922">
        <v>7591</v>
      </c>
      <c r="L3922">
        <v>2</v>
      </c>
      <c r="M3922">
        <f>TB[[#This Row],[售价]]*TB[[#This Row],[销量]]</f>
        <v>15182</v>
      </c>
      <c r="N3922" t="str">
        <f>IF(TB[[#This Row],[售价]]&lt;1000,"低价商品",IF(TB[[#This Row],[售价]]&lt;5000,"中价商品",IF(TB[[#This Row],[售价]]&lt;10000,"高价商品","超高价商品")))</f>
        <v>高价商品</v>
      </c>
    </row>
    <row r="3923" spans="1:14" x14ac:dyDescent="0.2">
      <c r="A3923">
        <v>189</v>
      </c>
      <c r="B3923">
        <v>147</v>
      </c>
      <c r="C3923" t="s">
        <v>26</v>
      </c>
      <c r="D3923" t="s">
        <v>358</v>
      </c>
      <c r="E3923" t="s">
        <v>16</v>
      </c>
      <c r="F3923">
        <v>6</v>
      </c>
      <c r="G3923" t="s">
        <v>13</v>
      </c>
      <c r="H3923" s="1">
        <v>46002.848611111112</v>
      </c>
      <c r="I3923" s="5">
        <f>INT(TB[[#This Row],[时间戳]])</f>
        <v>46002</v>
      </c>
      <c r="J3923" s="2">
        <f>HOUR(TB[[#This Row],[时间戳]])</f>
        <v>20</v>
      </c>
      <c r="K3923">
        <v>7059</v>
      </c>
      <c r="L3923">
        <v>2</v>
      </c>
      <c r="M3923">
        <f>TB[[#This Row],[售价]]*TB[[#This Row],[销量]]</f>
        <v>14118</v>
      </c>
      <c r="N3923" t="str">
        <f>IF(TB[[#This Row],[售价]]&lt;1000,"低价商品",IF(TB[[#This Row],[售价]]&lt;5000,"中价商品",IF(TB[[#This Row],[售价]]&lt;10000,"高价商品","超高价商品")))</f>
        <v>高价商品</v>
      </c>
    </row>
    <row r="3924" spans="1:14" x14ac:dyDescent="0.2">
      <c r="A3924">
        <v>189</v>
      </c>
      <c r="B3924">
        <v>299</v>
      </c>
      <c r="C3924" t="s">
        <v>20</v>
      </c>
      <c r="D3924" t="s">
        <v>296</v>
      </c>
      <c r="E3924" t="s">
        <v>25</v>
      </c>
      <c r="F3924">
        <v>7</v>
      </c>
      <c r="G3924" t="s">
        <v>13</v>
      </c>
      <c r="H3924" s="1">
        <v>46002.876388888886</v>
      </c>
      <c r="I3924" s="5">
        <f>INT(TB[[#This Row],[时间戳]])</f>
        <v>46002</v>
      </c>
      <c r="J3924" s="2">
        <f>HOUR(TB[[#This Row],[时间戳]])</f>
        <v>21</v>
      </c>
      <c r="K3924">
        <v>2401</v>
      </c>
      <c r="L3924">
        <v>4</v>
      </c>
      <c r="M3924">
        <f>TB[[#This Row],[售价]]*TB[[#This Row],[销量]]</f>
        <v>9604</v>
      </c>
      <c r="N3924" t="str">
        <f>IF(TB[[#This Row],[售价]]&lt;1000,"低价商品",IF(TB[[#This Row],[售价]]&lt;5000,"中价商品",IF(TB[[#This Row],[售价]]&lt;10000,"高价商品","超高价商品")))</f>
        <v>中价商品</v>
      </c>
    </row>
    <row r="3925" spans="1:14" x14ac:dyDescent="0.2">
      <c r="A3925">
        <v>587</v>
      </c>
      <c r="B3925">
        <v>77</v>
      </c>
      <c r="C3925" t="s">
        <v>26</v>
      </c>
      <c r="D3925" t="s">
        <v>65</v>
      </c>
      <c r="E3925" t="s">
        <v>22</v>
      </c>
      <c r="F3925">
        <v>1</v>
      </c>
      <c r="G3925" t="s">
        <v>13</v>
      </c>
      <c r="H3925" s="1">
        <v>46002.882638888892</v>
      </c>
      <c r="I3925" s="5">
        <f>INT(TB[[#This Row],[时间戳]])</f>
        <v>46002</v>
      </c>
      <c r="J3925" s="2">
        <f>HOUR(TB[[#This Row],[时间戳]])</f>
        <v>21</v>
      </c>
      <c r="K3925">
        <v>1621</v>
      </c>
      <c r="L3925">
        <v>2</v>
      </c>
      <c r="M3925">
        <f>TB[[#This Row],[售价]]*TB[[#This Row],[销量]]</f>
        <v>3242</v>
      </c>
      <c r="N3925" t="str">
        <f>IF(TB[[#This Row],[售价]]&lt;1000,"低价商品",IF(TB[[#This Row],[售价]]&lt;5000,"中价商品",IF(TB[[#This Row],[售价]]&lt;10000,"高价商品","超高价商品")))</f>
        <v>中价商品</v>
      </c>
    </row>
    <row r="3926" spans="1:14" x14ac:dyDescent="0.2">
      <c r="A3926">
        <v>98</v>
      </c>
      <c r="B3926">
        <v>36</v>
      </c>
      <c r="C3926" t="s">
        <v>36</v>
      </c>
      <c r="D3926" t="s">
        <v>112</v>
      </c>
      <c r="E3926" t="s">
        <v>22</v>
      </c>
      <c r="F3926">
        <v>1</v>
      </c>
      <c r="G3926" t="s">
        <v>13</v>
      </c>
      <c r="H3926" s="1">
        <v>46002.968055555553</v>
      </c>
      <c r="I3926" s="5">
        <f>INT(TB[[#This Row],[时间戳]])</f>
        <v>46002</v>
      </c>
      <c r="J3926" s="2">
        <f>HOUR(TB[[#This Row],[时间戳]])</f>
        <v>23</v>
      </c>
      <c r="K3926">
        <v>2705</v>
      </c>
      <c r="L3926">
        <v>3</v>
      </c>
      <c r="M3926">
        <f>TB[[#This Row],[售价]]*TB[[#This Row],[销量]]</f>
        <v>8115</v>
      </c>
      <c r="N3926" t="str">
        <f>IF(TB[[#This Row],[售价]]&lt;1000,"低价商品",IF(TB[[#This Row],[售价]]&lt;5000,"中价商品",IF(TB[[#This Row],[售价]]&lt;10000,"高价商品","超高价商品")))</f>
        <v>中价商品</v>
      </c>
    </row>
    <row r="3927" spans="1:14" x14ac:dyDescent="0.2">
      <c r="A3927">
        <v>41</v>
      </c>
      <c r="B3927">
        <v>216</v>
      </c>
      <c r="C3927" t="s">
        <v>10</v>
      </c>
      <c r="D3927" t="s">
        <v>387</v>
      </c>
      <c r="E3927" t="s">
        <v>16</v>
      </c>
      <c r="F3927">
        <v>6</v>
      </c>
      <c r="G3927" t="s">
        <v>13</v>
      </c>
      <c r="H3927" s="1">
        <v>46002.968055555553</v>
      </c>
      <c r="I3927" s="5">
        <f>INT(TB[[#This Row],[时间戳]])</f>
        <v>46002</v>
      </c>
      <c r="J3927" s="2">
        <f>HOUR(TB[[#This Row],[时间戳]])</f>
        <v>23</v>
      </c>
      <c r="K3927">
        <v>2426</v>
      </c>
      <c r="L3927">
        <v>1</v>
      </c>
      <c r="M3927">
        <f>TB[[#This Row],[售价]]*TB[[#This Row],[销量]]</f>
        <v>2426</v>
      </c>
      <c r="N3927" t="str">
        <f>IF(TB[[#This Row],[售价]]&lt;1000,"低价商品",IF(TB[[#This Row],[售价]]&lt;5000,"中价商品",IF(TB[[#This Row],[售价]]&lt;10000,"高价商品","超高价商品")))</f>
        <v>中价商品</v>
      </c>
    </row>
    <row r="3928" spans="1:14" x14ac:dyDescent="0.2">
      <c r="A3928">
        <v>6</v>
      </c>
      <c r="B3928">
        <v>277</v>
      </c>
      <c r="C3928" t="s">
        <v>34</v>
      </c>
      <c r="D3928" t="s">
        <v>323</v>
      </c>
      <c r="E3928" t="s">
        <v>39</v>
      </c>
      <c r="F3928">
        <v>5</v>
      </c>
      <c r="G3928" t="s">
        <v>42</v>
      </c>
      <c r="H3928" s="1">
        <v>46002.98541666667</v>
      </c>
      <c r="I3928" s="5">
        <f>INT(TB[[#This Row],[时间戳]])</f>
        <v>46002</v>
      </c>
      <c r="J3928" s="2">
        <f>HOUR(TB[[#This Row],[时间戳]])</f>
        <v>23</v>
      </c>
      <c r="K3928">
        <v>3395</v>
      </c>
      <c r="L3928">
        <v>0</v>
      </c>
      <c r="M3928">
        <f>TB[[#This Row],[售价]]*TB[[#This Row],[销量]]</f>
        <v>0</v>
      </c>
      <c r="N3928" t="str">
        <f>IF(TB[[#This Row],[售价]]&lt;1000,"低价商品",IF(TB[[#This Row],[售价]]&lt;5000,"中价商品",IF(TB[[#This Row],[售价]]&lt;10000,"高价商品","超高价商品")))</f>
        <v>中价商品</v>
      </c>
    </row>
    <row r="3929" spans="1:14" x14ac:dyDescent="0.2">
      <c r="A3929">
        <v>249</v>
      </c>
      <c r="B3929">
        <v>8</v>
      </c>
      <c r="C3929" t="s">
        <v>20</v>
      </c>
      <c r="D3929" t="s">
        <v>147</v>
      </c>
      <c r="E3929" t="s">
        <v>22</v>
      </c>
      <c r="F3929">
        <v>1</v>
      </c>
      <c r="G3929" t="s">
        <v>13</v>
      </c>
      <c r="H3929" s="1">
        <v>46003.004861111112</v>
      </c>
      <c r="I3929" s="5">
        <f>INT(TB[[#This Row],[时间戳]])</f>
        <v>46003</v>
      </c>
      <c r="J3929" s="2">
        <f>HOUR(TB[[#This Row],[时间戳]])</f>
        <v>0</v>
      </c>
      <c r="K3929">
        <v>5563</v>
      </c>
      <c r="L3929">
        <v>2</v>
      </c>
      <c r="M3929">
        <f>TB[[#This Row],[售价]]*TB[[#This Row],[销量]]</f>
        <v>11126</v>
      </c>
      <c r="N3929" t="str">
        <f>IF(TB[[#This Row],[售价]]&lt;1000,"低价商品",IF(TB[[#This Row],[售价]]&lt;5000,"中价商品",IF(TB[[#This Row],[售价]]&lt;10000,"高价商品","超高价商品")))</f>
        <v>高价商品</v>
      </c>
    </row>
    <row r="3930" spans="1:14" x14ac:dyDescent="0.2">
      <c r="A3930">
        <v>403</v>
      </c>
      <c r="B3930">
        <v>228</v>
      </c>
      <c r="C3930" t="s">
        <v>14</v>
      </c>
      <c r="D3930" t="s">
        <v>357</v>
      </c>
      <c r="E3930" t="s">
        <v>16</v>
      </c>
      <c r="F3930">
        <v>6</v>
      </c>
      <c r="G3930" t="s">
        <v>13</v>
      </c>
      <c r="H3930" s="1">
        <v>46003.026388888888</v>
      </c>
      <c r="I3930" s="5">
        <f>INT(TB[[#This Row],[时间戳]])</f>
        <v>46003</v>
      </c>
      <c r="J3930" s="2">
        <f>HOUR(TB[[#This Row],[时间戳]])</f>
        <v>0</v>
      </c>
      <c r="K3930">
        <v>4340</v>
      </c>
      <c r="L3930">
        <v>4</v>
      </c>
      <c r="M3930">
        <f>TB[[#This Row],[售价]]*TB[[#This Row],[销量]]</f>
        <v>17360</v>
      </c>
      <c r="N3930" t="str">
        <f>IF(TB[[#This Row],[售价]]&lt;1000,"低价商品",IF(TB[[#This Row],[售价]]&lt;5000,"中价商品",IF(TB[[#This Row],[售价]]&lt;10000,"高价商品","超高价商品")))</f>
        <v>中价商品</v>
      </c>
    </row>
    <row r="3931" spans="1:14" x14ac:dyDescent="0.2">
      <c r="A3931">
        <v>289</v>
      </c>
      <c r="B3931">
        <v>172</v>
      </c>
      <c r="C3931" t="s">
        <v>46</v>
      </c>
      <c r="D3931" t="s">
        <v>80</v>
      </c>
      <c r="E3931" t="s">
        <v>22</v>
      </c>
      <c r="F3931">
        <v>1</v>
      </c>
      <c r="G3931" t="s">
        <v>13</v>
      </c>
      <c r="H3931" s="1">
        <v>46003.029166666667</v>
      </c>
      <c r="I3931" s="5">
        <f>INT(TB[[#This Row],[时间戳]])</f>
        <v>46003</v>
      </c>
      <c r="J3931" s="2">
        <f>HOUR(TB[[#This Row],[时间戳]])</f>
        <v>0</v>
      </c>
      <c r="K3931">
        <v>2670</v>
      </c>
      <c r="L3931">
        <v>1</v>
      </c>
      <c r="M3931">
        <f>TB[[#This Row],[售价]]*TB[[#This Row],[销量]]</f>
        <v>2670</v>
      </c>
      <c r="N3931" t="str">
        <f>IF(TB[[#This Row],[售价]]&lt;1000,"低价商品",IF(TB[[#This Row],[售价]]&lt;5000,"中价商品",IF(TB[[#This Row],[售价]]&lt;10000,"高价商品","超高价商品")))</f>
        <v>中价商品</v>
      </c>
    </row>
    <row r="3932" spans="1:14" x14ac:dyDescent="0.2">
      <c r="A3932">
        <v>557</v>
      </c>
      <c r="B3932">
        <v>231</v>
      </c>
      <c r="C3932" t="s">
        <v>46</v>
      </c>
      <c r="D3932" t="s">
        <v>81</v>
      </c>
      <c r="E3932" t="s">
        <v>12</v>
      </c>
      <c r="F3932">
        <v>2</v>
      </c>
      <c r="G3932" t="s">
        <v>13</v>
      </c>
      <c r="H3932" s="1">
        <v>46003.079861111109</v>
      </c>
      <c r="I3932" s="5">
        <f>INT(TB[[#This Row],[时间戳]])</f>
        <v>46003</v>
      </c>
      <c r="J3932" s="2">
        <f>HOUR(TB[[#This Row],[时间戳]])</f>
        <v>1</v>
      </c>
      <c r="K3932">
        <v>11450</v>
      </c>
      <c r="L3932">
        <v>2</v>
      </c>
      <c r="M3932">
        <f>TB[[#This Row],[售价]]*TB[[#This Row],[销量]]</f>
        <v>22900</v>
      </c>
      <c r="N3932" t="str">
        <f>IF(TB[[#This Row],[售价]]&lt;1000,"低价商品",IF(TB[[#This Row],[售价]]&lt;5000,"中价商品",IF(TB[[#This Row],[售价]]&lt;10000,"高价商品","超高价商品")))</f>
        <v>超高价商品</v>
      </c>
    </row>
    <row r="3933" spans="1:14" x14ac:dyDescent="0.2">
      <c r="A3933">
        <v>176</v>
      </c>
      <c r="B3933">
        <v>217</v>
      </c>
      <c r="C3933" t="s">
        <v>26</v>
      </c>
      <c r="D3933" t="s">
        <v>300</v>
      </c>
      <c r="E3933" t="s">
        <v>19</v>
      </c>
      <c r="F3933">
        <v>3</v>
      </c>
      <c r="G3933" t="s">
        <v>13</v>
      </c>
      <c r="H3933" s="1">
        <v>46003.084027777775</v>
      </c>
      <c r="I3933" s="5">
        <f>INT(TB[[#This Row],[时间戳]])</f>
        <v>46003</v>
      </c>
      <c r="J3933" s="2">
        <f>HOUR(TB[[#This Row],[时间戳]])</f>
        <v>2</v>
      </c>
      <c r="K3933">
        <v>4237</v>
      </c>
      <c r="L3933">
        <v>2</v>
      </c>
      <c r="M3933">
        <f>TB[[#This Row],[售价]]*TB[[#This Row],[销量]]</f>
        <v>8474</v>
      </c>
      <c r="N3933" t="str">
        <f>IF(TB[[#This Row],[售价]]&lt;1000,"低价商品",IF(TB[[#This Row],[售价]]&lt;5000,"中价商品",IF(TB[[#This Row],[售价]]&lt;10000,"高价商品","超高价商品")))</f>
        <v>中价商品</v>
      </c>
    </row>
    <row r="3934" spans="1:14" x14ac:dyDescent="0.2">
      <c r="A3934">
        <v>237</v>
      </c>
      <c r="B3934">
        <v>124</v>
      </c>
      <c r="C3934" t="s">
        <v>17</v>
      </c>
      <c r="D3934" t="s">
        <v>194</v>
      </c>
      <c r="E3934" t="s">
        <v>16</v>
      </c>
      <c r="F3934">
        <v>6</v>
      </c>
      <c r="G3934" t="s">
        <v>13</v>
      </c>
      <c r="H3934" s="1">
        <v>46003.102083333331</v>
      </c>
      <c r="I3934" s="5">
        <f>INT(TB[[#This Row],[时间戳]])</f>
        <v>46003</v>
      </c>
      <c r="J3934" s="2">
        <f>HOUR(TB[[#This Row],[时间戳]])</f>
        <v>2</v>
      </c>
      <c r="K3934">
        <v>6991</v>
      </c>
      <c r="L3934">
        <v>3</v>
      </c>
      <c r="M3934">
        <f>TB[[#This Row],[售价]]*TB[[#This Row],[销量]]</f>
        <v>20973</v>
      </c>
      <c r="N3934" t="str">
        <f>IF(TB[[#This Row],[售价]]&lt;1000,"低价商品",IF(TB[[#This Row],[售价]]&lt;5000,"中价商品",IF(TB[[#This Row],[售价]]&lt;10000,"高价商品","超高价商品")))</f>
        <v>高价商品</v>
      </c>
    </row>
    <row r="3935" spans="1:14" x14ac:dyDescent="0.2">
      <c r="A3935">
        <v>711</v>
      </c>
      <c r="B3935">
        <v>73</v>
      </c>
      <c r="C3935" t="s">
        <v>26</v>
      </c>
      <c r="D3935" t="s">
        <v>131</v>
      </c>
      <c r="E3935" t="s">
        <v>22</v>
      </c>
      <c r="F3935">
        <v>1</v>
      </c>
      <c r="G3935" t="s">
        <v>13</v>
      </c>
      <c r="H3935" s="1">
        <v>46003.106249999997</v>
      </c>
      <c r="I3935" s="5">
        <f>INT(TB[[#This Row],[时间戳]])</f>
        <v>46003</v>
      </c>
      <c r="J3935" s="2">
        <f>HOUR(TB[[#This Row],[时间戳]])</f>
        <v>2</v>
      </c>
      <c r="K3935">
        <v>4576</v>
      </c>
      <c r="L3935">
        <v>4</v>
      </c>
      <c r="M3935">
        <f>TB[[#This Row],[售价]]*TB[[#This Row],[销量]]</f>
        <v>18304</v>
      </c>
      <c r="N3935" t="str">
        <f>IF(TB[[#This Row],[售价]]&lt;1000,"低价商品",IF(TB[[#This Row],[售价]]&lt;5000,"中价商品",IF(TB[[#This Row],[售价]]&lt;10000,"高价商品","超高价商品")))</f>
        <v>中价商品</v>
      </c>
    </row>
    <row r="3936" spans="1:14" x14ac:dyDescent="0.2">
      <c r="A3936">
        <v>192</v>
      </c>
      <c r="B3936">
        <v>40</v>
      </c>
      <c r="C3936" t="s">
        <v>34</v>
      </c>
      <c r="D3936" t="s">
        <v>203</v>
      </c>
      <c r="E3936" t="s">
        <v>16</v>
      </c>
      <c r="F3936">
        <v>6</v>
      </c>
      <c r="G3936" t="s">
        <v>13</v>
      </c>
      <c r="H3936" s="1">
        <v>46003.113194444442</v>
      </c>
      <c r="I3936" s="5">
        <f>INT(TB[[#This Row],[时间戳]])</f>
        <v>46003</v>
      </c>
      <c r="J3936" s="2">
        <f>HOUR(TB[[#This Row],[时间戳]])</f>
        <v>2</v>
      </c>
      <c r="K3936">
        <v>9485</v>
      </c>
      <c r="L3936">
        <v>1</v>
      </c>
      <c r="M3936">
        <f>TB[[#This Row],[售价]]*TB[[#This Row],[销量]]</f>
        <v>9485</v>
      </c>
      <c r="N3936" t="str">
        <f>IF(TB[[#This Row],[售价]]&lt;1000,"低价商品",IF(TB[[#This Row],[售价]]&lt;5000,"中价商品",IF(TB[[#This Row],[售价]]&lt;10000,"高价商品","超高价商品")))</f>
        <v>高价商品</v>
      </c>
    </row>
    <row r="3937" spans="1:14" x14ac:dyDescent="0.2">
      <c r="A3937">
        <v>712</v>
      </c>
      <c r="B3937">
        <v>65</v>
      </c>
      <c r="C3937" t="s">
        <v>44</v>
      </c>
      <c r="D3937" t="s">
        <v>59</v>
      </c>
      <c r="E3937" t="s">
        <v>22</v>
      </c>
      <c r="F3937">
        <v>1</v>
      </c>
      <c r="G3937" t="s">
        <v>13</v>
      </c>
      <c r="H3937" s="1">
        <v>46003.12777777778</v>
      </c>
      <c r="I3937" s="5">
        <f>INT(TB[[#This Row],[时间戳]])</f>
        <v>46003</v>
      </c>
      <c r="J3937" s="2">
        <f>HOUR(TB[[#This Row],[时间戳]])</f>
        <v>3</v>
      </c>
      <c r="K3937">
        <v>3131</v>
      </c>
      <c r="L3937">
        <v>3</v>
      </c>
      <c r="M3937">
        <f>TB[[#This Row],[售价]]*TB[[#This Row],[销量]]</f>
        <v>9393</v>
      </c>
      <c r="N3937" t="str">
        <f>IF(TB[[#This Row],[售价]]&lt;1000,"低价商品",IF(TB[[#This Row],[售价]]&lt;5000,"中价商品",IF(TB[[#This Row],[售价]]&lt;10000,"高价商品","超高价商品")))</f>
        <v>中价商品</v>
      </c>
    </row>
    <row r="3938" spans="1:14" x14ac:dyDescent="0.2">
      <c r="A3938">
        <v>353</v>
      </c>
      <c r="B3938">
        <v>83</v>
      </c>
      <c r="C3938" t="s">
        <v>14</v>
      </c>
      <c r="D3938" t="s">
        <v>395</v>
      </c>
      <c r="E3938" t="s">
        <v>12</v>
      </c>
      <c r="F3938">
        <v>2</v>
      </c>
      <c r="G3938" t="s">
        <v>13</v>
      </c>
      <c r="H3938" s="1">
        <v>46003.137499999997</v>
      </c>
      <c r="I3938" s="5">
        <f>INT(TB[[#This Row],[时间戳]])</f>
        <v>46003</v>
      </c>
      <c r="J3938" s="2">
        <f>HOUR(TB[[#This Row],[时间戳]])</f>
        <v>3</v>
      </c>
      <c r="K3938">
        <v>4044</v>
      </c>
      <c r="L3938">
        <v>4</v>
      </c>
      <c r="M3938">
        <f>TB[[#This Row],[售价]]*TB[[#This Row],[销量]]</f>
        <v>16176</v>
      </c>
      <c r="N3938" t="str">
        <f>IF(TB[[#This Row],[售价]]&lt;1000,"低价商品",IF(TB[[#This Row],[售价]]&lt;5000,"中价商品",IF(TB[[#This Row],[售价]]&lt;10000,"高价商品","超高价商品")))</f>
        <v>中价商品</v>
      </c>
    </row>
    <row r="3939" spans="1:14" x14ac:dyDescent="0.2">
      <c r="A3939">
        <v>186</v>
      </c>
      <c r="B3939">
        <v>97</v>
      </c>
      <c r="C3939" t="s">
        <v>20</v>
      </c>
      <c r="D3939" t="s">
        <v>319</v>
      </c>
      <c r="E3939" t="s">
        <v>31</v>
      </c>
      <c r="F3939">
        <v>4</v>
      </c>
      <c r="G3939" t="s">
        <v>13</v>
      </c>
      <c r="H3939" s="1">
        <v>46003.140972222223</v>
      </c>
      <c r="I3939" s="5">
        <f>INT(TB[[#This Row],[时间戳]])</f>
        <v>46003</v>
      </c>
      <c r="J3939" s="2">
        <f>HOUR(TB[[#This Row],[时间戳]])</f>
        <v>3</v>
      </c>
      <c r="K3939">
        <v>677</v>
      </c>
      <c r="L3939">
        <v>3</v>
      </c>
      <c r="M3939">
        <f>TB[[#This Row],[售价]]*TB[[#This Row],[销量]]</f>
        <v>2031</v>
      </c>
      <c r="N3939" t="str">
        <f>IF(TB[[#This Row],[售价]]&lt;1000,"低价商品",IF(TB[[#This Row],[售价]]&lt;5000,"中价商品",IF(TB[[#This Row],[售价]]&lt;10000,"高价商品","超高价商品")))</f>
        <v>低价商品</v>
      </c>
    </row>
    <row r="3940" spans="1:14" x14ac:dyDescent="0.2">
      <c r="A3940">
        <v>663</v>
      </c>
      <c r="B3940">
        <v>88</v>
      </c>
      <c r="C3940" t="s">
        <v>26</v>
      </c>
      <c r="D3940" t="s">
        <v>155</v>
      </c>
      <c r="E3940" t="s">
        <v>12</v>
      </c>
      <c r="F3940">
        <v>2</v>
      </c>
      <c r="G3940" t="s">
        <v>13</v>
      </c>
      <c r="H3940" s="1">
        <v>46003.144444444442</v>
      </c>
      <c r="I3940" s="5">
        <f>INT(TB[[#This Row],[时间戳]])</f>
        <v>46003</v>
      </c>
      <c r="J3940" s="2">
        <f>HOUR(TB[[#This Row],[时间戳]])</f>
        <v>3</v>
      </c>
      <c r="K3940">
        <v>11226</v>
      </c>
      <c r="L3940">
        <v>2</v>
      </c>
      <c r="M3940">
        <f>TB[[#This Row],[售价]]*TB[[#This Row],[销量]]</f>
        <v>22452</v>
      </c>
      <c r="N3940" t="str">
        <f>IF(TB[[#This Row],[售价]]&lt;1000,"低价商品",IF(TB[[#This Row],[售价]]&lt;5000,"中价商品",IF(TB[[#This Row],[售价]]&lt;10000,"高价商品","超高价商品")))</f>
        <v>超高价商品</v>
      </c>
    </row>
    <row r="3941" spans="1:14" x14ac:dyDescent="0.2">
      <c r="A3941">
        <v>535</v>
      </c>
      <c r="B3941">
        <v>294</v>
      </c>
      <c r="C3941" t="s">
        <v>20</v>
      </c>
      <c r="D3941" t="s">
        <v>319</v>
      </c>
      <c r="E3941" t="s">
        <v>31</v>
      </c>
      <c r="F3941">
        <v>4</v>
      </c>
      <c r="G3941" t="s">
        <v>13</v>
      </c>
      <c r="H3941" s="1">
        <v>46003.154166666667</v>
      </c>
      <c r="I3941" s="5">
        <f>INT(TB[[#This Row],[时间戳]])</f>
        <v>46003</v>
      </c>
      <c r="J3941" s="2">
        <f>HOUR(TB[[#This Row],[时间戳]])</f>
        <v>3</v>
      </c>
      <c r="K3941">
        <v>168</v>
      </c>
      <c r="L3941">
        <v>3</v>
      </c>
      <c r="M3941">
        <f>TB[[#This Row],[售价]]*TB[[#This Row],[销量]]</f>
        <v>504</v>
      </c>
      <c r="N3941" t="str">
        <f>IF(TB[[#This Row],[售价]]&lt;1000,"低价商品",IF(TB[[#This Row],[售价]]&lt;5000,"中价商品",IF(TB[[#This Row],[售价]]&lt;10000,"高价商品","超高价商品")))</f>
        <v>低价商品</v>
      </c>
    </row>
    <row r="3942" spans="1:14" x14ac:dyDescent="0.2">
      <c r="A3942">
        <v>375</v>
      </c>
      <c r="B3942">
        <v>290</v>
      </c>
      <c r="C3942" t="s">
        <v>10</v>
      </c>
      <c r="D3942" t="s">
        <v>240</v>
      </c>
      <c r="E3942" t="s">
        <v>16</v>
      </c>
      <c r="F3942">
        <v>6</v>
      </c>
      <c r="G3942" t="s">
        <v>42</v>
      </c>
      <c r="H3942" s="1">
        <v>46003.180555555555</v>
      </c>
      <c r="I3942" s="5">
        <f>INT(TB[[#This Row],[时间戳]])</f>
        <v>46003</v>
      </c>
      <c r="J3942" s="2">
        <f>HOUR(TB[[#This Row],[时间戳]])</f>
        <v>4</v>
      </c>
      <c r="K3942">
        <v>10179</v>
      </c>
      <c r="L3942">
        <v>0</v>
      </c>
      <c r="M3942">
        <f>TB[[#This Row],[售价]]*TB[[#This Row],[销量]]</f>
        <v>0</v>
      </c>
      <c r="N3942" t="str">
        <f>IF(TB[[#This Row],[售价]]&lt;1000,"低价商品",IF(TB[[#This Row],[售价]]&lt;5000,"中价商品",IF(TB[[#This Row],[售价]]&lt;10000,"高价商品","超高价商品")))</f>
        <v>超高价商品</v>
      </c>
    </row>
    <row r="3943" spans="1:14" x14ac:dyDescent="0.2">
      <c r="A3943">
        <v>516</v>
      </c>
      <c r="B3943">
        <v>224</v>
      </c>
      <c r="C3943" t="s">
        <v>14</v>
      </c>
      <c r="D3943" t="s">
        <v>30</v>
      </c>
      <c r="E3943" t="s">
        <v>31</v>
      </c>
      <c r="F3943">
        <v>4</v>
      </c>
      <c r="G3943" t="s">
        <v>42</v>
      </c>
      <c r="H3943" s="1">
        <v>46003.222222222219</v>
      </c>
      <c r="I3943" s="5">
        <f>INT(TB[[#This Row],[时间戳]])</f>
        <v>46003</v>
      </c>
      <c r="J3943" s="2">
        <f>HOUR(TB[[#This Row],[时间戳]])</f>
        <v>5</v>
      </c>
      <c r="K3943">
        <v>265</v>
      </c>
      <c r="L3943">
        <v>0</v>
      </c>
      <c r="M3943">
        <f>TB[[#This Row],[售价]]*TB[[#This Row],[销量]]</f>
        <v>0</v>
      </c>
      <c r="N3943" t="str">
        <f>IF(TB[[#This Row],[售价]]&lt;1000,"低价商品",IF(TB[[#This Row],[售价]]&lt;5000,"中价商品",IF(TB[[#This Row],[售价]]&lt;10000,"高价商品","超高价商品")))</f>
        <v>低价商品</v>
      </c>
    </row>
    <row r="3944" spans="1:14" x14ac:dyDescent="0.2">
      <c r="A3944">
        <v>564</v>
      </c>
      <c r="B3944">
        <v>282</v>
      </c>
      <c r="C3944" t="s">
        <v>34</v>
      </c>
      <c r="D3944" t="s">
        <v>248</v>
      </c>
      <c r="E3944" t="s">
        <v>22</v>
      </c>
      <c r="F3944">
        <v>1</v>
      </c>
      <c r="G3944" t="s">
        <v>13</v>
      </c>
      <c r="H3944" s="1">
        <v>46003.223611111112</v>
      </c>
      <c r="I3944" s="5">
        <f>INT(TB[[#This Row],[时间戳]])</f>
        <v>46003</v>
      </c>
      <c r="J3944" s="2">
        <f>HOUR(TB[[#This Row],[时间戳]])</f>
        <v>5</v>
      </c>
      <c r="K3944">
        <v>2806</v>
      </c>
      <c r="L3944">
        <v>2</v>
      </c>
      <c r="M3944">
        <f>TB[[#This Row],[售价]]*TB[[#This Row],[销量]]</f>
        <v>5612</v>
      </c>
      <c r="N3944" t="str">
        <f>IF(TB[[#This Row],[售价]]&lt;1000,"低价商品",IF(TB[[#This Row],[售价]]&lt;5000,"中价商品",IF(TB[[#This Row],[售价]]&lt;10000,"高价商品","超高价商品")))</f>
        <v>中价商品</v>
      </c>
    </row>
    <row r="3945" spans="1:14" x14ac:dyDescent="0.2">
      <c r="A3945">
        <v>583</v>
      </c>
      <c r="B3945">
        <v>238</v>
      </c>
      <c r="C3945" t="s">
        <v>46</v>
      </c>
      <c r="D3945" t="s">
        <v>303</v>
      </c>
      <c r="E3945" t="s">
        <v>19</v>
      </c>
      <c r="F3945">
        <v>3</v>
      </c>
      <c r="G3945" t="s">
        <v>13</v>
      </c>
      <c r="H3945" s="1">
        <v>46003.23333333333</v>
      </c>
      <c r="I3945" s="5">
        <f>INT(TB[[#This Row],[时间戳]])</f>
        <v>46003</v>
      </c>
      <c r="J3945" s="2">
        <f>HOUR(TB[[#This Row],[时间戳]])</f>
        <v>5</v>
      </c>
      <c r="K3945">
        <v>2341</v>
      </c>
      <c r="L3945">
        <v>3</v>
      </c>
      <c r="M3945">
        <f>TB[[#This Row],[售价]]*TB[[#This Row],[销量]]</f>
        <v>7023</v>
      </c>
      <c r="N3945" t="str">
        <f>IF(TB[[#This Row],[售价]]&lt;1000,"低价商品",IF(TB[[#This Row],[售价]]&lt;5000,"中价商品",IF(TB[[#This Row],[售价]]&lt;10000,"高价商品","超高价商品")))</f>
        <v>中价商品</v>
      </c>
    </row>
    <row r="3946" spans="1:14" x14ac:dyDescent="0.2">
      <c r="A3946">
        <v>708</v>
      </c>
      <c r="B3946">
        <v>49</v>
      </c>
      <c r="C3946" t="s">
        <v>26</v>
      </c>
      <c r="D3946" t="s">
        <v>188</v>
      </c>
      <c r="E3946" t="s">
        <v>25</v>
      </c>
      <c r="F3946">
        <v>7</v>
      </c>
      <c r="G3946" t="s">
        <v>13</v>
      </c>
      <c r="H3946" s="1">
        <v>46003.23541666667</v>
      </c>
      <c r="I3946" s="5">
        <f>INT(TB[[#This Row],[时间戳]])</f>
        <v>46003</v>
      </c>
      <c r="J3946" s="2">
        <f>HOUR(TB[[#This Row],[时间戳]])</f>
        <v>5</v>
      </c>
      <c r="K3946">
        <v>7194</v>
      </c>
      <c r="L3946">
        <v>1</v>
      </c>
      <c r="M3946">
        <f>TB[[#This Row],[售价]]*TB[[#This Row],[销量]]</f>
        <v>7194</v>
      </c>
      <c r="N3946" t="str">
        <f>IF(TB[[#This Row],[售价]]&lt;1000,"低价商品",IF(TB[[#This Row],[售价]]&lt;5000,"中价商品",IF(TB[[#This Row],[售价]]&lt;10000,"高价商品","超高价商品")))</f>
        <v>高价商品</v>
      </c>
    </row>
    <row r="3947" spans="1:14" x14ac:dyDescent="0.2">
      <c r="A3947">
        <v>726</v>
      </c>
      <c r="B3947">
        <v>26</v>
      </c>
      <c r="C3947" t="s">
        <v>20</v>
      </c>
      <c r="D3947" t="s">
        <v>293</v>
      </c>
      <c r="E3947" t="s">
        <v>12</v>
      </c>
      <c r="F3947">
        <v>2</v>
      </c>
      <c r="G3947" t="s">
        <v>13</v>
      </c>
      <c r="H3947" s="1">
        <v>46003.23541666667</v>
      </c>
      <c r="I3947" s="5">
        <f>INT(TB[[#This Row],[时间戳]])</f>
        <v>46003</v>
      </c>
      <c r="J3947" s="2">
        <f>HOUR(TB[[#This Row],[时间戳]])</f>
        <v>5</v>
      </c>
      <c r="K3947">
        <v>10338</v>
      </c>
      <c r="L3947">
        <v>2</v>
      </c>
      <c r="M3947">
        <f>TB[[#This Row],[售价]]*TB[[#This Row],[销量]]</f>
        <v>20676</v>
      </c>
      <c r="N3947" t="str">
        <f>IF(TB[[#This Row],[售价]]&lt;1000,"低价商品",IF(TB[[#This Row],[售价]]&lt;5000,"中价商品",IF(TB[[#This Row],[售价]]&lt;10000,"高价商品","超高价商品")))</f>
        <v>超高价商品</v>
      </c>
    </row>
    <row r="3948" spans="1:14" x14ac:dyDescent="0.2">
      <c r="A3948">
        <v>491</v>
      </c>
      <c r="B3948">
        <v>274</v>
      </c>
      <c r="C3948" t="s">
        <v>34</v>
      </c>
      <c r="D3948" t="s">
        <v>175</v>
      </c>
      <c r="E3948" t="s">
        <v>22</v>
      </c>
      <c r="F3948">
        <v>1</v>
      </c>
      <c r="G3948" t="s">
        <v>42</v>
      </c>
      <c r="H3948" s="1">
        <v>46003.255555555559</v>
      </c>
      <c r="I3948" s="5">
        <f>INT(TB[[#This Row],[时间戳]])</f>
        <v>46003</v>
      </c>
      <c r="J3948" s="2">
        <f>HOUR(TB[[#This Row],[时间戳]])</f>
        <v>6</v>
      </c>
      <c r="K3948">
        <v>7342</v>
      </c>
      <c r="L3948">
        <v>0</v>
      </c>
      <c r="M3948">
        <f>TB[[#This Row],[售价]]*TB[[#This Row],[销量]]</f>
        <v>0</v>
      </c>
      <c r="N3948" t="str">
        <f>IF(TB[[#This Row],[售价]]&lt;1000,"低价商品",IF(TB[[#This Row],[售价]]&lt;5000,"中价商品",IF(TB[[#This Row],[售价]]&lt;10000,"高价商品","超高价商品")))</f>
        <v>高价商品</v>
      </c>
    </row>
    <row r="3949" spans="1:14" x14ac:dyDescent="0.2">
      <c r="A3949">
        <v>561</v>
      </c>
      <c r="B3949">
        <v>193</v>
      </c>
      <c r="C3949" t="s">
        <v>32</v>
      </c>
      <c r="D3949" t="s">
        <v>58</v>
      </c>
      <c r="E3949" t="s">
        <v>31</v>
      </c>
      <c r="F3949">
        <v>4</v>
      </c>
      <c r="G3949" t="s">
        <v>13</v>
      </c>
      <c r="H3949" s="1">
        <v>46003.272222222222</v>
      </c>
      <c r="I3949" s="5">
        <f>INT(TB[[#This Row],[时间戳]])</f>
        <v>46003</v>
      </c>
      <c r="J3949" s="2">
        <f>HOUR(TB[[#This Row],[时间戳]])</f>
        <v>6</v>
      </c>
      <c r="K3949">
        <v>1500</v>
      </c>
      <c r="L3949">
        <v>1</v>
      </c>
      <c r="M3949">
        <f>TB[[#This Row],[售价]]*TB[[#This Row],[销量]]</f>
        <v>1500</v>
      </c>
      <c r="N3949" t="str">
        <f>IF(TB[[#This Row],[售价]]&lt;1000,"低价商品",IF(TB[[#This Row],[售价]]&lt;5000,"中价商品",IF(TB[[#This Row],[售价]]&lt;10000,"高价商品","超高价商品")))</f>
        <v>中价商品</v>
      </c>
    </row>
    <row r="3950" spans="1:14" x14ac:dyDescent="0.2">
      <c r="A3950">
        <v>492</v>
      </c>
      <c r="B3950">
        <v>89</v>
      </c>
      <c r="C3950" t="s">
        <v>20</v>
      </c>
      <c r="D3950" t="s">
        <v>328</v>
      </c>
      <c r="E3950" t="s">
        <v>16</v>
      </c>
      <c r="F3950">
        <v>6</v>
      </c>
      <c r="G3950" t="s">
        <v>42</v>
      </c>
      <c r="H3950" s="1">
        <v>46003.275694444441</v>
      </c>
      <c r="I3950" s="5">
        <f>INT(TB[[#This Row],[时间戳]])</f>
        <v>46003</v>
      </c>
      <c r="J3950" s="2">
        <f>HOUR(TB[[#This Row],[时间戳]])</f>
        <v>6</v>
      </c>
      <c r="K3950">
        <v>11851</v>
      </c>
      <c r="L3950">
        <v>0</v>
      </c>
      <c r="M3950">
        <f>TB[[#This Row],[售价]]*TB[[#This Row],[销量]]</f>
        <v>0</v>
      </c>
      <c r="N3950" t="str">
        <f>IF(TB[[#This Row],[售价]]&lt;1000,"低价商品",IF(TB[[#This Row],[售价]]&lt;5000,"中价商品",IF(TB[[#This Row],[售价]]&lt;10000,"高价商品","超高价商品")))</f>
        <v>超高价商品</v>
      </c>
    </row>
    <row r="3951" spans="1:14" x14ac:dyDescent="0.2">
      <c r="A3951">
        <v>55</v>
      </c>
      <c r="B3951">
        <v>50</v>
      </c>
      <c r="C3951" t="s">
        <v>34</v>
      </c>
      <c r="D3951" t="s">
        <v>86</v>
      </c>
      <c r="E3951" t="s">
        <v>12</v>
      </c>
      <c r="F3951">
        <v>2</v>
      </c>
      <c r="G3951" t="s">
        <v>13</v>
      </c>
      <c r="H3951" s="1">
        <v>46003.280555555553</v>
      </c>
      <c r="I3951" s="5">
        <f>INT(TB[[#This Row],[时间戳]])</f>
        <v>46003</v>
      </c>
      <c r="J3951" s="2">
        <f>HOUR(TB[[#This Row],[时间戳]])</f>
        <v>6</v>
      </c>
      <c r="K3951">
        <v>12281</v>
      </c>
      <c r="L3951">
        <v>4</v>
      </c>
      <c r="M3951">
        <f>TB[[#This Row],[售价]]*TB[[#This Row],[销量]]</f>
        <v>49124</v>
      </c>
      <c r="N3951" t="str">
        <f>IF(TB[[#This Row],[售价]]&lt;1000,"低价商品",IF(TB[[#This Row],[售价]]&lt;5000,"中价商品",IF(TB[[#This Row],[售价]]&lt;10000,"高价商品","超高价商品")))</f>
        <v>超高价商品</v>
      </c>
    </row>
    <row r="3952" spans="1:14" x14ac:dyDescent="0.2">
      <c r="A3952">
        <v>773</v>
      </c>
      <c r="B3952">
        <v>245</v>
      </c>
      <c r="C3952" t="s">
        <v>26</v>
      </c>
      <c r="D3952" t="s">
        <v>188</v>
      </c>
      <c r="E3952" t="s">
        <v>25</v>
      </c>
      <c r="F3952">
        <v>7</v>
      </c>
      <c r="G3952" t="s">
        <v>13</v>
      </c>
      <c r="H3952" s="1">
        <v>46003.28125</v>
      </c>
      <c r="I3952" s="5">
        <f>INT(TB[[#This Row],[时间戳]])</f>
        <v>46003</v>
      </c>
      <c r="J3952" s="2">
        <f>HOUR(TB[[#This Row],[时间戳]])</f>
        <v>6</v>
      </c>
      <c r="K3952">
        <v>5579</v>
      </c>
      <c r="L3952">
        <v>1</v>
      </c>
      <c r="M3952">
        <f>TB[[#This Row],[售价]]*TB[[#This Row],[销量]]</f>
        <v>5579</v>
      </c>
      <c r="N3952" t="str">
        <f>IF(TB[[#This Row],[售价]]&lt;1000,"低价商品",IF(TB[[#This Row],[售价]]&lt;5000,"中价商品",IF(TB[[#This Row],[售价]]&lt;10000,"高价商品","超高价商品")))</f>
        <v>高价商品</v>
      </c>
    </row>
    <row r="3953" spans="1:14" x14ac:dyDescent="0.2">
      <c r="A3953">
        <v>565</v>
      </c>
      <c r="B3953">
        <v>110</v>
      </c>
      <c r="C3953" t="s">
        <v>10</v>
      </c>
      <c r="D3953" t="s">
        <v>197</v>
      </c>
      <c r="E3953" t="s">
        <v>39</v>
      </c>
      <c r="F3953">
        <v>5</v>
      </c>
      <c r="G3953" t="s">
        <v>13</v>
      </c>
      <c r="H3953" s="1">
        <v>46003.313888888886</v>
      </c>
      <c r="I3953" s="5">
        <f>INT(TB[[#This Row],[时间戳]])</f>
        <v>46003</v>
      </c>
      <c r="J3953" s="2">
        <f>HOUR(TB[[#This Row],[时间戳]])</f>
        <v>7</v>
      </c>
      <c r="K3953">
        <v>1265</v>
      </c>
      <c r="L3953">
        <v>2</v>
      </c>
      <c r="M3953">
        <f>TB[[#This Row],[售价]]*TB[[#This Row],[销量]]</f>
        <v>2530</v>
      </c>
      <c r="N3953" t="str">
        <f>IF(TB[[#This Row],[售价]]&lt;1000,"低价商品",IF(TB[[#This Row],[售价]]&lt;5000,"中价商品",IF(TB[[#This Row],[售价]]&lt;10000,"高价商品","超高价商品")))</f>
        <v>中价商品</v>
      </c>
    </row>
    <row r="3954" spans="1:14" x14ac:dyDescent="0.2">
      <c r="A3954">
        <v>235</v>
      </c>
      <c r="B3954">
        <v>70</v>
      </c>
      <c r="C3954" t="s">
        <v>26</v>
      </c>
      <c r="D3954" t="s">
        <v>281</v>
      </c>
      <c r="E3954" t="s">
        <v>16</v>
      </c>
      <c r="F3954">
        <v>6</v>
      </c>
      <c r="G3954" t="s">
        <v>13</v>
      </c>
      <c r="H3954" s="1">
        <v>46003.381944444445</v>
      </c>
      <c r="I3954" s="5">
        <f>INT(TB[[#This Row],[时间戳]])</f>
        <v>46003</v>
      </c>
      <c r="J3954" s="2">
        <f>HOUR(TB[[#This Row],[时间戳]])</f>
        <v>9</v>
      </c>
      <c r="K3954">
        <v>6899</v>
      </c>
      <c r="L3954">
        <v>2</v>
      </c>
      <c r="M3954">
        <f>TB[[#This Row],[售价]]*TB[[#This Row],[销量]]</f>
        <v>13798</v>
      </c>
      <c r="N3954" t="str">
        <f>IF(TB[[#This Row],[售价]]&lt;1000,"低价商品",IF(TB[[#This Row],[售价]]&lt;5000,"中价商品",IF(TB[[#This Row],[售价]]&lt;10000,"高价商品","超高价商品")))</f>
        <v>高价商品</v>
      </c>
    </row>
    <row r="3955" spans="1:14" x14ac:dyDescent="0.2">
      <c r="A3955">
        <v>91</v>
      </c>
      <c r="B3955">
        <v>143</v>
      </c>
      <c r="C3955" t="s">
        <v>10</v>
      </c>
      <c r="D3955" t="s">
        <v>247</v>
      </c>
      <c r="E3955" t="s">
        <v>31</v>
      </c>
      <c r="F3955">
        <v>4</v>
      </c>
      <c r="G3955" t="s">
        <v>13</v>
      </c>
      <c r="H3955" s="1">
        <v>46003.384722222225</v>
      </c>
      <c r="I3955" s="5">
        <f>INT(TB[[#This Row],[时间戳]])</f>
        <v>46003</v>
      </c>
      <c r="J3955" s="2">
        <f>HOUR(TB[[#This Row],[时间戳]])</f>
        <v>9</v>
      </c>
      <c r="K3955">
        <v>1285</v>
      </c>
      <c r="L3955">
        <v>2</v>
      </c>
      <c r="M3955">
        <f>TB[[#This Row],[售价]]*TB[[#This Row],[销量]]</f>
        <v>2570</v>
      </c>
      <c r="N3955" t="str">
        <f>IF(TB[[#This Row],[售价]]&lt;1000,"低价商品",IF(TB[[#This Row],[售价]]&lt;5000,"中价商品",IF(TB[[#This Row],[售价]]&lt;10000,"高价商品","超高价商品")))</f>
        <v>中价商品</v>
      </c>
    </row>
    <row r="3956" spans="1:14" x14ac:dyDescent="0.2">
      <c r="A3956">
        <v>749</v>
      </c>
      <c r="B3956">
        <v>68</v>
      </c>
      <c r="C3956" t="s">
        <v>36</v>
      </c>
      <c r="D3956" t="s">
        <v>153</v>
      </c>
      <c r="E3956" t="s">
        <v>31</v>
      </c>
      <c r="F3956">
        <v>4</v>
      </c>
      <c r="G3956" t="s">
        <v>13</v>
      </c>
      <c r="H3956" s="1">
        <v>46003.388888888891</v>
      </c>
      <c r="I3956" s="5">
        <f>INT(TB[[#This Row],[时间戳]])</f>
        <v>46003</v>
      </c>
      <c r="J3956" s="2">
        <f>HOUR(TB[[#This Row],[时间戳]])</f>
        <v>9</v>
      </c>
      <c r="K3956">
        <v>669</v>
      </c>
      <c r="L3956">
        <v>2</v>
      </c>
      <c r="M3956">
        <f>TB[[#This Row],[售价]]*TB[[#This Row],[销量]]</f>
        <v>1338</v>
      </c>
      <c r="N3956" t="str">
        <f>IF(TB[[#This Row],[售价]]&lt;1000,"低价商品",IF(TB[[#This Row],[售价]]&lt;5000,"中价商品",IF(TB[[#This Row],[售价]]&lt;10000,"高价商品","超高价商品")))</f>
        <v>低价商品</v>
      </c>
    </row>
    <row r="3957" spans="1:14" x14ac:dyDescent="0.2">
      <c r="A3957">
        <v>432</v>
      </c>
      <c r="B3957">
        <v>185</v>
      </c>
      <c r="C3957" t="s">
        <v>14</v>
      </c>
      <c r="D3957" t="s">
        <v>395</v>
      </c>
      <c r="E3957" t="s">
        <v>12</v>
      </c>
      <c r="F3957">
        <v>2</v>
      </c>
      <c r="G3957" t="s">
        <v>42</v>
      </c>
      <c r="H3957" s="1">
        <v>46003.426388888889</v>
      </c>
      <c r="I3957" s="5">
        <f>INT(TB[[#This Row],[时间戳]])</f>
        <v>46003</v>
      </c>
      <c r="J3957" s="2">
        <f>HOUR(TB[[#This Row],[时间戳]])</f>
        <v>10</v>
      </c>
      <c r="K3957">
        <v>12781</v>
      </c>
      <c r="L3957">
        <v>0</v>
      </c>
      <c r="M3957">
        <f>TB[[#This Row],[售价]]*TB[[#This Row],[销量]]</f>
        <v>0</v>
      </c>
      <c r="N3957" t="str">
        <f>IF(TB[[#This Row],[售价]]&lt;1000,"低价商品",IF(TB[[#This Row],[售价]]&lt;5000,"中价商品",IF(TB[[#This Row],[售价]]&lt;10000,"高价商品","超高价商品")))</f>
        <v>超高价商品</v>
      </c>
    </row>
    <row r="3958" spans="1:14" x14ac:dyDescent="0.2">
      <c r="A3958">
        <v>11</v>
      </c>
      <c r="B3958">
        <v>65</v>
      </c>
      <c r="C3958" t="s">
        <v>32</v>
      </c>
      <c r="D3958" t="s">
        <v>251</v>
      </c>
      <c r="E3958" t="s">
        <v>12</v>
      </c>
      <c r="F3958">
        <v>2</v>
      </c>
      <c r="G3958" t="s">
        <v>13</v>
      </c>
      <c r="H3958" s="1">
        <v>46003.474305555559</v>
      </c>
      <c r="I3958" s="5">
        <f>INT(TB[[#This Row],[时间戳]])</f>
        <v>46003</v>
      </c>
      <c r="J3958" s="2">
        <f>HOUR(TB[[#This Row],[时间戳]])</f>
        <v>11</v>
      </c>
      <c r="K3958">
        <v>13566</v>
      </c>
      <c r="L3958">
        <v>3</v>
      </c>
      <c r="M3958">
        <f>TB[[#This Row],[售价]]*TB[[#This Row],[销量]]</f>
        <v>40698</v>
      </c>
      <c r="N3958" t="str">
        <f>IF(TB[[#This Row],[售价]]&lt;1000,"低价商品",IF(TB[[#This Row],[售价]]&lt;5000,"中价商品",IF(TB[[#This Row],[售价]]&lt;10000,"高价商品","超高价商品")))</f>
        <v>超高价商品</v>
      </c>
    </row>
    <row r="3959" spans="1:14" x14ac:dyDescent="0.2">
      <c r="A3959">
        <v>37</v>
      </c>
      <c r="B3959">
        <v>107</v>
      </c>
      <c r="C3959" t="s">
        <v>10</v>
      </c>
      <c r="D3959" t="s">
        <v>24</v>
      </c>
      <c r="E3959" t="s">
        <v>25</v>
      </c>
      <c r="F3959">
        <v>7</v>
      </c>
      <c r="G3959" t="s">
        <v>13</v>
      </c>
      <c r="H3959" s="1">
        <v>46003.484722222223</v>
      </c>
      <c r="I3959" s="5">
        <f>INT(TB[[#This Row],[时间戳]])</f>
        <v>46003</v>
      </c>
      <c r="J3959" s="2">
        <f>HOUR(TB[[#This Row],[时间戳]])</f>
        <v>11</v>
      </c>
      <c r="K3959">
        <v>7648</v>
      </c>
      <c r="L3959">
        <v>2</v>
      </c>
      <c r="M3959">
        <f>TB[[#This Row],[售价]]*TB[[#This Row],[销量]]</f>
        <v>15296</v>
      </c>
      <c r="N3959" t="str">
        <f>IF(TB[[#This Row],[售价]]&lt;1000,"低价商品",IF(TB[[#This Row],[售价]]&lt;5000,"中价商品",IF(TB[[#This Row],[售价]]&lt;10000,"高价商品","超高价商品")))</f>
        <v>高价商品</v>
      </c>
    </row>
    <row r="3960" spans="1:14" x14ac:dyDescent="0.2">
      <c r="A3960">
        <v>135</v>
      </c>
      <c r="B3960">
        <v>67</v>
      </c>
      <c r="C3960" t="s">
        <v>26</v>
      </c>
      <c r="D3960" t="s">
        <v>229</v>
      </c>
      <c r="E3960" t="s">
        <v>16</v>
      </c>
      <c r="F3960">
        <v>6</v>
      </c>
      <c r="G3960" t="s">
        <v>13</v>
      </c>
      <c r="H3960" s="1">
        <v>46003.48541666667</v>
      </c>
      <c r="I3960" s="5">
        <f>INT(TB[[#This Row],[时间戳]])</f>
        <v>46003</v>
      </c>
      <c r="J3960" s="2">
        <f>HOUR(TB[[#This Row],[时间戳]])</f>
        <v>11</v>
      </c>
      <c r="K3960">
        <v>2771</v>
      </c>
      <c r="L3960">
        <v>1</v>
      </c>
      <c r="M3960">
        <f>TB[[#This Row],[售价]]*TB[[#This Row],[销量]]</f>
        <v>2771</v>
      </c>
      <c r="N3960" t="str">
        <f>IF(TB[[#This Row],[售价]]&lt;1000,"低价商品",IF(TB[[#This Row],[售价]]&lt;5000,"中价商品",IF(TB[[#This Row],[售价]]&lt;10000,"高价商品","超高价商品")))</f>
        <v>中价商品</v>
      </c>
    </row>
    <row r="3961" spans="1:14" x14ac:dyDescent="0.2">
      <c r="A3961">
        <v>131</v>
      </c>
      <c r="B3961">
        <v>53</v>
      </c>
      <c r="C3961" t="s">
        <v>44</v>
      </c>
      <c r="D3961" t="s">
        <v>132</v>
      </c>
      <c r="E3961" t="s">
        <v>22</v>
      </c>
      <c r="F3961">
        <v>1</v>
      </c>
      <c r="G3961" t="s">
        <v>13</v>
      </c>
      <c r="H3961" s="1">
        <v>46003.486111111109</v>
      </c>
      <c r="I3961" s="5">
        <f>INT(TB[[#This Row],[时间戳]])</f>
        <v>46003</v>
      </c>
      <c r="J3961" s="2">
        <f>HOUR(TB[[#This Row],[时间戳]])</f>
        <v>11</v>
      </c>
      <c r="K3961">
        <v>6897</v>
      </c>
      <c r="L3961">
        <v>3</v>
      </c>
      <c r="M3961">
        <f>TB[[#This Row],[售价]]*TB[[#This Row],[销量]]</f>
        <v>20691</v>
      </c>
      <c r="N3961" t="str">
        <f>IF(TB[[#This Row],[售价]]&lt;1000,"低价商品",IF(TB[[#This Row],[售价]]&lt;5000,"中价商品",IF(TB[[#This Row],[售价]]&lt;10000,"高价商品","超高价商品")))</f>
        <v>高价商品</v>
      </c>
    </row>
    <row r="3962" spans="1:14" x14ac:dyDescent="0.2">
      <c r="A3962">
        <v>796</v>
      </c>
      <c r="B3962">
        <v>67</v>
      </c>
      <c r="C3962" t="s">
        <v>32</v>
      </c>
      <c r="D3962" t="s">
        <v>58</v>
      </c>
      <c r="E3962" t="s">
        <v>31</v>
      </c>
      <c r="F3962">
        <v>4</v>
      </c>
      <c r="G3962" t="s">
        <v>13</v>
      </c>
      <c r="H3962" s="1">
        <v>46003.502083333333</v>
      </c>
      <c r="I3962" s="5">
        <f>INT(TB[[#This Row],[时间戳]])</f>
        <v>46003</v>
      </c>
      <c r="J3962" s="2">
        <f>HOUR(TB[[#This Row],[时间戳]])</f>
        <v>12</v>
      </c>
      <c r="K3962">
        <v>539</v>
      </c>
      <c r="L3962">
        <v>2</v>
      </c>
      <c r="M3962">
        <f>TB[[#This Row],[售价]]*TB[[#This Row],[销量]]</f>
        <v>1078</v>
      </c>
      <c r="N3962" t="str">
        <f>IF(TB[[#This Row],[售价]]&lt;1000,"低价商品",IF(TB[[#This Row],[售价]]&lt;5000,"中价商品",IF(TB[[#This Row],[售价]]&lt;10000,"高价商品","超高价商品")))</f>
        <v>低价商品</v>
      </c>
    </row>
    <row r="3963" spans="1:14" x14ac:dyDescent="0.2">
      <c r="A3963">
        <v>49</v>
      </c>
      <c r="B3963">
        <v>209</v>
      </c>
      <c r="C3963" t="s">
        <v>17</v>
      </c>
      <c r="D3963" t="s">
        <v>109</v>
      </c>
      <c r="E3963" t="s">
        <v>12</v>
      </c>
      <c r="F3963">
        <v>2</v>
      </c>
      <c r="G3963" t="s">
        <v>13</v>
      </c>
      <c r="H3963" s="1">
        <v>46003.511111111111</v>
      </c>
      <c r="I3963" s="5">
        <f>INT(TB[[#This Row],[时间戳]])</f>
        <v>46003</v>
      </c>
      <c r="J3963" s="2">
        <f>HOUR(TB[[#This Row],[时间戳]])</f>
        <v>12</v>
      </c>
      <c r="K3963">
        <v>12093</v>
      </c>
      <c r="L3963">
        <v>1</v>
      </c>
      <c r="M3963">
        <f>TB[[#This Row],[售价]]*TB[[#This Row],[销量]]</f>
        <v>12093</v>
      </c>
      <c r="N3963" t="str">
        <f>IF(TB[[#This Row],[售价]]&lt;1000,"低价商品",IF(TB[[#This Row],[售价]]&lt;5000,"中价商品",IF(TB[[#This Row],[售价]]&lt;10000,"高价商品","超高价商品")))</f>
        <v>超高价商品</v>
      </c>
    </row>
    <row r="3964" spans="1:14" x14ac:dyDescent="0.2">
      <c r="A3964">
        <v>699</v>
      </c>
      <c r="B3964">
        <v>30</v>
      </c>
      <c r="C3964" t="s">
        <v>32</v>
      </c>
      <c r="D3964" t="s">
        <v>58</v>
      </c>
      <c r="E3964" t="s">
        <v>31</v>
      </c>
      <c r="F3964">
        <v>4</v>
      </c>
      <c r="G3964" t="s">
        <v>42</v>
      </c>
      <c r="H3964" s="1">
        <v>46003.511805555558</v>
      </c>
      <c r="I3964" s="5">
        <f>INT(TB[[#This Row],[时间戳]])</f>
        <v>46003</v>
      </c>
      <c r="J3964" s="2">
        <f>HOUR(TB[[#This Row],[时间戳]])</f>
        <v>12</v>
      </c>
      <c r="K3964">
        <v>571</v>
      </c>
      <c r="L3964">
        <v>0</v>
      </c>
      <c r="M3964">
        <f>TB[[#This Row],[售价]]*TB[[#This Row],[销量]]</f>
        <v>0</v>
      </c>
      <c r="N3964" t="str">
        <f>IF(TB[[#This Row],[售价]]&lt;1000,"低价商品",IF(TB[[#This Row],[售价]]&lt;5000,"中价商品",IF(TB[[#This Row],[售价]]&lt;10000,"高价商品","超高价商品")))</f>
        <v>低价商品</v>
      </c>
    </row>
    <row r="3965" spans="1:14" x14ac:dyDescent="0.2">
      <c r="A3965">
        <v>451</v>
      </c>
      <c r="B3965">
        <v>234</v>
      </c>
      <c r="C3965" t="s">
        <v>46</v>
      </c>
      <c r="D3965" t="s">
        <v>350</v>
      </c>
      <c r="E3965" t="s">
        <v>25</v>
      </c>
      <c r="F3965">
        <v>7</v>
      </c>
      <c r="G3965" t="s">
        <v>13</v>
      </c>
      <c r="H3965" s="1">
        <v>46003.527777777781</v>
      </c>
      <c r="I3965" s="5">
        <f>INT(TB[[#This Row],[时间戳]])</f>
        <v>46003</v>
      </c>
      <c r="J3965" s="2">
        <f>HOUR(TB[[#This Row],[时间戳]])</f>
        <v>12</v>
      </c>
      <c r="K3965">
        <v>4487</v>
      </c>
      <c r="L3965">
        <v>2</v>
      </c>
      <c r="M3965">
        <f>TB[[#This Row],[售价]]*TB[[#This Row],[销量]]</f>
        <v>8974</v>
      </c>
      <c r="N3965" t="str">
        <f>IF(TB[[#This Row],[售价]]&lt;1000,"低价商品",IF(TB[[#This Row],[售价]]&lt;5000,"中价商品",IF(TB[[#This Row],[售价]]&lt;10000,"高价商品","超高价商品")))</f>
        <v>中价商品</v>
      </c>
    </row>
    <row r="3966" spans="1:14" x14ac:dyDescent="0.2">
      <c r="A3966">
        <v>99</v>
      </c>
      <c r="B3966">
        <v>276</v>
      </c>
      <c r="C3966" t="s">
        <v>17</v>
      </c>
      <c r="D3966" t="s">
        <v>354</v>
      </c>
      <c r="E3966" t="s">
        <v>16</v>
      </c>
      <c r="F3966">
        <v>6</v>
      </c>
      <c r="G3966" t="s">
        <v>13</v>
      </c>
      <c r="H3966" s="1">
        <v>46003.527777777781</v>
      </c>
      <c r="I3966" s="5">
        <f>INT(TB[[#This Row],[时间戳]])</f>
        <v>46003</v>
      </c>
      <c r="J3966" s="2">
        <f>HOUR(TB[[#This Row],[时间戳]])</f>
        <v>12</v>
      </c>
      <c r="K3966">
        <v>9512</v>
      </c>
      <c r="L3966">
        <v>2</v>
      </c>
      <c r="M3966">
        <f>TB[[#This Row],[售价]]*TB[[#This Row],[销量]]</f>
        <v>19024</v>
      </c>
      <c r="N3966" t="str">
        <f>IF(TB[[#This Row],[售价]]&lt;1000,"低价商品",IF(TB[[#This Row],[售价]]&lt;5000,"中价商品",IF(TB[[#This Row],[售价]]&lt;10000,"高价商品","超高价商品")))</f>
        <v>高价商品</v>
      </c>
    </row>
    <row r="3967" spans="1:14" x14ac:dyDescent="0.2">
      <c r="A3967">
        <v>24</v>
      </c>
      <c r="B3967">
        <v>83</v>
      </c>
      <c r="C3967" t="s">
        <v>14</v>
      </c>
      <c r="D3967" t="s">
        <v>297</v>
      </c>
      <c r="E3967" t="s">
        <v>25</v>
      </c>
      <c r="F3967">
        <v>7</v>
      </c>
      <c r="G3967" t="s">
        <v>13</v>
      </c>
      <c r="H3967" s="1">
        <v>46003.556250000001</v>
      </c>
      <c r="I3967" s="5">
        <f>INT(TB[[#This Row],[时间戳]])</f>
        <v>46003</v>
      </c>
      <c r="J3967" s="2">
        <f>HOUR(TB[[#This Row],[时间戳]])</f>
        <v>13</v>
      </c>
      <c r="K3967">
        <v>3204</v>
      </c>
      <c r="L3967">
        <v>1</v>
      </c>
      <c r="M3967">
        <f>TB[[#This Row],[售价]]*TB[[#This Row],[销量]]</f>
        <v>3204</v>
      </c>
      <c r="N3967" t="str">
        <f>IF(TB[[#This Row],[售价]]&lt;1000,"低价商品",IF(TB[[#This Row],[售价]]&lt;5000,"中价商品",IF(TB[[#This Row],[售价]]&lt;10000,"高价商品","超高价商品")))</f>
        <v>中价商品</v>
      </c>
    </row>
    <row r="3968" spans="1:14" x14ac:dyDescent="0.2">
      <c r="A3968">
        <v>703</v>
      </c>
      <c r="B3968">
        <v>38</v>
      </c>
      <c r="C3968" t="s">
        <v>17</v>
      </c>
      <c r="D3968" t="s">
        <v>75</v>
      </c>
      <c r="E3968" t="s">
        <v>12</v>
      </c>
      <c r="F3968">
        <v>2</v>
      </c>
      <c r="G3968" t="s">
        <v>13</v>
      </c>
      <c r="H3968" s="1">
        <v>46003.563194444447</v>
      </c>
      <c r="I3968" s="5">
        <f>INT(TB[[#This Row],[时间戳]])</f>
        <v>46003</v>
      </c>
      <c r="J3968" s="2">
        <f>HOUR(TB[[#This Row],[时间戳]])</f>
        <v>13</v>
      </c>
      <c r="K3968">
        <v>13646</v>
      </c>
      <c r="L3968">
        <v>4</v>
      </c>
      <c r="M3968">
        <f>TB[[#This Row],[售价]]*TB[[#This Row],[销量]]</f>
        <v>54584</v>
      </c>
      <c r="N3968" t="str">
        <f>IF(TB[[#This Row],[售价]]&lt;1000,"低价商品",IF(TB[[#This Row],[售价]]&lt;5000,"中价商品",IF(TB[[#This Row],[售价]]&lt;10000,"高价商品","超高价商品")))</f>
        <v>超高价商品</v>
      </c>
    </row>
    <row r="3969" spans="1:14" x14ac:dyDescent="0.2">
      <c r="A3969">
        <v>42</v>
      </c>
      <c r="B3969">
        <v>82</v>
      </c>
      <c r="C3969" t="s">
        <v>17</v>
      </c>
      <c r="D3969" t="s">
        <v>354</v>
      </c>
      <c r="E3969" t="s">
        <v>16</v>
      </c>
      <c r="F3969">
        <v>6</v>
      </c>
      <c r="G3969" t="s">
        <v>13</v>
      </c>
      <c r="H3969" s="1">
        <v>46003.563888888886</v>
      </c>
      <c r="I3969" s="5">
        <f>INT(TB[[#This Row],[时间戳]])</f>
        <v>46003</v>
      </c>
      <c r="J3969" s="2">
        <f>HOUR(TB[[#This Row],[时间戳]])</f>
        <v>13</v>
      </c>
      <c r="K3969">
        <v>9647</v>
      </c>
      <c r="L3969">
        <v>1</v>
      </c>
      <c r="M3969">
        <f>TB[[#This Row],[售价]]*TB[[#This Row],[销量]]</f>
        <v>9647</v>
      </c>
      <c r="N3969" t="str">
        <f>IF(TB[[#This Row],[售价]]&lt;1000,"低价商品",IF(TB[[#This Row],[售价]]&lt;5000,"中价商品",IF(TB[[#This Row],[售价]]&lt;10000,"高价商品","超高价商品")))</f>
        <v>高价商品</v>
      </c>
    </row>
    <row r="3970" spans="1:14" x14ac:dyDescent="0.2">
      <c r="A3970">
        <v>123</v>
      </c>
      <c r="B3970">
        <v>15</v>
      </c>
      <c r="C3970" t="s">
        <v>20</v>
      </c>
      <c r="D3970" t="s">
        <v>40</v>
      </c>
      <c r="E3970" t="s">
        <v>25</v>
      </c>
      <c r="F3970">
        <v>7</v>
      </c>
      <c r="G3970" t="s">
        <v>13</v>
      </c>
      <c r="H3970" s="1">
        <v>46003.580555555556</v>
      </c>
      <c r="I3970" s="5">
        <f>INT(TB[[#This Row],[时间戳]])</f>
        <v>46003</v>
      </c>
      <c r="J3970" s="2">
        <f>HOUR(TB[[#This Row],[时间戳]])</f>
        <v>13</v>
      </c>
      <c r="K3970">
        <v>6451</v>
      </c>
      <c r="L3970">
        <v>3</v>
      </c>
      <c r="M3970">
        <f>TB[[#This Row],[售价]]*TB[[#This Row],[销量]]</f>
        <v>19353</v>
      </c>
      <c r="N3970" t="str">
        <f>IF(TB[[#This Row],[售价]]&lt;1000,"低价商品",IF(TB[[#This Row],[售价]]&lt;5000,"中价商品",IF(TB[[#This Row],[售价]]&lt;10000,"高价商品","超高价商品")))</f>
        <v>高价商品</v>
      </c>
    </row>
    <row r="3971" spans="1:14" x14ac:dyDescent="0.2">
      <c r="A3971">
        <v>69</v>
      </c>
      <c r="B3971">
        <v>199</v>
      </c>
      <c r="C3971" t="s">
        <v>20</v>
      </c>
      <c r="D3971" t="s">
        <v>263</v>
      </c>
      <c r="E3971" t="s">
        <v>39</v>
      </c>
      <c r="F3971">
        <v>5</v>
      </c>
      <c r="G3971" t="s">
        <v>42</v>
      </c>
      <c r="H3971" s="1">
        <v>46003.589583333334</v>
      </c>
      <c r="I3971" s="5">
        <f>INT(TB[[#This Row],[时间戳]])</f>
        <v>46003</v>
      </c>
      <c r="J3971" s="2">
        <f>HOUR(TB[[#This Row],[时间戳]])</f>
        <v>14</v>
      </c>
      <c r="K3971">
        <v>1805</v>
      </c>
      <c r="L3971">
        <v>0</v>
      </c>
      <c r="M3971">
        <f>TB[[#This Row],[售价]]*TB[[#This Row],[销量]]</f>
        <v>0</v>
      </c>
      <c r="N3971" t="str">
        <f>IF(TB[[#This Row],[售价]]&lt;1000,"低价商品",IF(TB[[#This Row],[售价]]&lt;5000,"中价商品",IF(TB[[#This Row],[售价]]&lt;10000,"高价商品","超高价商品")))</f>
        <v>中价商品</v>
      </c>
    </row>
    <row r="3972" spans="1:14" x14ac:dyDescent="0.2">
      <c r="A3972">
        <v>84</v>
      </c>
      <c r="B3972">
        <v>104</v>
      </c>
      <c r="C3972" t="s">
        <v>26</v>
      </c>
      <c r="D3972" t="s">
        <v>48</v>
      </c>
      <c r="E3972" t="s">
        <v>31</v>
      </c>
      <c r="F3972">
        <v>4</v>
      </c>
      <c r="G3972" t="s">
        <v>13</v>
      </c>
      <c r="H3972" s="1">
        <v>46003.656944444447</v>
      </c>
      <c r="I3972" s="5">
        <f>INT(TB[[#This Row],[时间戳]])</f>
        <v>46003</v>
      </c>
      <c r="J3972" s="2">
        <f>HOUR(TB[[#This Row],[时间戳]])</f>
        <v>15</v>
      </c>
      <c r="K3972">
        <v>735</v>
      </c>
      <c r="L3972">
        <v>2</v>
      </c>
      <c r="M3972">
        <f>TB[[#This Row],[售价]]*TB[[#This Row],[销量]]</f>
        <v>1470</v>
      </c>
      <c r="N3972" t="str">
        <f>IF(TB[[#This Row],[售价]]&lt;1000,"低价商品",IF(TB[[#This Row],[售价]]&lt;5000,"中价商品",IF(TB[[#This Row],[售价]]&lt;10000,"高价商品","超高价商品")))</f>
        <v>低价商品</v>
      </c>
    </row>
    <row r="3973" spans="1:14" x14ac:dyDescent="0.2">
      <c r="A3973">
        <v>514</v>
      </c>
      <c r="B3973">
        <v>29</v>
      </c>
      <c r="C3973" t="s">
        <v>44</v>
      </c>
      <c r="D3973" t="s">
        <v>140</v>
      </c>
      <c r="E3973" t="s">
        <v>19</v>
      </c>
      <c r="F3973">
        <v>3</v>
      </c>
      <c r="G3973" t="s">
        <v>13</v>
      </c>
      <c r="H3973" s="1">
        <v>46003.67083333333</v>
      </c>
      <c r="I3973" s="5">
        <f>INT(TB[[#This Row],[时间戳]])</f>
        <v>46003</v>
      </c>
      <c r="J3973" s="2">
        <f>HOUR(TB[[#This Row],[时间戳]])</f>
        <v>16</v>
      </c>
      <c r="K3973">
        <v>2484</v>
      </c>
      <c r="L3973">
        <v>2</v>
      </c>
      <c r="M3973">
        <f>TB[[#This Row],[售价]]*TB[[#This Row],[销量]]</f>
        <v>4968</v>
      </c>
      <c r="N3973" t="str">
        <f>IF(TB[[#This Row],[售价]]&lt;1000,"低价商品",IF(TB[[#This Row],[售价]]&lt;5000,"中价商品",IF(TB[[#This Row],[售价]]&lt;10000,"高价商品","超高价商品")))</f>
        <v>中价商品</v>
      </c>
    </row>
    <row r="3974" spans="1:14" x14ac:dyDescent="0.2">
      <c r="A3974">
        <v>428</v>
      </c>
      <c r="B3974">
        <v>202</v>
      </c>
      <c r="C3974" t="s">
        <v>20</v>
      </c>
      <c r="D3974" t="s">
        <v>85</v>
      </c>
      <c r="E3974" t="s">
        <v>31</v>
      </c>
      <c r="F3974">
        <v>4</v>
      </c>
      <c r="G3974" t="s">
        <v>13</v>
      </c>
      <c r="H3974" s="1">
        <v>46003.677083333336</v>
      </c>
      <c r="I3974" s="5">
        <f>INT(TB[[#This Row],[时间戳]])</f>
        <v>46003</v>
      </c>
      <c r="J3974" s="2">
        <f>HOUR(TB[[#This Row],[时间戳]])</f>
        <v>16</v>
      </c>
      <c r="K3974">
        <v>808</v>
      </c>
      <c r="L3974">
        <v>2</v>
      </c>
      <c r="M3974">
        <f>TB[[#This Row],[售价]]*TB[[#This Row],[销量]]</f>
        <v>1616</v>
      </c>
      <c r="N3974" t="str">
        <f>IF(TB[[#This Row],[售价]]&lt;1000,"低价商品",IF(TB[[#This Row],[售价]]&lt;5000,"中价商品",IF(TB[[#This Row],[售价]]&lt;10000,"高价商品","超高价商品")))</f>
        <v>低价商品</v>
      </c>
    </row>
    <row r="3975" spans="1:14" x14ac:dyDescent="0.2">
      <c r="A3975">
        <v>240</v>
      </c>
      <c r="B3975">
        <v>202</v>
      </c>
      <c r="C3975" t="s">
        <v>10</v>
      </c>
      <c r="D3975" t="s">
        <v>348</v>
      </c>
      <c r="E3975" t="s">
        <v>16</v>
      </c>
      <c r="F3975">
        <v>6</v>
      </c>
      <c r="G3975" t="s">
        <v>13</v>
      </c>
      <c r="H3975" s="1">
        <v>46003.7</v>
      </c>
      <c r="I3975" s="5">
        <f>INT(TB[[#This Row],[时间戳]])</f>
        <v>46003</v>
      </c>
      <c r="J3975" s="2">
        <f>HOUR(TB[[#This Row],[时间戳]])</f>
        <v>16</v>
      </c>
      <c r="K3975">
        <v>9729</v>
      </c>
      <c r="L3975">
        <v>1</v>
      </c>
      <c r="M3975">
        <f>TB[[#This Row],[售价]]*TB[[#This Row],[销量]]</f>
        <v>9729</v>
      </c>
      <c r="N3975" t="str">
        <f>IF(TB[[#This Row],[售价]]&lt;1000,"低价商品",IF(TB[[#This Row],[售价]]&lt;5000,"中价商品",IF(TB[[#This Row],[售价]]&lt;10000,"高价商品","超高价商品")))</f>
        <v>高价商品</v>
      </c>
    </row>
    <row r="3976" spans="1:14" x14ac:dyDescent="0.2">
      <c r="A3976">
        <v>404</v>
      </c>
      <c r="B3976">
        <v>186</v>
      </c>
      <c r="C3976" t="s">
        <v>46</v>
      </c>
      <c r="D3976" t="s">
        <v>81</v>
      </c>
      <c r="E3976" t="s">
        <v>12</v>
      </c>
      <c r="F3976">
        <v>2</v>
      </c>
      <c r="G3976" t="s">
        <v>13</v>
      </c>
      <c r="H3976" s="1">
        <v>46003.705555555556</v>
      </c>
      <c r="I3976" s="5">
        <f>INT(TB[[#This Row],[时间戳]])</f>
        <v>46003</v>
      </c>
      <c r="J3976" s="2">
        <f>HOUR(TB[[#This Row],[时间戳]])</f>
        <v>16</v>
      </c>
      <c r="K3976">
        <v>6349</v>
      </c>
      <c r="L3976">
        <v>2</v>
      </c>
      <c r="M3976">
        <f>TB[[#This Row],[售价]]*TB[[#This Row],[销量]]</f>
        <v>12698</v>
      </c>
      <c r="N3976" t="str">
        <f>IF(TB[[#This Row],[售价]]&lt;1000,"低价商品",IF(TB[[#This Row],[售价]]&lt;5000,"中价商品",IF(TB[[#This Row],[售价]]&lt;10000,"高价商品","超高价商品")))</f>
        <v>高价商品</v>
      </c>
    </row>
    <row r="3977" spans="1:14" x14ac:dyDescent="0.2">
      <c r="A3977">
        <v>294</v>
      </c>
      <c r="B3977">
        <v>131</v>
      </c>
      <c r="C3977" t="s">
        <v>36</v>
      </c>
      <c r="D3977" t="s">
        <v>114</v>
      </c>
      <c r="E3977" t="s">
        <v>25</v>
      </c>
      <c r="F3977">
        <v>7</v>
      </c>
      <c r="G3977" t="s">
        <v>13</v>
      </c>
      <c r="H3977" s="1">
        <v>46003.748611111114</v>
      </c>
      <c r="I3977" s="5">
        <f>INT(TB[[#This Row],[时间戳]])</f>
        <v>46003</v>
      </c>
      <c r="J3977" s="2">
        <f>HOUR(TB[[#This Row],[时间戳]])</f>
        <v>17</v>
      </c>
      <c r="K3977">
        <v>4292</v>
      </c>
      <c r="L3977">
        <v>2</v>
      </c>
      <c r="M3977">
        <f>TB[[#This Row],[售价]]*TB[[#This Row],[销量]]</f>
        <v>8584</v>
      </c>
      <c r="N3977" t="str">
        <f>IF(TB[[#This Row],[售价]]&lt;1000,"低价商品",IF(TB[[#This Row],[售价]]&lt;5000,"中价商品",IF(TB[[#This Row],[售价]]&lt;10000,"高价商品","超高价商品")))</f>
        <v>中价商品</v>
      </c>
    </row>
    <row r="3978" spans="1:14" x14ac:dyDescent="0.2">
      <c r="A3978">
        <v>442</v>
      </c>
      <c r="B3978">
        <v>201</v>
      </c>
      <c r="C3978" t="s">
        <v>10</v>
      </c>
      <c r="D3978" t="s">
        <v>312</v>
      </c>
      <c r="E3978" t="s">
        <v>12</v>
      </c>
      <c r="F3978">
        <v>2</v>
      </c>
      <c r="G3978" t="s">
        <v>13</v>
      </c>
      <c r="H3978" s="1">
        <v>46003.757638888892</v>
      </c>
      <c r="I3978" s="5">
        <f>INT(TB[[#This Row],[时间戳]])</f>
        <v>46003</v>
      </c>
      <c r="J3978" s="2">
        <f>HOUR(TB[[#This Row],[时间戳]])</f>
        <v>18</v>
      </c>
      <c r="K3978">
        <v>9058</v>
      </c>
      <c r="L3978">
        <v>1</v>
      </c>
      <c r="M3978">
        <f>TB[[#This Row],[售价]]*TB[[#This Row],[销量]]</f>
        <v>9058</v>
      </c>
      <c r="N3978" t="str">
        <f>IF(TB[[#This Row],[售价]]&lt;1000,"低价商品",IF(TB[[#This Row],[售价]]&lt;5000,"中价商品",IF(TB[[#This Row],[售价]]&lt;10000,"高价商品","超高价商品")))</f>
        <v>高价商品</v>
      </c>
    </row>
    <row r="3979" spans="1:14" x14ac:dyDescent="0.2">
      <c r="A3979">
        <v>789</v>
      </c>
      <c r="B3979">
        <v>97</v>
      </c>
      <c r="C3979" t="s">
        <v>36</v>
      </c>
      <c r="D3979" t="s">
        <v>90</v>
      </c>
      <c r="E3979" t="s">
        <v>16</v>
      </c>
      <c r="F3979">
        <v>6</v>
      </c>
      <c r="G3979" t="s">
        <v>13</v>
      </c>
      <c r="H3979" s="1">
        <v>46003.772222222222</v>
      </c>
      <c r="I3979" s="5">
        <f>INT(TB[[#This Row],[时间戳]])</f>
        <v>46003</v>
      </c>
      <c r="J3979" s="2">
        <f>HOUR(TB[[#This Row],[时间戳]])</f>
        <v>18</v>
      </c>
      <c r="K3979">
        <v>5366</v>
      </c>
      <c r="L3979">
        <v>2</v>
      </c>
      <c r="M3979">
        <f>TB[[#This Row],[售价]]*TB[[#This Row],[销量]]</f>
        <v>10732</v>
      </c>
      <c r="N3979" t="str">
        <f>IF(TB[[#This Row],[售价]]&lt;1000,"低价商品",IF(TB[[#This Row],[售价]]&lt;5000,"中价商品",IF(TB[[#This Row],[售价]]&lt;10000,"高价商品","超高价商品")))</f>
        <v>高价商品</v>
      </c>
    </row>
    <row r="3980" spans="1:14" x14ac:dyDescent="0.2">
      <c r="A3980">
        <v>9</v>
      </c>
      <c r="B3980">
        <v>155</v>
      </c>
      <c r="C3980" t="s">
        <v>17</v>
      </c>
      <c r="D3980" t="s">
        <v>257</v>
      </c>
      <c r="E3980" t="s">
        <v>19</v>
      </c>
      <c r="F3980">
        <v>3</v>
      </c>
      <c r="G3980" t="s">
        <v>13</v>
      </c>
      <c r="H3980" s="1">
        <v>46003.772916666669</v>
      </c>
      <c r="I3980" s="5">
        <f>INT(TB[[#This Row],[时间戳]])</f>
        <v>46003</v>
      </c>
      <c r="J3980" s="2">
        <f>HOUR(TB[[#This Row],[时间戳]])</f>
        <v>18</v>
      </c>
      <c r="K3980">
        <v>3430</v>
      </c>
      <c r="L3980">
        <v>3</v>
      </c>
      <c r="M3980">
        <f>TB[[#This Row],[售价]]*TB[[#This Row],[销量]]</f>
        <v>10290</v>
      </c>
      <c r="N3980" t="str">
        <f>IF(TB[[#This Row],[售价]]&lt;1000,"低价商品",IF(TB[[#This Row],[售价]]&lt;5000,"中价商品",IF(TB[[#This Row],[售价]]&lt;10000,"高价商品","超高价商品")))</f>
        <v>中价商品</v>
      </c>
    </row>
    <row r="3981" spans="1:14" x14ac:dyDescent="0.2">
      <c r="A3981">
        <v>465</v>
      </c>
      <c r="B3981">
        <v>98</v>
      </c>
      <c r="C3981" t="s">
        <v>17</v>
      </c>
      <c r="D3981" t="s">
        <v>285</v>
      </c>
      <c r="E3981" t="s">
        <v>25</v>
      </c>
      <c r="F3981">
        <v>7</v>
      </c>
      <c r="G3981" t="s">
        <v>13</v>
      </c>
      <c r="H3981" s="1">
        <v>46003.783333333333</v>
      </c>
      <c r="I3981" s="5">
        <f>INT(TB[[#This Row],[时间戳]])</f>
        <v>46003</v>
      </c>
      <c r="J3981" s="2">
        <f>HOUR(TB[[#This Row],[时间戳]])</f>
        <v>18</v>
      </c>
      <c r="K3981">
        <v>6911</v>
      </c>
      <c r="L3981">
        <v>2</v>
      </c>
      <c r="M3981">
        <f>TB[[#This Row],[售价]]*TB[[#This Row],[销量]]</f>
        <v>13822</v>
      </c>
      <c r="N3981" t="str">
        <f>IF(TB[[#This Row],[售价]]&lt;1000,"低价商品",IF(TB[[#This Row],[售价]]&lt;5000,"中价商品",IF(TB[[#This Row],[售价]]&lt;10000,"高价商品","超高价商品")))</f>
        <v>高价商品</v>
      </c>
    </row>
    <row r="3982" spans="1:14" x14ac:dyDescent="0.2">
      <c r="A3982">
        <v>445</v>
      </c>
      <c r="B3982">
        <v>61</v>
      </c>
      <c r="C3982" t="s">
        <v>17</v>
      </c>
      <c r="D3982" t="s">
        <v>285</v>
      </c>
      <c r="E3982" t="s">
        <v>25</v>
      </c>
      <c r="F3982">
        <v>7</v>
      </c>
      <c r="G3982" t="s">
        <v>13</v>
      </c>
      <c r="H3982" s="1">
        <v>46003.815972222219</v>
      </c>
      <c r="I3982" s="5">
        <f>INT(TB[[#This Row],[时间戳]])</f>
        <v>46003</v>
      </c>
      <c r="J3982" s="2">
        <f>HOUR(TB[[#This Row],[时间戳]])</f>
        <v>19</v>
      </c>
      <c r="K3982">
        <v>2446</v>
      </c>
      <c r="L3982">
        <v>2</v>
      </c>
      <c r="M3982">
        <f>TB[[#This Row],[售价]]*TB[[#This Row],[销量]]</f>
        <v>4892</v>
      </c>
      <c r="N3982" t="str">
        <f>IF(TB[[#This Row],[售价]]&lt;1000,"低价商品",IF(TB[[#This Row],[售价]]&lt;5000,"中价商品",IF(TB[[#This Row],[售价]]&lt;10000,"高价商品","超高价商品")))</f>
        <v>中价商品</v>
      </c>
    </row>
    <row r="3983" spans="1:14" x14ac:dyDescent="0.2">
      <c r="A3983">
        <v>222</v>
      </c>
      <c r="B3983">
        <v>211</v>
      </c>
      <c r="C3983" t="s">
        <v>26</v>
      </c>
      <c r="D3983" t="s">
        <v>219</v>
      </c>
      <c r="E3983" t="s">
        <v>22</v>
      </c>
      <c r="F3983">
        <v>1</v>
      </c>
      <c r="G3983" t="s">
        <v>13</v>
      </c>
      <c r="H3983" s="1">
        <v>46003.84652777778</v>
      </c>
      <c r="I3983" s="5">
        <f>INT(TB[[#This Row],[时间戳]])</f>
        <v>46003</v>
      </c>
      <c r="J3983" s="2">
        <f>HOUR(TB[[#This Row],[时间戳]])</f>
        <v>20</v>
      </c>
      <c r="K3983">
        <v>1675</v>
      </c>
      <c r="L3983">
        <v>3</v>
      </c>
      <c r="M3983">
        <f>TB[[#This Row],[售价]]*TB[[#This Row],[销量]]</f>
        <v>5025</v>
      </c>
      <c r="N3983" t="str">
        <f>IF(TB[[#This Row],[售价]]&lt;1000,"低价商品",IF(TB[[#This Row],[售价]]&lt;5000,"中价商品",IF(TB[[#This Row],[售价]]&lt;10000,"高价商品","超高价商品")))</f>
        <v>中价商品</v>
      </c>
    </row>
    <row r="3984" spans="1:14" x14ac:dyDescent="0.2">
      <c r="A3984">
        <v>569</v>
      </c>
      <c r="B3984">
        <v>165</v>
      </c>
      <c r="C3984" t="s">
        <v>34</v>
      </c>
      <c r="D3984" t="s">
        <v>232</v>
      </c>
      <c r="E3984" t="s">
        <v>22</v>
      </c>
      <c r="F3984">
        <v>1</v>
      </c>
      <c r="G3984" t="s">
        <v>13</v>
      </c>
      <c r="H3984" s="1">
        <v>46003.850694444445</v>
      </c>
      <c r="I3984" s="5">
        <f>INT(TB[[#This Row],[时间戳]])</f>
        <v>46003</v>
      </c>
      <c r="J3984" s="2">
        <f>HOUR(TB[[#This Row],[时间戳]])</f>
        <v>20</v>
      </c>
      <c r="K3984">
        <v>6321</v>
      </c>
      <c r="L3984">
        <v>3</v>
      </c>
      <c r="M3984">
        <f>TB[[#This Row],[售价]]*TB[[#This Row],[销量]]</f>
        <v>18963</v>
      </c>
      <c r="N3984" t="str">
        <f>IF(TB[[#This Row],[售价]]&lt;1000,"低价商品",IF(TB[[#This Row],[售价]]&lt;5000,"中价商品",IF(TB[[#This Row],[售价]]&lt;10000,"高价商品","超高价商品")))</f>
        <v>高价商品</v>
      </c>
    </row>
    <row r="3985" spans="1:14" x14ac:dyDescent="0.2">
      <c r="A3985">
        <v>696</v>
      </c>
      <c r="B3985">
        <v>264</v>
      </c>
      <c r="C3985" t="s">
        <v>26</v>
      </c>
      <c r="D3985" t="s">
        <v>300</v>
      </c>
      <c r="E3985" t="s">
        <v>19</v>
      </c>
      <c r="F3985">
        <v>3</v>
      </c>
      <c r="G3985" t="s">
        <v>13</v>
      </c>
      <c r="H3985" s="1">
        <v>46003.855555555558</v>
      </c>
      <c r="I3985" s="5">
        <f>INT(TB[[#This Row],[时间戳]])</f>
        <v>46003</v>
      </c>
      <c r="J3985" s="2">
        <f>HOUR(TB[[#This Row],[时间戳]])</f>
        <v>20</v>
      </c>
      <c r="K3985">
        <v>3827</v>
      </c>
      <c r="L3985">
        <v>4</v>
      </c>
      <c r="M3985">
        <f>TB[[#This Row],[售价]]*TB[[#This Row],[销量]]</f>
        <v>15308</v>
      </c>
      <c r="N3985" t="str">
        <f>IF(TB[[#This Row],[售价]]&lt;1000,"低价商品",IF(TB[[#This Row],[售价]]&lt;5000,"中价商品",IF(TB[[#This Row],[售价]]&lt;10000,"高价商品","超高价商品")))</f>
        <v>中价商品</v>
      </c>
    </row>
    <row r="3986" spans="1:14" x14ac:dyDescent="0.2">
      <c r="A3986">
        <v>753</v>
      </c>
      <c r="B3986">
        <v>253</v>
      </c>
      <c r="C3986" t="s">
        <v>10</v>
      </c>
      <c r="D3986" t="s">
        <v>294</v>
      </c>
      <c r="E3986" t="s">
        <v>31</v>
      </c>
      <c r="F3986">
        <v>4</v>
      </c>
      <c r="G3986" t="s">
        <v>13</v>
      </c>
      <c r="H3986" s="1">
        <v>46003.886805555558</v>
      </c>
      <c r="I3986" s="5">
        <f>INT(TB[[#This Row],[时间戳]])</f>
        <v>46003</v>
      </c>
      <c r="J3986" s="2">
        <f>HOUR(TB[[#This Row],[时间戳]])</f>
        <v>21</v>
      </c>
      <c r="K3986">
        <v>1226</v>
      </c>
      <c r="L3986">
        <v>1</v>
      </c>
      <c r="M3986">
        <f>TB[[#This Row],[售价]]*TB[[#This Row],[销量]]</f>
        <v>1226</v>
      </c>
      <c r="N3986" t="str">
        <f>IF(TB[[#This Row],[售价]]&lt;1000,"低价商品",IF(TB[[#This Row],[售价]]&lt;5000,"中价商品",IF(TB[[#This Row],[售价]]&lt;10000,"高价商品","超高价商品")))</f>
        <v>中价商品</v>
      </c>
    </row>
    <row r="3987" spans="1:14" x14ac:dyDescent="0.2">
      <c r="A3987">
        <v>758</v>
      </c>
      <c r="B3987">
        <v>209</v>
      </c>
      <c r="C3987" t="s">
        <v>46</v>
      </c>
      <c r="D3987" t="s">
        <v>80</v>
      </c>
      <c r="E3987" t="s">
        <v>22</v>
      </c>
      <c r="F3987">
        <v>1</v>
      </c>
      <c r="G3987" t="s">
        <v>42</v>
      </c>
      <c r="H3987" s="1">
        <v>46003.936111111114</v>
      </c>
      <c r="I3987" s="5">
        <f>INT(TB[[#This Row],[时间戳]])</f>
        <v>46003</v>
      </c>
      <c r="J3987" s="2">
        <f>HOUR(TB[[#This Row],[时间戳]])</f>
        <v>22</v>
      </c>
      <c r="K3987">
        <v>6018</v>
      </c>
      <c r="L3987">
        <v>0</v>
      </c>
      <c r="M3987">
        <f>TB[[#This Row],[售价]]*TB[[#This Row],[销量]]</f>
        <v>0</v>
      </c>
      <c r="N3987" t="str">
        <f>IF(TB[[#This Row],[售价]]&lt;1000,"低价商品",IF(TB[[#This Row],[售价]]&lt;5000,"中价商品",IF(TB[[#This Row],[售价]]&lt;10000,"高价商品","超高价商品")))</f>
        <v>高价商品</v>
      </c>
    </row>
    <row r="3988" spans="1:14" x14ac:dyDescent="0.2">
      <c r="A3988">
        <v>729</v>
      </c>
      <c r="B3988">
        <v>44</v>
      </c>
      <c r="C3988" t="s">
        <v>32</v>
      </c>
      <c r="D3988" t="s">
        <v>115</v>
      </c>
      <c r="E3988" t="s">
        <v>19</v>
      </c>
      <c r="F3988">
        <v>3</v>
      </c>
      <c r="G3988" t="s">
        <v>13</v>
      </c>
      <c r="H3988" s="1">
        <v>46003.9375</v>
      </c>
      <c r="I3988" s="5">
        <f>INT(TB[[#This Row],[时间戳]])</f>
        <v>46003</v>
      </c>
      <c r="J3988" s="2">
        <f>HOUR(TB[[#This Row],[时间戳]])</f>
        <v>22</v>
      </c>
      <c r="K3988">
        <v>2835</v>
      </c>
      <c r="L3988">
        <v>4</v>
      </c>
      <c r="M3988">
        <f>TB[[#This Row],[售价]]*TB[[#This Row],[销量]]</f>
        <v>11340</v>
      </c>
      <c r="N3988" t="str">
        <f>IF(TB[[#This Row],[售价]]&lt;1000,"低价商品",IF(TB[[#This Row],[售价]]&lt;5000,"中价商品",IF(TB[[#This Row],[售价]]&lt;10000,"高价商品","超高价商品")))</f>
        <v>中价商品</v>
      </c>
    </row>
    <row r="3989" spans="1:14" x14ac:dyDescent="0.2">
      <c r="A3989">
        <v>226</v>
      </c>
      <c r="B3989">
        <v>103</v>
      </c>
      <c r="C3989" t="s">
        <v>17</v>
      </c>
      <c r="D3989" t="s">
        <v>309</v>
      </c>
      <c r="E3989" t="s">
        <v>16</v>
      </c>
      <c r="F3989">
        <v>6</v>
      </c>
      <c r="G3989" t="s">
        <v>13</v>
      </c>
      <c r="H3989" s="1">
        <v>46003.948611111111</v>
      </c>
      <c r="I3989" s="5">
        <f>INT(TB[[#This Row],[时间戳]])</f>
        <v>46003</v>
      </c>
      <c r="J3989" s="2">
        <f>HOUR(TB[[#This Row],[时间戳]])</f>
        <v>22</v>
      </c>
      <c r="K3989">
        <v>11935</v>
      </c>
      <c r="L3989">
        <v>1</v>
      </c>
      <c r="M3989">
        <f>TB[[#This Row],[售价]]*TB[[#This Row],[销量]]</f>
        <v>11935</v>
      </c>
      <c r="N3989" t="str">
        <f>IF(TB[[#This Row],[售价]]&lt;1000,"低价商品",IF(TB[[#This Row],[售价]]&lt;5000,"中价商品",IF(TB[[#This Row],[售价]]&lt;10000,"高价商品","超高价商品")))</f>
        <v>超高价商品</v>
      </c>
    </row>
    <row r="3990" spans="1:14" x14ac:dyDescent="0.2">
      <c r="A3990">
        <v>738</v>
      </c>
      <c r="B3990">
        <v>145</v>
      </c>
      <c r="C3990" t="s">
        <v>32</v>
      </c>
      <c r="D3990" t="s">
        <v>275</v>
      </c>
      <c r="E3990" t="s">
        <v>22</v>
      </c>
      <c r="F3990">
        <v>1</v>
      </c>
      <c r="G3990" t="s">
        <v>13</v>
      </c>
      <c r="H3990" s="1">
        <v>46003.956250000003</v>
      </c>
      <c r="I3990" s="5">
        <f>INT(TB[[#This Row],[时间戳]])</f>
        <v>46003</v>
      </c>
      <c r="J3990" s="2">
        <f>HOUR(TB[[#This Row],[时间戳]])</f>
        <v>22</v>
      </c>
      <c r="K3990">
        <v>5558</v>
      </c>
      <c r="L3990">
        <v>1</v>
      </c>
      <c r="M3990">
        <f>TB[[#This Row],[售价]]*TB[[#This Row],[销量]]</f>
        <v>5558</v>
      </c>
      <c r="N3990" t="str">
        <f>IF(TB[[#This Row],[售价]]&lt;1000,"低价商品",IF(TB[[#This Row],[售价]]&lt;5000,"中价商品",IF(TB[[#This Row],[售价]]&lt;10000,"高价商品","超高价商品")))</f>
        <v>高价商品</v>
      </c>
    </row>
    <row r="3991" spans="1:14" x14ac:dyDescent="0.2">
      <c r="A3991">
        <v>374</v>
      </c>
      <c r="B3991">
        <v>273</v>
      </c>
      <c r="C3991" t="s">
        <v>34</v>
      </c>
      <c r="D3991" t="s">
        <v>69</v>
      </c>
      <c r="E3991" t="s">
        <v>31</v>
      </c>
      <c r="F3991">
        <v>4</v>
      </c>
      <c r="G3991" t="s">
        <v>13</v>
      </c>
      <c r="H3991" s="1">
        <v>46003.993750000001</v>
      </c>
      <c r="I3991" s="5">
        <f>INT(TB[[#This Row],[时间戳]])</f>
        <v>46003</v>
      </c>
      <c r="J3991" s="2">
        <f>HOUR(TB[[#This Row],[时间戳]])</f>
        <v>23</v>
      </c>
      <c r="K3991">
        <v>888</v>
      </c>
      <c r="L3991">
        <v>2</v>
      </c>
      <c r="M3991">
        <f>TB[[#This Row],[售价]]*TB[[#This Row],[销量]]</f>
        <v>1776</v>
      </c>
      <c r="N3991" t="str">
        <f>IF(TB[[#This Row],[售价]]&lt;1000,"低价商品",IF(TB[[#This Row],[售价]]&lt;5000,"中价商品",IF(TB[[#This Row],[售价]]&lt;10000,"高价商品","超高价商品")))</f>
        <v>低价商品</v>
      </c>
    </row>
    <row r="3992" spans="1:14" x14ac:dyDescent="0.2">
      <c r="A3992">
        <v>208</v>
      </c>
      <c r="B3992">
        <v>18</v>
      </c>
      <c r="C3992" t="s">
        <v>32</v>
      </c>
      <c r="D3992" t="s">
        <v>288</v>
      </c>
      <c r="E3992" t="s">
        <v>22</v>
      </c>
      <c r="F3992">
        <v>1</v>
      </c>
      <c r="G3992" t="s">
        <v>13</v>
      </c>
      <c r="H3992" s="1">
        <v>46003.995833333334</v>
      </c>
      <c r="I3992" s="5">
        <f>INT(TB[[#This Row],[时间戳]])</f>
        <v>46003</v>
      </c>
      <c r="J3992" s="2">
        <f>HOUR(TB[[#This Row],[时间戳]])</f>
        <v>23</v>
      </c>
      <c r="K3992">
        <v>2847</v>
      </c>
      <c r="L3992">
        <v>5</v>
      </c>
      <c r="M3992">
        <f>TB[[#This Row],[售价]]*TB[[#This Row],[销量]]</f>
        <v>14235</v>
      </c>
      <c r="N3992" t="str">
        <f>IF(TB[[#This Row],[售价]]&lt;1000,"低价商品",IF(TB[[#This Row],[售价]]&lt;5000,"中价商品",IF(TB[[#This Row],[售价]]&lt;10000,"高价商品","超高价商品")))</f>
        <v>中价商品</v>
      </c>
    </row>
    <row r="3993" spans="1:14" x14ac:dyDescent="0.2">
      <c r="A3993">
        <v>724</v>
      </c>
      <c r="B3993">
        <v>188</v>
      </c>
      <c r="C3993" t="s">
        <v>14</v>
      </c>
      <c r="D3993" t="s">
        <v>30</v>
      </c>
      <c r="E3993" t="s">
        <v>31</v>
      </c>
      <c r="F3993">
        <v>4</v>
      </c>
      <c r="G3993" t="s">
        <v>13</v>
      </c>
      <c r="H3993" s="1">
        <v>46004</v>
      </c>
      <c r="I3993" s="5">
        <f>INT(TB[[#This Row],[时间戳]])</f>
        <v>46004</v>
      </c>
      <c r="J3993" s="2">
        <f>HOUR(TB[[#This Row],[时间戳]])</f>
        <v>0</v>
      </c>
      <c r="K3993">
        <v>1385</v>
      </c>
      <c r="L3993">
        <v>2</v>
      </c>
      <c r="M3993">
        <f>TB[[#This Row],[售价]]*TB[[#This Row],[销量]]</f>
        <v>2770</v>
      </c>
      <c r="N3993" t="str">
        <f>IF(TB[[#This Row],[售价]]&lt;1000,"低价商品",IF(TB[[#This Row],[售价]]&lt;5000,"中价商品",IF(TB[[#This Row],[售价]]&lt;10000,"高价商品","超高价商品")))</f>
        <v>中价商品</v>
      </c>
    </row>
    <row r="3994" spans="1:14" x14ac:dyDescent="0.2">
      <c r="A3994">
        <v>383</v>
      </c>
      <c r="B3994">
        <v>137</v>
      </c>
      <c r="C3994" t="s">
        <v>17</v>
      </c>
      <c r="D3994" t="s">
        <v>18</v>
      </c>
      <c r="E3994" t="s">
        <v>19</v>
      </c>
      <c r="F3994">
        <v>3</v>
      </c>
      <c r="G3994" t="s">
        <v>13</v>
      </c>
      <c r="H3994" s="1">
        <v>46004.025694444441</v>
      </c>
      <c r="I3994" s="5">
        <f>INT(TB[[#This Row],[时间戳]])</f>
        <v>46004</v>
      </c>
      <c r="J3994" s="2">
        <f>HOUR(TB[[#This Row],[时间戳]])</f>
        <v>0</v>
      </c>
      <c r="K3994">
        <v>5888</v>
      </c>
      <c r="L3994">
        <v>1</v>
      </c>
      <c r="M3994">
        <f>TB[[#This Row],[售价]]*TB[[#This Row],[销量]]</f>
        <v>5888</v>
      </c>
      <c r="N3994" t="str">
        <f>IF(TB[[#This Row],[售价]]&lt;1000,"低价商品",IF(TB[[#This Row],[售价]]&lt;5000,"中价商品",IF(TB[[#This Row],[售价]]&lt;10000,"高价商品","超高价商品")))</f>
        <v>高价商品</v>
      </c>
    </row>
    <row r="3995" spans="1:14" x14ac:dyDescent="0.2">
      <c r="A3995">
        <v>578</v>
      </c>
      <c r="B3995">
        <v>138</v>
      </c>
      <c r="C3995" t="s">
        <v>17</v>
      </c>
      <c r="D3995" t="s">
        <v>75</v>
      </c>
      <c r="E3995" t="s">
        <v>12</v>
      </c>
      <c r="F3995">
        <v>2</v>
      </c>
      <c r="G3995" t="s">
        <v>13</v>
      </c>
      <c r="H3995" s="1">
        <v>46004.026388888888</v>
      </c>
      <c r="I3995" s="5">
        <f>INT(TB[[#This Row],[时间戳]])</f>
        <v>46004</v>
      </c>
      <c r="J3995" s="2">
        <f>HOUR(TB[[#This Row],[时间戳]])</f>
        <v>0</v>
      </c>
      <c r="K3995">
        <v>10097</v>
      </c>
      <c r="L3995">
        <v>2</v>
      </c>
      <c r="M3995">
        <f>TB[[#This Row],[售价]]*TB[[#This Row],[销量]]</f>
        <v>20194</v>
      </c>
      <c r="N3995" t="str">
        <f>IF(TB[[#This Row],[售价]]&lt;1000,"低价商品",IF(TB[[#This Row],[售价]]&lt;5000,"中价商品",IF(TB[[#This Row],[售价]]&lt;10000,"高价商品","超高价商品")))</f>
        <v>超高价商品</v>
      </c>
    </row>
    <row r="3996" spans="1:14" x14ac:dyDescent="0.2">
      <c r="A3996">
        <v>601</v>
      </c>
      <c r="B3996">
        <v>138</v>
      </c>
      <c r="C3996" t="s">
        <v>44</v>
      </c>
      <c r="D3996" t="s">
        <v>163</v>
      </c>
      <c r="E3996" t="s">
        <v>12</v>
      </c>
      <c r="F3996">
        <v>2</v>
      </c>
      <c r="G3996" t="s">
        <v>42</v>
      </c>
      <c r="H3996" s="1">
        <v>46004.038888888892</v>
      </c>
      <c r="I3996" s="5">
        <f>INT(TB[[#This Row],[时间戳]])</f>
        <v>46004</v>
      </c>
      <c r="J3996" s="2">
        <f>HOUR(TB[[#This Row],[时间戳]])</f>
        <v>0</v>
      </c>
      <c r="K3996">
        <v>12150</v>
      </c>
      <c r="L3996">
        <v>0</v>
      </c>
      <c r="M3996">
        <f>TB[[#This Row],[售价]]*TB[[#This Row],[销量]]</f>
        <v>0</v>
      </c>
      <c r="N3996" t="str">
        <f>IF(TB[[#This Row],[售价]]&lt;1000,"低价商品",IF(TB[[#This Row],[售价]]&lt;5000,"中价商品",IF(TB[[#This Row],[售价]]&lt;10000,"高价商品","超高价商品")))</f>
        <v>超高价商品</v>
      </c>
    </row>
    <row r="3997" spans="1:14" x14ac:dyDescent="0.2">
      <c r="A3997">
        <v>448</v>
      </c>
      <c r="B3997">
        <v>190</v>
      </c>
      <c r="C3997" t="s">
        <v>34</v>
      </c>
      <c r="D3997" t="s">
        <v>35</v>
      </c>
      <c r="E3997" t="s">
        <v>19</v>
      </c>
      <c r="F3997">
        <v>3</v>
      </c>
      <c r="G3997" t="s">
        <v>13</v>
      </c>
      <c r="H3997" s="1">
        <v>46004.05</v>
      </c>
      <c r="I3997" s="5">
        <f>INT(TB[[#This Row],[时间戳]])</f>
        <v>46004</v>
      </c>
      <c r="J3997" s="2">
        <f>HOUR(TB[[#This Row],[时间戳]])</f>
        <v>1</v>
      </c>
      <c r="K3997">
        <v>4150</v>
      </c>
      <c r="L3997">
        <v>2</v>
      </c>
      <c r="M3997">
        <f>TB[[#This Row],[售价]]*TB[[#This Row],[销量]]</f>
        <v>8300</v>
      </c>
      <c r="N3997" t="str">
        <f>IF(TB[[#This Row],[售价]]&lt;1000,"低价商品",IF(TB[[#This Row],[售价]]&lt;5000,"中价商品",IF(TB[[#This Row],[售价]]&lt;10000,"高价商品","超高价商品")))</f>
        <v>中价商品</v>
      </c>
    </row>
    <row r="3998" spans="1:14" x14ac:dyDescent="0.2">
      <c r="A3998">
        <v>396</v>
      </c>
      <c r="B3998">
        <v>258</v>
      </c>
      <c r="C3998" t="s">
        <v>36</v>
      </c>
      <c r="D3998" t="s">
        <v>83</v>
      </c>
      <c r="E3998" t="s">
        <v>22</v>
      </c>
      <c r="F3998">
        <v>1</v>
      </c>
      <c r="G3998" t="s">
        <v>13</v>
      </c>
      <c r="H3998" s="1">
        <v>46004.057638888888</v>
      </c>
      <c r="I3998" s="5">
        <f>INT(TB[[#This Row],[时间戳]])</f>
        <v>46004</v>
      </c>
      <c r="J3998" s="2">
        <f>HOUR(TB[[#This Row],[时间戳]])</f>
        <v>1</v>
      </c>
      <c r="K3998">
        <v>5663</v>
      </c>
      <c r="L3998">
        <v>3</v>
      </c>
      <c r="M3998">
        <f>TB[[#This Row],[售价]]*TB[[#This Row],[销量]]</f>
        <v>16989</v>
      </c>
      <c r="N3998" t="str">
        <f>IF(TB[[#This Row],[售价]]&lt;1000,"低价商品",IF(TB[[#This Row],[售价]]&lt;5000,"中价商品",IF(TB[[#This Row],[售价]]&lt;10000,"高价商品","超高价商品")))</f>
        <v>高价商品</v>
      </c>
    </row>
    <row r="3999" spans="1:14" x14ac:dyDescent="0.2">
      <c r="A3999">
        <v>288</v>
      </c>
      <c r="B3999">
        <v>65</v>
      </c>
      <c r="C3999" t="s">
        <v>17</v>
      </c>
      <c r="D3999" t="s">
        <v>61</v>
      </c>
      <c r="E3999" t="s">
        <v>31</v>
      </c>
      <c r="F3999">
        <v>4</v>
      </c>
      <c r="G3999" t="s">
        <v>13</v>
      </c>
      <c r="H3999" s="1">
        <v>46004.066666666666</v>
      </c>
      <c r="I3999" s="5">
        <f>INT(TB[[#This Row],[时间戳]])</f>
        <v>46004</v>
      </c>
      <c r="J3999" s="2">
        <f>HOUR(TB[[#This Row],[时间戳]])</f>
        <v>1</v>
      </c>
      <c r="K3999">
        <v>664</v>
      </c>
      <c r="L3999">
        <v>2</v>
      </c>
      <c r="M3999">
        <f>TB[[#This Row],[售价]]*TB[[#This Row],[销量]]</f>
        <v>1328</v>
      </c>
      <c r="N3999" t="str">
        <f>IF(TB[[#This Row],[售价]]&lt;1000,"低价商品",IF(TB[[#This Row],[售价]]&lt;5000,"中价商品",IF(TB[[#This Row],[售价]]&lt;10000,"高价商品","超高价商品")))</f>
        <v>低价商品</v>
      </c>
    </row>
    <row r="4000" spans="1:14" x14ac:dyDescent="0.2">
      <c r="A4000">
        <v>379</v>
      </c>
      <c r="B4000">
        <v>12</v>
      </c>
      <c r="C4000" t="s">
        <v>34</v>
      </c>
      <c r="D4000" t="s">
        <v>248</v>
      </c>
      <c r="E4000" t="s">
        <v>22</v>
      </c>
      <c r="F4000">
        <v>1</v>
      </c>
      <c r="G4000" t="s">
        <v>42</v>
      </c>
      <c r="H4000" s="1">
        <v>46004.080555555556</v>
      </c>
      <c r="I4000" s="5">
        <f>INT(TB[[#This Row],[时间戳]])</f>
        <v>46004</v>
      </c>
      <c r="J4000" s="2">
        <f>HOUR(TB[[#This Row],[时间戳]])</f>
        <v>1</v>
      </c>
      <c r="K4000">
        <v>1537</v>
      </c>
      <c r="L4000">
        <v>0</v>
      </c>
      <c r="M4000">
        <f>TB[[#This Row],[售价]]*TB[[#This Row],[销量]]</f>
        <v>0</v>
      </c>
      <c r="N4000" t="str">
        <f>IF(TB[[#This Row],[售价]]&lt;1000,"低价商品",IF(TB[[#This Row],[售价]]&lt;5000,"中价商品",IF(TB[[#This Row],[售价]]&lt;10000,"高价商品","超高价商品")))</f>
        <v>中价商品</v>
      </c>
    </row>
    <row r="4001" spans="1:14" x14ac:dyDescent="0.2">
      <c r="A4001">
        <v>341</v>
      </c>
      <c r="B4001">
        <v>157</v>
      </c>
      <c r="C4001" t="s">
        <v>10</v>
      </c>
      <c r="D4001" t="s">
        <v>278</v>
      </c>
      <c r="E4001" t="s">
        <v>19</v>
      </c>
      <c r="F4001">
        <v>3</v>
      </c>
      <c r="G4001" t="s">
        <v>13</v>
      </c>
      <c r="H4001" s="1">
        <v>46004.084027777775</v>
      </c>
      <c r="I4001" s="5">
        <f>INT(TB[[#This Row],[时间戳]])</f>
        <v>46004</v>
      </c>
      <c r="J4001" s="2">
        <f>HOUR(TB[[#This Row],[时间戳]])</f>
        <v>2</v>
      </c>
      <c r="K4001">
        <v>6000</v>
      </c>
      <c r="L4001">
        <v>2</v>
      </c>
      <c r="M4001">
        <f>TB[[#This Row],[售价]]*TB[[#This Row],[销量]]</f>
        <v>12000</v>
      </c>
      <c r="N4001" t="str">
        <f>IF(TB[[#This Row],[售价]]&lt;1000,"低价商品",IF(TB[[#This Row],[售价]]&lt;5000,"中价商品",IF(TB[[#This Row],[售价]]&lt;10000,"高价商品","超高价商品")))</f>
        <v>高价商品</v>
      </c>
    </row>
    <row r="4002" spans="1:14" x14ac:dyDescent="0.2">
      <c r="A4002">
        <v>779</v>
      </c>
      <c r="B4002">
        <v>205</v>
      </c>
      <c r="C4002" t="s">
        <v>34</v>
      </c>
      <c r="D4002" t="s">
        <v>323</v>
      </c>
      <c r="E4002" t="s">
        <v>39</v>
      </c>
      <c r="F4002">
        <v>5</v>
      </c>
      <c r="G4002" t="s">
        <v>13</v>
      </c>
      <c r="H4002" s="1">
        <v>46004.099305555559</v>
      </c>
      <c r="I4002" s="5">
        <f>INT(TB[[#This Row],[时间戳]])</f>
        <v>46004</v>
      </c>
      <c r="J4002" s="2">
        <f>HOUR(TB[[#This Row],[时间戳]])</f>
        <v>2</v>
      </c>
      <c r="K4002">
        <v>2724</v>
      </c>
      <c r="L4002">
        <v>1</v>
      </c>
      <c r="M4002">
        <f>TB[[#This Row],[售价]]*TB[[#This Row],[销量]]</f>
        <v>2724</v>
      </c>
      <c r="N4002" t="str">
        <f>IF(TB[[#This Row],[售价]]&lt;1000,"低价商品",IF(TB[[#This Row],[售价]]&lt;5000,"中价商品",IF(TB[[#This Row],[售价]]&lt;10000,"高价商品","超高价商品")))</f>
        <v>中价商品</v>
      </c>
    </row>
    <row r="4003" spans="1:14" x14ac:dyDescent="0.2">
      <c r="A4003">
        <v>590</v>
      </c>
      <c r="B4003">
        <v>196</v>
      </c>
      <c r="C4003" t="s">
        <v>34</v>
      </c>
      <c r="D4003" t="s">
        <v>290</v>
      </c>
      <c r="E4003" t="s">
        <v>25</v>
      </c>
      <c r="F4003">
        <v>7</v>
      </c>
      <c r="G4003" t="s">
        <v>13</v>
      </c>
      <c r="H4003" s="1">
        <v>46004.129166666666</v>
      </c>
      <c r="I4003" s="5">
        <f>INT(TB[[#This Row],[时间戳]])</f>
        <v>46004</v>
      </c>
      <c r="J4003" s="2">
        <f>HOUR(TB[[#This Row],[时间戳]])</f>
        <v>3</v>
      </c>
      <c r="K4003">
        <v>6254</v>
      </c>
      <c r="L4003">
        <v>1</v>
      </c>
      <c r="M4003">
        <f>TB[[#This Row],[售价]]*TB[[#This Row],[销量]]</f>
        <v>6254</v>
      </c>
      <c r="N4003" t="str">
        <f>IF(TB[[#This Row],[售价]]&lt;1000,"低价商品",IF(TB[[#This Row],[售价]]&lt;5000,"中价商品",IF(TB[[#This Row],[售价]]&lt;10000,"高价商品","超高价商品")))</f>
        <v>高价商品</v>
      </c>
    </row>
    <row r="4004" spans="1:14" x14ac:dyDescent="0.2">
      <c r="A4004">
        <v>116</v>
      </c>
      <c r="B4004">
        <v>123</v>
      </c>
      <c r="C4004" t="s">
        <v>44</v>
      </c>
      <c r="D4004" t="s">
        <v>76</v>
      </c>
      <c r="E4004" t="s">
        <v>31</v>
      </c>
      <c r="F4004">
        <v>4</v>
      </c>
      <c r="G4004" t="s">
        <v>13</v>
      </c>
      <c r="H4004" s="1">
        <v>46004.155555555553</v>
      </c>
      <c r="I4004" s="5">
        <f>INT(TB[[#This Row],[时间戳]])</f>
        <v>46004</v>
      </c>
      <c r="J4004" s="2">
        <f>HOUR(TB[[#This Row],[时间戳]])</f>
        <v>3</v>
      </c>
      <c r="K4004">
        <v>817</v>
      </c>
      <c r="L4004">
        <v>3</v>
      </c>
      <c r="M4004">
        <f>TB[[#This Row],[售价]]*TB[[#This Row],[销量]]</f>
        <v>2451</v>
      </c>
      <c r="N4004" t="str">
        <f>IF(TB[[#This Row],[售价]]&lt;1000,"低价商品",IF(TB[[#This Row],[售价]]&lt;5000,"中价商品",IF(TB[[#This Row],[售价]]&lt;10000,"高价商品","超高价商品")))</f>
        <v>低价商品</v>
      </c>
    </row>
    <row r="4005" spans="1:14" x14ac:dyDescent="0.2">
      <c r="A4005">
        <v>246</v>
      </c>
      <c r="B4005">
        <v>189</v>
      </c>
      <c r="C4005" t="s">
        <v>36</v>
      </c>
      <c r="D4005" t="s">
        <v>153</v>
      </c>
      <c r="E4005" t="s">
        <v>31</v>
      </c>
      <c r="F4005">
        <v>4</v>
      </c>
      <c r="G4005" t="s">
        <v>13</v>
      </c>
      <c r="H4005" s="1">
        <v>46004.15902777778</v>
      </c>
      <c r="I4005" s="5">
        <f>INT(TB[[#This Row],[时间戳]])</f>
        <v>46004</v>
      </c>
      <c r="J4005" s="2">
        <f>HOUR(TB[[#This Row],[时间戳]])</f>
        <v>3</v>
      </c>
      <c r="K4005">
        <v>109</v>
      </c>
      <c r="L4005">
        <v>2</v>
      </c>
      <c r="M4005">
        <f>TB[[#This Row],[售价]]*TB[[#This Row],[销量]]</f>
        <v>218</v>
      </c>
      <c r="N4005" t="str">
        <f>IF(TB[[#This Row],[售价]]&lt;1000,"低价商品",IF(TB[[#This Row],[售价]]&lt;5000,"中价商品",IF(TB[[#This Row],[售价]]&lt;10000,"高价商品","超高价商品")))</f>
        <v>低价商品</v>
      </c>
    </row>
    <row r="4006" spans="1:14" x14ac:dyDescent="0.2">
      <c r="A4006">
        <v>273</v>
      </c>
      <c r="B4006">
        <v>93</v>
      </c>
      <c r="C4006" t="s">
        <v>46</v>
      </c>
      <c r="D4006" t="s">
        <v>80</v>
      </c>
      <c r="E4006" t="s">
        <v>22</v>
      </c>
      <c r="F4006">
        <v>1</v>
      </c>
      <c r="G4006" t="s">
        <v>13</v>
      </c>
      <c r="H4006" s="1">
        <v>46004.161805555559</v>
      </c>
      <c r="I4006" s="5">
        <f>INT(TB[[#This Row],[时间戳]])</f>
        <v>46004</v>
      </c>
      <c r="J4006" s="2">
        <f>HOUR(TB[[#This Row],[时间戳]])</f>
        <v>3</v>
      </c>
      <c r="K4006">
        <v>7531</v>
      </c>
      <c r="L4006">
        <v>3</v>
      </c>
      <c r="M4006">
        <f>TB[[#This Row],[售价]]*TB[[#This Row],[销量]]</f>
        <v>22593</v>
      </c>
      <c r="N4006" t="str">
        <f>IF(TB[[#This Row],[售价]]&lt;1000,"低价商品",IF(TB[[#This Row],[售价]]&lt;5000,"中价商品",IF(TB[[#This Row],[售价]]&lt;10000,"高价商品","超高价商品")))</f>
        <v>高价商品</v>
      </c>
    </row>
    <row r="4007" spans="1:14" x14ac:dyDescent="0.2">
      <c r="A4007">
        <v>684</v>
      </c>
      <c r="B4007">
        <v>136</v>
      </c>
      <c r="C4007" t="s">
        <v>36</v>
      </c>
      <c r="D4007" t="s">
        <v>386</v>
      </c>
      <c r="E4007" t="s">
        <v>22</v>
      </c>
      <c r="F4007">
        <v>1</v>
      </c>
      <c r="G4007" t="s">
        <v>13</v>
      </c>
      <c r="H4007" s="1">
        <v>46004.167361111111</v>
      </c>
      <c r="I4007" s="5">
        <f>INT(TB[[#This Row],[时间戳]])</f>
        <v>46004</v>
      </c>
      <c r="J4007" s="2">
        <f>HOUR(TB[[#This Row],[时间戳]])</f>
        <v>4</v>
      </c>
      <c r="K4007">
        <v>4014</v>
      </c>
      <c r="L4007">
        <v>1</v>
      </c>
      <c r="M4007">
        <f>TB[[#This Row],[售价]]*TB[[#This Row],[销量]]</f>
        <v>4014</v>
      </c>
      <c r="N4007" t="str">
        <f>IF(TB[[#This Row],[售价]]&lt;1000,"低价商品",IF(TB[[#This Row],[售价]]&lt;5000,"中价商品",IF(TB[[#This Row],[售价]]&lt;10000,"高价商品","超高价商品")))</f>
        <v>中价商品</v>
      </c>
    </row>
    <row r="4008" spans="1:14" x14ac:dyDescent="0.2">
      <c r="A4008">
        <v>254</v>
      </c>
      <c r="B4008">
        <v>81</v>
      </c>
      <c r="C4008" t="s">
        <v>46</v>
      </c>
      <c r="D4008" t="s">
        <v>135</v>
      </c>
      <c r="E4008" t="s">
        <v>22</v>
      </c>
      <c r="F4008">
        <v>1</v>
      </c>
      <c r="G4008" t="s">
        <v>13</v>
      </c>
      <c r="H4008" s="1">
        <v>46004.175694444442</v>
      </c>
      <c r="I4008" s="5">
        <f>INT(TB[[#This Row],[时间戳]])</f>
        <v>46004</v>
      </c>
      <c r="J4008" s="2">
        <f>HOUR(TB[[#This Row],[时间戳]])</f>
        <v>4</v>
      </c>
      <c r="K4008">
        <v>6408</v>
      </c>
      <c r="L4008">
        <v>4</v>
      </c>
      <c r="M4008">
        <f>TB[[#This Row],[售价]]*TB[[#This Row],[销量]]</f>
        <v>25632</v>
      </c>
      <c r="N4008" t="str">
        <f>IF(TB[[#This Row],[售价]]&lt;1000,"低价商品",IF(TB[[#This Row],[售价]]&lt;5000,"中价商品",IF(TB[[#This Row],[售价]]&lt;10000,"高价商品","超高价商品")))</f>
        <v>高价商品</v>
      </c>
    </row>
    <row r="4009" spans="1:14" x14ac:dyDescent="0.2">
      <c r="A4009">
        <v>317</v>
      </c>
      <c r="B4009">
        <v>110</v>
      </c>
      <c r="C4009" t="s">
        <v>36</v>
      </c>
      <c r="D4009" t="s">
        <v>377</v>
      </c>
      <c r="E4009" t="s">
        <v>12</v>
      </c>
      <c r="F4009">
        <v>2</v>
      </c>
      <c r="G4009" t="s">
        <v>42</v>
      </c>
      <c r="H4009" s="1">
        <v>46004.185416666667</v>
      </c>
      <c r="I4009" s="5">
        <f>INT(TB[[#This Row],[时间戳]])</f>
        <v>46004</v>
      </c>
      <c r="J4009" s="2">
        <f>HOUR(TB[[#This Row],[时间戳]])</f>
        <v>4</v>
      </c>
      <c r="K4009">
        <v>10665</v>
      </c>
      <c r="L4009">
        <v>0</v>
      </c>
      <c r="M4009">
        <f>TB[[#This Row],[售价]]*TB[[#This Row],[销量]]</f>
        <v>0</v>
      </c>
      <c r="N4009" t="str">
        <f>IF(TB[[#This Row],[售价]]&lt;1000,"低价商品",IF(TB[[#This Row],[售价]]&lt;5000,"中价商品",IF(TB[[#This Row],[售价]]&lt;10000,"高价商品","超高价商品")))</f>
        <v>超高价商品</v>
      </c>
    </row>
    <row r="4010" spans="1:14" x14ac:dyDescent="0.2">
      <c r="A4010">
        <v>423</v>
      </c>
      <c r="B4010">
        <v>113</v>
      </c>
      <c r="C4010" t="s">
        <v>44</v>
      </c>
      <c r="D4010" t="s">
        <v>250</v>
      </c>
      <c r="E4010" t="s">
        <v>25</v>
      </c>
      <c r="F4010">
        <v>7</v>
      </c>
      <c r="G4010" t="s">
        <v>13</v>
      </c>
      <c r="H4010" s="1">
        <v>46004.206250000003</v>
      </c>
      <c r="I4010" s="5">
        <f>INT(TB[[#This Row],[时间戳]])</f>
        <v>46004</v>
      </c>
      <c r="J4010" s="2">
        <f>HOUR(TB[[#This Row],[时间戳]])</f>
        <v>4</v>
      </c>
      <c r="K4010">
        <v>7213</v>
      </c>
      <c r="L4010">
        <v>1</v>
      </c>
      <c r="M4010">
        <f>TB[[#This Row],[售价]]*TB[[#This Row],[销量]]</f>
        <v>7213</v>
      </c>
      <c r="N4010" t="str">
        <f>IF(TB[[#This Row],[售价]]&lt;1000,"低价商品",IF(TB[[#This Row],[售价]]&lt;5000,"中价商品",IF(TB[[#This Row],[售价]]&lt;10000,"高价商品","超高价商品")))</f>
        <v>高价商品</v>
      </c>
    </row>
    <row r="4011" spans="1:14" x14ac:dyDescent="0.2">
      <c r="A4011">
        <v>107</v>
      </c>
      <c r="B4011">
        <v>10</v>
      </c>
      <c r="C4011" t="s">
        <v>44</v>
      </c>
      <c r="D4011" t="s">
        <v>415</v>
      </c>
      <c r="E4011" t="s">
        <v>39</v>
      </c>
      <c r="F4011">
        <v>5</v>
      </c>
      <c r="G4011" t="s">
        <v>13</v>
      </c>
      <c r="H4011" s="1">
        <v>46004.207638888889</v>
      </c>
      <c r="I4011" s="5">
        <f>INT(TB[[#This Row],[时间戳]])</f>
        <v>46004</v>
      </c>
      <c r="J4011" s="2">
        <f>HOUR(TB[[#This Row],[时间戳]])</f>
        <v>4</v>
      </c>
      <c r="K4011">
        <v>3688</v>
      </c>
      <c r="L4011">
        <v>3</v>
      </c>
      <c r="M4011">
        <f>TB[[#This Row],[售价]]*TB[[#This Row],[销量]]</f>
        <v>11064</v>
      </c>
      <c r="N4011" t="str">
        <f>IF(TB[[#This Row],[售价]]&lt;1000,"低价商品",IF(TB[[#This Row],[售价]]&lt;5000,"中价商品",IF(TB[[#This Row],[售价]]&lt;10000,"高价商品","超高价商品")))</f>
        <v>中价商品</v>
      </c>
    </row>
    <row r="4012" spans="1:14" x14ac:dyDescent="0.2">
      <c r="A4012">
        <v>544</v>
      </c>
      <c r="B4012">
        <v>183</v>
      </c>
      <c r="C4012" t="s">
        <v>14</v>
      </c>
      <c r="D4012" t="s">
        <v>207</v>
      </c>
      <c r="E4012" t="s">
        <v>25</v>
      </c>
      <c r="F4012">
        <v>7</v>
      </c>
      <c r="G4012" t="s">
        <v>42</v>
      </c>
      <c r="H4012" s="1">
        <v>46004.208333333336</v>
      </c>
      <c r="I4012" s="5">
        <f>INT(TB[[#This Row],[时间戳]])</f>
        <v>46004</v>
      </c>
      <c r="J4012" s="2">
        <f>HOUR(TB[[#This Row],[时间戳]])</f>
        <v>5</v>
      </c>
      <c r="K4012">
        <v>1818</v>
      </c>
      <c r="L4012">
        <v>0</v>
      </c>
      <c r="M4012">
        <f>TB[[#This Row],[售价]]*TB[[#This Row],[销量]]</f>
        <v>0</v>
      </c>
      <c r="N4012" t="str">
        <f>IF(TB[[#This Row],[售价]]&lt;1000,"低价商品",IF(TB[[#This Row],[售价]]&lt;5000,"中价商品",IF(TB[[#This Row],[售价]]&lt;10000,"高价商品","超高价商品")))</f>
        <v>中价商品</v>
      </c>
    </row>
    <row r="4013" spans="1:14" x14ac:dyDescent="0.2">
      <c r="A4013">
        <v>378</v>
      </c>
      <c r="B4013">
        <v>282</v>
      </c>
      <c r="C4013" t="s">
        <v>14</v>
      </c>
      <c r="D4013" t="s">
        <v>349</v>
      </c>
      <c r="E4013" t="s">
        <v>25</v>
      </c>
      <c r="F4013">
        <v>7</v>
      </c>
      <c r="G4013" t="s">
        <v>13</v>
      </c>
      <c r="H4013" s="1">
        <v>46004.217361111114</v>
      </c>
      <c r="I4013" s="5">
        <f>INT(TB[[#This Row],[时间戳]])</f>
        <v>46004</v>
      </c>
      <c r="J4013" s="2">
        <f>HOUR(TB[[#This Row],[时间戳]])</f>
        <v>5</v>
      </c>
      <c r="K4013">
        <v>2740</v>
      </c>
      <c r="L4013">
        <v>1</v>
      </c>
      <c r="M4013">
        <f>TB[[#This Row],[售价]]*TB[[#This Row],[销量]]</f>
        <v>2740</v>
      </c>
      <c r="N4013" t="str">
        <f>IF(TB[[#This Row],[售价]]&lt;1000,"低价商品",IF(TB[[#This Row],[售价]]&lt;5000,"中价商品",IF(TB[[#This Row],[售价]]&lt;10000,"高价商品","超高价商品")))</f>
        <v>中价商品</v>
      </c>
    </row>
    <row r="4014" spans="1:14" x14ac:dyDescent="0.2">
      <c r="A4014">
        <v>326</v>
      </c>
      <c r="B4014">
        <v>81</v>
      </c>
      <c r="C4014" t="s">
        <v>20</v>
      </c>
      <c r="D4014" t="s">
        <v>85</v>
      </c>
      <c r="E4014" t="s">
        <v>31</v>
      </c>
      <c r="F4014">
        <v>4</v>
      </c>
      <c r="G4014" t="s">
        <v>13</v>
      </c>
      <c r="H4014" s="1">
        <v>46004.239583333336</v>
      </c>
      <c r="I4014" s="5">
        <f>INT(TB[[#This Row],[时间戳]])</f>
        <v>46004</v>
      </c>
      <c r="J4014" s="2">
        <f>HOUR(TB[[#This Row],[时间戳]])</f>
        <v>5</v>
      </c>
      <c r="K4014">
        <v>811</v>
      </c>
      <c r="L4014">
        <v>1</v>
      </c>
      <c r="M4014">
        <f>TB[[#This Row],[售价]]*TB[[#This Row],[销量]]</f>
        <v>811</v>
      </c>
      <c r="N4014" t="str">
        <f>IF(TB[[#This Row],[售价]]&lt;1000,"低价商品",IF(TB[[#This Row],[售价]]&lt;5000,"中价商品",IF(TB[[#This Row],[售价]]&lt;10000,"高价商品","超高价商品")))</f>
        <v>低价商品</v>
      </c>
    </row>
    <row r="4015" spans="1:14" x14ac:dyDescent="0.2">
      <c r="A4015">
        <v>444</v>
      </c>
      <c r="B4015">
        <v>259</v>
      </c>
      <c r="C4015" t="s">
        <v>36</v>
      </c>
      <c r="D4015" t="s">
        <v>317</v>
      </c>
      <c r="E4015" t="s">
        <v>19</v>
      </c>
      <c r="F4015">
        <v>3</v>
      </c>
      <c r="G4015" t="s">
        <v>13</v>
      </c>
      <c r="H4015" s="1">
        <v>46004.243055555555</v>
      </c>
      <c r="I4015" s="5">
        <f>INT(TB[[#This Row],[时间戳]])</f>
        <v>46004</v>
      </c>
      <c r="J4015" s="2">
        <f>HOUR(TB[[#This Row],[时间戳]])</f>
        <v>5</v>
      </c>
      <c r="K4015">
        <v>3198</v>
      </c>
      <c r="L4015">
        <v>1</v>
      </c>
      <c r="M4015">
        <f>TB[[#This Row],[售价]]*TB[[#This Row],[销量]]</f>
        <v>3198</v>
      </c>
      <c r="N4015" t="str">
        <f>IF(TB[[#This Row],[售价]]&lt;1000,"低价商品",IF(TB[[#This Row],[售价]]&lt;5000,"中价商品",IF(TB[[#This Row],[售价]]&lt;10000,"高价商品","超高价商品")))</f>
        <v>中价商品</v>
      </c>
    </row>
    <row r="4016" spans="1:14" x14ac:dyDescent="0.2">
      <c r="A4016">
        <v>667</v>
      </c>
      <c r="B4016">
        <v>256</v>
      </c>
      <c r="C4016" t="s">
        <v>36</v>
      </c>
      <c r="D4016" t="s">
        <v>264</v>
      </c>
      <c r="E4016" t="s">
        <v>12</v>
      </c>
      <c r="F4016">
        <v>2</v>
      </c>
      <c r="G4016" t="s">
        <v>13</v>
      </c>
      <c r="H4016" s="1">
        <v>46004.261805555558</v>
      </c>
      <c r="I4016" s="5">
        <f>INT(TB[[#This Row],[时间戳]])</f>
        <v>46004</v>
      </c>
      <c r="J4016" s="2">
        <f>HOUR(TB[[#This Row],[时间戳]])</f>
        <v>6</v>
      </c>
      <c r="K4016">
        <v>11479</v>
      </c>
      <c r="L4016">
        <v>3</v>
      </c>
      <c r="M4016">
        <f>TB[[#This Row],[售价]]*TB[[#This Row],[销量]]</f>
        <v>34437</v>
      </c>
      <c r="N4016" t="str">
        <f>IF(TB[[#This Row],[售价]]&lt;1000,"低价商品",IF(TB[[#This Row],[售价]]&lt;5000,"中价商品",IF(TB[[#This Row],[售价]]&lt;10000,"高价商品","超高价商品")))</f>
        <v>超高价商品</v>
      </c>
    </row>
    <row r="4017" spans="1:14" x14ac:dyDescent="0.2">
      <c r="A4017">
        <v>659</v>
      </c>
      <c r="B4017">
        <v>84</v>
      </c>
      <c r="C4017" t="s">
        <v>44</v>
      </c>
      <c r="D4017" t="s">
        <v>416</v>
      </c>
      <c r="E4017" t="s">
        <v>25</v>
      </c>
      <c r="F4017">
        <v>7</v>
      </c>
      <c r="G4017" t="s">
        <v>13</v>
      </c>
      <c r="H4017" s="1">
        <v>46004.267361111109</v>
      </c>
      <c r="I4017" s="5">
        <f>INT(TB[[#This Row],[时间戳]])</f>
        <v>46004</v>
      </c>
      <c r="J4017" s="2">
        <f>HOUR(TB[[#This Row],[时间戳]])</f>
        <v>6</v>
      </c>
      <c r="K4017">
        <v>1755</v>
      </c>
      <c r="L4017">
        <v>4</v>
      </c>
      <c r="M4017">
        <f>TB[[#This Row],[售价]]*TB[[#This Row],[销量]]</f>
        <v>7020</v>
      </c>
      <c r="N4017" t="str">
        <f>IF(TB[[#This Row],[售价]]&lt;1000,"低价商品",IF(TB[[#This Row],[售价]]&lt;5000,"中价商品",IF(TB[[#This Row],[售价]]&lt;10000,"高价商品","超高价商品")))</f>
        <v>中价商品</v>
      </c>
    </row>
    <row r="4018" spans="1:14" x14ac:dyDescent="0.2">
      <c r="A4018">
        <v>542</v>
      </c>
      <c r="B4018">
        <v>211</v>
      </c>
      <c r="C4018" t="s">
        <v>10</v>
      </c>
      <c r="D4018" t="s">
        <v>373</v>
      </c>
      <c r="E4018" t="s">
        <v>25</v>
      </c>
      <c r="F4018">
        <v>7</v>
      </c>
      <c r="G4018" t="s">
        <v>42</v>
      </c>
      <c r="H4018" s="1">
        <v>46004.307638888888</v>
      </c>
      <c r="I4018" s="5">
        <f>INT(TB[[#This Row],[时间戳]])</f>
        <v>46004</v>
      </c>
      <c r="J4018" s="2">
        <f>HOUR(TB[[#This Row],[时间戳]])</f>
        <v>7</v>
      </c>
      <c r="K4018">
        <v>6955</v>
      </c>
      <c r="L4018">
        <v>0</v>
      </c>
      <c r="M4018">
        <f>TB[[#This Row],[售价]]*TB[[#This Row],[销量]]</f>
        <v>0</v>
      </c>
      <c r="N4018" t="str">
        <f>IF(TB[[#This Row],[售价]]&lt;1000,"低价商品",IF(TB[[#This Row],[售价]]&lt;5000,"中价商品",IF(TB[[#This Row],[售价]]&lt;10000,"高价商品","超高价商品")))</f>
        <v>高价商品</v>
      </c>
    </row>
    <row r="4019" spans="1:14" x14ac:dyDescent="0.2">
      <c r="A4019">
        <v>456</v>
      </c>
      <c r="B4019">
        <v>237</v>
      </c>
      <c r="C4019" t="s">
        <v>26</v>
      </c>
      <c r="D4019" t="s">
        <v>182</v>
      </c>
      <c r="E4019" t="s">
        <v>31</v>
      </c>
      <c r="F4019">
        <v>4</v>
      </c>
      <c r="G4019" t="s">
        <v>13</v>
      </c>
      <c r="H4019" s="1">
        <v>46004.349305555559</v>
      </c>
      <c r="I4019" s="5">
        <f>INT(TB[[#This Row],[时间戳]])</f>
        <v>46004</v>
      </c>
      <c r="J4019" s="2">
        <f>HOUR(TB[[#This Row],[时间戳]])</f>
        <v>8</v>
      </c>
      <c r="K4019">
        <v>928</v>
      </c>
      <c r="L4019">
        <v>1</v>
      </c>
      <c r="M4019">
        <f>TB[[#This Row],[售价]]*TB[[#This Row],[销量]]</f>
        <v>928</v>
      </c>
      <c r="N4019" t="str">
        <f>IF(TB[[#This Row],[售价]]&lt;1000,"低价商品",IF(TB[[#This Row],[售价]]&lt;5000,"中价商品",IF(TB[[#This Row],[售价]]&lt;10000,"高价商品","超高价商品")))</f>
        <v>低价商品</v>
      </c>
    </row>
    <row r="4020" spans="1:14" x14ac:dyDescent="0.2">
      <c r="A4020">
        <v>410</v>
      </c>
      <c r="B4020">
        <v>166</v>
      </c>
      <c r="C4020" t="s">
        <v>46</v>
      </c>
      <c r="D4020" t="s">
        <v>211</v>
      </c>
      <c r="E4020" t="s">
        <v>31</v>
      </c>
      <c r="F4020">
        <v>4</v>
      </c>
      <c r="G4020" t="s">
        <v>13</v>
      </c>
      <c r="H4020" s="1">
        <v>46004.355555555558</v>
      </c>
      <c r="I4020" s="5">
        <f>INT(TB[[#This Row],[时间戳]])</f>
        <v>46004</v>
      </c>
      <c r="J4020" s="2">
        <f>HOUR(TB[[#This Row],[时间戳]])</f>
        <v>8</v>
      </c>
      <c r="K4020">
        <v>844</v>
      </c>
      <c r="L4020">
        <v>3</v>
      </c>
      <c r="M4020">
        <f>TB[[#This Row],[售价]]*TB[[#This Row],[销量]]</f>
        <v>2532</v>
      </c>
      <c r="N4020" t="str">
        <f>IF(TB[[#This Row],[售价]]&lt;1000,"低价商品",IF(TB[[#This Row],[售价]]&lt;5000,"中价商品",IF(TB[[#This Row],[售价]]&lt;10000,"高价商品","超高价商品")))</f>
        <v>低价商品</v>
      </c>
    </row>
    <row r="4021" spans="1:14" x14ac:dyDescent="0.2">
      <c r="A4021">
        <v>4</v>
      </c>
      <c r="B4021">
        <v>58</v>
      </c>
      <c r="C4021" t="s">
        <v>32</v>
      </c>
      <c r="D4021" t="s">
        <v>176</v>
      </c>
      <c r="E4021" t="s">
        <v>22</v>
      </c>
      <c r="F4021">
        <v>1</v>
      </c>
      <c r="G4021" t="s">
        <v>13</v>
      </c>
      <c r="H4021" s="1">
        <v>46004.36041666667</v>
      </c>
      <c r="I4021" s="5">
        <f>INT(TB[[#This Row],[时间戳]])</f>
        <v>46004</v>
      </c>
      <c r="J4021" s="2">
        <f>HOUR(TB[[#This Row],[时间戳]])</f>
        <v>8</v>
      </c>
      <c r="K4021">
        <v>4227</v>
      </c>
      <c r="L4021">
        <v>1</v>
      </c>
      <c r="M4021">
        <f>TB[[#This Row],[售价]]*TB[[#This Row],[销量]]</f>
        <v>4227</v>
      </c>
      <c r="N4021" t="str">
        <f>IF(TB[[#This Row],[售价]]&lt;1000,"低价商品",IF(TB[[#This Row],[售价]]&lt;5000,"中价商品",IF(TB[[#This Row],[售价]]&lt;10000,"高价商品","超高价商品")))</f>
        <v>中价商品</v>
      </c>
    </row>
    <row r="4022" spans="1:14" x14ac:dyDescent="0.2">
      <c r="A4022">
        <v>718</v>
      </c>
      <c r="B4022">
        <v>183</v>
      </c>
      <c r="C4022" t="s">
        <v>10</v>
      </c>
      <c r="D4022" t="s">
        <v>68</v>
      </c>
      <c r="E4022" t="s">
        <v>22</v>
      </c>
      <c r="F4022">
        <v>1</v>
      </c>
      <c r="G4022" t="s">
        <v>13</v>
      </c>
      <c r="H4022" s="1">
        <v>46004.370138888888</v>
      </c>
      <c r="I4022" s="5">
        <f>INT(TB[[#This Row],[时间戳]])</f>
        <v>46004</v>
      </c>
      <c r="J4022" s="2">
        <f>HOUR(TB[[#This Row],[时间戳]])</f>
        <v>8</v>
      </c>
      <c r="K4022">
        <v>3113</v>
      </c>
      <c r="L4022">
        <v>3</v>
      </c>
      <c r="M4022">
        <f>TB[[#This Row],[售价]]*TB[[#This Row],[销量]]</f>
        <v>9339</v>
      </c>
      <c r="N4022" t="str">
        <f>IF(TB[[#This Row],[售价]]&lt;1000,"低价商品",IF(TB[[#This Row],[售价]]&lt;5000,"中价商品",IF(TB[[#This Row],[售价]]&lt;10000,"高价商品","超高价商品")))</f>
        <v>中价商品</v>
      </c>
    </row>
    <row r="4023" spans="1:14" x14ac:dyDescent="0.2">
      <c r="A4023">
        <v>26</v>
      </c>
      <c r="B4023">
        <v>189</v>
      </c>
      <c r="C4023" t="s">
        <v>20</v>
      </c>
      <c r="D4023" t="s">
        <v>319</v>
      </c>
      <c r="E4023" t="s">
        <v>31</v>
      </c>
      <c r="F4023">
        <v>4</v>
      </c>
      <c r="G4023" t="s">
        <v>13</v>
      </c>
      <c r="H4023" s="1">
        <v>46004.375</v>
      </c>
      <c r="I4023" s="5">
        <f>INT(TB[[#This Row],[时间戳]])</f>
        <v>46004</v>
      </c>
      <c r="J4023" s="2">
        <f>HOUR(TB[[#This Row],[时间戳]])</f>
        <v>9</v>
      </c>
      <c r="K4023">
        <v>386</v>
      </c>
      <c r="L4023">
        <v>2</v>
      </c>
      <c r="M4023">
        <f>TB[[#This Row],[售价]]*TB[[#This Row],[销量]]</f>
        <v>772</v>
      </c>
      <c r="N4023" t="str">
        <f>IF(TB[[#This Row],[售价]]&lt;1000,"低价商品",IF(TB[[#This Row],[售价]]&lt;5000,"中价商品",IF(TB[[#This Row],[售价]]&lt;10000,"高价商品","超高价商品")))</f>
        <v>低价商品</v>
      </c>
    </row>
    <row r="4024" spans="1:14" x14ac:dyDescent="0.2">
      <c r="A4024">
        <v>38</v>
      </c>
      <c r="B4024">
        <v>13</v>
      </c>
      <c r="C4024" t="s">
        <v>20</v>
      </c>
      <c r="D4024" t="s">
        <v>394</v>
      </c>
      <c r="E4024" t="s">
        <v>39</v>
      </c>
      <c r="F4024">
        <v>5</v>
      </c>
      <c r="G4024" t="s">
        <v>13</v>
      </c>
      <c r="H4024" s="1">
        <v>46004.395833333336</v>
      </c>
      <c r="I4024" s="5">
        <f>INT(TB[[#This Row],[时间戳]])</f>
        <v>46004</v>
      </c>
      <c r="J4024" s="2">
        <f>HOUR(TB[[#This Row],[时间戳]])</f>
        <v>9</v>
      </c>
      <c r="K4024">
        <v>2265</v>
      </c>
      <c r="L4024">
        <v>1</v>
      </c>
      <c r="M4024">
        <f>TB[[#This Row],[售价]]*TB[[#This Row],[销量]]</f>
        <v>2265</v>
      </c>
      <c r="N4024" t="str">
        <f>IF(TB[[#This Row],[售价]]&lt;1000,"低价商品",IF(TB[[#This Row],[售价]]&lt;5000,"中价商品",IF(TB[[#This Row],[售价]]&lt;10000,"高价商品","超高价商品")))</f>
        <v>中价商品</v>
      </c>
    </row>
    <row r="4025" spans="1:14" x14ac:dyDescent="0.2">
      <c r="A4025">
        <v>68</v>
      </c>
      <c r="B4025">
        <v>159</v>
      </c>
      <c r="C4025" t="s">
        <v>26</v>
      </c>
      <c r="D4025" t="s">
        <v>182</v>
      </c>
      <c r="E4025" t="s">
        <v>31</v>
      </c>
      <c r="F4025">
        <v>4</v>
      </c>
      <c r="G4025" t="s">
        <v>42</v>
      </c>
      <c r="H4025" s="1">
        <v>46004.427777777775</v>
      </c>
      <c r="I4025" s="5">
        <f>INT(TB[[#This Row],[时间戳]])</f>
        <v>46004</v>
      </c>
      <c r="J4025" s="2">
        <f>HOUR(TB[[#This Row],[时间戳]])</f>
        <v>10</v>
      </c>
      <c r="K4025">
        <v>408</v>
      </c>
      <c r="L4025">
        <v>0</v>
      </c>
      <c r="M4025">
        <f>TB[[#This Row],[售价]]*TB[[#This Row],[销量]]</f>
        <v>0</v>
      </c>
      <c r="N4025" t="str">
        <f>IF(TB[[#This Row],[售价]]&lt;1000,"低价商品",IF(TB[[#This Row],[售价]]&lt;5000,"中价商品",IF(TB[[#This Row],[售价]]&lt;10000,"高价商品","超高价商品")))</f>
        <v>低价商品</v>
      </c>
    </row>
    <row r="4026" spans="1:14" x14ac:dyDescent="0.2">
      <c r="A4026">
        <v>123</v>
      </c>
      <c r="B4026">
        <v>218</v>
      </c>
      <c r="C4026" t="s">
        <v>44</v>
      </c>
      <c r="D4026" t="s">
        <v>76</v>
      </c>
      <c r="E4026" t="s">
        <v>31</v>
      </c>
      <c r="F4026">
        <v>4</v>
      </c>
      <c r="G4026" t="s">
        <v>13</v>
      </c>
      <c r="H4026" s="1">
        <v>46004.448611111111</v>
      </c>
      <c r="I4026" s="5">
        <f>INT(TB[[#This Row],[时间戳]])</f>
        <v>46004</v>
      </c>
      <c r="J4026" s="2">
        <f>HOUR(TB[[#This Row],[时间戳]])</f>
        <v>10</v>
      </c>
      <c r="K4026">
        <v>394</v>
      </c>
      <c r="L4026">
        <v>3</v>
      </c>
      <c r="M4026">
        <f>TB[[#This Row],[售价]]*TB[[#This Row],[销量]]</f>
        <v>1182</v>
      </c>
      <c r="N4026" t="str">
        <f>IF(TB[[#This Row],[售价]]&lt;1000,"低价商品",IF(TB[[#This Row],[售价]]&lt;5000,"中价商品",IF(TB[[#This Row],[售价]]&lt;10000,"高价商品","超高价商品")))</f>
        <v>低价商品</v>
      </c>
    </row>
    <row r="4027" spans="1:14" x14ac:dyDescent="0.2">
      <c r="A4027">
        <v>588</v>
      </c>
      <c r="B4027">
        <v>64</v>
      </c>
      <c r="C4027" t="s">
        <v>36</v>
      </c>
      <c r="D4027" t="s">
        <v>318</v>
      </c>
      <c r="E4027" t="s">
        <v>16</v>
      </c>
      <c r="F4027">
        <v>6</v>
      </c>
      <c r="G4027" t="s">
        <v>13</v>
      </c>
      <c r="H4027" s="1">
        <v>46004.480555555558</v>
      </c>
      <c r="I4027" s="5">
        <f>INT(TB[[#This Row],[时间戳]])</f>
        <v>46004</v>
      </c>
      <c r="J4027" s="2">
        <f>HOUR(TB[[#This Row],[时间戳]])</f>
        <v>11</v>
      </c>
      <c r="K4027">
        <v>2542</v>
      </c>
      <c r="L4027">
        <v>2</v>
      </c>
      <c r="M4027">
        <f>TB[[#This Row],[售价]]*TB[[#This Row],[销量]]</f>
        <v>5084</v>
      </c>
      <c r="N4027" t="str">
        <f>IF(TB[[#This Row],[售价]]&lt;1000,"低价商品",IF(TB[[#This Row],[售价]]&lt;5000,"中价商品",IF(TB[[#This Row],[售价]]&lt;10000,"高价商品","超高价商品")))</f>
        <v>中价商品</v>
      </c>
    </row>
    <row r="4028" spans="1:14" x14ac:dyDescent="0.2">
      <c r="A4028">
        <v>643</v>
      </c>
      <c r="B4028">
        <v>45</v>
      </c>
      <c r="C4028" t="s">
        <v>17</v>
      </c>
      <c r="D4028" t="s">
        <v>198</v>
      </c>
      <c r="E4028" t="s">
        <v>19</v>
      </c>
      <c r="F4028">
        <v>3</v>
      </c>
      <c r="G4028" t="s">
        <v>42</v>
      </c>
      <c r="H4028" s="1">
        <v>46004.489583333336</v>
      </c>
      <c r="I4028" s="5">
        <f>INT(TB[[#This Row],[时间戳]])</f>
        <v>46004</v>
      </c>
      <c r="J4028" s="2">
        <f>HOUR(TB[[#This Row],[时间戳]])</f>
        <v>11</v>
      </c>
      <c r="K4028">
        <v>3472</v>
      </c>
      <c r="L4028">
        <v>0</v>
      </c>
      <c r="M4028">
        <f>TB[[#This Row],[售价]]*TB[[#This Row],[销量]]</f>
        <v>0</v>
      </c>
      <c r="N4028" t="str">
        <f>IF(TB[[#This Row],[售价]]&lt;1000,"低价商品",IF(TB[[#This Row],[售价]]&lt;5000,"中价商品",IF(TB[[#This Row],[售价]]&lt;10000,"高价商品","超高价商品")))</f>
        <v>中价商品</v>
      </c>
    </row>
    <row r="4029" spans="1:14" x14ac:dyDescent="0.2">
      <c r="A4029">
        <v>125</v>
      </c>
      <c r="B4029">
        <v>102</v>
      </c>
      <c r="C4029" t="s">
        <v>10</v>
      </c>
      <c r="D4029" t="s">
        <v>298</v>
      </c>
      <c r="E4029" t="s">
        <v>12</v>
      </c>
      <c r="F4029">
        <v>2</v>
      </c>
      <c r="G4029" t="s">
        <v>13</v>
      </c>
      <c r="H4029" s="1">
        <v>46004.493055555555</v>
      </c>
      <c r="I4029" s="5">
        <f>INT(TB[[#This Row],[时间戳]])</f>
        <v>46004</v>
      </c>
      <c r="J4029" s="2">
        <f>HOUR(TB[[#This Row],[时间戳]])</f>
        <v>11</v>
      </c>
      <c r="K4029">
        <v>11983</v>
      </c>
      <c r="L4029">
        <v>3</v>
      </c>
      <c r="M4029">
        <f>TB[[#This Row],[售价]]*TB[[#This Row],[销量]]</f>
        <v>35949</v>
      </c>
      <c r="N4029" t="str">
        <f>IF(TB[[#This Row],[售价]]&lt;1000,"低价商品",IF(TB[[#This Row],[售价]]&lt;5000,"中价商品",IF(TB[[#This Row],[售价]]&lt;10000,"高价商品","超高价商品")))</f>
        <v>超高价商品</v>
      </c>
    </row>
    <row r="4030" spans="1:14" x14ac:dyDescent="0.2">
      <c r="A4030">
        <v>727</v>
      </c>
      <c r="B4030">
        <v>79</v>
      </c>
      <c r="C4030" t="s">
        <v>34</v>
      </c>
      <c r="D4030" t="s">
        <v>365</v>
      </c>
      <c r="E4030" t="s">
        <v>16</v>
      </c>
      <c r="F4030">
        <v>6</v>
      </c>
      <c r="G4030" t="s">
        <v>13</v>
      </c>
      <c r="H4030" s="1">
        <v>46004.517361111109</v>
      </c>
      <c r="I4030" s="5">
        <f>INT(TB[[#This Row],[时间戳]])</f>
        <v>46004</v>
      </c>
      <c r="J4030" s="2">
        <f>HOUR(TB[[#This Row],[时间戳]])</f>
        <v>12</v>
      </c>
      <c r="K4030">
        <v>8312</v>
      </c>
      <c r="L4030">
        <v>2</v>
      </c>
      <c r="M4030">
        <f>TB[[#This Row],[售价]]*TB[[#This Row],[销量]]</f>
        <v>16624</v>
      </c>
      <c r="N4030" t="str">
        <f>IF(TB[[#This Row],[售价]]&lt;1000,"低价商品",IF(TB[[#This Row],[售价]]&lt;5000,"中价商品",IF(TB[[#This Row],[售价]]&lt;10000,"高价商品","超高价商品")))</f>
        <v>高价商品</v>
      </c>
    </row>
    <row r="4031" spans="1:14" x14ac:dyDescent="0.2">
      <c r="A4031">
        <v>739</v>
      </c>
      <c r="B4031">
        <v>14</v>
      </c>
      <c r="C4031" t="s">
        <v>17</v>
      </c>
      <c r="D4031" t="s">
        <v>214</v>
      </c>
      <c r="E4031" t="s">
        <v>22</v>
      </c>
      <c r="F4031">
        <v>1</v>
      </c>
      <c r="G4031" t="s">
        <v>13</v>
      </c>
      <c r="H4031" s="1">
        <v>46004.525694444441</v>
      </c>
      <c r="I4031" s="5">
        <f>INT(TB[[#This Row],[时间戳]])</f>
        <v>46004</v>
      </c>
      <c r="J4031" s="2">
        <f>HOUR(TB[[#This Row],[时间戳]])</f>
        <v>12</v>
      </c>
      <c r="K4031">
        <v>5441</v>
      </c>
      <c r="L4031">
        <v>5</v>
      </c>
      <c r="M4031">
        <f>TB[[#This Row],[售价]]*TB[[#This Row],[销量]]</f>
        <v>27205</v>
      </c>
      <c r="N4031" t="str">
        <f>IF(TB[[#This Row],[售价]]&lt;1000,"低价商品",IF(TB[[#This Row],[售价]]&lt;5000,"中价商品",IF(TB[[#This Row],[售价]]&lt;10000,"高价商品","超高价商品")))</f>
        <v>高价商品</v>
      </c>
    </row>
    <row r="4032" spans="1:14" x14ac:dyDescent="0.2">
      <c r="A4032">
        <v>744</v>
      </c>
      <c r="B4032">
        <v>249</v>
      </c>
      <c r="C4032" t="s">
        <v>26</v>
      </c>
      <c r="D4032" t="s">
        <v>252</v>
      </c>
      <c r="E4032" t="s">
        <v>25</v>
      </c>
      <c r="F4032">
        <v>7</v>
      </c>
      <c r="G4032" t="s">
        <v>13</v>
      </c>
      <c r="H4032" s="1">
        <v>46004.546527777777</v>
      </c>
      <c r="I4032" s="5">
        <f>INT(TB[[#This Row],[时间戳]])</f>
        <v>46004</v>
      </c>
      <c r="J4032" s="2">
        <f>HOUR(TB[[#This Row],[时间戳]])</f>
        <v>13</v>
      </c>
      <c r="K4032">
        <v>6552</v>
      </c>
      <c r="L4032">
        <v>2</v>
      </c>
      <c r="M4032">
        <f>TB[[#This Row],[售价]]*TB[[#This Row],[销量]]</f>
        <v>13104</v>
      </c>
      <c r="N4032" t="str">
        <f>IF(TB[[#This Row],[售价]]&lt;1000,"低价商品",IF(TB[[#This Row],[售价]]&lt;5000,"中价商品",IF(TB[[#This Row],[售价]]&lt;10000,"高价商品","超高价商品")))</f>
        <v>高价商品</v>
      </c>
    </row>
    <row r="4033" spans="1:14" x14ac:dyDescent="0.2">
      <c r="A4033">
        <v>737</v>
      </c>
      <c r="B4033">
        <v>192</v>
      </c>
      <c r="C4033" t="s">
        <v>34</v>
      </c>
      <c r="D4033" t="s">
        <v>175</v>
      </c>
      <c r="E4033" t="s">
        <v>22</v>
      </c>
      <c r="F4033">
        <v>1</v>
      </c>
      <c r="G4033" t="s">
        <v>13</v>
      </c>
      <c r="H4033" s="1">
        <v>46004.552083333336</v>
      </c>
      <c r="I4033" s="5">
        <f>INT(TB[[#This Row],[时间戳]])</f>
        <v>46004</v>
      </c>
      <c r="J4033" s="2">
        <f>HOUR(TB[[#This Row],[时间戳]])</f>
        <v>13</v>
      </c>
      <c r="K4033">
        <v>7349</v>
      </c>
      <c r="L4033">
        <v>3</v>
      </c>
      <c r="M4033">
        <f>TB[[#This Row],[售价]]*TB[[#This Row],[销量]]</f>
        <v>22047</v>
      </c>
      <c r="N4033" t="str">
        <f>IF(TB[[#This Row],[售价]]&lt;1000,"低价商品",IF(TB[[#This Row],[售价]]&lt;5000,"中价商品",IF(TB[[#This Row],[售价]]&lt;10000,"高价商品","超高价商品")))</f>
        <v>高价商品</v>
      </c>
    </row>
    <row r="4034" spans="1:14" x14ac:dyDescent="0.2">
      <c r="A4034">
        <v>152</v>
      </c>
      <c r="B4034">
        <v>87</v>
      </c>
      <c r="C4034" t="s">
        <v>32</v>
      </c>
      <c r="D4034" t="s">
        <v>170</v>
      </c>
      <c r="E4034" t="s">
        <v>31</v>
      </c>
      <c r="F4034">
        <v>4</v>
      </c>
      <c r="G4034" t="s">
        <v>42</v>
      </c>
      <c r="H4034" s="1">
        <v>46004.553472222222</v>
      </c>
      <c r="I4034" s="5">
        <f>INT(TB[[#This Row],[时间戳]])</f>
        <v>46004</v>
      </c>
      <c r="J4034" s="2">
        <f>HOUR(TB[[#This Row],[时间戳]])</f>
        <v>13</v>
      </c>
      <c r="K4034">
        <v>1290</v>
      </c>
      <c r="L4034">
        <v>0</v>
      </c>
      <c r="M4034">
        <f>TB[[#This Row],[售价]]*TB[[#This Row],[销量]]</f>
        <v>0</v>
      </c>
      <c r="N4034" t="str">
        <f>IF(TB[[#This Row],[售价]]&lt;1000,"低价商品",IF(TB[[#This Row],[售价]]&lt;5000,"中价商品",IF(TB[[#This Row],[售价]]&lt;10000,"高价商品","超高价商品")))</f>
        <v>中价商品</v>
      </c>
    </row>
    <row r="4035" spans="1:14" x14ac:dyDescent="0.2">
      <c r="A4035">
        <v>717</v>
      </c>
      <c r="B4035">
        <v>98</v>
      </c>
      <c r="C4035" t="s">
        <v>44</v>
      </c>
      <c r="D4035" t="s">
        <v>76</v>
      </c>
      <c r="E4035" t="s">
        <v>31</v>
      </c>
      <c r="F4035">
        <v>4</v>
      </c>
      <c r="G4035" t="s">
        <v>13</v>
      </c>
      <c r="H4035" s="1">
        <v>46004.643750000003</v>
      </c>
      <c r="I4035" s="5">
        <f>INT(TB[[#This Row],[时间戳]])</f>
        <v>46004</v>
      </c>
      <c r="J4035" s="2">
        <f>HOUR(TB[[#This Row],[时间戳]])</f>
        <v>15</v>
      </c>
      <c r="K4035">
        <v>485</v>
      </c>
      <c r="L4035">
        <v>1</v>
      </c>
      <c r="M4035">
        <f>TB[[#This Row],[售价]]*TB[[#This Row],[销量]]</f>
        <v>485</v>
      </c>
      <c r="N4035" t="str">
        <f>IF(TB[[#This Row],[售价]]&lt;1000,"低价商品",IF(TB[[#This Row],[售价]]&lt;5000,"中价商品",IF(TB[[#This Row],[售价]]&lt;10000,"高价商品","超高价商品")))</f>
        <v>低价商品</v>
      </c>
    </row>
    <row r="4036" spans="1:14" x14ac:dyDescent="0.2">
      <c r="A4036">
        <v>2</v>
      </c>
      <c r="B4036">
        <v>148</v>
      </c>
      <c r="C4036" t="s">
        <v>46</v>
      </c>
      <c r="D4036" t="s">
        <v>157</v>
      </c>
      <c r="E4036" t="s">
        <v>12</v>
      </c>
      <c r="F4036">
        <v>2</v>
      </c>
      <c r="G4036" t="s">
        <v>42</v>
      </c>
      <c r="H4036" s="1">
        <v>46004.647222222222</v>
      </c>
      <c r="I4036" s="5">
        <f>INT(TB[[#This Row],[时间戳]])</f>
        <v>46004</v>
      </c>
      <c r="J4036" s="2">
        <f>HOUR(TB[[#This Row],[时间戳]])</f>
        <v>15</v>
      </c>
      <c r="K4036">
        <v>12663</v>
      </c>
      <c r="L4036">
        <v>0</v>
      </c>
      <c r="M4036">
        <f>TB[[#This Row],[售价]]*TB[[#This Row],[销量]]</f>
        <v>0</v>
      </c>
      <c r="N4036" t="str">
        <f>IF(TB[[#This Row],[售价]]&lt;1000,"低价商品",IF(TB[[#This Row],[售价]]&lt;5000,"中价商品",IF(TB[[#This Row],[售价]]&lt;10000,"高价商品","超高价商品")))</f>
        <v>超高价商品</v>
      </c>
    </row>
    <row r="4037" spans="1:14" x14ac:dyDescent="0.2">
      <c r="A4037">
        <v>231</v>
      </c>
      <c r="B4037">
        <v>67</v>
      </c>
      <c r="C4037" t="s">
        <v>32</v>
      </c>
      <c r="D4037" t="s">
        <v>115</v>
      </c>
      <c r="E4037" t="s">
        <v>19</v>
      </c>
      <c r="F4037">
        <v>3</v>
      </c>
      <c r="G4037" t="s">
        <v>13</v>
      </c>
      <c r="H4037" s="1">
        <v>46004.729166666664</v>
      </c>
      <c r="I4037" s="5">
        <f>INT(TB[[#This Row],[时间戳]])</f>
        <v>46004</v>
      </c>
      <c r="J4037" s="2">
        <f>HOUR(TB[[#This Row],[时间戳]])</f>
        <v>17</v>
      </c>
      <c r="K4037">
        <v>4520</v>
      </c>
      <c r="L4037">
        <v>3</v>
      </c>
      <c r="M4037">
        <f>TB[[#This Row],[售价]]*TB[[#This Row],[销量]]</f>
        <v>13560</v>
      </c>
      <c r="N4037" t="str">
        <f>IF(TB[[#This Row],[售价]]&lt;1000,"低价商品",IF(TB[[#This Row],[售价]]&lt;5000,"中价商品",IF(TB[[#This Row],[售价]]&lt;10000,"高价商品","超高价商品")))</f>
        <v>中价商品</v>
      </c>
    </row>
    <row r="4038" spans="1:14" x14ac:dyDescent="0.2">
      <c r="A4038">
        <v>520</v>
      </c>
      <c r="B4038">
        <v>180</v>
      </c>
      <c r="C4038" t="s">
        <v>17</v>
      </c>
      <c r="D4038" t="s">
        <v>370</v>
      </c>
      <c r="E4038" t="s">
        <v>31</v>
      </c>
      <c r="F4038">
        <v>4</v>
      </c>
      <c r="G4038" t="s">
        <v>13</v>
      </c>
      <c r="H4038" s="1">
        <v>46004.798611111109</v>
      </c>
      <c r="I4038" s="5">
        <f>INT(TB[[#This Row],[时间戳]])</f>
        <v>46004</v>
      </c>
      <c r="J4038" s="2">
        <f>HOUR(TB[[#This Row],[时间戳]])</f>
        <v>19</v>
      </c>
      <c r="K4038">
        <v>530</v>
      </c>
      <c r="L4038">
        <v>1</v>
      </c>
      <c r="M4038">
        <f>TB[[#This Row],[售价]]*TB[[#This Row],[销量]]</f>
        <v>530</v>
      </c>
      <c r="N4038" t="str">
        <f>IF(TB[[#This Row],[售价]]&lt;1000,"低价商品",IF(TB[[#This Row],[售价]]&lt;5000,"中价商品",IF(TB[[#This Row],[售价]]&lt;10000,"高价商品","超高价商品")))</f>
        <v>低价商品</v>
      </c>
    </row>
    <row r="4039" spans="1:14" x14ac:dyDescent="0.2">
      <c r="A4039">
        <v>51</v>
      </c>
      <c r="B4039">
        <v>283</v>
      </c>
      <c r="C4039" t="s">
        <v>17</v>
      </c>
      <c r="D4039" t="s">
        <v>362</v>
      </c>
      <c r="E4039" t="s">
        <v>25</v>
      </c>
      <c r="F4039">
        <v>7</v>
      </c>
      <c r="G4039" t="s">
        <v>42</v>
      </c>
      <c r="H4039" s="1">
        <v>46004.827777777777</v>
      </c>
      <c r="I4039" s="5">
        <f>INT(TB[[#This Row],[时间戳]])</f>
        <v>46004</v>
      </c>
      <c r="J4039" s="2">
        <f>HOUR(TB[[#This Row],[时间戳]])</f>
        <v>19</v>
      </c>
      <c r="K4039">
        <v>1824</v>
      </c>
      <c r="L4039">
        <v>0</v>
      </c>
      <c r="M4039">
        <f>TB[[#This Row],[售价]]*TB[[#This Row],[销量]]</f>
        <v>0</v>
      </c>
      <c r="N4039" t="str">
        <f>IF(TB[[#This Row],[售价]]&lt;1000,"低价商品",IF(TB[[#This Row],[售价]]&lt;5000,"中价商品",IF(TB[[#This Row],[售价]]&lt;10000,"高价商品","超高价商品")))</f>
        <v>中价商品</v>
      </c>
    </row>
    <row r="4040" spans="1:14" x14ac:dyDescent="0.2">
      <c r="A4040">
        <v>399</v>
      </c>
      <c r="B4040">
        <v>255</v>
      </c>
      <c r="C4040" t="s">
        <v>20</v>
      </c>
      <c r="D4040" t="s">
        <v>40</v>
      </c>
      <c r="E4040" t="s">
        <v>25</v>
      </c>
      <c r="F4040">
        <v>7</v>
      </c>
      <c r="G4040" t="s">
        <v>42</v>
      </c>
      <c r="H4040" s="1">
        <v>46004.847916666666</v>
      </c>
      <c r="I4040" s="5">
        <f>INT(TB[[#This Row],[时间戳]])</f>
        <v>46004</v>
      </c>
      <c r="J4040" s="2">
        <f>HOUR(TB[[#This Row],[时间戳]])</f>
        <v>20</v>
      </c>
      <c r="K4040">
        <v>5084</v>
      </c>
      <c r="L4040">
        <v>0</v>
      </c>
      <c r="M4040">
        <f>TB[[#This Row],[售价]]*TB[[#This Row],[销量]]</f>
        <v>0</v>
      </c>
      <c r="N4040" t="str">
        <f>IF(TB[[#This Row],[售价]]&lt;1000,"低价商品",IF(TB[[#This Row],[售价]]&lt;5000,"中价商品",IF(TB[[#This Row],[售价]]&lt;10000,"高价商品","超高价商品")))</f>
        <v>高价商品</v>
      </c>
    </row>
    <row r="4041" spans="1:14" x14ac:dyDescent="0.2">
      <c r="A4041">
        <v>205</v>
      </c>
      <c r="B4041">
        <v>196</v>
      </c>
      <c r="C4041" t="s">
        <v>20</v>
      </c>
      <c r="D4041" t="s">
        <v>152</v>
      </c>
      <c r="E4041" t="s">
        <v>16</v>
      </c>
      <c r="F4041">
        <v>6</v>
      </c>
      <c r="G4041" t="s">
        <v>13</v>
      </c>
      <c r="H4041" s="1">
        <v>46004.863194444442</v>
      </c>
      <c r="I4041" s="5">
        <f>INT(TB[[#This Row],[时间戳]])</f>
        <v>46004</v>
      </c>
      <c r="J4041" s="2">
        <f>HOUR(TB[[#This Row],[时间戳]])</f>
        <v>20</v>
      </c>
      <c r="K4041">
        <v>4170</v>
      </c>
      <c r="L4041">
        <v>3</v>
      </c>
      <c r="M4041">
        <f>TB[[#This Row],[售价]]*TB[[#This Row],[销量]]</f>
        <v>12510</v>
      </c>
      <c r="N4041" t="str">
        <f>IF(TB[[#This Row],[售价]]&lt;1000,"低价商品",IF(TB[[#This Row],[售价]]&lt;5000,"中价商品",IF(TB[[#This Row],[售价]]&lt;10000,"高价商品","超高价商品")))</f>
        <v>中价商品</v>
      </c>
    </row>
    <row r="4042" spans="1:14" x14ac:dyDescent="0.2">
      <c r="A4042">
        <v>128</v>
      </c>
      <c r="B4042">
        <v>80</v>
      </c>
      <c r="C4042" t="s">
        <v>10</v>
      </c>
      <c r="D4042" t="s">
        <v>312</v>
      </c>
      <c r="E4042" t="s">
        <v>12</v>
      </c>
      <c r="F4042">
        <v>2</v>
      </c>
      <c r="G4042" t="s">
        <v>42</v>
      </c>
      <c r="H4042" s="1">
        <v>46004.900694444441</v>
      </c>
      <c r="I4042" s="5">
        <f>INT(TB[[#This Row],[时间戳]])</f>
        <v>46004</v>
      </c>
      <c r="J4042" s="2">
        <f>HOUR(TB[[#This Row],[时间戳]])</f>
        <v>21</v>
      </c>
      <c r="K4042">
        <v>4482</v>
      </c>
      <c r="L4042">
        <v>0</v>
      </c>
      <c r="M4042">
        <f>TB[[#This Row],[售价]]*TB[[#This Row],[销量]]</f>
        <v>0</v>
      </c>
      <c r="N4042" t="str">
        <f>IF(TB[[#This Row],[售价]]&lt;1000,"低价商品",IF(TB[[#This Row],[售价]]&lt;5000,"中价商品",IF(TB[[#This Row],[售价]]&lt;10000,"高价商品","超高价商品")))</f>
        <v>中价商品</v>
      </c>
    </row>
    <row r="4043" spans="1:14" x14ac:dyDescent="0.2">
      <c r="A4043">
        <v>567</v>
      </c>
      <c r="B4043">
        <v>114</v>
      </c>
      <c r="C4043" t="s">
        <v>34</v>
      </c>
      <c r="D4043" t="s">
        <v>105</v>
      </c>
      <c r="E4043" t="s">
        <v>12</v>
      </c>
      <c r="F4043">
        <v>2</v>
      </c>
      <c r="G4043" t="s">
        <v>42</v>
      </c>
      <c r="H4043" s="1">
        <v>46004.906944444447</v>
      </c>
      <c r="I4043" s="5">
        <f>INT(TB[[#This Row],[时间戳]])</f>
        <v>46004</v>
      </c>
      <c r="J4043" s="2">
        <f>HOUR(TB[[#This Row],[时间戳]])</f>
        <v>21</v>
      </c>
      <c r="K4043">
        <v>10346</v>
      </c>
      <c r="L4043">
        <v>0</v>
      </c>
      <c r="M4043">
        <f>TB[[#This Row],[售价]]*TB[[#This Row],[销量]]</f>
        <v>0</v>
      </c>
      <c r="N4043" t="str">
        <f>IF(TB[[#This Row],[售价]]&lt;1000,"低价商品",IF(TB[[#This Row],[售价]]&lt;5000,"中价商品",IF(TB[[#This Row],[售价]]&lt;10000,"高价商品","超高价商品")))</f>
        <v>超高价商品</v>
      </c>
    </row>
    <row r="4044" spans="1:14" x14ac:dyDescent="0.2">
      <c r="A4044">
        <v>188</v>
      </c>
      <c r="B4044">
        <v>46</v>
      </c>
      <c r="C4044" t="s">
        <v>20</v>
      </c>
      <c r="D4044" t="s">
        <v>334</v>
      </c>
      <c r="E4044" t="s">
        <v>22</v>
      </c>
      <c r="F4044">
        <v>1</v>
      </c>
      <c r="G4044" t="s">
        <v>13</v>
      </c>
      <c r="H4044" s="1">
        <v>46004.918055555558</v>
      </c>
      <c r="I4044" s="5">
        <f>INT(TB[[#This Row],[时间戳]])</f>
        <v>46004</v>
      </c>
      <c r="J4044" s="2">
        <f>HOUR(TB[[#This Row],[时间戳]])</f>
        <v>22</v>
      </c>
      <c r="K4044">
        <v>5720</v>
      </c>
      <c r="L4044">
        <v>2</v>
      </c>
      <c r="M4044">
        <f>TB[[#This Row],[售价]]*TB[[#This Row],[销量]]</f>
        <v>11440</v>
      </c>
      <c r="N4044" t="str">
        <f>IF(TB[[#This Row],[售价]]&lt;1000,"低价商品",IF(TB[[#This Row],[售价]]&lt;5000,"中价商品",IF(TB[[#This Row],[售价]]&lt;10000,"高价商品","超高价商品")))</f>
        <v>高价商品</v>
      </c>
    </row>
    <row r="4045" spans="1:14" x14ac:dyDescent="0.2">
      <c r="A4045">
        <v>781</v>
      </c>
      <c r="B4045">
        <v>135</v>
      </c>
      <c r="C4045" t="s">
        <v>17</v>
      </c>
      <c r="D4045" t="s">
        <v>98</v>
      </c>
      <c r="E4045" t="s">
        <v>22</v>
      </c>
      <c r="F4045">
        <v>1</v>
      </c>
      <c r="G4045" t="s">
        <v>13</v>
      </c>
      <c r="H4045" s="1">
        <v>46004.936111111114</v>
      </c>
      <c r="I4045" s="5">
        <f>INT(TB[[#This Row],[时间戳]])</f>
        <v>46004</v>
      </c>
      <c r="J4045" s="2">
        <f>HOUR(TB[[#This Row],[时间戳]])</f>
        <v>22</v>
      </c>
      <c r="K4045">
        <v>5179</v>
      </c>
      <c r="L4045">
        <v>2</v>
      </c>
      <c r="M4045">
        <f>TB[[#This Row],[售价]]*TB[[#This Row],[销量]]</f>
        <v>10358</v>
      </c>
      <c r="N4045" t="str">
        <f>IF(TB[[#This Row],[售价]]&lt;1000,"低价商品",IF(TB[[#This Row],[售价]]&lt;5000,"中价商品",IF(TB[[#This Row],[售价]]&lt;10000,"高价商品","超高价商品")))</f>
        <v>高价商品</v>
      </c>
    </row>
    <row r="4046" spans="1:14" x14ac:dyDescent="0.2">
      <c r="A4046">
        <v>206</v>
      </c>
      <c r="B4046">
        <v>167</v>
      </c>
      <c r="C4046" t="s">
        <v>17</v>
      </c>
      <c r="D4046" t="s">
        <v>128</v>
      </c>
      <c r="E4046" t="s">
        <v>12</v>
      </c>
      <c r="F4046">
        <v>2</v>
      </c>
      <c r="G4046" t="s">
        <v>13</v>
      </c>
      <c r="H4046" s="1">
        <v>46004.945833333331</v>
      </c>
      <c r="I4046" s="5">
        <f>INT(TB[[#This Row],[时间戳]])</f>
        <v>46004</v>
      </c>
      <c r="J4046" s="2">
        <f>HOUR(TB[[#This Row],[时间戳]])</f>
        <v>22</v>
      </c>
      <c r="K4046">
        <v>12683</v>
      </c>
      <c r="L4046">
        <v>3</v>
      </c>
      <c r="M4046">
        <f>TB[[#This Row],[售价]]*TB[[#This Row],[销量]]</f>
        <v>38049</v>
      </c>
      <c r="N4046" t="str">
        <f>IF(TB[[#This Row],[售价]]&lt;1000,"低价商品",IF(TB[[#This Row],[售价]]&lt;5000,"中价商品",IF(TB[[#This Row],[售价]]&lt;10000,"高价商品","超高价商品")))</f>
        <v>超高价商品</v>
      </c>
    </row>
    <row r="4047" spans="1:14" x14ac:dyDescent="0.2">
      <c r="A4047">
        <v>149</v>
      </c>
      <c r="B4047">
        <v>108</v>
      </c>
      <c r="C4047" t="s">
        <v>36</v>
      </c>
      <c r="D4047" t="s">
        <v>238</v>
      </c>
      <c r="E4047" t="s">
        <v>12</v>
      </c>
      <c r="F4047">
        <v>2</v>
      </c>
      <c r="G4047" t="s">
        <v>13</v>
      </c>
      <c r="H4047" s="1">
        <v>46004.956250000003</v>
      </c>
      <c r="I4047" s="5">
        <f>INT(TB[[#This Row],[时间戳]])</f>
        <v>46004</v>
      </c>
      <c r="J4047" s="2">
        <f>HOUR(TB[[#This Row],[时间戳]])</f>
        <v>22</v>
      </c>
      <c r="K4047">
        <v>11436</v>
      </c>
      <c r="L4047">
        <v>3</v>
      </c>
      <c r="M4047">
        <f>TB[[#This Row],[售价]]*TB[[#This Row],[销量]]</f>
        <v>34308</v>
      </c>
      <c r="N4047" t="str">
        <f>IF(TB[[#This Row],[售价]]&lt;1000,"低价商品",IF(TB[[#This Row],[售价]]&lt;5000,"中价商品",IF(TB[[#This Row],[售价]]&lt;10000,"高价商品","超高价商品")))</f>
        <v>超高价商品</v>
      </c>
    </row>
    <row r="4048" spans="1:14" x14ac:dyDescent="0.2">
      <c r="A4048">
        <v>166</v>
      </c>
      <c r="B4048">
        <v>261</v>
      </c>
      <c r="C4048" t="s">
        <v>26</v>
      </c>
      <c r="D4048" t="s">
        <v>360</v>
      </c>
      <c r="E4048" t="s">
        <v>19</v>
      </c>
      <c r="F4048">
        <v>3</v>
      </c>
      <c r="G4048" t="s">
        <v>13</v>
      </c>
      <c r="H4048" s="1">
        <v>46004.963194444441</v>
      </c>
      <c r="I4048" s="5">
        <f>INT(TB[[#This Row],[时间戳]])</f>
        <v>46004</v>
      </c>
      <c r="J4048" s="2">
        <f>HOUR(TB[[#This Row],[时间戳]])</f>
        <v>23</v>
      </c>
      <c r="K4048">
        <v>3428</v>
      </c>
      <c r="L4048">
        <v>1</v>
      </c>
      <c r="M4048">
        <f>TB[[#This Row],[售价]]*TB[[#This Row],[销量]]</f>
        <v>3428</v>
      </c>
      <c r="N4048" t="str">
        <f>IF(TB[[#This Row],[售价]]&lt;1000,"低价商品",IF(TB[[#This Row],[售价]]&lt;5000,"中价商品",IF(TB[[#This Row],[售价]]&lt;10000,"高价商品","超高价商品")))</f>
        <v>中价商品</v>
      </c>
    </row>
    <row r="4049" spans="1:14" x14ac:dyDescent="0.2">
      <c r="A4049">
        <v>300</v>
      </c>
      <c r="B4049">
        <v>130</v>
      </c>
      <c r="C4049" t="s">
        <v>14</v>
      </c>
      <c r="D4049" t="s">
        <v>295</v>
      </c>
      <c r="E4049" t="s">
        <v>39</v>
      </c>
      <c r="F4049">
        <v>5</v>
      </c>
      <c r="G4049" t="s">
        <v>13</v>
      </c>
      <c r="H4049" s="1">
        <v>46004.978472222225</v>
      </c>
      <c r="I4049" s="5">
        <f>INT(TB[[#This Row],[时间戳]])</f>
        <v>46004</v>
      </c>
      <c r="J4049" s="2">
        <f>HOUR(TB[[#This Row],[时间戳]])</f>
        <v>23</v>
      </c>
      <c r="K4049">
        <v>993</v>
      </c>
      <c r="L4049">
        <v>1</v>
      </c>
      <c r="M4049">
        <f>TB[[#This Row],[售价]]*TB[[#This Row],[销量]]</f>
        <v>993</v>
      </c>
      <c r="N4049" t="str">
        <f>IF(TB[[#This Row],[售价]]&lt;1000,"低价商品",IF(TB[[#This Row],[售价]]&lt;5000,"中价商品",IF(TB[[#This Row],[售价]]&lt;10000,"高价商品","超高价商品")))</f>
        <v>低价商品</v>
      </c>
    </row>
    <row r="4050" spans="1:14" x14ac:dyDescent="0.2">
      <c r="A4050">
        <v>759</v>
      </c>
      <c r="B4050">
        <v>290</v>
      </c>
      <c r="C4050" t="s">
        <v>20</v>
      </c>
      <c r="D4050" t="s">
        <v>324</v>
      </c>
      <c r="E4050" t="s">
        <v>12</v>
      </c>
      <c r="F4050">
        <v>2</v>
      </c>
      <c r="G4050" t="s">
        <v>42</v>
      </c>
      <c r="H4050" s="1">
        <v>46005.013888888891</v>
      </c>
      <c r="I4050" s="5">
        <f>INT(TB[[#This Row],[时间戳]])</f>
        <v>46005</v>
      </c>
      <c r="J4050" s="2">
        <f>HOUR(TB[[#This Row],[时间戳]])</f>
        <v>0</v>
      </c>
      <c r="K4050">
        <v>6499</v>
      </c>
      <c r="L4050">
        <v>0</v>
      </c>
      <c r="M4050">
        <f>TB[[#This Row],[售价]]*TB[[#This Row],[销量]]</f>
        <v>0</v>
      </c>
      <c r="N4050" t="str">
        <f>IF(TB[[#This Row],[售价]]&lt;1000,"低价商品",IF(TB[[#This Row],[售价]]&lt;5000,"中价商品",IF(TB[[#This Row],[售价]]&lt;10000,"高价商品","超高价商品")))</f>
        <v>高价商品</v>
      </c>
    </row>
    <row r="4051" spans="1:14" x14ac:dyDescent="0.2">
      <c r="A4051">
        <v>752</v>
      </c>
      <c r="B4051">
        <v>182</v>
      </c>
      <c r="C4051" t="s">
        <v>26</v>
      </c>
      <c r="D4051" t="s">
        <v>229</v>
      </c>
      <c r="E4051" t="s">
        <v>16</v>
      </c>
      <c r="F4051">
        <v>6</v>
      </c>
      <c r="G4051" t="s">
        <v>42</v>
      </c>
      <c r="H4051" s="1">
        <v>46005.018055555556</v>
      </c>
      <c r="I4051" s="5">
        <f>INT(TB[[#This Row],[时间戳]])</f>
        <v>46005</v>
      </c>
      <c r="J4051" s="2">
        <f>HOUR(TB[[#This Row],[时间戳]])</f>
        <v>0</v>
      </c>
      <c r="K4051">
        <v>4694</v>
      </c>
      <c r="L4051">
        <v>0</v>
      </c>
      <c r="M4051">
        <f>TB[[#This Row],[售价]]*TB[[#This Row],[销量]]</f>
        <v>0</v>
      </c>
      <c r="N4051" t="str">
        <f>IF(TB[[#This Row],[售价]]&lt;1000,"低价商品",IF(TB[[#This Row],[售价]]&lt;5000,"中价商品",IF(TB[[#This Row],[售价]]&lt;10000,"高价商品","超高价商品")))</f>
        <v>中价商品</v>
      </c>
    </row>
    <row r="4052" spans="1:14" x14ac:dyDescent="0.2">
      <c r="A4052">
        <v>633</v>
      </c>
      <c r="B4052">
        <v>173</v>
      </c>
      <c r="C4052" t="s">
        <v>17</v>
      </c>
      <c r="D4052" t="s">
        <v>403</v>
      </c>
      <c r="E4052" t="s">
        <v>19</v>
      </c>
      <c r="F4052">
        <v>3</v>
      </c>
      <c r="G4052" t="s">
        <v>13</v>
      </c>
      <c r="H4052" s="1">
        <v>46005.068055555559</v>
      </c>
      <c r="I4052" s="5">
        <f>INT(TB[[#This Row],[时间戳]])</f>
        <v>46005</v>
      </c>
      <c r="J4052" s="2">
        <f>HOUR(TB[[#This Row],[时间戳]])</f>
        <v>1</v>
      </c>
      <c r="K4052">
        <v>4646</v>
      </c>
      <c r="L4052">
        <v>2</v>
      </c>
      <c r="M4052">
        <f>TB[[#This Row],[售价]]*TB[[#This Row],[销量]]</f>
        <v>9292</v>
      </c>
      <c r="N4052" t="str">
        <f>IF(TB[[#This Row],[售价]]&lt;1000,"低价商品",IF(TB[[#This Row],[售价]]&lt;5000,"中价商品",IF(TB[[#This Row],[售价]]&lt;10000,"高价商品","超高价商品")))</f>
        <v>中价商品</v>
      </c>
    </row>
    <row r="4053" spans="1:14" x14ac:dyDescent="0.2">
      <c r="A4053">
        <v>249</v>
      </c>
      <c r="B4053">
        <v>246</v>
      </c>
      <c r="C4053" t="s">
        <v>10</v>
      </c>
      <c r="D4053" t="s">
        <v>256</v>
      </c>
      <c r="E4053" t="s">
        <v>19</v>
      </c>
      <c r="F4053">
        <v>3</v>
      </c>
      <c r="G4053" t="s">
        <v>13</v>
      </c>
      <c r="H4053" s="1">
        <v>46005.089583333334</v>
      </c>
      <c r="I4053" s="5">
        <f>INT(TB[[#This Row],[时间戳]])</f>
        <v>46005</v>
      </c>
      <c r="J4053" s="2">
        <f>HOUR(TB[[#This Row],[时间戳]])</f>
        <v>2</v>
      </c>
      <c r="K4053">
        <v>3219</v>
      </c>
      <c r="L4053">
        <v>1</v>
      </c>
      <c r="M4053">
        <f>TB[[#This Row],[售价]]*TB[[#This Row],[销量]]</f>
        <v>3219</v>
      </c>
      <c r="N4053" t="str">
        <f>IF(TB[[#This Row],[售价]]&lt;1000,"低价商品",IF(TB[[#This Row],[售价]]&lt;5000,"中价商品",IF(TB[[#This Row],[售价]]&lt;10000,"高价商品","超高价商品")))</f>
        <v>中价商品</v>
      </c>
    </row>
    <row r="4054" spans="1:14" x14ac:dyDescent="0.2">
      <c r="A4054">
        <v>57</v>
      </c>
      <c r="B4054">
        <v>140</v>
      </c>
      <c r="C4054" t="s">
        <v>14</v>
      </c>
      <c r="D4054" t="s">
        <v>375</v>
      </c>
      <c r="E4054" t="s">
        <v>16</v>
      </c>
      <c r="F4054">
        <v>6</v>
      </c>
      <c r="G4054" t="s">
        <v>13</v>
      </c>
      <c r="H4054" s="1">
        <v>46005.121527777781</v>
      </c>
      <c r="I4054" s="5">
        <f>INT(TB[[#This Row],[时间戳]])</f>
        <v>46005</v>
      </c>
      <c r="J4054" s="2">
        <f>HOUR(TB[[#This Row],[时间戳]])</f>
        <v>2</v>
      </c>
      <c r="K4054">
        <v>5842</v>
      </c>
      <c r="L4054">
        <v>2</v>
      </c>
      <c r="M4054">
        <f>TB[[#This Row],[售价]]*TB[[#This Row],[销量]]</f>
        <v>11684</v>
      </c>
      <c r="N4054" t="str">
        <f>IF(TB[[#This Row],[售价]]&lt;1000,"低价商品",IF(TB[[#This Row],[售价]]&lt;5000,"中价商品",IF(TB[[#This Row],[售价]]&lt;10000,"高价商品","超高价商品")))</f>
        <v>高价商品</v>
      </c>
    </row>
    <row r="4055" spans="1:14" x14ac:dyDescent="0.2">
      <c r="A4055">
        <v>108</v>
      </c>
      <c r="B4055">
        <v>121</v>
      </c>
      <c r="C4055" t="s">
        <v>44</v>
      </c>
      <c r="D4055" t="s">
        <v>100</v>
      </c>
      <c r="E4055" t="s">
        <v>19</v>
      </c>
      <c r="F4055">
        <v>3</v>
      </c>
      <c r="G4055" t="s">
        <v>13</v>
      </c>
      <c r="H4055" s="1">
        <v>46005.136111111111</v>
      </c>
      <c r="I4055" s="5">
        <f>INT(TB[[#This Row],[时间戳]])</f>
        <v>46005</v>
      </c>
      <c r="J4055" s="2">
        <f>HOUR(TB[[#This Row],[时间戳]])</f>
        <v>3</v>
      </c>
      <c r="K4055">
        <v>4900</v>
      </c>
      <c r="L4055">
        <v>1</v>
      </c>
      <c r="M4055">
        <f>TB[[#This Row],[售价]]*TB[[#This Row],[销量]]</f>
        <v>4900</v>
      </c>
      <c r="N4055" t="str">
        <f>IF(TB[[#This Row],[售价]]&lt;1000,"低价商品",IF(TB[[#This Row],[售价]]&lt;5000,"中价商品",IF(TB[[#This Row],[售价]]&lt;10000,"高价商品","超高价商品")))</f>
        <v>中价商品</v>
      </c>
    </row>
    <row r="4056" spans="1:14" x14ac:dyDescent="0.2">
      <c r="A4056">
        <v>573</v>
      </c>
      <c r="B4056">
        <v>157</v>
      </c>
      <c r="C4056" t="s">
        <v>34</v>
      </c>
      <c r="D4056" t="s">
        <v>35</v>
      </c>
      <c r="E4056" t="s">
        <v>19</v>
      </c>
      <c r="F4056">
        <v>3</v>
      </c>
      <c r="G4056" t="s">
        <v>13</v>
      </c>
      <c r="H4056" s="1">
        <v>46005.163888888892</v>
      </c>
      <c r="I4056" s="5">
        <f>INT(TB[[#This Row],[时间戳]])</f>
        <v>46005</v>
      </c>
      <c r="J4056" s="2">
        <f>HOUR(TB[[#This Row],[时间戳]])</f>
        <v>3</v>
      </c>
      <c r="K4056">
        <v>1599</v>
      </c>
      <c r="L4056">
        <v>2</v>
      </c>
      <c r="M4056">
        <f>TB[[#This Row],[售价]]*TB[[#This Row],[销量]]</f>
        <v>3198</v>
      </c>
      <c r="N4056" t="str">
        <f>IF(TB[[#This Row],[售价]]&lt;1000,"低价商品",IF(TB[[#This Row],[售价]]&lt;5000,"中价商品",IF(TB[[#This Row],[售价]]&lt;10000,"高价商品","超高价商品")))</f>
        <v>中价商品</v>
      </c>
    </row>
    <row r="4057" spans="1:14" x14ac:dyDescent="0.2">
      <c r="A4057">
        <v>153</v>
      </c>
      <c r="B4057">
        <v>7</v>
      </c>
      <c r="C4057" t="s">
        <v>20</v>
      </c>
      <c r="D4057" t="s">
        <v>85</v>
      </c>
      <c r="E4057" t="s">
        <v>31</v>
      </c>
      <c r="F4057">
        <v>4</v>
      </c>
      <c r="G4057" t="s">
        <v>13</v>
      </c>
      <c r="H4057" s="1">
        <v>46005.164583333331</v>
      </c>
      <c r="I4057" s="5">
        <f>INT(TB[[#This Row],[时间戳]])</f>
        <v>46005</v>
      </c>
      <c r="J4057" s="2">
        <f>HOUR(TB[[#This Row],[时间戳]])</f>
        <v>3</v>
      </c>
      <c r="K4057">
        <v>433</v>
      </c>
      <c r="L4057">
        <v>2</v>
      </c>
      <c r="M4057">
        <f>TB[[#This Row],[售价]]*TB[[#This Row],[销量]]</f>
        <v>866</v>
      </c>
      <c r="N4057" t="str">
        <f>IF(TB[[#This Row],[售价]]&lt;1000,"低价商品",IF(TB[[#This Row],[售价]]&lt;5000,"中价商品",IF(TB[[#This Row],[售价]]&lt;10000,"高价商品","超高价商品")))</f>
        <v>低价商品</v>
      </c>
    </row>
    <row r="4058" spans="1:14" x14ac:dyDescent="0.2">
      <c r="A4058">
        <v>179</v>
      </c>
      <c r="B4058">
        <v>206</v>
      </c>
      <c r="C4058" t="s">
        <v>32</v>
      </c>
      <c r="D4058" t="s">
        <v>79</v>
      </c>
      <c r="E4058" t="s">
        <v>31</v>
      </c>
      <c r="F4058">
        <v>4</v>
      </c>
      <c r="G4058" t="s">
        <v>13</v>
      </c>
      <c r="H4058" s="1">
        <v>46005.195833333331</v>
      </c>
      <c r="I4058" s="5">
        <f>INT(TB[[#This Row],[时间戳]])</f>
        <v>46005</v>
      </c>
      <c r="J4058" s="2">
        <f>HOUR(TB[[#This Row],[时间戳]])</f>
        <v>4</v>
      </c>
      <c r="K4058">
        <v>1237</v>
      </c>
      <c r="L4058">
        <v>5</v>
      </c>
      <c r="M4058">
        <f>TB[[#This Row],[售价]]*TB[[#This Row],[销量]]</f>
        <v>6185</v>
      </c>
      <c r="N4058" t="str">
        <f>IF(TB[[#This Row],[售价]]&lt;1000,"低价商品",IF(TB[[#This Row],[售价]]&lt;5000,"中价商品",IF(TB[[#This Row],[售价]]&lt;10000,"高价商品","超高价商品")))</f>
        <v>中价商品</v>
      </c>
    </row>
    <row r="4059" spans="1:14" x14ac:dyDescent="0.2">
      <c r="A4059">
        <v>680</v>
      </c>
      <c r="B4059">
        <v>205</v>
      </c>
      <c r="C4059" t="s">
        <v>20</v>
      </c>
      <c r="D4059" t="s">
        <v>383</v>
      </c>
      <c r="E4059" t="s">
        <v>12</v>
      </c>
      <c r="F4059">
        <v>2</v>
      </c>
      <c r="G4059" t="s">
        <v>13</v>
      </c>
      <c r="H4059" s="1">
        <v>46005.196527777778</v>
      </c>
      <c r="I4059" s="5">
        <f>INT(TB[[#This Row],[时间戳]])</f>
        <v>46005</v>
      </c>
      <c r="J4059" s="2">
        <f>HOUR(TB[[#This Row],[时间戳]])</f>
        <v>4</v>
      </c>
      <c r="K4059">
        <v>14660</v>
      </c>
      <c r="L4059">
        <v>4</v>
      </c>
      <c r="M4059">
        <f>TB[[#This Row],[售价]]*TB[[#This Row],[销量]]</f>
        <v>58640</v>
      </c>
      <c r="N4059" t="str">
        <f>IF(TB[[#This Row],[售价]]&lt;1000,"低价商品",IF(TB[[#This Row],[售价]]&lt;5000,"中价商品",IF(TB[[#This Row],[售价]]&lt;10000,"高价商品","超高价商品")))</f>
        <v>超高价商品</v>
      </c>
    </row>
    <row r="4060" spans="1:14" x14ac:dyDescent="0.2">
      <c r="A4060">
        <v>396</v>
      </c>
      <c r="B4060">
        <v>33</v>
      </c>
      <c r="C4060" t="s">
        <v>44</v>
      </c>
      <c r="D4060" t="s">
        <v>100</v>
      </c>
      <c r="E4060" t="s">
        <v>19</v>
      </c>
      <c r="F4060">
        <v>3</v>
      </c>
      <c r="G4060" t="s">
        <v>42</v>
      </c>
      <c r="H4060" s="1">
        <v>46005.237500000003</v>
      </c>
      <c r="I4060" s="5">
        <f>INT(TB[[#This Row],[时间戳]])</f>
        <v>46005</v>
      </c>
      <c r="J4060" s="2">
        <f>HOUR(TB[[#This Row],[时间戳]])</f>
        <v>5</v>
      </c>
      <c r="K4060">
        <v>3469</v>
      </c>
      <c r="L4060">
        <v>0</v>
      </c>
      <c r="M4060">
        <f>TB[[#This Row],[售价]]*TB[[#This Row],[销量]]</f>
        <v>0</v>
      </c>
      <c r="N4060" t="str">
        <f>IF(TB[[#This Row],[售价]]&lt;1000,"低价商品",IF(TB[[#This Row],[售价]]&lt;5000,"中价商品",IF(TB[[#This Row],[售价]]&lt;10000,"高价商品","超高价商品")))</f>
        <v>中价商品</v>
      </c>
    </row>
    <row r="4061" spans="1:14" x14ac:dyDescent="0.2">
      <c r="A4061">
        <v>47</v>
      </c>
      <c r="B4061">
        <v>186</v>
      </c>
      <c r="C4061" t="s">
        <v>36</v>
      </c>
      <c r="D4061" t="s">
        <v>284</v>
      </c>
      <c r="E4061" t="s">
        <v>39</v>
      </c>
      <c r="F4061">
        <v>5</v>
      </c>
      <c r="G4061" t="s">
        <v>42</v>
      </c>
      <c r="H4061" s="1">
        <v>46005.325694444444</v>
      </c>
      <c r="I4061" s="5">
        <f>INT(TB[[#This Row],[时间戳]])</f>
        <v>46005</v>
      </c>
      <c r="J4061" s="2">
        <f>HOUR(TB[[#This Row],[时间戳]])</f>
        <v>7</v>
      </c>
      <c r="K4061">
        <v>2259</v>
      </c>
      <c r="L4061">
        <v>0</v>
      </c>
      <c r="M4061">
        <f>TB[[#This Row],[售价]]*TB[[#This Row],[销量]]</f>
        <v>0</v>
      </c>
      <c r="N4061" t="str">
        <f>IF(TB[[#This Row],[售价]]&lt;1000,"低价商品",IF(TB[[#This Row],[售价]]&lt;5000,"中价商品",IF(TB[[#This Row],[售价]]&lt;10000,"高价商品","超高价商品")))</f>
        <v>中价商品</v>
      </c>
    </row>
    <row r="4062" spans="1:14" x14ac:dyDescent="0.2">
      <c r="A4062">
        <v>179</v>
      </c>
      <c r="B4062">
        <v>35</v>
      </c>
      <c r="C4062" t="s">
        <v>46</v>
      </c>
      <c r="D4062" t="s">
        <v>401</v>
      </c>
      <c r="E4062" t="s">
        <v>39</v>
      </c>
      <c r="F4062">
        <v>5</v>
      </c>
      <c r="G4062" t="s">
        <v>13</v>
      </c>
      <c r="H4062" s="1">
        <v>46005.332638888889</v>
      </c>
      <c r="I4062" s="5">
        <f>INT(TB[[#This Row],[时间戳]])</f>
        <v>46005</v>
      </c>
      <c r="J4062" s="2">
        <f>HOUR(TB[[#This Row],[时间戳]])</f>
        <v>7</v>
      </c>
      <c r="K4062">
        <v>2032</v>
      </c>
      <c r="L4062">
        <v>3</v>
      </c>
      <c r="M4062">
        <f>TB[[#This Row],[售价]]*TB[[#This Row],[销量]]</f>
        <v>6096</v>
      </c>
      <c r="N4062" t="str">
        <f>IF(TB[[#This Row],[售价]]&lt;1000,"低价商品",IF(TB[[#This Row],[售价]]&lt;5000,"中价商品",IF(TB[[#This Row],[售价]]&lt;10000,"高价商品","超高价商品")))</f>
        <v>中价商品</v>
      </c>
    </row>
    <row r="4063" spans="1:14" x14ac:dyDescent="0.2">
      <c r="A4063">
        <v>275</v>
      </c>
      <c r="B4063">
        <v>37</v>
      </c>
      <c r="C4063" t="s">
        <v>17</v>
      </c>
      <c r="D4063" t="s">
        <v>75</v>
      </c>
      <c r="E4063" t="s">
        <v>12</v>
      </c>
      <c r="F4063">
        <v>2</v>
      </c>
      <c r="G4063" t="s">
        <v>13</v>
      </c>
      <c r="H4063" s="1">
        <v>46005.336805555555</v>
      </c>
      <c r="I4063" s="5">
        <f>INT(TB[[#This Row],[时间戳]])</f>
        <v>46005</v>
      </c>
      <c r="J4063" s="2">
        <f>HOUR(TB[[#This Row],[时间戳]])</f>
        <v>8</v>
      </c>
      <c r="K4063">
        <v>9878</v>
      </c>
      <c r="L4063">
        <v>2</v>
      </c>
      <c r="M4063">
        <f>TB[[#This Row],[售价]]*TB[[#This Row],[销量]]</f>
        <v>19756</v>
      </c>
      <c r="N4063" t="str">
        <f>IF(TB[[#This Row],[售价]]&lt;1000,"低价商品",IF(TB[[#This Row],[售价]]&lt;5000,"中价商品",IF(TB[[#This Row],[售价]]&lt;10000,"高价商品","超高价商品")))</f>
        <v>高价商品</v>
      </c>
    </row>
    <row r="4064" spans="1:14" x14ac:dyDescent="0.2">
      <c r="A4064">
        <v>439</v>
      </c>
      <c r="B4064">
        <v>140</v>
      </c>
      <c r="C4064" t="s">
        <v>34</v>
      </c>
      <c r="D4064" t="s">
        <v>389</v>
      </c>
      <c r="E4064" t="s">
        <v>39</v>
      </c>
      <c r="F4064">
        <v>5</v>
      </c>
      <c r="G4064" t="s">
        <v>13</v>
      </c>
      <c r="H4064" s="1">
        <v>46005.363194444442</v>
      </c>
      <c r="I4064" s="5">
        <f>INT(TB[[#This Row],[时间戳]])</f>
        <v>46005</v>
      </c>
      <c r="J4064" s="2">
        <f>HOUR(TB[[#This Row],[时间戳]])</f>
        <v>8</v>
      </c>
      <c r="K4064">
        <v>1206</v>
      </c>
      <c r="L4064">
        <v>3</v>
      </c>
      <c r="M4064">
        <f>TB[[#This Row],[售价]]*TB[[#This Row],[销量]]</f>
        <v>3618</v>
      </c>
      <c r="N4064" t="str">
        <f>IF(TB[[#This Row],[售价]]&lt;1000,"低价商品",IF(TB[[#This Row],[售价]]&lt;5000,"中价商品",IF(TB[[#This Row],[售价]]&lt;10000,"高价商品","超高价商品")))</f>
        <v>中价商品</v>
      </c>
    </row>
    <row r="4065" spans="1:14" x14ac:dyDescent="0.2">
      <c r="A4065">
        <v>739</v>
      </c>
      <c r="B4065">
        <v>193</v>
      </c>
      <c r="C4065" t="s">
        <v>14</v>
      </c>
      <c r="D4065" t="s">
        <v>375</v>
      </c>
      <c r="E4065" t="s">
        <v>16</v>
      </c>
      <c r="F4065">
        <v>6</v>
      </c>
      <c r="G4065" t="s">
        <v>13</v>
      </c>
      <c r="H4065" s="1">
        <v>46005.368750000001</v>
      </c>
      <c r="I4065" s="5">
        <f>INT(TB[[#This Row],[时间戳]])</f>
        <v>46005</v>
      </c>
      <c r="J4065" s="2">
        <f>HOUR(TB[[#This Row],[时间戳]])</f>
        <v>8</v>
      </c>
      <c r="K4065">
        <v>2368</v>
      </c>
      <c r="L4065">
        <v>2</v>
      </c>
      <c r="M4065">
        <f>TB[[#This Row],[售价]]*TB[[#This Row],[销量]]</f>
        <v>4736</v>
      </c>
      <c r="N4065" t="str">
        <f>IF(TB[[#This Row],[售价]]&lt;1000,"低价商品",IF(TB[[#This Row],[售价]]&lt;5000,"中价商品",IF(TB[[#This Row],[售价]]&lt;10000,"高价商品","超高价商品")))</f>
        <v>中价商品</v>
      </c>
    </row>
    <row r="4066" spans="1:14" x14ac:dyDescent="0.2">
      <c r="A4066">
        <v>462</v>
      </c>
      <c r="B4066">
        <v>281</v>
      </c>
      <c r="C4066" t="s">
        <v>46</v>
      </c>
      <c r="D4066" t="s">
        <v>260</v>
      </c>
      <c r="E4066" t="s">
        <v>22</v>
      </c>
      <c r="F4066">
        <v>1</v>
      </c>
      <c r="G4066" t="s">
        <v>42</v>
      </c>
      <c r="H4066" s="1">
        <v>46005.405555555553</v>
      </c>
      <c r="I4066" s="5">
        <f>INT(TB[[#This Row],[时间戳]])</f>
        <v>46005</v>
      </c>
      <c r="J4066" s="2">
        <f>HOUR(TB[[#This Row],[时间戳]])</f>
        <v>9</v>
      </c>
      <c r="K4066">
        <v>5761</v>
      </c>
      <c r="L4066">
        <v>0</v>
      </c>
      <c r="M4066">
        <f>TB[[#This Row],[售价]]*TB[[#This Row],[销量]]</f>
        <v>0</v>
      </c>
      <c r="N4066" t="str">
        <f>IF(TB[[#This Row],[售价]]&lt;1000,"低价商品",IF(TB[[#This Row],[售价]]&lt;5000,"中价商品",IF(TB[[#This Row],[售价]]&lt;10000,"高价商品","超高价商品")))</f>
        <v>高价商品</v>
      </c>
    </row>
    <row r="4067" spans="1:14" x14ac:dyDescent="0.2">
      <c r="A4067">
        <v>489</v>
      </c>
      <c r="B4067">
        <v>1</v>
      </c>
      <c r="C4067" t="s">
        <v>26</v>
      </c>
      <c r="D4067" t="s">
        <v>407</v>
      </c>
      <c r="E4067" t="s">
        <v>39</v>
      </c>
      <c r="F4067">
        <v>5</v>
      </c>
      <c r="G4067" t="s">
        <v>13</v>
      </c>
      <c r="H4067" s="1">
        <v>46005.407638888886</v>
      </c>
      <c r="I4067" s="5">
        <f>INT(TB[[#This Row],[时间戳]])</f>
        <v>46005</v>
      </c>
      <c r="J4067" s="2">
        <f>HOUR(TB[[#This Row],[时间戳]])</f>
        <v>9</v>
      </c>
      <c r="K4067">
        <v>2817</v>
      </c>
      <c r="L4067">
        <v>4</v>
      </c>
      <c r="M4067">
        <f>TB[[#This Row],[售价]]*TB[[#This Row],[销量]]</f>
        <v>11268</v>
      </c>
      <c r="N4067" t="str">
        <f>IF(TB[[#This Row],[售价]]&lt;1000,"低价商品",IF(TB[[#This Row],[售价]]&lt;5000,"中价商品",IF(TB[[#This Row],[售价]]&lt;10000,"高价商品","超高价商品")))</f>
        <v>中价商品</v>
      </c>
    </row>
    <row r="4068" spans="1:14" x14ac:dyDescent="0.2">
      <c r="A4068">
        <v>446</v>
      </c>
      <c r="B4068">
        <v>82</v>
      </c>
      <c r="C4068" t="s">
        <v>36</v>
      </c>
      <c r="D4068" t="s">
        <v>317</v>
      </c>
      <c r="E4068" t="s">
        <v>19</v>
      </c>
      <c r="F4068">
        <v>3</v>
      </c>
      <c r="G4068" t="s">
        <v>13</v>
      </c>
      <c r="H4068" s="1">
        <v>46005.410416666666</v>
      </c>
      <c r="I4068" s="5">
        <f>INT(TB[[#This Row],[时间戳]])</f>
        <v>46005</v>
      </c>
      <c r="J4068" s="2">
        <f>HOUR(TB[[#This Row],[时间戳]])</f>
        <v>9</v>
      </c>
      <c r="K4068">
        <v>2432</v>
      </c>
      <c r="L4068">
        <v>2</v>
      </c>
      <c r="M4068">
        <f>TB[[#This Row],[售价]]*TB[[#This Row],[销量]]</f>
        <v>4864</v>
      </c>
      <c r="N4068" t="str">
        <f>IF(TB[[#This Row],[售价]]&lt;1000,"低价商品",IF(TB[[#This Row],[售价]]&lt;5000,"中价商品",IF(TB[[#This Row],[售价]]&lt;10000,"高价商品","超高价商品")))</f>
        <v>中价商品</v>
      </c>
    </row>
    <row r="4069" spans="1:14" x14ac:dyDescent="0.2">
      <c r="A4069">
        <v>99</v>
      </c>
      <c r="B4069">
        <v>70</v>
      </c>
      <c r="C4069" t="s">
        <v>46</v>
      </c>
      <c r="D4069" t="s">
        <v>217</v>
      </c>
      <c r="E4069" t="s">
        <v>19</v>
      </c>
      <c r="F4069">
        <v>3</v>
      </c>
      <c r="G4069" t="s">
        <v>13</v>
      </c>
      <c r="H4069" s="1">
        <v>46005.481249999997</v>
      </c>
      <c r="I4069" s="5">
        <f>INT(TB[[#This Row],[时间戳]])</f>
        <v>46005</v>
      </c>
      <c r="J4069" s="2">
        <f>HOUR(TB[[#This Row],[时间戳]])</f>
        <v>11</v>
      </c>
      <c r="K4069">
        <v>1500</v>
      </c>
      <c r="L4069">
        <v>1</v>
      </c>
      <c r="M4069">
        <f>TB[[#This Row],[售价]]*TB[[#This Row],[销量]]</f>
        <v>1500</v>
      </c>
      <c r="N4069" t="str">
        <f>IF(TB[[#This Row],[售价]]&lt;1000,"低价商品",IF(TB[[#This Row],[售价]]&lt;5000,"中价商品",IF(TB[[#This Row],[售价]]&lt;10000,"高价商品","超高价商品")))</f>
        <v>中价商品</v>
      </c>
    </row>
    <row r="4070" spans="1:14" x14ac:dyDescent="0.2">
      <c r="A4070">
        <v>315</v>
      </c>
      <c r="B4070">
        <v>38</v>
      </c>
      <c r="C4070" t="s">
        <v>14</v>
      </c>
      <c r="D4070" t="s">
        <v>49</v>
      </c>
      <c r="E4070" t="s">
        <v>22</v>
      </c>
      <c r="F4070">
        <v>1</v>
      </c>
      <c r="G4070" t="s">
        <v>42</v>
      </c>
      <c r="H4070" s="1">
        <v>46005.502083333333</v>
      </c>
      <c r="I4070" s="5">
        <f>INT(TB[[#This Row],[时间戳]])</f>
        <v>46005</v>
      </c>
      <c r="J4070" s="2">
        <f>HOUR(TB[[#This Row],[时间戳]])</f>
        <v>12</v>
      </c>
      <c r="K4070">
        <v>7109</v>
      </c>
      <c r="L4070">
        <v>0</v>
      </c>
      <c r="M4070">
        <f>TB[[#This Row],[售价]]*TB[[#This Row],[销量]]</f>
        <v>0</v>
      </c>
      <c r="N4070" t="str">
        <f>IF(TB[[#This Row],[售价]]&lt;1000,"低价商品",IF(TB[[#This Row],[售价]]&lt;5000,"中价商品",IF(TB[[#This Row],[售价]]&lt;10000,"高价商品","超高价商品")))</f>
        <v>高价商品</v>
      </c>
    </row>
    <row r="4071" spans="1:14" x14ac:dyDescent="0.2">
      <c r="A4071">
        <v>636</v>
      </c>
      <c r="B4071">
        <v>207</v>
      </c>
      <c r="C4071" t="s">
        <v>32</v>
      </c>
      <c r="D4071" t="s">
        <v>79</v>
      </c>
      <c r="E4071" t="s">
        <v>31</v>
      </c>
      <c r="F4071">
        <v>4</v>
      </c>
      <c r="G4071" t="s">
        <v>13</v>
      </c>
      <c r="H4071" s="1">
        <v>46005.536805555559</v>
      </c>
      <c r="I4071" s="5">
        <f>INT(TB[[#This Row],[时间戳]])</f>
        <v>46005</v>
      </c>
      <c r="J4071" s="2">
        <f>HOUR(TB[[#This Row],[时间戳]])</f>
        <v>12</v>
      </c>
      <c r="K4071">
        <v>555</v>
      </c>
      <c r="L4071">
        <v>4</v>
      </c>
      <c r="M4071">
        <f>TB[[#This Row],[售价]]*TB[[#This Row],[销量]]</f>
        <v>2220</v>
      </c>
      <c r="N4071" t="str">
        <f>IF(TB[[#This Row],[售价]]&lt;1000,"低价商品",IF(TB[[#This Row],[售价]]&lt;5000,"中价商品",IF(TB[[#This Row],[售价]]&lt;10000,"高价商品","超高价商品")))</f>
        <v>低价商品</v>
      </c>
    </row>
    <row r="4072" spans="1:14" x14ac:dyDescent="0.2">
      <c r="A4072">
        <v>465</v>
      </c>
      <c r="B4072">
        <v>208</v>
      </c>
      <c r="C4072" t="s">
        <v>46</v>
      </c>
      <c r="D4072" t="s">
        <v>209</v>
      </c>
      <c r="E4072" t="s">
        <v>22</v>
      </c>
      <c r="F4072">
        <v>1</v>
      </c>
      <c r="G4072" t="s">
        <v>13</v>
      </c>
      <c r="H4072" s="1">
        <v>46005.543749999997</v>
      </c>
      <c r="I4072" s="5">
        <f>INT(TB[[#This Row],[时间戳]])</f>
        <v>46005</v>
      </c>
      <c r="J4072" s="2">
        <f>HOUR(TB[[#This Row],[时间戳]])</f>
        <v>13</v>
      </c>
      <c r="K4072">
        <v>4862</v>
      </c>
      <c r="L4072">
        <v>3</v>
      </c>
      <c r="M4072">
        <f>TB[[#This Row],[售价]]*TB[[#This Row],[销量]]</f>
        <v>14586</v>
      </c>
      <c r="N4072" t="str">
        <f>IF(TB[[#This Row],[售价]]&lt;1000,"低价商品",IF(TB[[#This Row],[售价]]&lt;5000,"中价商品",IF(TB[[#This Row],[售价]]&lt;10000,"高价商品","超高价商品")))</f>
        <v>中价商品</v>
      </c>
    </row>
    <row r="4073" spans="1:14" x14ac:dyDescent="0.2">
      <c r="A4073">
        <v>221</v>
      </c>
      <c r="B4073">
        <v>38</v>
      </c>
      <c r="C4073" t="s">
        <v>20</v>
      </c>
      <c r="D4073" t="s">
        <v>23</v>
      </c>
      <c r="E4073" t="s">
        <v>12</v>
      </c>
      <c r="F4073">
        <v>2</v>
      </c>
      <c r="G4073" t="s">
        <v>13</v>
      </c>
      <c r="H4073" s="1">
        <v>46005.564583333333</v>
      </c>
      <c r="I4073" s="5">
        <f>INT(TB[[#This Row],[时间戳]])</f>
        <v>46005</v>
      </c>
      <c r="J4073" s="2">
        <f>HOUR(TB[[#This Row],[时间戳]])</f>
        <v>13</v>
      </c>
      <c r="K4073">
        <v>4684</v>
      </c>
      <c r="L4073">
        <v>2</v>
      </c>
      <c r="M4073">
        <f>TB[[#This Row],[售价]]*TB[[#This Row],[销量]]</f>
        <v>9368</v>
      </c>
      <c r="N4073" t="str">
        <f>IF(TB[[#This Row],[售价]]&lt;1000,"低价商品",IF(TB[[#This Row],[售价]]&lt;5000,"中价商品",IF(TB[[#This Row],[售价]]&lt;10000,"高价商品","超高价商品")))</f>
        <v>中价商品</v>
      </c>
    </row>
    <row r="4074" spans="1:14" x14ac:dyDescent="0.2">
      <c r="A4074">
        <v>237</v>
      </c>
      <c r="B4074">
        <v>41</v>
      </c>
      <c r="C4074" t="s">
        <v>44</v>
      </c>
      <c r="D4074" t="s">
        <v>169</v>
      </c>
      <c r="E4074" t="s">
        <v>31</v>
      </c>
      <c r="F4074">
        <v>4</v>
      </c>
      <c r="G4074" t="s">
        <v>42</v>
      </c>
      <c r="H4074" s="1">
        <v>46005.581250000003</v>
      </c>
      <c r="I4074" s="5">
        <f>INT(TB[[#This Row],[时间戳]])</f>
        <v>46005</v>
      </c>
      <c r="J4074" s="2">
        <f>HOUR(TB[[#This Row],[时间戳]])</f>
        <v>13</v>
      </c>
      <c r="K4074">
        <v>405</v>
      </c>
      <c r="L4074">
        <v>0</v>
      </c>
      <c r="M4074">
        <f>TB[[#This Row],[售价]]*TB[[#This Row],[销量]]</f>
        <v>0</v>
      </c>
      <c r="N4074" t="str">
        <f>IF(TB[[#This Row],[售价]]&lt;1000,"低价商品",IF(TB[[#This Row],[售价]]&lt;5000,"中价商品",IF(TB[[#This Row],[售价]]&lt;10000,"高价商品","超高价商品")))</f>
        <v>低价商品</v>
      </c>
    </row>
    <row r="4075" spans="1:14" x14ac:dyDescent="0.2">
      <c r="A4075">
        <v>449</v>
      </c>
      <c r="B4075">
        <v>200</v>
      </c>
      <c r="C4075" t="s">
        <v>26</v>
      </c>
      <c r="D4075" t="s">
        <v>229</v>
      </c>
      <c r="E4075" t="s">
        <v>16</v>
      </c>
      <c r="F4075">
        <v>6</v>
      </c>
      <c r="G4075" t="s">
        <v>13</v>
      </c>
      <c r="H4075" s="1">
        <v>46005.597916666666</v>
      </c>
      <c r="I4075" s="5">
        <f>INT(TB[[#This Row],[时间戳]])</f>
        <v>46005</v>
      </c>
      <c r="J4075" s="2">
        <f>HOUR(TB[[#This Row],[时间戳]])</f>
        <v>14</v>
      </c>
      <c r="K4075">
        <v>12000</v>
      </c>
      <c r="L4075">
        <v>2</v>
      </c>
      <c r="M4075">
        <f>TB[[#This Row],[售价]]*TB[[#This Row],[销量]]</f>
        <v>24000</v>
      </c>
      <c r="N4075" t="str">
        <f>IF(TB[[#This Row],[售价]]&lt;1000,"低价商品",IF(TB[[#This Row],[售价]]&lt;5000,"中价商品",IF(TB[[#This Row],[售价]]&lt;10000,"高价商品","超高价商品")))</f>
        <v>超高价商品</v>
      </c>
    </row>
    <row r="4076" spans="1:14" x14ac:dyDescent="0.2">
      <c r="A4076">
        <v>544</v>
      </c>
      <c r="B4076">
        <v>274</v>
      </c>
      <c r="C4076" t="s">
        <v>34</v>
      </c>
      <c r="D4076" t="s">
        <v>168</v>
      </c>
      <c r="E4076" t="s">
        <v>19</v>
      </c>
      <c r="F4076">
        <v>3</v>
      </c>
      <c r="G4076" t="s">
        <v>13</v>
      </c>
      <c r="H4076" s="1">
        <v>46005.619444444441</v>
      </c>
      <c r="I4076" s="5">
        <f>INT(TB[[#This Row],[时间戳]])</f>
        <v>46005</v>
      </c>
      <c r="J4076" s="2">
        <f>HOUR(TB[[#This Row],[时间戳]])</f>
        <v>14</v>
      </c>
      <c r="K4076">
        <v>1766</v>
      </c>
      <c r="L4076">
        <v>2</v>
      </c>
      <c r="M4076">
        <f>TB[[#This Row],[售价]]*TB[[#This Row],[销量]]</f>
        <v>3532</v>
      </c>
      <c r="N4076" t="str">
        <f>IF(TB[[#This Row],[售价]]&lt;1000,"低价商品",IF(TB[[#This Row],[售价]]&lt;5000,"中价商品",IF(TB[[#This Row],[售价]]&lt;10000,"高价商品","超高价商品")))</f>
        <v>中价商品</v>
      </c>
    </row>
    <row r="4077" spans="1:14" x14ac:dyDescent="0.2">
      <c r="A4077">
        <v>361</v>
      </c>
      <c r="B4077">
        <v>122</v>
      </c>
      <c r="C4077" t="s">
        <v>20</v>
      </c>
      <c r="D4077" t="s">
        <v>353</v>
      </c>
      <c r="E4077" t="s">
        <v>25</v>
      </c>
      <c r="F4077">
        <v>7</v>
      </c>
      <c r="G4077" t="s">
        <v>13</v>
      </c>
      <c r="H4077" s="1">
        <v>46005.634722222225</v>
      </c>
      <c r="I4077" s="5">
        <f>INT(TB[[#This Row],[时间戳]])</f>
        <v>46005</v>
      </c>
      <c r="J4077" s="2">
        <f>HOUR(TB[[#This Row],[时间戳]])</f>
        <v>15</v>
      </c>
      <c r="K4077">
        <v>6635</v>
      </c>
      <c r="L4077">
        <v>2</v>
      </c>
      <c r="M4077">
        <f>TB[[#This Row],[售价]]*TB[[#This Row],[销量]]</f>
        <v>13270</v>
      </c>
      <c r="N4077" t="str">
        <f>IF(TB[[#This Row],[售价]]&lt;1000,"低价商品",IF(TB[[#This Row],[售价]]&lt;5000,"中价商品",IF(TB[[#This Row],[售价]]&lt;10000,"高价商品","超高价商品")))</f>
        <v>高价商品</v>
      </c>
    </row>
    <row r="4078" spans="1:14" x14ac:dyDescent="0.2">
      <c r="A4078">
        <v>702</v>
      </c>
      <c r="B4078">
        <v>293</v>
      </c>
      <c r="C4078" t="s">
        <v>32</v>
      </c>
      <c r="D4078" t="s">
        <v>193</v>
      </c>
      <c r="E4078" t="s">
        <v>22</v>
      </c>
      <c r="F4078">
        <v>1</v>
      </c>
      <c r="G4078" t="s">
        <v>13</v>
      </c>
      <c r="H4078" s="1">
        <v>46005.645138888889</v>
      </c>
      <c r="I4078" s="5">
        <f>INT(TB[[#This Row],[时间戳]])</f>
        <v>46005</v>
      </c>
      <c r="J4078" s="2">
        <f>HOUR(TB[[#This Row],[时间戳]])</f>
        <v>15</v>
      </c>
      <c r="K4078">
        <v>8000</v>
      </c>
      <c r="L4078">
        <v>2</v>
      </c>
      <c r="M4078">
        <f>TB[[#This Row],[售价]]*TB[[#This Row],[销量]]</f>
        <v>16000</v>
      </c>
      <c r="N4078" t="str">
        <f>IF(TB[[#This Row],[售价]]&lt;1000,"低价商品",IF(TB[[#This Row],[售价]]&lt;5000,"中价商品",IF(TB[[#This Row],[售价]]&lt;10000,"高价商品","超高价商品")))</f>
        <v>高价商品</v>
      </c>
    </row>
    <row r="4079" spans="1:14" x14ac:dyDescent="0.2">
      <c r="A4079">
        <v>94</v>
      </c>
      <c r="B4079">
        <v>196</v>
      </c>
      <c r="C4079" t="s">
        <v>14</v>
      </c>
      <c r="D4079" t="s">
        <v>375</v>
      </c>
      <c r="E4079" t="s">
        <v>16</v>
      </c>
      <c r="F4079">
        <v>6</v>
      </c>
      <c r="G4079" t="s">
        <v>42</v>
      </c>
      <c r="H4079" s="1">
        <v>46005.651388888888</v>
      </c>
      <c r="I4079" s="5">
        <f>INT(TB[[#This Row],[时间戳]])</f>
        <v>46005</v>
      </c>
      <c r="J4079" s="2">
        <f>HOUR(TB[[#This Row],[时间戳]])</f>
        <v>15</v>
      </c>
      <c r="K4079">
        <v>6961</v>
      </c>
      <c r="L4079">
        <v>0</v>
      </c>
      <c r="M4079">
        <f>TB[[#This Row],[售价]]*TB[[#This Row],[销量]]</f>
        <v>0</v>
      </c>
      <c r="N4079" t="str">
        <f>IF(TB[[#This Row],[售价]]&lt;1000,"低价商品",IF(TB[[#This Row],[售价]]&lt;5000,"中价商品",IF(TB[[#This Row],[售价]]&lt;10000,"高价商品","超高价商品")))</f>
        <v>高价商品</v>
      </c>
    </row>
    <row r="4080" spans="1:14" x14ac:dyDescent="0.2">
      <c r="A4080">
        <v>525</v>
      </c>
      <c r="B4080">
        <v>297</v>
      </c>
      <c r="C4080" t="s">
        <v>32</v>
      </c>
      <c r="D4080" t="s">
        <v>138</v>
      </c>
      <c r="E4080" t="s">
        <v>12</v>
      </c>
      <c r="F4080">
        <v>2</v>
      </c>
      <c r="G4080" t="s">
        <v>13</v>
      </c>
      <c r="H4080" s="1">
        <v>46005.678472222222</v>
      </c>
      <c r="I4080" s="5">
        <f>INT(TB[[#This Row],[时间戳]])</f>
        <v>46005</v>
      </c>
      <c r="J4080" s="2">
        <f>HOUR(TB[[#This Row],[时间戳]])</f>
        <v>16</v>
      </c>
      <c r="K4080">
        <v>9345</v>
      </c>
      <c r="L4080">
        <v>4</v>
      </c>
      <c r="M4080">
        <f>TB[[#This Row],[售价]]*TB[[#This Row],[销量]]</f>
        <v>37380</v>
      </c>
      <c r="N4080" t="str">
        <f>IF(TB[[#This Row],[售价]]&lt;1000,"低价商品",IF(TB[[#This Row],[售价]]&lt;5000,"中价商品",IF(TB[[#This Row],[售价]]&lt;10000,"高价商品","超高价商品")))</f>
        <v>高价商品</v>
      </c>
    </row>
    <row r="4081" spans="1:14" x14ac:dyDescent="0.2">
      <c r="A4081">
        <v>128</v>
      </c>
      <c r="B4081">
        <v>75</v>
      </c>
      <c r="C4081" t="s">
        <v>26</v>
      </c>
      <c r="D4081" t="s">
        <v>27</v>
      </c>
      <c r="E4081" t="s">
        <v>22</v>
      </c>
      <c r="F4081">
        <v>1</v>
      </c>
      <c r="G4081" t="s">
        <v>13</v>
      </c>
      <c r="H4081" s="1">
        <v>46005.682638888888</v>
      </c>
      <c r="I4081" s="5">
        <f>INT(TB[[#This Row],[时间戳]])</f>
        <v>46005</v>
      </c>
      <c r="J4081" s="2">
        <f>HOUR(TB[[#This Row],[时间戳]])</f>
        <v>16</v>
      </c>
      <c r="K4081">
        <v>6188</v>
      </c>
      <c r="L4081">
        <v>2</v>
      </c>
      <c r="M4081">
        <f>TB[[#This Row],[售价]]*TB[[#This Row],[销量]]</f>
        <v>12376</v>
      </c>
      <c r="N4081" t="str">
        <f>IF(TB[[#This Row],[售价]]&lt;1000,"低价商品",IF(TB[[#This Row],[售价]]&lt;5000,"中价商品",IF(TB[[#This Row],[售价]]&lt;10000,"高价商品","超高价商品")))</f>
        <v>高价商品</v>
      </c>
    </row>
    <row r="4082" spans="1:14" x14ac:dyDescent="0.2">
      <c r="A4082">
        <v>71</v>
      </c>
      <c r="B4082">
        <v>181</v>
      </c>
      <c r="C4082" t="s">
        <v>14</v>
      </c>
      <c r="D4082" t="s">
        <v>52</v>
      </c>
      <c r="E4082" t="s">
        <v>31</v>
      </c>
      <c r="F4082">
        <v>4</v>
      </c>
      <c r="G4082" t="s">
        <v>13</v>
      </c>
      <c r="H4082" s="1">
        <v>46005.704861111109</v>
      </c>
      <c r="I4082" s="5">
        <f>INT(TB[[#This Row],[时间戳]])</f>
        <v>46005</v>
      </c>
      <c r="J4082" s="2">
        <f>HOUR(TB[[#This Row],[时间戳]])</f>
        <v>16</v>
      </c>
      <c r="K4082">
        <v>50</v>
      </c>
      <c r="L4082">
        <v>1</v>
      </c>
      <c r="M4082">
        <f>TB[[#This Row],[售价]]*TB[[#This Row],[销量]]</f>
        <v>50</v>
      </c>
      <c r="N4082" t="str">
        <f>IF(TB[[#This Row],[售价]]&lt;1000,"低价商品",IF(TB[[#This Row],[售价]]&lt;5000,"中价商品",IF(TB[[#This Row],[售价]]&lt;10000,"高价商品","超高价商品")))</f>
        <v>低价商品</v>
      </c>
    </row>
    <row r="4083" spans="1:14" x14ac:dyDescent="0.2">
      <c r="A4083">
        <v>388</v>
      </c>
      <c r="B4083">
        <v>140</v>
      </c>
      <c r="C4083" t="s">
        <v>34</v>
      </c>
      <c r="D4083" t="s">
        <v>402</v>
      </c>
      <c r="E4083" t="s">
        <v>16</v>
      </c>
      <c r="F4083">
        <v>6</v>
      </c>
      <c r="G4083" t="s">
        <v>13</v>
      </c>
      <c r="H4083" s="1">
        <v>46005.709722222222</v>
      </c>
      <c r="I4083" s="5">
        <f>INT(TB[[#This Row],[时间戳]])</f>
        <v>46005</v>
      </c>
      <c r="J4083" s="2">
        <f>HOUR(TB[[#This Row],[时间戳]])</f>
        <v>17</v>
      </c>
      <c r="K4083">
        <v>2581</v>
      </c>
      <c r="L4083">
        <v>3</v>
      </c>
      <c r="M4083">
        <f>TB[[#This Row],[售价]]*TB[[#This Row],[销量]]</f>
        <v>7743</v>
      </c>
      <c r="N4083" t="str">
        <f>IF(TB[[#This Row],[售价]]&lt;1000,"低价商品",IF(TB[[#This Row],[售价]]&lt;5000,"中价商品",IF(TB[[#This Row],[售价]]&lt;10000,"高价商品","超高价商品")))</f>
        <v>中价商品</v>
      </c>
    </row>
    <row r="4084" spans="1:14" x14ac:dyDescent="0.2">
      <c r="A4084">
        <v>492</v>
      </c>
      <c r="B4084">
        <v>4</v>
      </c>
      <c r="C4084" t="s">
        <v>44</v>
      </c>
      <c r="D4084" t="s">
        <v>408</v>
      </c>
      <c r="E4084" t="s">
        <v>39</v>
      </c>
      <c r="F4084">
        <v>5</v>
      </c>
      <c r="G4084" t="s">
        <v>13</v>
      </c>
      <c r="H4084" s="1">
        <v>46005.727777777778</v>
      </c>
      <c r="I4084" s="5">
        <f>INT(TB[[#This Row],[时间戳]])</f>
        <v>46005</v>
      </c>
      <c r="J4084" s="2">
        <f>HOUR(TB[[#This Row],[时间戳]])</f>
        <v>17</v>
      </c>
      <c r="K4084">
        <v>2046</v>
      </c>
      <c r="L4084">
        <v>3</v>
      </c>
      <c r="M4084">
        <f>TB[[#This Row],[售价]]*TB[[#This Row],[销量]]</f>
        <v>6138</v>
      </c>
      <c r="N4084" t="str">
        <f>IF(TB[[#This Row],[售价]]&lt;1000,"低价商品",IF(TB[[#This Row],[售价]]&lt;5000,"中价商品",IF(TB[[#This Row],[售价]]&lt;10000,"高价商品","超高价商品")))</f>
        <v>中价商品</v>
      </c>
    </row>
    <row r="4085" spans="1:14" x14ac:dyDescent="0.2">
      <c r="A4085">
        <v>575</v>
      </c>
      <c r="B4085">
        <v>238</v>
      </c>
      <c r="C4085" t="s">
        <v>26</v>
      </c>
      <c r="D4085" t="s">
        <v>122</v>
      </c>
      <c r="E4085" t="s">
        <v>31</v>
      </c>
      <c r="F4085">
        <v>4</v>
      </c>
      <c r="G4085" t="s">
        <v>13</v>
      </c>
      <c r="H4085" s="1">
        <v>46005.75277777778</v>
      </c>
      <c r="I4085" s="5">
        <f>INT(TB[[#This Row],[时间戳]])</f>
        <v>46005</v>
      </c>
      <c r="J4085" s="2">
        <f>HOUR(TB[[#This Row],[时间戳]])</f>
        <v>18</v>
      </c>
      <c r="K4085">
        <v>50</v>
      </c>
      <c r="L4085">
        <v>2</v>
      </c>
      <c r="M4085">
        <f>TB[[#This Row],[售价]]*TB[[#This Row],[销量]]</f>
        <v>100</v>
      </c>
      <c r="N4085" t="str">
        <f>IF(TB[[#This Row],[售价]]&lt;1000,"低价商品",IF(TB[[#This Row],[售价]]&lt;5000,"中价商品",IF(TB[[#This Row],[售价]]&lt;10000,"高价商品","超高价商品")))</f>
        <v>低价商品</v>
      </c>
    </row>
    <row r="4086" spans="1:14" x14ac:dyDescent="0.2">
      <c r="A4086">
        <v>682</v>
      </c>
      <c r="B4086">
        <v>223</v>
      </c>
      <c r="C4086" t="s">
        <v>36</v>
      </c>
      <c r="D4086" t="s">
        <v>54</v>
      </c>
      <c r="E4086" t="s">
        <v>12</v>
      </c>
      <c r="F4086">
        <v>2</v>
      </c>
      <c r="G4086" t="s">
        <v>13</v>
      </c>
      <c r="H4086" s="1">
        <v>46005.757638888892</v>
      </c>
      <c r="I4086" s="5">
        <f>INT(TB[[#This Row],[时间戳]])</f>
        <v>46005</v>
      </c>
      <c r="J4086" s="2">
        <f>HOUR(TB[[#This Row],[时间戳]])</f>
        <v>18</v>
      </c>
      <c r="K4086">
        <v>10438</v>
      </c>
      <c r="L4086">
        <v>1</v>
      </c>
      <c r="M4086">
        <f>TB[[#This Row],[售价]]*TB[[#This Row],[销量]]</f>
        <v>10438</v>
      </c>
      <c r="N4086" t="str">
        <f>IF(TB[[#This Row],[售价]]&lt;1000,"低价商品",IF(TB[[#This Row],[售价]]&lt;5000,"中价商品",IF(TB[[#This Row],[售价]]&lt;10000,"高价商品","超高价商品")))</f>
        <v>超高价商品</v>
      </c>
    </row>
    <row r="4087" spans="1:14" x14ac:dyDescent="0.2">
      <c r="A4087">
        <v>459</v>
      </c>
      <c r="B4087">
        <v>231</v>
      </c>
      <c r="C4087" t="s">
        <v>36</v>
      </c>
      <c r="D4087" t="s">
        <v>114</v>
      </c>
      <c r="E4087" t="s">
        <v>25</v>
      </c>
      <c r="F4087">
        <v>7</v>
      </c>
      <c r="G4087" t="s">
        <v>13</v>
      </c>
      <c r="H4087" s="1">
        <v>46005.758333333331</v>
      </c>
      <c r="I4087" s="5">
        <f>INT(TB[[#This Row],[时间戳]])</f>
        <v>46005</v>
      </c>
      <c r="J4087" s="2">
        <f>HOUR(TB[[#This Row],[时间戳]])</f>
        <v>18</v>
      </c>
      <c r="K4087">
        <v>5571</v>
      </c>
      <c r="L4087">
        <v>3</v>
      </c>
      <c r="M4087">
        <f>TB[[#This Row],[售价]]*TB[[#This Row],[销量]]</f>
        <v>16713</v>
      </c>
      <c r="N4087" t="str">
        <f>IF(TB[[#This Row],[售价]]&lt;1000,"低价商品",IF(TB[[#This Row],[售价]]&lt;5000,"中价商品",IF(TB[[#This Row],[售价]]&lt;10000,"高价商品","超高价商品")))</f>
        <v>高价商品</v>
      </c>
    </row>
    <row r="4088" spans="1:14" x14ac:dyDescent="0.2">
      <c r="A4088">
        <v>395</v>
      </c>
      <c r="B4088">
        <v>178</v>
      </c>
      <c r="C4088" t="s">
        <v>17</v>
      </c>
      <c r="D4088" t="s">
        <v>61</v>
      </c>
      <c r="E4088" t="s">
        <v>31</v>
      </c>
      <c r="F4088">
        <v>4</v>
      </c>
      <c r="G4088" t="s">
        <v>13</v>
      </c>
      <c r="H4088" s="1">
        <v>46005.761111111111</v>
      </c>
      <c r="I4088" s="5">
        <f>INT(TB[[#This Row],[时间戳]])</f>
        <v>46005</v>
      </c>
      <c r="J4088" s="2">
        <f>HOUR(TB[[#This Row],[时间戳]])</f>
        <v>18</v>
      </c>
      <c r="K4088">
        <v>528</v>
      </c>
      <c r="L4088">
        <v>2</v>
      </c>
      <c r="M4088">
        <f>TB[[#This Row],[售价]]*TB[[#This Row],[销量]]</f>
        <v>1056</v>
      </c>
      <c r="N4088" t="str">
        <f>IF(TB[[#This Row],[售价]]&lt;1000,"低价商品",IF(TB[[#This Row],[售价]]&lt;5000,"中价商品",IF(TB[[#This Row],[售价]]&lt;10000,"高价商品","超高价商品")))</f>
        <v>低价商品</v>
      </c>
    </row>
    <row r="4089" spans="1:14" x14ac:dyDescent="0.2">
      <c r="A4089">
        <v>339</v>
      </c>
      <c r="B4089">
        <v>17</v>
      </c>
      <c r="C4089" t="s">
        <v>10</v>
      </c>
      <c r="D4089" t="s">
        <v>247</v>
      </c>
      <c r="E4089" t="s">
        <v>31</v>
      </c>
      <c r="F4089">
        <v>4</v>
      </c>
      <c r="G4089" t="s">
        <v>13</v>
      </c>
      <c r="H4089" s="1">
        <v>46005.77847222222</v>
      </c>
      <c r="I4089" s="5">
        <f>INT(TB[[#This Row],[时间戳]])</f>
        <v>46005</v>
      </c>
      <c r="J4089" s="2">
        <f>HOUR(TB[[#This Row],[时间戳]])</f>
        <v>18</v>
      </c>
      <c r="K4089">
        <v>1076</v>
      </c>
      <c r="L4089">
        <v>2</v>
      </c>
      <c r="M4089">
        <f>TB[[#This Row],[售价]]*TB[[#This Row],[销量]]</f>
        <v>2152</v>
      </c>
      <c r="N4089" t="str">
        <f>IF(TB[[#This Row],[售价]]&lt;1000,"低价商品",IF(TB[[#This Row],[售价]]&lt;5000,"中价商品",IF(TB[[#This Row],[售价]]&lt;10000,"高价商品","超高价商品")))</f>
        <v>中价商品</v>
      </c>
    </row>
    <row r="4090" spans="1:14" x14ac:dyDescent="0.2">
      <c r="A4090">
        <v>323</v>
      </c>
      <c r="B4090">
        <v>113</v>
      </c>
      <c r="C4090" t="s">
        <v>32</v>
      </c>
      <c r="D4090" t="s">
        <v>288</v>
      </c>
      <c r="E4090" t="s">
        <v>22</v>
      </c>
      <c r="F4090">
        <v>1</v>
      </c>
      <c r="G4090" t="s">
        <v>42</v>
      </c>
      <c r="H4090" s="1">
        <v>46005.813194444447</v>
      </c>
      <c r="I4090" s="5">
        <f>INT(TB[[#This Row],[时间戳]])</f>
        <v>46005</v>
      </c>
      <c r="J4090" s="2">
        <f>HOUR(TB[[#This Row],[时间戳]])</f>
        <v>19</v>
      </c>
      <c r="K4090">
        <v>1196</v>
      </c>
      <c r="L4090">
        <v>0</v>
      </c>
      <c r="M4090">
        <f>TB[[#This Row],[售价]]*TB[[#This Row],[销量]]</f>
        <v>0</v>
      </c>
      <c r="N4090" t="str">
        <f>IF(TB[[#This Row],[售价]]&lt;1000,"低价商品",IF(TB[[#This Row],[售价]]&lt;5000,"中价商品",IF(TB[[#This Row],[售价]]&lt;10000,"高价商品","超高价商品")))</f>
        <v>中价商品</v>
      </c>
    </row>
    <row r="4091" spans="1:14" x14ac:dyDescent="0.2">
      <c r="A4091">
        <v>757</v>
      </c>
      <c r="B4091">
        <v>198</v>
      </c>
      <c r="C4091" t="s">
        <v>10</v>
      </c>
      <c r="D4091" t="s">
        <v>189</v>
      </c>
      <c r="E4091" t="s">
        <v>22</v>
      </c>
      <c r="F4091">
        <v>1</v>
      </c>
      <c r="G4091" t="s">
        <v>42</v>
      </c>
      <c r="H4091" s="1">
        <v>46005.813888888886</v>
      </c>
      <c r="I4091" s="5">
        <f>INT(TB[[#This Row],[时间戳]])</f>
        <v>46005</v>
      </c>
      <c r="J4091" s="2">
        <f>HOUR(TB[[#This Row],[时间戳]])</f>
        <v>19</v>
      </c>
      <c r="K4091">
        <v>4753</v>
      </c>
      <c r="L4091">
        <v>0</v>
      </c>
      <c r="M4091">
        <f>TB[[#This Row],[售价]]*TB[[#This Row],[销量]]</f>
        <v>0</v>
      </c>
      <c r="N4091" t="str">
        <f>IF(TB[[#This Row],[售价]]&lt;1000,"低价商品",IF(TB[[#This Row],[售价]]&lt;5000,"中价商品",IF(TB[[#This Row],[售价]]&lt;10000,"高价商品","超高价商品")))</f>
        <v>中价商品</v>
      </c>
    </row>
    <row r="4092" spans="1:14" x14ac:dyDescent="0.2">
      <c r="A4092">
        <v>191</v>
      </c>
      <c r="B4092">
        <v>238</v>
      </c>
      <c r="C4092" t="s">
        <v>17</v>
      </c>
      <c r="D4092" t="s">
        <v>255</v>
      </c>
      <c r="E4092" t="s">
        <v>31</v>
      </c>
      <c r="F4092">
        <v>4</v>
      </c>
      <c r="G4092" t="s">
        <v>13</v>
      </c>
      <c r="H4092" s="1">
        <v>46005.838194444441</v>
      </c>
      <c r="I4092" s="5">
        <f>INT(TB[[#This Row],[时间戳]])</f>
        <v>46005</v>
      </c>
      <c r="J4092" s="2">
        <f>HOUR(TB[[#This Row],[时间戳]])</f>
        <v>20</v>
      </c>
      <c r="K4092">
        <v>696</v>
      </c>
      <c r="L4092">
        <v>2</v>
      </c>
      <c r="M4092">
        <f>TB[[#This Row],[售价]]*TB[[#This Row],[销量]]</f>
        <v>1392</v>
      </c>
      <c r="N4092" t="str">
        <f>IF(TB[[#This Row],[售价]]&lt;1000,"低价商品",IF(TB[[#This Row],[售价]]&lt;5000,"中价商品",IF(TB[[#This Row],[售价]]&lt;10000,"高价商品","超高价商品")))</f>
        <v>低价商品</v>
      </c>
    </row>
    <row r="4093" spans="1:14" x14ac:dyDescent="0.2">
      <c r="A4093">
        <v>580</v>
      </c>
      <c r="B4093">
        <v>184</v>
      </c>
      <c r="C4093" t="s">
        <v>14</v>
      </c>
      <c r="D4093" t="s">
        <v>385</v>
      </c>
      <c r="E4093" t="s">
        <v>12</v>
      </c>
      <c r="F4093">
        <v>2</v>
      </c>
      <c r="G4093" t="s">
        <v>13</v>
      </c>
      <c r="H4093" s="1">
        <v>46005.845833333333</v>
      </c>
      <c r="I4093" s="5">
        <f>INT(TB[[#This Row],[时间戳]])</f>
        <v>46005</v>
      </c>
      <c r="J4093" s="2">
        <f>HOUR(TB[[#This Row],[时间戳]])</f>
        <v>20</v>
      </c>
      <c r="K4093">
        <v>11071</v>
      </c>
      <c r="L4093">
        <v>5</v>
      </c>
      <c r="M4093">
        <f>TB[[#This Row],[售价]]*TB[[#This Row],[销量]]</f>
        <v>55355</v>
      </c>
      <c r="N4093" t="str">
        <f>IF(TB[[#This Row],[售价]]&lt;1000,"低价商品",IF(TB[[#This Row],[售价]]&lt;5000,"中价商品",IF(TB[[#This Row],[售价]]&lt;10000,"高价商品","超高价商品")))</f>
        <v>超高价商品</v>
      </c>
    </row>
    <row r="4094" spans="1:14" x14ac:dyDescent="0.2">
      <c r="A4094">
        <v>329</v>
      </c>
      <c r="B4094">
        <v>106</v>
      </c>
      <c r="C4094" t="s">
        <v>17</v>
      </c>
      <c r="D4094" t="s">
        <v>403</v>
      </c>
      <c r="E4094" t="s">
        <v>19</v>
      </c>
      <c r="F4094">
        <v>3</v>
      </c>
      <c r="G4094" t="s">
        <v>13</v>
      </c>
      <c r="H4094" s="1">
        <v>46005.857638888891</v>
      </c>
      <c r="I4094" s="5">
        <f>INT(TB[[#This Row],[时间戳]])</f>
        <v>46005</v>
      </c>
      <c r="J4094" s="2">
        <f>HOUR(TB[[#This Row],[时间戳]])</f>
        <v>20</v>
      </c>
      <c r="K4094">
        <v>2716</v>
      </c>
      <c r="L4094">
        <v>2</v>
      </c>
      <c r="M4094">
        <f>TB[[#This Row],[售价]]*TB[[#This Row],[销量]]</f>
        <v>5432</v>
      </c>
      <c r="N4094" t="str">
        <f>IF(TB[[#This Row],[售价]]&lt;1000,"低价商品",IF(TB[[#This Row],[售价]]&lt;5000,"中价商品",IF(TB[[#This Row],[售价]]&lt;10000,"高价商品","超高价商品")))</f>
        <v>中价商品</v>
      </c>
    </row>
    <row r="4095" spans="1:14" x14ac:dyDescent="0.2">
      <c r="A4095">
        <v>478</v>
      </c>
      <c r="B4095">
        <v>5</v>
      </c>
      <c r="C4095" t="s">
        <v>34</v>
      </c>
      <c r="D4095" t="s">
        <v>125</v>
      </c>
      <c r="E4095" t="s">
        <v>31</v>
      </c>
      <c r="F4095">
        <v>4</v>
      </c>
      <c r="G4095" t="s">
        <v>13</v>
      </c>
      <c r="H4095" s="1">
        <v>46005.906944444447</v>
      </c>
      <c r="I4095" s="5">
        <f>INT(TB[[#This Row],[时间戳]])</f>
        <v>46005</v>
      </c>
      <c r="J4095" s="2">
        <f>HOUR(TB[[#This Row],[时间戳]])</f>
        <v>21</v>
      </c>
      <c r="K4095">
        <v>306</v>
      </c>
      <c r="L4095">
        <v>2</v>
      </c>
      <c r="M4095">
        <f>TB[[#This Row],[售价]]*TB[[#This Row],[销量]]</f>
        <v>612</v>
      </c>
      <c r="N4095" t="str">
        <f>IF(TB[[#This Row],[售价]]&lt;1000,"低价商品",IF(TB[[#This Row],[售价]]&lt;5000,"中价商品",IF(TB[[#This Row],[售价]]&lt;10000,"高价商品","超高价商品")))</f>
        <v>低价商品</v>
      </c>
    </row>
    <row r="4096" spans="1:14" x14ac:dyDescent="0.2">
      <c r="A4096">
        <v>166</v>
      </c>
      <c r="B4096">
        <v>271</v>
      </c>
      <c r="C4096" t="s">
        <v>34</v>
      </c>
      <c r="D4096" t="s">
        <v>325</v>
      </c>
      <c r="E4096" t="s">
        <v>25</v>
      </c>
      <c r="F4096">
        <v>7</v>
      </c>
      <c r="G4096" t="s">
        <v>42</v>
      </c>
      <c r="H4096" s="1">
        <v>46005.913888888892</v>
      </c>
      <c r="I4096" s="5">
        <f>INT(TB[[#This Row],[时间戳]])</f>
        <v>46005</v>
      </c>
      <c r="J4096" s="2">
        <f>HOUR(TB[[#This Row],[时间戳]])</f>
        <v>21</v>
      </c>
      <c r="K4096">
        <v>2956</v>
      </c>
      <c r="L4096">
        <v>0</v>
      </c>
      <c r="M4096">
        <f>TB[[#This Row],[售价]]*TB[[#This Row],[销量]]</f>
        <v>0</v>
      </c>
      <c r="N4096" t="str">
        <f>IF(TB[[#This Row],[售价]]&lt;1000,"低价商品",IF(TB[[#This Row],[售价]]&lt;5000,"中价商品",IF(TB[[#This Row],[售价]]&lt;10000,"高价商品","超高价商品")))</f>
        <v>中价商品</v>
      </c>
    </row>
    <row r="4097" spans="1:14" x14ac:dyDescent="0.2">
      <c r="A4097">
        <v>212</v>
      </c>
      <c r="B4097">
        <v>219</v>
      </c>
      <c r="C4097" t="s">
        <v>17</v>
      </c>
      <c r="D4097" t="s">
        <v>361</v>
      </c>
      <c r="E4097" t="s">
        <v>25</v>
      </c>
      <c r="F4097">
        <v>7</v>
      </c>
      <c r="G4097" t="s">
        <v>13</v>
      </c>
      <c r="H4097" s="1">
        <v>46005.925694444442</v>
      </c>
      <c r="I4097" s="5">
        <f>INT(TB[[#This Row],[时间戳]])</f>
        <v>46005</v>
      </c>
      <c r="J4097" s="2">
        <f>HOUR(TB[[#This Row],[时间戳]])</f>
        <v>22</v>
      </c>
      <c r="K4097">
        <v>2855</v>
      </c>
      <c r="L4097">
        <v>1</v>
      </c>
      <c r="M4097">
        <f>TB[[#This Row],[售价]]*TB[[#This Row],[销量]]</f>
        <v>2855</v>
      </c>
      <c r="N4097" t="str">
        <f>IF(TB[[#This Row],[售价]]&lt;1000,"低价商品",IF(TB[[#This Row],[售价]]&lt;5000,"中价商品",IF(TB[[#This Row],[售价]]&lt;10000,"高价商品","超高价商品")))</f>
        <v>中价商品</v>
      </c>
    </row>
    <row r="4098" spans="1:14" x14ac:dyDescent="0.2">
      <c r="A4098">
        <v>629</v>
      </c>
      <c r="B4098">
        <v>149</v>
      </c>
      <c r="C4098" t="s">
        <v>14</v>
      </c>
      <c r="D4098" t="s">
        <v>228</v>
      </c>
      <c r="E4098" t="s">
        <v>31</v>
      </c>
      <c r="F4098">
        <v>4</v>
      </c>
      <c r="G4098" t="s">
        <v>13</v>
      </c>
      <c r="H4098" s="1">
        <v>46005.925694444442</v>
      </c>
      <c r="I4098" s="5">
        <f>INT(TB[[#This Row],[时间戳]])</f>
        <v>46005</v>
      </c>
      <c r="J4098" s="2">
        <f>HOUR(TB[[#This Row],[时间戳]])</f>
        <v>22</v>
      </c>
      <c r="K4098">
        <v>583</v>
      </c>
      <c r="L4098">
        <v>1</v>
      </c>
      <c r="M4098">
        <f>TB[[#This Row],[售价]]*TB[[#This Row],[销量]]</f>
        <v>583</v>
      </c>
      <c r="N4098" t="str">
        <f>IF(TB[[#This Row],[售价]]&lt;1000,"低价商品",IF(TB[[#This Row],[售价]]&lt;5000,"中价商品",IF(TB[[#This Row],[售价]]&lt;10000,"高价商品","超高价商品")))</f>
        <v>低价商品</v>
      </c>
    </row>
    <row r="4099" spans="1:14" x14ac:dyDescent="0.2">
      <c r="A4099">
        <v>782</v>
      </c>
      <c r="B4099">
        <v>172</v>
      </c>
      <c r="C4099" t="s">
        <v>20</v>
      </c>
      <c r="D4099" t="s">
        <v>399</v>
      </c>
      <c r="E4099" t="s">
        <v>31</v>
      </c>
      <c r="F4099">
        <v>4</v>
      </c>
      <c r="G4099" t="s">
        <v>13</v>
      </c>
      <c r="H4099" s="1">
        <v>46005.927083333336</v>
      </c>
      <c r="I4099" s="5">
        <f>INT(TB[[#This Row],[时间戳]])</f>
        <v>46005</v>
      </c>
      <c r="J4099" s="2">
        <f>HOUR(TB[[#This Row],[时间戳]])</f>
        <v>22</v>
      </c>
      <c r="K4099">
        <v>1241</v>
      </c>
      <c r="L4099">
        <v>4</v>
      </c>
      <c r="M4099">
        <f>TB[[#This Row],[售价]]*TB[[#This Row],[销量]]</f>
        <v>4964</v>
      </c>
      <c r="N4099" t="str">
        <f>IF(TB[[#This Row],[售价]]&lt;1000,"低价商品",IF(TB[[#This Row],[售价]]&lt;5000,"中价商品",IF(TB[[#This Row],[售价]]&lt;10000,"高价商品","超高价商品")))</f>
        <v>中价商品</v>
      </c>
    </row>
    <row r="4100" spans="1:14" x14ac:dyDescent="0.2">
      <c r="A4100">
        <v>674</v>
      </c>
      <c r="B4100">
        <v>223</v>
      </c>
      <c r="C4100" t="s">
        <v>36</v>
      </c>
      <c r="D4100" t="s">
        <v>269</v>
      </c>
      <c r="E4100" t="s">
        <v>19</v>
      </c>
      <c r="F4100">
        <v>3</v>
      </c>
      <c r="G4100" t="s">
        <v>42</v>
      </c>
      <c r="H4100" s="1">
        <v>46005.932638888888</v>
      </c>
      <c r="I4100" s="5">
        <f>INT(TB[[#This Row],[时间戳]])</f>
        <v>46005</v>
      </c>
      <c r="J4100" s="2">
        <f>HOUR(TB[[#This Row],[时间戳]])</f>
        <v>22</v>
      </c>
      <c r="K4100">
        <v>4701</v>
      </c>
      <c r="L4100">
        <v>0</v>
      </c>
      <c r="M4100">
        <f>TB[[#This Row],[售价]]*TB[[#This Row],[销量]]</f>
        <v>0</v>
      </c>
      <c r="N4100" t="str">
        <f>IF(TB[[#This Row],[售价]]&lt;1000,"低价商品",IF(TB[[#This Row],[售价]]&lt;5000,"中价商品",IF(TB[[#This Row],[售价]]&lt;10000,"高价商品","超高价商品")))</f>
        <v>中价商品</v>
      </c>
    </row>
    <row r="4101" spans="1:14" x14ac:dyDescent="0.2">
      <c r="A4101">
        <v>300</v>
      </c>
      <c r="B4101">
        <v>114</v>
      </c>
      <c r="C4101" t="s">
        <v>34</v>
      </c>
      <c r="D4101" t="s">
        <v>291</v>
      </c>
      <c r="E4101" t="s">
        <v>31</v>
      </c>
      <c r="F4101">
        <v>4</v>
      </c>
      <c r="G4101" t="s">
        <v>13</v>
      </c>
      <c r="H4101" s="1">
        <v>46005.933333333334</v>
      </c>
      <c r="I4101" s="5">
        <f>INT(TB[[#This Row],[时间戳]])</f>
        <v>46005</v>
      </c>
      <c r="J4101" s="2">
        <f>HOUR(TB[[#This Row],[时间戳]])</f>
        <v>22</v>
      </c>
      <c r="K4101">
        <v>509</v>
      </c>
      <c r="L4101">
        <v>2</v>
      </c>
      <c r="M4101">
        <f>TB[[#This Row],[售价]]*TB[[#This Row],[销量]]</f>
        <v>1018</v>
      </c>
      <c r="N4101" t="str">
        <f>IF(TB[[#This Row],[售价]]&lt;1000,"低价商品",IF(TB[[#This Row],[售价]]&lt;5000,"中价商品",IF(TB[[#This Row],[售价]]&lt;10000,"高价商品","超高价商品")))</f>
        <v>低价商品</v>
      </c>
    </row>
    <row r="4102" spans="1:14" x14ac:dyDescent="0.2">
      <c r="A4102">
        <v>313</v>
      </c>
      <c r="B4102">
        <v>63</v>
      </c>
      <c r="C4102" t="s">
        <v>36</v>
      </c>
      <c r="D4102" t="s">
        <v>181</v>
      </c>
      <c r="E4102" t="s">
        <v>25</v>
      </c>
      <c r="F4102">
        <v>7</v>
      </c>
      <c r="G4102" t="s">
        <v>13</v>
      </c>
      <c r="H4102" s="1">
        <v>46005.95208333333</v>
      </c>
      <c r="I4102" s="5">
        <f>INT(TB[[#This Row],[时间戳]])</f>
        <v>46005</v>
      </c>
      <c r="J4102" s="2">
        <f>HOUR(TB[[#This Row],[时间戳]])</f>
        <v>22</v>
      </c>
      <c r="K4102">
        <v>4181</v>
      </c>
      <c r="L4102">
        <v>1</v>
      </c>
      <c r="M4102">
        <f>TB[[#This Row],[售价]]*TB[[#This Row],[销量]]</f>
        <v>4181</v>
      </c>
      <c r="N4102" t="str">
        <f>IF(TB[[#This Row],[售价]]&lt;1000,"低价商品",IF(TB[[#This Row],[售价]]&lt;5000,"中价商品",IF(TB[[#This Row],[售价]]&lt;10000,"高价商品","超高价商品")))</f>
        <v>中价商品</v>
      </c>
    </row>
    <row r="4103" spans="1:14" x14ac:dyDescent="0.2">
      <c r="A4103">
        <v>251</v>
      </c>
      <c r="B4103">
        <v>125</v>
      </c>
      <c r="C4103" t="s">
        <v>46</v>
      </c>
      <c r="D4103" t="s">
        <v>380</v>
      </c>
      <c r="E4103" t="s">
        <v>16</v>
      </c>
      <c r="F4103">
        <v>6</v>
      </c>
      <c r="G4103" t="s">
        <v>42</v>
      </c>
      <c r="H4103" s="1">
        <v>46005.961805555555</v>
      </c>
      <c r="I4103" s="5">
        <f>INT(TB[[#This Row],[时间戳]])</f>
        <v>46005</v>
      </c>
      <c r="J4103" s="2">
        <f>HOUR(TB[[#This Row],[时间戳]])</f>
        <v>23</v>
      </c>
      <c r="K4103">
        <v>8571</v>
      </c>
      <c r="L4103">
        <v>0</v>
      </c>
      <c r="M4103">
        <f>TB[[#This Row],[售价]]*TB[[#This Row],[销量]]</f>
        <v>0</v>
      </c>
      <c r="N4103" t="str">
        <f>IF(TB[[#This Row],[售价]]&lt;1000,"低价商品",IF(TB[[#This Row],[售价]]&lt;5000,"中价商品",IF(TB[[#This Row],[售价]]&lt;10000,"高价商品","超高价商品")))</f>
        <v>高价商品</v>
      </c>
    </row>
    <row r="4104" spans="1:14" x14ac:dyDescent="0.2">
      <c r="A4104">
        <v>292</v>
      </c>
      <c r="B4104">
        <v>116</v>
      </c>
      <c r="C4104" t="s">
        <v>46</v>
      </c>
      <c r="D4104" t="s">
        <v>371</v>
      </c>
      <c r="E4104" t="s">
        <v>16</v>
      </c>
      <c r="F4104">
        <v>6</v>
      </c>
      <c r="G4104" t="s">
        <v>13</v>
      </c>
      <c r="H4104" s="1">
        <v>46005.976388888892</v>
      </c>
      <c r="I4104" s="5">
        <f>INT(TB[[#This Row],[时间戳]])</f>
        <v>46005</v>
      </c>
      <c r="J4104" s="2">
        <f>HOUR(TB[[#This Row],[时间戳]])</f>
        <v>23</v>
      </c>
      <c r="K4104">
        <v>6175</v>
      </c>
      <c r="L4104">
        <v>3</v>
      </c>
      <c r="M4104">
        <f>TB[[#This Row],[售价]]*TB[[#This Row],[销量]]</f>
        <v>18525</v>
      </c>
      <c r="N4104" t="str">
        <f>IF(TB[[#This Row],[售价]]&lt;1000,"低价商品",IF(TB[[#This Row],[售价]]&lt;5000,"中价商品",IF(TB[[#This Row],[售价]]&lt;10000,"高价商品","超高价商品")))</f>
        <v>高价商品</v>
      </c>
    </row>
    <row r="4105" spans="1:14" x14ac:dyDescent="0.2">
      <c r="A4105">
        <v>18</v>
      </c>
      <c r="B4105">
        <v>270</v>
      </c>
      <c r="C4105" t="s">
        <v>17</v>
      </c>
      <c r="D4105" t="s">
        <v>133</v>
      </c>
      <c r="E4105" t="s">
        <v>31</v>
      </c>
      <c r="F4105">
        <v>4</v>
      </c>
      <c r="G4105" t="s">
        <v>13</v>
      </c>
      <c r="H4105" s="1">
        <v>46005.979861111111</v>
      </c>
      <c r="I4105" s="5">
        <f>INT(TB[[#This Row],[时间戳]])</f>
        <v>46005</v>
      </c>
      <c r="J4105" s="2">
        <f>HOUR(TB[[#This Row],[时间戳]])</f>
        <v>23</v>
      </c>
      <c r="K4105">
        <v>1165</v>
      </c>
      <c r="L4105">
        <v>3</v>
      </c>
      <c r="M4105">
        <f>TB[[#This Row],[售价]]*TB[[#This Row],[销量]]</f>
        <v>3495</v>
      </c>
      <c r="N4105" t="str">
        <f>IF(TB[[#This Row],[售价]]&lt;1000,"低价商品",IF(TB[[#This Row],[售价]]&lt;5000,"中价商品",IF(TB[[#This Row],[售价]]&lt;10000,"高价商品","超高价商品")))</f>
        <v>中价商品</v>
      </c>
    </row>
    <row r="4106" spans="1:14" x14ac:dyDescent="0.2">
      <c r="A4106">
        <v>150</v>
      </c>
      <c r="B4106">
        <v>115</v>
      </c>
      <c r="C4106" t="s">
        <v>20</v>
      </c>
      <c r="D4106" t="s">
        <v>40</v>
      </c>
      <c r="E4106" t="s">
        <v>25</v>
      </c>
      <c r="F4106">
        <v>7</v>
      </c>
      <c r="G4106" t="s">
        <v>13</v>
      </c>
      <c r="H4106" s="1">
        <v>46005.986805555556</v>
      </c>
      <c r="I4106" s="5">
        <f>INT(TB[[#This Row],[时间戳]])</f>
        <v>46005</v>
      </c>
      <c r="J4106" s="2">
        <f>HOUR(TB[[#This Row],[时间戳]])</f>
        <v>23</v>
      </c>
      <c r="K4106">
        <v>7864</v>
      </c>
      <c r="L4106">
        <v>2</v>
      </c>
      <c r="M4106">
        <f>TB[[#This Row],[售价]]*TB[[#This Row],[销量]]</f>
        <v>15728</v>
      </c>
      <c r="N4106" t="str">
        <f>IF(TB[[#This Row],[售价]]&lt;1000,"低价商品",IF(TB[[#This Row],[售价]]&lt;5000,"中价商品",IF(TB[[#This Row],[售价]]&lt;10000,"高价商品","超高价商品")))</f>
        <v>高价商品</v>
      </c>
    </row>
    <row r="4107" spans="1:14" x14ac:dyDescent="0.2">
      <c r="A4107">
        <v>431</v>
      </c>
      <c r="B4107">
        <v>66</v>
      </c>
      <c r="C4107" t="s">
        <v>34</v>
      </c>
      <c r="D4107" t="s">
        <v>199</v>
      </c>
      <c r="E4107" t="s">
        <v>39</v>
      </c>
      <c r="F4107">
        <v>5</v>
      </c>
      <c r="G4107" t="s">
        <v>13</v>
      </c>
      <c r="H4107" s="1">
        <v>46006.006944444445</v>
      </c>
      <c r="I4107" s="5">
        <f>INT(TB[[#This Row],[时间戳]])</f>
        <v>46006</v>
      </c>
      <c r="J4107" s="2">
        <f>HOUR(TB[[#This Row],[时间戳]])</f>
        <v>0</v>
      </c>
      <c r="K4107">
        <v>1098</v>
      </c>
      <c r="L4107">
        <v>2</v>
      </c>
      <c r="M4107">
        <f>TB[[#This Row],[售价]]*TB[[#This Row],[销量]]</f>
        <v>2196</v>
      </c>
      <c r="N4107" t="str">
        <f>IF(TB[[#This Row],[售价]]&lt;1000,"低价商品",IF(TB[[#This Row],[售价]]&lt;5000,"中价商品",IF(TB[[#This Row],[售价]]&lt;10000,"高价商品","超高价商品")))</f>
        <v>中价商品</v>
      </c>
    </row>
    <row r="4108" spans="1:14" x14ac:dyDescent="0.2">
      <c r="A4108">
        <v>224</v>
      </c>
      <c r="B4108">
        <v>295</v>
      </c>
      <c r="C4108" t="s">
        <v>44</v>
      </c>
      <c r="D4108" t="s">
        <v>393</v>
      </c>
      <c r="E4108" t="s">
        <v>25</v>
      </c>
      <c r="F4108">
        <v>7</v>
      </c>
      <c r="G4108" t="s">
        <v>13</v>
      </c>
      <c r="H4108" s="1">
        <v>46006.068749999999</v>
      </c>
      <c r="I4108" s="5">
        <f>INT(TB[[#This Row],[时间戳]])</f>
        <v>46006</v>
      </c>
      <c r="J4108" s="2">
        <f>HOUR(TB[[#This Row],[时间戳]])</f>
        <v>1</v>
      </c>
      <c r="K4108">
        <v>6629</v>
      </c>
      <c r="L4108">
        <v>3</v>
      </c>
      <c r="M4108">
        <f>TB[[#This Row],[售价]]*TB[[#This Row],[销量]]</f>
        <v>19887</v>
      </c>
      <c r="N4108" t="str">
        <f>IF(TB[[#This Row],[售价]]&lt;1000,"低价商品",IF(TB[[#This Row],[售价]]&lt;5000,"中价商品",IF(TB[[#This Row],[售价]]&lt;10000,"高价商品","超高价商品")))</f>
        <v>高价商品</v>
      </c>
    </row>
    <row r="4109" spans="1:14" x14ac:dyDescent="0.2">
      <c r="A4109">
        <v>277</v>
      </c>
      <c r="B4109">
        <v>52</v>
      </c>
      <c r="C4109" t="s">
        <v>20</v>
      </c>
      <c r="D4109" t="s">
        <v>399</v>
      </c>
      <c r="E4109" t="s">
        <v>31</v>
      </c>
      <c r="F4109">
        <v>4</v>
      </c>
      <c r="G4109" t="s">
        <v>13</v>
      </c>
      <c r="H4109" s="1">
        <v>46006.069444444445</v>
      </c>
      <c r="I4109" s="5">
        <f>INT(TB[[#This Row],[时间戳]])</f>
        <v>46006</v>
      </c>
      <c r="J4109" s="2">
        <f>HOUR(TB[[#This Row],[时间戳]])</f>
        <v>1</v>
      </c>
      <c r="K4109">
        <v>1492</v>
      </c>
      <c r="L4109">
        <v>2</v>
      </c>
      <c r="M4109">
        <f>TB[[#This Row],[售价]]*TB[[#This Row],[销量]]</f>
        <v>2984</v>
      </c>
      <c r="N4109" t="str">
        <f>IF(TB[[#This Row],[售价]]&lt;1000,"低价商品",IF(TB[[#This Row],[售价]]&lt;5000,"中价商品",IF(TB[[#This Row],[售价]]&lt;10000,"高价商品","超高价商品")))</f>
        <v>中价商品</v>
      </c>
    </row>
    <row r="4110" spans="1:14" x14ac:dyDescent="0.2">
      <c r="A4110">
        <v>779</v>
      </c>
      <c r="B4110">
        <v>293</v>
      </c>
      <c r="C4110" t="s">
        <v>14</v>
      </c>
      <c r="D4110" t="s">
        <v>89</v>
      </c>
      <c r="E4110" t="s">
        <v>22</v>
      </c>
      <c r="F4110">
        <v>1</v>
      </c>
      <c r="G4110" t="s">
        <v>13</v>
      </c>
      <c r="H4110" s="1">
        <v>46006.11041666667</v>
      </c>
      <c r="I4110" s="5">
        <f>INT(TB[[#This Row],[时间戳]])</f>
        <v>46006</v>
      </c>
      <c r="J4110" s="2">
        <f>HOUR(TB[[#This Row],[时间戳]])</f>
        <v>2</v>
      </c>
      <c r="K4110">
        <v>2921</v>
      </c>
      <c r="L4110">
        <v>1</v>
      </c>
      <c r="M4110">
        <f>TB[[#This Row],[售价]]*TB[[#This Row],[销量]]</f>
        <v>2921</v>
      </c>
      <c r="N4110" t="str">
        <f>IF(TB[[#This Row],[售价]]&lt;1000,"低价商品",IF(TB[[#This Row],[售价]]&lt;5000,"中价商品",IF(TB[[#This Row],[售价]]&lt;10000,"高价商品","超高价商品")))</f>
        <v>中价商品</v>
      </c>
    </row>
    <row r="4111" spans="1:14" x14ac:dyDescent="0.2">
      <c r="A4111">
        <v>178</v>
      </c>
      <c r="B4111">
        <v>59</v>
      </c>
      <c r="C4111" t="s">
        <v>10</v>
      </c>
      <c r="D4111" t="s">
        <v>68</v>
      </c>
      <c r="E4111" t="s">
        <v>22</v>
      </c>
      <c r="F4111">
        <v>1</v>
      </c>
      <c r="G4111" t="s">
        <v>13</v>
      </c>
      <c r="H4111" s="1">
        <v>46006.125694444447</v>
      </c>
      <c r="I4111" s="5">
        <f>INT(TB[[#This Row],[时间戳]])</f>
        <v>46006</v>
      </c>
      <c r="J4111" s="2">
        <f>HOUR(TB[[#This Row],[时间戳]])</f>
        <v>3</v>
      </c>
      <c r="K4111">
        <v>4515</v>
      </c>
      <c r="L4111">
        <v>2</v>
      </c>
      <c r="M4111">
        <f>TB[[#This Row],[售价]]*TB[[#This Row],[销量]]</f>
        <v>9030</v>
      </c>
      <c r="N4111" t="str">
        <f>IF(TB[[#This Row],[售价]]&lt;1000,"低价商品",IF(TB[[#This Row],[售价]]&lt;5000,"中价商品",IF(TB[[#This Row],[售价]]&lt;10000,"高价商品","超高价商品")))</f>
        <v>中价商品</v>
      </c>
    </row>
    <row r="4112" spans="1:14" x14ac:dyDescent="0.2">
      <c r="A4112">
        <v>335</v>
      </c>
      <c r="B4112">
        <v>155</v>
      </c>
      <c r="C4112" t="s">
        <v>10</v>
      </c>
      <c r="D4112" t="s">
        <v>351</v>
      </c>
      <c r="E4112" t="s">
        <v>31</v>
      </c>
      <c r="F4112">
        <v>4</v>
      </c>
      <c r="G4112" t="s">
        <v>13</v>
      </c>
      <c r="H4112" s="1">
        <v>46006.140972222223</v>
      </c>
      <c r="I4112" s="5">
        <f>INT(TB[[#This Row],[时间戳]])</f>
        <v>46006</v>
      </c>
      <c r="J4112" s="2">
        <f>HOUR(TB[[#This Row],[时间戳]])</f>
        <v>3</v>
      </c>
      <c r="K4112">
        <v>1219</v>
      </c>
      <c r="L4112">
        <v>5</v>
      </c>
      <c r="M4112">
        <f>TB[[#This Row],[售价]]*TB[[#This Row],[销量]]</f>
        <v>6095</v>
      </c>
      <c r="N4112" t="str">
        <f>IF(TB[[#This Row],[售价]]&lt;1000,"低价商品",IF(TB[[#This Row],[售价]]&lt;5000,"中价商品",IF(TB[[#This Row],[售价]]&lt;10000,"高价商品","超高价商品")))</f>
        <v>中价商品</v>
      </c>
    </row>
    <row r="4113" spans="1:14" x14ac:dyDescent="0.2">
      <c r="A4113">
        <v>294</v>
      </c>
      <c r="B4113">
        <v>212</v>
      </c>
      <c r="C4113" t="s">
        <v>34</v>
      </c>
      <c r="D4113" t="s">
        <v>175</v>
      </c>
      <c r="E4113" t="s">
        <v>22</v>
      </c>
      <c r="F4113">
        <v>1</v>
      </c>
      <c r="G4113" t="s">
        <v>13</v>
      </c>
      <c r="H4113" s="1">
        <v>46006.154166666667</v>
      </c>
      <c r="I4113" s="5">
        <f>INT(TB[[#This Row],[时间戳]])</f>
        <v>46006</v>
      </c>
      <c r="J4113" s="2">
        <f>HOUR(TB[[#This Row],[时间戳]])</f>
        <v>3</v>
      </c>
      <c r="K4113">
        <v>8000</v>
      </c>
      <c r="L4113">
        <v>3</v>
      </c>
      <c r="M4113">
        <f>TB[[#This Row],[售价]]*TB[[#This Row],[销量]]</f>
        <v>24000</v>
      </c>
      <c r="N4113" t="str">
        <f>IF(TB[[#This Row],[售价]]&lt;1000,"低价商品",IF(TB[[#This Row],[售价]]&lt;5000,"中价商品",IF(TB[[#This Row],[售价]]&lt;10000,"高价商品","超高价商品")))</f>
        <v>高价商品</v>
      </c>
    </row>
    <row r="4114" spans="1:14" x14ac:dyDescent="0.2">
      <c r="A4114">
        <v>136</v>
      </c>
      <c r="B4114">
        <v>65</v>
      </c>
      <c r="C4114" t="s">
        <v>44</v>
      </c>
      <c r="D4114" t="s">
        <v>51</v>
      </c>
      <c r="E4114" t="s">
        <v>19</v>
      </c>
      <c r="F4114">
        <v>3</v>
      </c>
      <c r="G4114" t="s">
        <v>13</v>
      </c>
      <c r="H4114" s="1">
        <v>46006.155555555553</v>
      </c>
      <c r="I4114" s="5">
        <f>INT(TB[[#This Row],[时间戳]])</f>
        <v>46006</v>
      </c>
      <c r="J4114" s="2">
        <f>HOUR(TB[[#This Row],[时间戳]])</f>
        <v>3</v>
      </c>
      <c r="K4114">
        <v>4507</v>
      </c>
      <c r="L4114">
        <v>3</v>
      </c>
      <c r="M4114">
        <f>TB[[#This Row],[售价]]*TB[[#This Row],[销量]]</f>
        <v>13521</v>
      </c>
      <c r="N4114" t="str">
        <f>IF(TB[[#This Row],[售价]]&lt;1000,"低价商品",IF(TB[[#This Row],[售价]]&lt;5000,"中价商品",IF(TB[[#This Row],[售价]]&lt;10000,"高价商品","超高价商品")))</f>
        <v>中价商品</v>
      </c>
    </row>
    <row r="4115" spans="1:14" x14ac:dyDescent="0.2">
      <c r="A4115">
        <v>310</v>
      </c>
      <c r="B4115">
        <v>143</v>
      </c>
      <c r="C4115" t="s">
        <v>10</v>
      </c>
      <c r="D4115" t="s">
        <v>134</v>
      </c>
      <c r="E4115" t="s">
        <v>22</v>
      </c>
      <c r="F4115">
        <v>1</v>
      </c>
      <c r="G4115" t="s">
        <v>42</v>
      </c>
      <c r="H4115" s="1">
        <v>46006.156944444447</v>
      </c>
      <c r="I4115" s="5">
        <f>INT(TB[[#This Row],[时间戳]])</f>
        <v>46006</v>
      </c>
      <c r="J4115" s="2">
        <f>HOUR(TB[[#This Row],[时间戳]])</f>
        <v>3</v>
      </c>
      <c r="K4115">
        <v>1230</v>
      </c>
      <c r="L4115">
        <v>0</v>
      </c>
      <c r="M4115">
        <f>TB[[#This Row],[售价]]*TB[[#This Row],[销量]]</f>
        <v>0</v>
      </c>
      <c r="N4115" t="str">
        <f>IF(TB[[#This Row],[售价]]&lt;1000,"低价商品",IF(TB[[#This Row],[售价]]&lt;5000,"中价商品",IF(TB[[#This Row],[售价]]&lt;10000,"高价商品","超高价商品")))</f>
        <v>中价商品</v>
      </c>
    </row>
    <row r="4116" spans="1:14" x14ac:dyDescent="0.2">
      <c r="A4116">
        <v>66</v>
      </c>
      <c r="B4116">
        <v>76</v>
      </c>
      <c r="C4116" t="s">
        <v>36</v>
      </c>
      <c r="D4116" t="s">
        <v>265</v>
      </c>
      <c r="E4116" t="s">
        <v>31</v>
      </c>
      <c r="F4116">
        <v>4</v>
      </c>
      <c r="G4116" t="s">
        <v>13</v>
      </c>
      <c r="H4116" s="1">
        <v>46006.173611111109</v>
      </c>
      <c r="I4116" s="5">
        <f>INT(TB[[#This Row],[时间戳]])</f>
        <v>46006</v>
      </c>
      <c r="J4116" s="2">
        <f>HOUR(TB[[#This Row],[时间戳]])</f>
        <v>4</v>
      </c>
      <c r="K4116">
        <v>1231</v>
      </c>
      <c r="L4116">
        <v>2</v>
      </c>
      <c r="M4116">
        <f>TB[[#This Row],[售价]]*TB[[#This Row],[销量]]</f>
        <v>2462</v>
      </c>
      <c r="N4116" t="str">
        <f>IF(TB[[#This Row],[售价]]&lt;1000,"低价商品",IF(TB[[#This Row],[售价]]&lt;5000,"中价商品",IF(TB[[#This Row],[售价]]&lt;10000,"高价商品","超高价商品")))</f>
        <v>中价商品</v>
      </c>
    </row>
    <row r="4117" spans="1:14" x14ac:dyDescent="0.2">
      <c r="A4117">
        <v>145</v>
      </c>
      <c r="B4117">
        <v>183</v>
      </c>
      <c r="C4117" t="s">
        <v>10</v>
      </c>
      <c r="D4117" t="s">
        <v>130</v>
      </c>
      <c r="E4117" t="s">
        <v>16</v>
      </c>
      <c r="F4117">
        <v>6</v>
      </c>
      <c r="G4117" t="s">
        <v>13</v>
      </c>
      <c r="H4117" s="1">
        <v>46006.181944444441</v>
      </c>
      <c r="I4117" s="5">
        <f>INT(TB[[#This Row],[时间戳]])</f>
        <v>46006</v>
      </c>
      <c r="J4117" s="2">
        <f>HOUR(TB[[#This Row],[时间戳]])</f>
        <v>4</v>
      </c>
      <c r="K4117">
        <v>5750</v>
      </c>
      <c r="L4117">
        <v>1</v>
      </c>
      <c r="M4117">
        <f>TB[[#This Row],[售价]]*TB[[#This Row],[销量]]</f>
        <v>5750</v>
      </c>
      <c r="N4117" t="str">
        <f>IF(TB[[#This Row],[售价]]&lt;1000,"低价商品",IF(TB[[#This Row],[售价]]&lt;5000,"中价商品",IF(TB[[#This Row],[售价]]&lt;10000,"高价商品","超高价商品")))</f>
        <v>高价商品</v>
      </c>
    </row>
    <row r="4118" spans="1:14" x14ac:dyDescent="0.2">
      <c r="A4118">
        <v>752</v>
      </c>
      <c r="B4118">
        <v>237</v>
      </c>
      <c r="C4118" t="s">
        <v>14</v>
      </c>
      <c r="D4118" t="s">
        <v>49</v>
      </c>
      <c r="E4118" t="s">
        <v>22</v>
      </c>
      <c r="F4118">
        <v>1</v>
      </c>
      <c r="G4118" t="s">
        <v>13</v>
      </c>
      <c r="H4118" s="1">
        <v>46006.227777777778</v>
      </c>
      <c r="I4118" s="5">
        <f>INT(TB[[#This Row],[时间戳]])</f>
        <v>46006</v>
      </c>
      <c r="J4118" s="2">
        <f>HOUR(TB[[#This Row],[时间戳]])</f>
        <v>5</v>
      </c>
      <c r="K4118">
        <v>1742</v>
      </c>
      <c r="L4118">
        <v>3</v>
      </c>
      <c r="M4118">
        <f>TB[[#This Row],[售价]]*TB[[#This Row],[销量]]</f>
        <v>5226</v>
      </c>
      <c r="N4118" t="str">
        <f>IF(TB[[#This Row],[售价]]&lt;1000,"低价商品",IF(TB[[#This Row],[售价]]&lt;5000,"中价商品",IF(TB[[#This Row],[售价]]&lt;10000,"高价商品","超高价商品")))</f>
        <v>中价商品</v>
      </c>
    </row>
    <row r="4119" spans="1:14" x14ac:dyDescent="0.2">
      <c r="A4119">
        <v>724</v>
      </c>
      <c r="B4119">
        <v>201</v>
      </c>
      <c r="C4119" t="s">
        <v>34</v>
      </c>
      <c r="D4119" t="s">
        <v>199</v>
      </c>
      <c r="E4119" t="s">
        <v>39</v>
      </c>
      <c r="F4119">
        <v>5</v>
      </c>
      <c r="G4119" t="s">
        <v>13</v>
      </c>
      <c r="H4119" s="1">
        <v>46006.236805555556</v>
      </c>
      <c r="I4119" s="5">
        <f>INT(TB[[#This Row],[时间戳]])</f>
        <v>46006</v>
      </c>
      <c r="J4119" s="2">
        <f>HOUR(TB[[#This Row],[时间戳]])</f>
        <v>5</v>
      </c>
      <c r="K4119">
        <v>2166</v>
      </c>
      <c r="L4119">
        <v>1</v>
      </c>
      <c r="M4119">
        <f>TB[[#This Row],[售价]]*TB[[#This Row],[销量]]</f>
        <v>2166</v>
      </c>
      <c r="N4119" t="str">
        <f>IF(TB[[#This Row],[售价]]&lt;1000,"低价商品",IF(TB[[#This Row],[售价]]&lt;5000,"中价商品",IF(TB[[#This Row],[售价]]&lt;10000,"高价商品","超高价商品")))</f>
        <v>中价商品</v>
      </c>
    </row>
    <row r="4120" spans="1:14" x14ac:dyDescent="0.2">
      <c r="A4120">
        <v>644</v>
      </c>
      <c r="B4120">
        <v>242</v>
      </c>
      <c r="C4120" t="s">
        <v>46</v>
      </c>
      <c r="D4120" t="s">
        <v>104</v>
      </c>
      <c r="E4120" t="s">
        <v>12</v>
      </c>
      <c r="F4120">
        <v>2</v>
      </c>
      <c r="G4120" t="s">
        <v>13</v>
      </c>
      <c r="H4120" s="1">
        <v>46006.239583333336</v>
      </c>
      <c r="I4120" s="5">
        <f>INT(TB[[#This Row],[时间戳]])</f>
        <v>46006</v>
      </c>
      <c r="J4120" s="2">
        <f>HOUR(TB[[#This Row],[时间戳]])</f>
        <v>5</v>
      </c>
      <c r="K4120">
        <v>7087</v>
      </c>
      <c r="L4120">
        <v>1</v>
      </c>
      <c r="M4120">
        <f>TB[[#This Row],[售价]]*TB[[#This Row],[销量]]</f>
        <v>7087</v>
      </c>
      <c r="N4120" t="str">
        <f>IF(TB[[#This Row],[售价]]&lt;1000,"低价商品",IF(TB[[#This Row],[售价]]&lt;5000,"中价商品",IF(TB[[#This Row],[售价]]&lt;10000,"高价商品","超高价商品")))</f>
        <v>高价商品</v>
      </c>
    </row>
    <row r="4121" spans="1:14" x14ac:dyDescent="0.2">
      <c r="A4121">
        <v>588</v>
      </c>
      <c r="B4121">
        <v>112</v>
      </c>
      <c r="C4121" t="s">
        <v>17</v>
      </c>
      <c r="D4121" t="s">
        <v>370</v>
      </c>
      <c r="E4121" t="s">
        <v>31</v>
      </c>
      <c r="F4121">
        <v>4</v>
      </c>
      <c r="G4121" t="s">
        <v>13</v>
      </c>
      <c r="H4121" s="1">
        <v>46006.263194444444</v>
      </c>
      <c r="I4121" s="5">
        <f>INT(TB[[#This Row],[时间戳]])</f>
        <v>46006</v>
      </c>
      <c r="J4121" s="2">
        <f>HOUR(TB[[#This Row],[时间戳]])</f>
        <v>6</v>
      </c>
      <c r="K4121">
        <v>138</v>
      </c>
      <c r="L4121">
        <v>4</v>
      </c>
      <c r="M4121">
        <f>TB[[#This Row],[售价]]*TB[[#This Row],[销量]]</f>
        <v>552</v>
      </c>
      <c r="N4121" t="str">
        <f>IF(TB[[#This Row],[售价]]&lt;1000,"低价商品",IF(TB[[#This Row],[售价]]&lt;5000,"中价商品",IF(TB[[#This Row],[售价]]&lt;10000,"高价商品","超高价商品")))</f>
        <v>低价商品</v>
      </c>
    </row>
    <row r="4122" spans="1:14" x14ac:dyDescent="0.2">
      <c r="A4122">
        <v>306</v>
      </c>
      <c r="B4122">
        <v>97</v>
      </c>
      <c r="C4122" t="s">
        <v>34</v>
      </c>
      <c r="D4122" t="s">
        <v>174</v>
      </c>
      <c r="E4122" t="s">
        <v>12</v>
      </c>
      <c r="F4122">
        <v>2</v>
      </c>
      <c r="G4122" t="s">
        <v>42</v>
      </c>
      <c r="H4122" s="1">
        <v>46006.269444444442</v>
      </c>
      <c r="I4122" s="5">
        <f>INT(TB[[#This Row],[时间戳]])</f>
        <v>46006</v>
      </c>
      <c r="J4122" s="2">
        <f>HOUR(TB[[#This Row],[时间戳]])</f>
        <v>6</v>
      </c>
      <c r="K4122">
        <v>5059</v>
      </c>
      <c r="L4122">
        <v>0</v>
      </c>
      <c r="M4122">
        <f>TB[[#This Row],[售价]]*TB[[#This Row],[销量]]</f>
        <v>0</v>
      </c>
      <c r="N4122" t="str">
        <f>IF(TB[[#This Row],[售价]]&lt;1000,"低价商品",IF(TB[[#This Row],[售价]]&lt;5000,"中价商品",IF(TB[[#This Row],[售价]]&lt;10000,"高价商品","超高价商品")))</f>
        <v>高价商品</v>
      </c>
    </row>
    <row r="4123" spans="1:14" x14ac:dyDescent="0.2">
      <c r="A4123">
        <v>398</v>
      </c>
      <c r="B4123">
        <v>114</v>
      </c>
      <c r="C4123" t="s">
        <v>34</v>
      </c>
      <c r="D4123" t="s">
        <v>346</v>
      </c>
      <c r="E4123" t="s">
        <v>22</v>
      </c>
      <c r="F4123">
        <v>1</v>
      </c>
      <c r="G4123" t="s">
        <v>13</v>
      </c>
      <c r="H4123" s="1">
        <v>46006.283333333333</v>
      </c>
      <c r="I4123" s="5">
        <f>INT(TB[[#This Row],[时间戳]])</f>
        <v>46006</v>
      </c>
      <c r="J4123" s="2">
        <f>HOUR(TB[[#This Row],[时间戳]])</f>
        <v>6</v>
      </c>
      <c r="K4123">
        <v>3280</v>
      </c>
      <c r="L4123">
        <v>1</v>
      </c>
      <c r="M4123">
        <f>TB[[#This Row],[售价]]*TB[[#This Row],[销量]]</f>
        <v>3280</v>
      </c>
      <c r="N4123" t="str">
        <f>IF(TB[[#This Row],[售价]]&lt;1000,"低价商品",IF(TB[[#This Row],[售价]]&lt;5000,"中价商品",IF(TB[[#This Row],[售价]]&lt;10000,"高价商品","超高价商品")))</f>
        <v>中价商品</v>
      </c>
    </row>
    <row r="4124" spans="1:14" x14ac:dyDescent="0.2">
      <c r="A4124">
        <v>564</v>
      </c>
      <c r="B4124">
        <v>190</v>
      </c>
      <c r="C4124" t="s">
        <v>32</v>
      </c>
      <c r="D4124" t="s">
        <v>200</v>
      </c>
      <c r="E4124" t="s">
        <v>25</v>
      </c>
      <c r="F4124">
        <v>7</v>
      </c>
      <c r="G4124" t="s">
        <v>42</v>
      </c>
      <c r="H4124" s="1">
        <v>46006.304861111108</v>
      </c>
      <c r="I4124" s="5">
        <f>INT(TB[[#This Row],[时间戳]])</f>
        <v>46006</v>
      </c>
      <c r="J4124" s="2">
        <f>HOUR(TB[[#This Row],[时间戳]])</f>
        <v>7</v>
      </c>
      <c r="K4124">
        <v>2030</v>
      </c>
      <c r="L4124">
        <v>0</v>
      </c>
      <c r="M4124">
        <f>TB[[#This Row],[售价]]*TB[[#This Row],[销量]]</f>
        <v>0</v>
      </c>
      <c r="N4124" t="str">
        <f>IF(TB[[#This Row],[售价]]&lt;1000,"低价商品",IF(TB[[#This Row],[售价]]&lt;5000,"中价商品",IF(TB[[#This Row],[售价]]&lt;10000,"高价商品","超高价商品")))</f>
        <v>中价商品</v>
      </c>
    </row>
    <row r="4125" spans="1:14" x14ac:dyDescent="0.2">
      <c r="A4125">
        <v>196</v>
      </c>
      <c r="B4125">
        <v>209</v>
      </c>
      <c r="C4125" t="s">
        <v>36</v>
      </c>
      <c r="D4125" t="s">
        <v>310</v>
      </c>
      <c r="E4125" t="s">
        <v>39</v>
      </c>
      <c r="F4125">
        <v>5</v>
      </c>
      <c r="G4125" t="s">
        <v>13</v>
      </c>
      <c r="H4125" s="1">
        <v>46006.347222222219</v>
      </c>
      <c r="I4125" s="5">
        <f>INT(TB[[#This Row],[时间戳]])</f>
        <v>46006</v>
      </c>
      <c r="J4125" s="2">
        <f>HOUR(TB[[#This Row],[时间戳]])</f>
        <v>8</v>
      </c>
      <c r="K4125">
        <v>900</v>
      </c>
      <c r="L4125">
        <v>5</v>
      </c>
      <c r="M4125">
        <f>TB[[#This Row],[售价]]*TB[[#This Row],[销量]]</f>
        <v>4500</v>
      </c>
      <c r="N4125" t="str">
        <f>IF(TB[[#This Row],[售价]]&lt;1000,"低价商品",IF(TB[[#This Row],[售价]]&lt;5000,"中价商品",IF(TB[[#This Row],[售价]]&lt;10000,"高价商品","超高价商品")))</f>
        <v>低价商品</v>
      </c>
    </row>
    <row r="4126" spans="1:14" x14ac:dyDescent="0.2">
      <c r="A4126">
        <v>255</v>
      </c>
      <c r="B4126">
        <v>100</v>
      </c>
      <c r="C4126" t="s">
        <v>26</v>
      </c>
      <c r="D4126" t="s">
        <v>155</v>
      </c>
      <c r="E4126" t="s">
        <v>12</v>
      </c>
      <c r="F4126">
        <v>2</v>
      </c>
      <c r="G4126" t="s">
        <v>42</v>
      </c>
      <c r="H4126" s="1">
        <v>46006.376388888886</v>
      </c>
      <c r="I4126" s="5">
        <f>INT(TB[[#This Row],[时间戳]])</f>
        <v>46006</v>
      </c>
      <c r="J4126" s="2">
        <f>HOUR(TB[[#This Row],[时间戳]])</f>
        <v>9</v>
      </c>
      <c r="K4126">
        <v>6724</v>
      </c>
      <c r="L4126">
        <v>0</v>
      </c>
      <c r="M4126">
        <f>TB[[#This Row],[售价]]*TB[[#This Row],[销量]]</f>
        <v>0</v>
      </c>
      <c r="N4126" t="str">
        <f>IF(TB[[#This Row],[售价]]&lt;1000,"低价商品",IF(TB[[#This Row],[售价]]&lt;5000,"中价商品",IF(TB[[#This Row],[售价]]&lt;10000,"高价商品","超高价商品")))</f>
        <v>高价商品</v>
      </c>
    </row>
    <row r="4127" spans="1:14" x14ac:dyDescent="0.2">
      <c r="A4127">
        <v>272</v>
      </c>
      <c r="B4127">
        <v>209</v>
      </c>
      <c r="C4127" t="s">
        <v>36</v>
      </c>
      <c r="D4127" t="s">
        <v>366</v>
      </c>
      <c r="E4127" t="s">
        <v>22</v>
      </c>
      <c r="F4127">
        <v>1</v>
      </c>
      <c r="G4127" t="s">
        <v>42</v>
      </c>
      <c r="H4127" s="1">
        <v>46006.397222222222</v>
      </c>
      <c r="I4127" s="5">
        <f>INT(TB[[#This Row],[时间戳]])</f>
        <v>46006</v>
      </c>
      <c r="J4127" s="2">
        <f>HOUR(TB[[#This Row],[时间戳]])</f>
        <v>9</v>
      </c>
      <c r="K4127">
        <v>3573</v>
      </c>
      <c r="L4127">
        <v>0</v>
      </c>
      <c r="M4127">
        <f>TB[[#This Row],[售价]]*TB[[#This Row],[销量]]</f>
        <v>0</v>
      </c>
      <c r="N4127" t="str">
        <f>IF(TB[[#This Row],[售价]]&lt;1000,"低价商品",IF(TB[[#This Row],[售价]]&lt;5000,"中价商品",IF(TB[[#This Row],[售价]]&lt;10000,"高价商品","超高价商品")))</f>
        <v>中价商品</v>
      </c>
    </row>
    <row r="4128" spans="1:14" x14ac:dyDescent="0.2">
      <c r="A4128">
        <v>309</v>
      </c>
      <c r="B4128">
        <v>119</v>
      </c>
      <c r="C4128" t="s">
        <v>14</v>
      </c>
      <c r="D4128" t="s">
        <v>30</v>
      </c>
      <c r="E4128" t="s">
        <v>31</v>
      </c>
      <c r="F4128">
        <v>4</v>
      </c>
      <c r="G4128" t="s">
        <v>42</v>
      </c>
      <c r="H4128" s="1">
        <v>46006.418055555558</v>
      </c>
      <c r="I4128" s="5">
        <f>INT(TB[[#This Row],[时间戳]])</f>
        <v>46006</v>
      </c>
      <c r="J4128" s="2">
        <f>HOUR(TB[[#This Row],[时间戳]])</f>
        <v>10</v>
      </c>
      <c r="K4128">
        <v>610</v>
      </c>
      <c r="L4128">
        <v>0</v>
      </c>
      <c r="M4128">
        <f>TB[[#This Row],[售价]]*TB[[#This Row],[销量]]</f>
        <v>0</v>
      </c>
      <c r="N4128" t="str">
        <f>IF(TB[[#This Row],[售价]]&lt;1000,"低价商品",IF(TB[[#This Row],[售价]]&lt;5000,"中价商品",IF(TB[[#This Row],[售价]]&lt;10000,"高价商品","超高价商品")))</f>
        <v>低价商品</v>
      </c>
    </row>
    <row r="4129" spans="1:14" x14ac:dyDescent="0.2">
      <c r="A4129">
        <v>517</v>
      </c>
      <c r="B4129">
        <v>203</v>
      </c>
      <c r="C4129" t="s">
        <v>46</v>
      </c>
      <c r="D4129" t="s">
        <v>127</v>
      </c>
      <c r="E4129" t="s">
        <v>12</v>
      </c>
      <c r="F4129">
        <v>2</v>
      </c>
      <c r="G4129" t="s">
        <v>13</v>
      </c>
      <c r="H4129" s="1">
        <v>46006.47152777778</v>
      </c>
      <c r="I4129" s="5">
        <f>INT(TB[[#This Row],[时间戳]])</f>
        <v>46006</v>
      </c>
      <c r="J4129" s="2">
        <f>HOUR(TB[[#This Row],[时间戳]])</f>
        <v>11</v>
      </c>
      <c r="K4129">
        <v>14897</v>
      </c>
      <c r="L4129">
        <v>3</v>
      </c>
      <c r="M4129">
        <f>TB[[#This Row],[售价]]*TB[[#This Row],[销量]]</f>
        <v>44691</v>
      </c>
      <c r="N4129" t="str">
        <f>IF(TB[[#This Row],[售价]]&lt;1000,"低价商品",IF(TB[[#This Row],[售价]]&lt;5000,"中价商品",IF(TB[[#This Row],[售价]]&lt;10000,"高价商品","超高价商品")))</f>
        <v>超高价商品</v>
      </c>
    </row>
    <row r="4130" spans="1:14" x14ac:dyDescent="0.2">
      <c r="A4130">
        <v>566</v>
      </c>
      <c r="B4130">
        <v>161</v>
      </c>
      <c r="C4130" t="s">
        <v>10</v>
      </c>
      <c r="D4130" t="s">
        <v>237</v>
      </c>
      <c r="E4130" t="s">
        <v>25</v>
      </c>
      <c r="F4130">
        <v>7</v>
      </c>
      <c r="G4130" t="s">
        <v>13</v>
      </c>
      <c r="H4130" s="1">
        <v>46006.478472222225</v>
      </c>
      <c r="I4130" s="5">
        <f>INT(TB[[#This Row],[时间戳]])</f>
        <v>46006</v>
      </c>
      <c r="J4130" s="2">
        <f>HOUR(TB[[#This Row],[时间戳]])</f>
        <v>11</v>
      </c>
      <c r="K4130">
        <v>7977</v>
      </c>
      <c r="L4130">
        <v>1</v>
      </c>
      <c r="M4130">
        <f>TB[[#This Row],[售价]]*TB[[#This Row],[销量]]</f>
        <v>7977</v>
      </c>
      <c r="N4130" t="str">
        <f>IF(TB[[#This Row],[售价]]&lt;1000,"低价商品",IF(TB[[#This Row],[售价]]&lt;5000,"中价商品",IF(TB[[#This Row],[售价]]&lt;10000,"高价商品","超高价商品")))</f>
        <v>高价商品</v>
      </c>
    </row>
    <row r="4131" spans="1:14" x14ac:dyDescent="0.2">
      <c r="A4131">
        <v>288</v>
      </c>
      <c r="B4131">
        <v>196</v>
      </c>
      <c r="C4131" t="s">
        <v>26</v>
      </c>
      <c r="D4131" t="s">
        <v>252</v>
      </c>
      <c r="E4131" t="s">
        <v>25</v>
      </c>
      <c r="F4131">
        <v>7</v>
      </c>
      <c r="G4131" t="s">
        <v>13</v>
      </c>
      <c r="H4131" s="1">
        <v>46006.478472222225</v>
      </c>
      <c r="I4131" s="5">
        <f>INT(TB[[#This Row],[时间戳]])</f>
        <v>46006</v>
      </c>
      <c r="J4131" s="2">
        <f>HOUR(TB[[#This Row],[时间戳]])</f>
        <v>11</v>
      </c>
      <c r="K4131">
        <v>7484</v>
      </c>
      <c r="L4131">
        <v>2</v>
      </c>
      <c r="M4131">
        <f>TB[[#This Row],[售价]]*TB[[#This Row],[销量]]</f>
        <v>14968</v>
      </c>
      <c r="N4131" t="str">
        <f>IF(TB[[#This Row],[售价]]&lt;1000,"低价商品",IF(TB[[#This Row],[售价]]&lt;5000,"中价商品",IF(TB[[#This Row],[售价]]&lt;10000,"高价商品","超高价商品")))</f>
        <v>高价商品</v>
      </c>
    </row>
    <row r="4132" spans="1:14" x14ac:dyDescent="0.2">
      <c r="A4132">
        <v>92</v>
      </c>
      <c r="B4132">
        <v>250</v>
      </c>
      <c r="C4132" t="s">
        <v>26</v>
      </c>
      <c r="D4132" t="s">
        <v>281</v>
      </c>
      <c r="E4132" t="s">
        <v>16</v>
      </c>
      <c r="F4132">
        <v>6</v>
      </c>
      <c r="G4132" t="s">
        <v>13</v>
      </c>
      <c r="H4132" s="1">
        <v>46006.484027777777</v>
      </c>
      <c r="I4132" s="5">
        <f>INT(TB[[#This Row],[时间戳]])</f>
        <v>46006</v>
      </c>
      <c r="J4132" s="2">
        <f>HOUR(TB[[#This Row],[时间戳]])</f>
        <v>11</v>
      </c>
      <c r="K4132">
        <v>11369</v>
      </c>
      <c r="L4132">
        <v>1</v>
      </c>
      <c r="M4132">
        <f>TB[[#This Row],[售价]]*TB[[#This Row],[销量]]</f>
        <v>11369</v>
      </c>
      <c r="N4132" t="str">
        <f>IF(TB[[#This Row],[售价]]&lt;1000,"低价商品",IF(TB[[#This Row],[售价]]&lt;5000,"中价商品",IF(TB[[#This Row],[售价]]&lt;10000,"高价商品","超高价商品")))</f>
        <v>超高价商品</v>
      </c>
    </row>
    <row r="4133" spans="1:14" x14ac:dyDescent="0.2">
      <c r="A4133">
        <v>270</v>
      </c>
      <c r="B4133">
        <v>97</v>
      </c>
      <c r="C4133" t="s">
        <v>14</v>
      </c>
      <c r="D4133" t="s">
        <v>207</v>
      </c>
      <c r="E4133" t="s">
        <v>25</v>
      </c>
      <c r="F4133">
        <v>7</v>
      </c>
      <c r="G4133" t="s">
        <v>13</v>
      </c>
      <c r="H4133" s="1">
        <v>46006.488888888889</v>
      </c>
      <c r="I4133" s="5">
        <f>INT(TB[[#This Row],[时间戳]])</f>
        <v>46006</v>
      </c>
      <c r="J4133" s="2">
        <f>HOUR(TB[[#This Row],[时间戳]])</f>
        <v>11</v>
      </c>
      <c r="K4133">
        <v>5035</v>
      </c>
      <c r="L4133">
        <v>1</v>
      </c>
      <c r="M4133">
        <f>TB[[#This Row],[售价]]*TB[[#This Row],[销量]]</f>
        <v>5035</v>
      </c>
      <c r="N4133" t="str">
        <f>IF(TB[[#This Row],[售价]]&lt;1000,"低价商品",IF(TB[[#This Row],[售价]]&lt;5000,"中价商品",IF(TB[[#This Row],[售价]]&lt;10000,"高价商品","超高价商品")))</f>
        <v>高价商品</v>
      </c>
    </row>
    <row r="4134" spans="1:14" x14ac:dyDescent="0.2">
      <c r="A4134">
        <v>60</v>
      </c>
      <c r="B4134">
        <v>80</v>
      </c>
      <c r="C4134" t="s">
        <v>32</v>
      </c>
      <c r="D4134" t="s">
        <v>342</v>
      </c>
      <c r="E4134" t="s">
        <v>39</v>
      </c>
      <c r="F4134">
        <v>5</v>
      </c>
      <c r="G4134" t="s">
        <v>42</v>
      </c>
      <c r="H4134" s="1">
        <v>46006.508333333331</v>
      </c>
      <c r="I4134" s="5">
        <f>INT(TB[[#This Row],[时间戳]])</f>
        <v>46006</v>
      </c>
      <c r="J4134" s="2">
        <f>HOUR(TB[[#This Row],[时间戳]])</f>
        <v>12</v>
      </c>
      <c r="K4134">
        <v>907</v>
      </c>
      <c r="L4134">
        <v>0</v>
      </c>
      <c r="M4134">
        <f>TB[[#This Row],[售价]]*TB[[#This Row],[销量]]</f>
        <v>0</v>
      </c>
      <c r="N4134" t="str">
        <f>IF(TB[[#This Row],[售价]]&lt;1000,"低价商品",IF(TB[[#This Row],[售价]]&lt;5000,"中价商品",IF(TB[[#This Row],[售价]]&lt;10000,"高价商品","超高价商品")))</f>
        <v>低价商品</v>
      </c>
    </row>
    <row r="4135" spans="1:14" x14ac:dyDescent="0.2">
      <c r="A4135">
        <v>168</v>
      </c>
      <c r="B4135">
        <v>83</v>
      </c>
      <c r="C4135" t="s">
        <v>34</v>
      </c>
      <c r="D4135" t="s">
        <v>307</v>
      </c>
      <c r="E4135" t="s">
        <v>22</v>
      </c>
      <c r="F4135">
        <v>1</v>
      </c>
      <c r="G4135" t="s">
        <v>13</v>
      </c>
      <c r="H4135" s="1">
        <v>46006.527083333334</v>
      </c>
      <c r="I4135" s="5">
        <f>INT(TB[[#This Row],[时间戳]])</f>
        <v>46006</v>
      </c>
      <c r="J4135" s="2">
        <f>HOUR(TB[[#This Row],[时间戳]])</f>
        <v>12</v>
      </c>
      <c r="K4135">
        <v>2944</v>
      </c>
      <c r="L4135">
        <v>3</v>
      </c>
      <c r="M4135">
        <f>TB[[#This Row],[售价]]*TB[[#This Row],[销量]]</f>
        <v>8832</v>
      </c>
      <c r="N4135" t="str">
        <f>IF(TB[[#This Row],[售价]]&lt;1000,"低价商品",IF(TB[[#This Row],[售价]]&lt;5000,"中价商品",IF(TB[[#This Row],[售价]]&lt;10000,"高价商品","超高价商品")))</f>
        <v>中价商品</v>
      </c>
    </row>
    <row r="4136" spans="1:14" x14ac:dyDescent="0.2">
      <c r="A4136">
        <v>401</v>
      </c>
      <c r="B4136">
        <v>174</v>
      </c>
      <c r="C4136" t="s">
        <v>36</v>
      </c>
      <c r="D4136" t="s">
        <v>265</v>
      </c>
      <c r="E4136" t="s">
        <v>31</v>
      </c>
      <c r="F4136">
        <v>4</v>
      </c>
      <c r="G4136" t="s">
        <v>13</v>
      </c>
      <c r="H4136" s="1">
        <v>46006.543749999997</v>
      </c>
      <c r="I4136" s="5">
        <f>INT(TB[[#This Row],[时间戳]])</f>
        <v>46006</v>
      </c>
      <c r="J4136" s="2">
        <f>HOUR(TB[[#This Row],[时间戳]])</f>
        <v>13</v>
      </c>
      <c r="K4136">
        <v>1307</v>
      </c>
      <c r="L4136">
        <v>2</v>
      </c>
      <c r="M4136">
        <f>TB[[#This Row],[售价]]*TB[[#This Row],[销量]]</f>
        <v>2614</v>
      </c>
      <c r="N4136" t="str">
        <f>IF(TB[[#This Row],[售价]]&lt;1000,"低价商品",IF(TB[[#This Row],[售价]]&lt;5000,"中价商品",IF(TB[[#This Row],[售价]]&lt;10000,"高价商品","超高价商品")))</f>
        <v>中价商品</v>
      </c>
    </row>
    <row r="4137" spans="1:14" x14ac:dyDescent="0.2">
      <c r="A4137">
        <v>204</v>
      </c>
      <c r="B4137">
        <v>103</v>
      </c>
      <c r="C4137" t="s">
        <v>34</v>
      </c>
      <c r="D4137" t="s">
        <v>35</v>
      </c>
      <c r="E4137" t="s">
        <v>19</v>
      </c>
      <c r="F4137">
        <v>3</v>
      </c>
      <c r="G4137" t="s">
        <v>13</v>
      </c>
      <c r="H4137" s="1">
        <v>46006.543749999997</v>
      </c>
      <c r="I4137" s="5">
        <f>INT(TB[[#This Row],[时间戳]])</f>
        <v>46006</v>
      </c>
      <c r="J4137" s="2">
        <f>HOUR(TB[[#This Row],[时间戳]])</f>
        <v>13</v>
      </c>
      <c r="K4137">
        <v>3013</v>
      </c>
      <c r="L4137">
        <v>2</v>
      </c>
      <c r="M4137">
        <f>TB[[#This Row],[售价]]*TB[[#This Row],[销量]]</f>
        <v>6026</v>
      </c>
      <c r="N4137" t="str">
        <f>IF(TB[[#This Row],[售价]]&lt;1000,"低价商品",IF(TB[[#This Row],[售价]]&lt;5000,"中价商品",IF(TB[[#This Row],[售价]]&lt;10000,"高价商品","超高价商品")))</f>
        <v>中价商品</v>
      </c>
    </row>
    <row r="4138" spans="1:14" x14ac:dyDescent="0.2">
      <c r="A4138">
        <v>240</v>
      </c>
      <c r="B4138">
        <v>5</v>
      </c>
      <c r="C4138" t="s">
        <v>26</v>
      </c>
      <c r="D4138" t="s">
        <v>160</v>
      </c>
      <c r="E4138" t="s">
        <v>19</v>
      </c>
      <c r="F4138">
        <v>3</v>
      </c>
      <c r="G4138" t="s">
        <v>13</v>
      </c>
      <c r="H4138" s="1">
        <v>46006.568055555559</v>
      </c>
      <c r="I4138" s="5">
        <f>INT(TB[[#This Row],[时间戳]])</f>
        <v>46006</v>
      </c>
      <c r="J4138" s="2">
        <f>HOUR(TB[[#This Row],[时间戳]])</f>
        <v>13</v>
      </c>
      <c r="K4138">
        <v>2659</v>
      </c>
      <c r="L4138">
        <v>3</v>
      </c>
      <c r="M4138">
        <f>TB[[#This Row],[售价]]*TB[[#This Row],[销量]]</f>
        <v>7977</v>
      </c>
      <c r="N4138" t="str">
        <f>IF(TB[[#This Row],[售价]]&lt;1000,"低价商品",IF(TB[[#This Row],[售价]]&lt;5000,"中价商品",IF(TB[[#This Row],[售价]]&lt;10000,"高价商品","超高价商品")))</f>
        <v>中价商品</v>
      </c>
    </row>
    <row r="4139" spans="1:14" x14ac:dyDescent="0.2">
      <c r="A4139">
        <v>411</v>
      </c>
      <c r="B4139">
        <v>294</v>
      </c>
      <c r="C4139" t="s">
        <v>26</v>
      </c>
      <c r="D4139" t="s">
        <v>219</v>
      </c>
      <c r="E4139" t="s">
        <v>22</v>
      </c>
      <c r="F4139">
        <v>1</v>
      </c>
      <c r="G4139" t="s">
        <v>13</v>
      </c>
      <c r="H4139" s="1">
        <v>46006.574999999997</v>
      </c>
      <c r="I4139" s="5">
        <f>INT(TB[[#This Row],[时间戳]])</f>
        <v>46006</v>
      </c>
      <c r="J4139" s="2">
        <f>HOUR(TB[[#This Row],[时间戳]])</f>
        <v>13</v>
      </c>
      <c r="K4139">
        <v>1924</v>
      </c>
      <c r="L4139">
        <v>3</v>
      </c>
      <c r="M4139">
        <f>TB[[#This Row],[售价]]*TB[[#This Row],[销量]]</f>
        <v>5772</v>
      </c>
      <c r="N4139" t="str">
        <f>IF(TB[[#This Row],[售价]]&lt;1000,"低价商品",IF(TB[[#This Row],[售价]]&lt;5000,"中价商品",IF(TB[[#This Row],[售价]]&lt;10000,"高价商品","超高价商品")))</f>
        <v>中价商品</v>
      </c>
    </row>
    <row r="4140" spans="1:14" x14ac:dyDescent="0.2">
      <c r="A4140">
        <v>236</v>
      </c>
      <c r="B4140">
        <v>12</v>
      </c>
      <c r="C4140" t="s">
        <v>32</v>
      </c>
      <c r="D4140" t="s">
        <v>286</v>
      </c>
      <c r="E4140" t="s">
        <v>22</v>
      </c>
      <c r="F4140">
        <v>1</v>
      </c>
      <c r="G4140" t="s">
        <v>13</v>
      </c>
      <c r="H4140" s="1">
        <v>46006.595138888886</v>
      </c>
      <c r="I4140" s="5">
        <f>INT(TB[[#This Row],[时间戳]])</f>
        <v>46006</v>
      </c>
      <c r="J4140" s="2">
        <f>HOUR(TB[[#This Row],[时间戳]])</f>
        <v>14</v>
      </c>
      <c r="K4140">
        <v>1793</v>
      </c>
      <c r="L4140">
        <v>2</v>
      </c>
      <c r="M4140">
        <f>TB[[#This Row],[售价]]*TB[[#This Row],[销量]]</f>
        <v>3586</v>
      </c>
      <c r="N4140" t="str">
        <f>IF(TB[[#This Row],[售价]]&lt;1000,"低价商品",IF(TB[[#This Row],[售价]]&lt;5000,"中价商品",IF(TB[[#This Row],[售价]]&lt;10000,"高价商品","超高价商品")))</f>
        <v>中价商品</v>
      </c>
    </row>
    <row r="4141" spans="1:14" x14ac:dyDescent="0.2">
      <c r="A4141">
        <v>480</v>
      </c>
      <c r="B4141">
        <v>226</v>
      </c>
      <c r="C4141" t="s">
        <v>36</v>
      </c>
      <c r="D4141" t="s">
        <v>233</v>
      </c>
      <c r="E4141" t="s">
        <v>16</v>
      </c>
      <c r="F4141">
        <v>6</v>
      </c>
      <c r="G4141" t="s">
        <v>13</v>
      </c>
      <c r="H4141" s="1">
        <v>46006.61041666667</v>
      </c>
      <c r="I4141" s="5">
        <f>INT(TB[[#This Row],[时间戳]])</f>
        <v>46006</v>
      </c>
      <c r="J4141" s="2">
        <f>HOUR(TB[[#This Row],[时间戳]])</f>
        <v>14</v>
      </c>
      <c r="K4141">
        <v>5496</v>
      </c>
      <c r="L4141">
        <v>1</v>
      </c>
      <c r="M4141">
        <f>TB[[#This Row],[售价]]*TB[[#This Row],[销量]]</f>
        <v>5496</v>
      </c>
      <c r="N4141" t="str">
        <f>IF(TB[[#This Row],[售价]]&lt;1000,"低价商品",IF(TB[[#This Row],[售价]]&lt;5000,"中价商品",IF(TB[[#This Row],[售价]]&lt;10000,"高价商品","超高价商品")))</f>
        <v>高价商品</v>
      </c>
    </row>
    <row r="4142" spans="1:14" x14ac:dyDescent="0.2">
      <c r="A4142">
        <v>439</v>
      </c>
      <c r="B4142">
        <v>234</v>
      </c>
      <c r="C4142" t="s">
        <v>14</v>
      </c>
      <c r="D4142" t="s">
        <v>385</v>
      </c>
      <c r="E4142" t="s">
        <v>12</v>
      </c>
      <c r="F4142">
        <v>2</v>
      </c>
      <c r="G4142" t="s">
        <v>13</v>
      </c>
      <c r="H4142" s="1">
        <v>46006.618055555555</v>
      </c>
      <c r="I4142" s="5">
        <f>INT(TB[[#This Row],[时间戳]])</f>
        <v>46006</v>
      </c>
      <c r="J4142" s="2">
        <f>HOUR(TB[[#This Row],[时间戳]])</f>
        <v>14</v>
      </c>
      <c r="K4142">
        <v>5284</v>
      </c>
      <c r="L4142">
        <v>2</v>
      </c>
      <c r="M4142">
        <f>TB[[#This Row],[售价]]*TB[[#This Row],[销量]]</f>
        <v>10568</v>
      </c>
      <c r="N4142" t="str">
        <f>IF(TB[[#This Row],[售价]]&lt;1000,"低价商品",IF(TB[[#This Row],[售价]]&lt;5000,"中价商品",IF(TB[[#This Row],[售价]]&lt;10000,"高价商品","超高价商品")))</f>
        <v>高价商品</v>
      </c>
    </row>
    <row r="4143" spans="1:14" x14ac:dyDescent="0.2">
      <c r="A4143">
        <v>146</v>
      </c>
      <c r="B4143">
        <v>245</v>
      </c>
      <c r="C4143" t="s">
        <v>44</v>
      </c>
      <c r="D4143" t="s">
        <v>254</v>
      </c>
      <c r="E4143" t="s">
        <v>25</v>
      </c>
      <c r="F4143">
        <v>7</v>
      </c>
      <c r="G4143" t="s">
        <v>13</v>
      </c>
      <c r="H4143" s="1">
        <v>46006.620833333334</v>
      </c>
      <c r="I4143" s="5">
        <f>INT(TB[[#This Row],[时间戳]])</f>
        <v>46006</v>
      </c>
      <c r="J4143" s="2">
        <f>HOUR(TB[[#This Row],[时间戳]])</f>
        <v>14</v>
      </c>
      <c r="K4143">
        <v>4296</v>
      </c>
      <c r="L4143">
        <v>3</v>
      </c>
      <c r="M4143">
        <f>TB[[#This Row],[售价]]*TB[[#This Row],[销量]]</f>
        <v>12888</v>
      </c>
      <c r="N4143" t="str">
        <f>IF(TB[[#This Row],[售价]]&lt;1000,"低价商品",IF(TB[[#This Row],[售价]]&lt;5000,"中价商品",IF(TB[[#This Row],[售价]]&lt;10000,"高价商品","超高价商品")))</f>
        <v>中价商品</v>
      </c>
    </row>
    <row r="4144" spans="1:14" x14ac:dyDescent="0.2">
      <c r="A4144">
        <v>256</v>
      </c>
      <c r="B4144">
        <v>30</v>
      </c>
      <c r="C4144" t="s">
        <v>34</v>
      </c>
      <c r="D4144" t="s">
        <v>365</v>
      </c>
      <c r="E4144" t="s">
        <v>16</v>
      </c>
      <c r="F4144">
        <v>6</v>
      </c>
      <c r="G4144" t="s">
        <v>13</v>
      </c>
      <c r="H4144" s="1">
        <v>46006.62222222222</v>
      </c>
      <c r="I4144" s="5">
        <f>INT(TB[[#This Row],[时间戳]])</f>
        <v>46006</v>
      </c>
      <c r="J4144" s="2">
        <f>HOUR(TB[[#This Row],[时间戳]])</f>
        <v>14</v>
      </c>
      <c r="K4144">
        <v>12000</v>
      </c>
      <c r="L4144">
        <v>2</v>
      </c>
      <c r="M4144">
        <f>TB[[#This Row],[售价]]*TB[[#This Row],[销量]]</f>
        <v>24000</v>
      </c>
      <c r="N4144" t="str">
        <f>IF(TB[[#This Row],[售价]]&lt;1000,"低价商品",IF(TB[[#This Row],[售价]]&lt;5000,"中价商品",IF(TB[[#This Row],[售价]]&lt;10000,"高价商品","超高价商品")))</f>
        <v>超高价商品</v>
      </c>
    </row>
    <row r="4145" spans="1:14" x14ac:dyDescent="0.2">
      <c r="A4145">
        <v>58</v>
      </c>
      <c r="B4145">
        <v>41</v>
      </c>
      <c r="C4145" t="s">
        <v>34</v>
      </c>
      <c r="D4145" t="s">
        <v>339</v>
      </c>
      <c r="E4145" t="s">
        <v>12</v>
      </c>
      <c r="F4145">
        <v>2</v>
      </c>
      <c r="G4145" t="s">
        <v>13</v>
      </c>
      <c r="H4145" s="1">
        <v>46006.655555555553</v>
      </c>
      <c r="I4145" s="5">
        <f>INT(TB[[#This Row],[时间戳]])</f>
        <v>46006</v>
      </c>
      <c r="J4145" s="2">
        <f>HOUR(TB[[#This Row],[时间戳]])</f>
        <v>15</v>
      </c>
      <c r="K4145">
        <v>6785</v>
      </c>
      <c r="L4145">
        <v>2</v>
      </c>
      <c r="M4145">
        <f>TB[[#This Row],[售价]]*TB[[#This Row],[销量]]</f>
        <v>13570</v>
      </c>
      <c r="N4145" t="str">
        <f>IF(TB[[#This Row],[售价]]&lt;1000,"低价商品",IF(TB[[#This Row],[售价]]&lt;5000,"中价商品",IF(TB[[#This Row],[售价]]&lt;10000,"高价商品","超高价商品")))</f>
        <v>高价商品</v>
      </c>
    </row>
    <row r="4146" spans="1:14" x14ac:dyDescent="0.2">
      <c r="A4146">
        <v>789</v>
      </c>
      <c r="B4146">
        <v>133</v>
      </c>
      <c r="C4146" t="s">
        <v>46</v>
      </c>
      <c r="D4146" t="s">
        <v>141</v>
      </c>
      <c r="E4146" t="s">
        <v>22</v>
      </c>
      <c r="F4146">
        <v>1</v>
      </c>
      <c r="G4146" t="s">
        <v>13</v>
      </c>
      <c r="H4146" s="1">
        <v>46006.701388888891</v>
      </c>
      <c r="I4146" s="5">
        <f>INT(TB[[#This Row],[时间戳]])</f>
        <v>46006</v>
      </c>
      <c r="J4146" s="2">
        <f>HOUR(TB[[#This Row],[时间戳]])</f>
        <v>16</v>
      </c>
      <c r="K4146">
        <v>2335</v>
      </c>
      <c r="L4146">
        <v>1</v>
      </c>
      <c r="M4146">
        <f>TB[[#This Row],[售价]]*TB[[#This Row],[销量]]</f>
        <v>2335</v>
      </c>
      <c r="N4146" t="str">
        <f>IF(TB[[#This Row],[售价]]&lt;1000,"低价商品",IF(TB[[#This Row],[售价]]&lt;5000,"中价商品",IF(TB[[#This Row],[售价]]&lt;10000,"高价商品","超高价商品")))</f>
        <v>中价商品</v>
      </c>
    </row>
    <row r="4147" spans="1:14" x14ac:dyDescent="0.2">
      <c r="A4147">
        <v>30</v>
      </c>
      <c r="B4147">
        <v>111</v>
      </c>
      <c r="C4147" t="s">
        <v>26</v>
      </c>
      <c r="D4147" t="s">
        <v>27</v>
      </c>
      <c r="E4147" t="s">
        <v>22</v>
      </c>
      <c r="F4147">
        <v>1</v>
      </c>
      <c r="G4147" t="s">
        <v>13</v>
      </c>
      <c r="H4147" s="1">
        <v>46006.720833333333</v>
      </c>
      <c r="I4147" s="5">
        <f>INT(TB[[#This Row],[时间戳]])</f>
        <v>46006</v>
      </c>
      <c r="J4147" s="2">
        <f>HOUR(TB[[#This Row],[时间戳]])</f>
        <v>17</v>
      </c>
      <c r="K4147">
        <v>7734</v>
      </c>
      <c r="L4147">
        <v>1</v>
      </c>
      <c r="M4147">
        <f>TB[[#This Row],[售价]]*TB[[#This Row],[销量]]</f>
        <v>7734</v>
      </c>
      <c r="N4147" t="str">
        <f>IF(TB[[#This Row],[售价]]&lt;1000,"低价商品",IF(TB[[#This Row],[售价]]&lt;5000,"中价商品",IF(TB[[#This Row],[售价]]&lt;10000,"高价商品","超高价商品")))</f>
        <v>高价商品</v>
      </c>
    </row>
    <row r="4148" spans="1:14" x14ac:dyDescent="0.2">
      <c r="A4148">
        <v>131</v>
      </c>
      <c r="B4148">
        <v>277</v>
      </c>
      <c r="C4148" t="s">
        <v>26</v>
      </c>
      <c r="D4148" t="s">
        <v>407</v>
      </c>
      <c r="E4148" t="s">
        <v>39</v>
      </c>
      <c r="F4148">
        <v>5</v>
      </c>
      <c r="G4148" t="s">
        <v>13</v>
      </c>
      <c r="H4148" s="1">
        <v>46006.722916666666</v>
      </c>
      <c r="I4148" s="5">
        <f>INT(TB[[#This Row],[时间戳]])</f>
        <v>46006</v>
      </c>
      <c r="J4148" s="2">
        <f>HOUR(TB[[#This Row],[时间戳]])</f>
        <v>17</v>
      </c>
      <c r="K4148">
        <v>2075</v>
      </c>
      <c r="L4148">
        <v>5</v>
      </c>
      <c r="M4148">
        <f>TB[[#This Row],[售价]]*TB[[#This Row],[销量]]</f>
        <v>10375</v>
      </c>
      <c r="N4148" t="str">
        <f>IF(TB[[#This Row],[售价]]&lt;1000,"低价商品",IF(TB[[#This Row],[售价]]&lt;5000,"中价商品",IF(TB[[#This Row],[售价]]&lt;10000,"高价商品","超高价商品")))</f>
        <v>中价商品</v>
      </c>
    </row>
    <row r="4149" spans="1:14" x14ac:dyDescent="0.2">
      <c r="A4149">
        <v>760</v>
      </c>
      <c r="B4149">
        <v>9</v>
      </c>
      <c r="C4149" t="s">
        <v>14</v>
      </c>
      <c r="D4149" t="s">
        <v>178</v>
      </c>
      <c r="E4149" t="s">
        <v>12</v>
      </c>
      <c r="F4149">
        <v>2</v>
      </c>
      <c r="G4149" t="s">
        <v>13</v>
      </c>
      <c r="H4149" s="1">
        <v>46006.731944444444</v>
      </c>
      <c r="I4149" s="5">
        <f>INT(TB[[#This Row],[时间戳]])</f>
        <v>46006</v>
      </c>
      <c r="J4149" s="2">
        <f>HOUR(TB[[#This Row],[时间戳]])</f>
        <v>17</v>
      </c>
      <c r="K4149">
        <v>8883</v>
      </c>
      <c r="L4149">
        <v>2</v>
      </c>
      <c r="M4149">
        <f>TB[[#This Row],[售价]]*TB[[#This Row],[销量]]</f>
        <v>17766</v>
      </c>
      <c r="N4149" t="str">
        <f>IF(TB[[#This Row],[售价]]&lt;1000,"低价商品",IF(TB[[#This Row],[售价]]&lt;5000,"中价商品",IF(TB[[#This Row],[售价]]&lt;10000,"高价商品","超高价商品")))</f>
        <v>高价商品</v>
      </c>
    </row>
    <row r="4150" spans="1:14" x14ac:dyDescent="0.2">
      <c r="A4150">
        <v>678</v>
      </c>
      <c r="B4150">
        <v>68</v>
      </c>
      <c r="C4150" t="s">
        <v>26</v>
      </c>
      <c r="D4150" t="s">
        <v>182</v>
      </c>
      <c r="E4150" t="s">
        <v>31</v>
      </c>
      <c r="F4150">
        <v>4</v>
      </c>
      <c r="G4150" t="s">
        <v>13</v>
      </c>
      <c r="H4150" s="1">
        <v>46006.756249999999</v>
      </c>
      <c r="I4150" s="5">
        <f>INT(TB[[#This Row],[时间戳]])</f>
        <v>46006</v>
      </c>
      <c r="J4150" s="2">
        <f>HOUR(TB[[#This Row],[时间戳]])</f>
        <v>18</v>
      </c>
      <c r="K4150">
        <v>268</v>
      </c>
      <c r="L4150">
        <v>2</v>
      </c>
      <c r="M4150">
        <f>TB[[#This Row],[售价]]*TB[[#This Row],[销量]]</f>
        <v>536</v>
      </c>
      <c r="N4150" t="str">
        <f>IF(TB[[#This Row],[售价]]&lt;1000,"低价商品",IF(TB[[#This Row],[售价]]&lt;5000,"中价商品",IF(TB[[#This Row],[售价]]&lt;10000,"高价商品","超高价商品")))</f>
        <v>低价商品</v>
      </c>
    </row>
    <row r="4151" spans="1:14" x14ac:dyDescent="0.2">
      <c r="A4151">
        <v>450</v>
      </c>
      <c r="B4151">
        <v>212</v>
      </c>
      <c r="C4151" t="s">
        <v>34</v>
      </c>
      <c r="D4151" t="s">
        <v>69</v>
      </c>
      <c r="E4151" t="s">
        <v>31</v>
      </c>
      <c r="F4151">
        <v>4</v>
      </c>
      <c r="G4151" t="s">
        <v>13</v>
      </c>
      <c r="H4151" s="1">
        <v>46006.78402777778</v>
      </c>
      <c r="I4151" s="5">
        <f>INT(TB[[#This Row],[时间戳]])</f>
        <v>46006</v>
      </c>
      <c r="J4151" s="2">
        <f>HOUR(TB[[#This Row],[时间戳]])</f>
        <v>18</v>
      </c>
      <c r="K4151">
        <v>475</v>
      </c>
      <c r="L4151">
        <v>4</v>
      </c>
      <c r="M4151">
        <f>TB[[#This Row],[售价]]*TB[[#This Row],[销量]]</f>
        <v>1900</v>
      </c>
      <c r="N4151" t="str">
        <f>IF(TB[[#This Row],[售价]]&lt;1000,"低价商品",IF(TB[[#This Row],[售价]]&lt;5000,"中价商品",IF(TB[[#This Row],[售价]]&lt;10000,"高价商品","超高价商品")))</f>
        <v>低价商品</v>
      </c>
    </row>
    <row r="4152" spans="1:14" x14ac:dyDescent="0.2">
      <c r="A4152">
        <v>748</v>
      </c>
      <c r="B4152">
        <v>53</v>
      </c>
      <c r="C4152" t="s">
        <v>20</v>
      </c>
      <c r="D4152" t="s">
        <v>97</v>
      </c>
      <c r="E4152" t="s">
        <v>19</v>
      </c>
      <c r="F4152">
        <v>3</v>
      </c>
      <c r="G4152" t="s">
        <v>13</v>
      </c>
      <c r="H4152" s="1">
        <v>46006.786111111112</v>
      </c>
      <c r="I4152" s="5">
        <f>INT(TB[[#This Row],[时间戳]])</f>
        <v>46006</v>
      </c>
      <c r="J4152" s="2">
        <f>HOUR(TB[[#This Row],[时间戳]])</f>
        <v>18</v>
      </c>
      <c r="K4152">
        <v>3759</v>
      </c>
      <c r="L4152">
        <v>1</v>
      </c>
      <c r="M4152">
        <f>TB[[#This Row],[售价]]*TB[[#This Row],[销量]]</f>
        <v>3759</v>
      </c>
      <c r="N4152" t="str">
        <f>IF(TB[[#This Row],[售价]]&lt;1000,"低价商品",IF(TB[[#This Row],[售价]]&lt;5000,"中价商品",IF(TB[[#This Row],[售价]]&lt;10000,"高价商品","超高价商品")))</f>
        <v>中价商品</v>
      </c>
    </row>
    <row r="4153" spans="1:14" x14ac:dyDescent="0.2">
      <c r="A4153">
        <v>267</v>
      </c>
      <c r="B4153">
        <v>212</v>
      </c>
      <c r="C4153" t="s">
        <v>44</v>
      </c>
      <c r="D4153" t="s">
        <v>184</v>
      </c>
      <c r="E4153" t="s">
        <v>12</v>
      </c>
      <c r="F4153">
        <v>2</v>
      </c>
      <c r="G4153" t="s">
        <v>13</v>
      </c>
      <c r="H4153" s="1">
        <v>46006.786111111112</v>
      </c>
      <c r="I4153" s="5">
        <f>INT(TB[[#This Row],[时间戳]])</f>
        <v>46006</v>
      </c>
      <c r="J4153" s="2">
        <f>HOUR(TB[[#This Row],[时间戳]])</f>
        <v>18</v>
      </c>
      <c r="K4153">
        <v>11931</v>
      </c>
      <c r="L4153">
        <v>3</v>
      </c>
      <c r="M4153">
        <f>TB[[#This Row],[售价]]*TB[[#This Row],[销量]]</f>
        <v>35793</v>
      </c>
      <c r="N4153" t="str">
        <f>IF(TB[[#This Row],[售价]]&lt;1000,"低价商品",IF(TB[[#This Row],[售价]]&lt;5000,"中价商品",IF(TB[[#This Row],[售价]]&lt;10000,"高价商品","超高价商品")))</f>
        <v>超高价商品</v>
      </c>
    </row>
    <row r="4154" spans="1:14" x14ac:dyDescent="0.2">
      <c r="A4154">
        <v>271</v>
      </c>
      <c r="B4154">
        <v>26</v>
      </c>
      <c r="C4154" t="s">
        <v>46</v>
      </c>
      <c r="D4154" t="s">
        <v>157</v>
      </c>
      <c r="E4154" t="s">
        <v>12</v>
      </c>
      <c r="F4154">
        <v>2</v>
      </c>
      <c r="G4154" t="s">
        <v>13</v>
      </c>
      <c r="H4154" s="1">
        <v>46006.809027777781</v>
      </c>
      <c r="I4154" s="5">
        <f>INT(TB[[#This Row],[时间戳]])</f>
        <v>46006</v>
      </c>
      <c r="J4154" s="2">
        <f>HOUR(TB[[#This Row],[时间戳]])</f>
        <v>19</v>
      </c>
      <c r="K4154">
        <v>5852</v>
      </c>
      <c r="L4154">
        <v>1</v>
      </c>
      <c r="M4154">
        <f>TB[[#This Row],[售价]]*TB[[#This Row],[销量]]</f>
        <v>5852</v>
      </c>
      <c r="N4154" t="str">
        <f>IF(TB[[#This Row],[售价]]&lt;1000,"低价商品",IF(TB[[#This Row],[售价]]&lt;5000,"中价商品",IF(TB[[#This Row],[售价]]&lt;10000,"高价商品","超高价商品")))</f>
        <v>高价商品</v>
      </c>
    </row>
    <row r="4155" spans="1:14" x14ac:dyDescent="0.2">
      <c r="A4155">
        <v>550</v>
      </c>
      <c r="B4155">
        <v>226</v>
      </c>
      <c r="C4155" t="s">
        <v>20</v>
      </c>
      <c r="D4155" t="s">
        <v>277</v>
      </c>
      <c r="E4155" t="s">
        <v>12</v>
      </c>
      <c r="F4155">
        <v>2</v>
      </c>
      <c r="G4155" t="s">
        <v>13</v>
      </c>
      <c r="H4155" s="1">
        <v>46006.817361111112</v>
      </c>
      <c r="I4155" s="5">
        <f>INT(TB[[#This Row],[时间戳]])</f>
        <v>46006</v>
      </c>
      <c r="J4155" s="2">
        <f>HOUR(TB[[#This Row],[时间戳]])</f>
        <v>19</v>
      </c>
      <c r="K4155">
        <v>10313</v>
      </c>
      <c r="L4155">
        <v>1</v>
      </c>
      <c r="M4155">
        <f>TB[[#This Row],[售价]]*TB[[#This Row],[销量]]</f>
        <v>10313</v>
      </c>
      <c r="N4155" t="str">
        <f>IF(TB[[#This Row],[售价]]&lt;1000,"低价商品",IF(TB[[#This Row],[售价]]&lt;5000,"中价商品",IF(TB[[#This Row],[售价]]&lt;10000,"高价商品","超高价商品")))</f>
        <v>超高价商品</v>
      </c>
    </row>
    <row r="4156" spans="1:14" x14ac:dyDescent="0.2">
      <c r="A4156">
        <v>152</v>
      </c>
      <c r="B4156">
        <v>174</v>
      </c>
      <c r="C4156" t="s">
        <v>44</v>
      </c>
      <c r="D4156" t="s">
        <v>372</v>
      </c>
      <c r="E4156" t="s">
        <v>22</v>
      </c>
      <c r="F4156">
        <v>1</v>
      </c>
      <c r="G4156" t="s">
        <v>13</v>
      </c>
      <c r="H4156" s="1">
        <v>46006.822916666664</v>
      </c>
      <c r="I4156" s="5">
        <f>INT(TB[[#This Row],[时间戳]])</f>
        <v>46006</v>
      </c>
      <c r="J4156" s="2">
        <f>HOUR(TB[[#This Row],[时间戳]])</f>
        <v>19</v>
      </c>
      <c r="K4156">
        <v>2408</v>
      </c>
      <c r="L4156">
        <v>1</v>
      </c>
      <c r="M4156">
        <f>TB[[#This Row],[售价]]*TB[[#This Row],[销量]]</f>
        <v>2408</v>
      </c>
      <c r="N4156" t="str">
        <f>IF(TB[[#This Row],[售价]]&lt;1000,"低价商品",IF(TB[[#This Row],[售价]]&lt;5000,"中价商品",IF(TB[[#This Row],[售价]]&lt;10000,"高价商品","超高价商品")))</f>
        <v>中价商品</v>
      </c>
    </row>
    <row r="4157" spans="1:14" x14ac:dyDescent="0.2">
      <c r="A4157">
        <v>325</v>
      </c>
      <c r="B4157">
        <v>21</v>
      </c>
      <c r="C4157" t="s">
        <v>26</v>
      </c>
      <c r="D4157" t="s">
        <v>182</v>
      </c>
      <c r="E4157" t="s">
        <v>31</v>
      </c>
      <c r="F4157">
        <v>4</v>
      </c>
      <c r="G4157" t="s">
        <v>13</v>
      </c>
      <c r="H4157" s="1">
        <v>46006.822916666664</v>
      </c>
      <c r="I4157" s="5">
        <f>INT(TB[[#This Row],[时间戳]])</f>
        <v>46006</v>
      </c>
      <c r="J4157" s="2">
        <f>HOUR(TB[[#This Row],[时间戳]])</f>
        <v>19</v>
      </c>
      <c r="K4157">
        <v>917</v>
      </c>
      <c r="L4157">
        <v>4</v>
      </c>
      <c r="M4157">
        <f>TB[[#This Row],[售价]]*TB[[#This Row],[销量]]</f>
        <v>3668</v>
      </c>
      <c r="N4157" t="str">
        <f>IF(TB[[#This Row],[售价]]&lt;1000,"低价商品",IF(TB[[#This Row],[售价]]&lt;5000,"中价商品",IF(TB[[#This Row],[售价]]&lt;10000,"高价商品","超高价商品")))</f>
        <v>低价商品</v>
      </c>
    </row>
    <row r="4158" spans="1:14" x14ac:dyDescent="0.2">
      <c r="A4158">
        <v>404</v>
      </c>
      <c r="B4158">
        <v>274</v>
      </c>
      <c r="C4158" t="s">
        <v>34</v>
      </c>
      <c r="D4158" t="s">
        <v>253</v>
      </c>
      <c r="E4158" t="s">
        <v>25</v>
      </c>
      <c r="F4158">
        <v>7</v>
      </c>
      <c r="G4158" t="s">
        <v>13</v>
      </c>
      <c r="H4158" s="1">
        <v>46006.837500000001</v>
      </c>
      <c r="I4158" s="5">
        <f>INT(TB[[#This Row],[时间戳]])</f>
        <v>46006</v>
      </c>
      <c r="J4158" s="2">
        <f>HOUR(TB[[#This Row],[时间戳]])</f>
        <v>20</v>
      </c>
      <c r="K4158">
        <v>6491</v>
      </c>
      <c r="L4158">
        <v>1</v>
      </c>
      <c r="M4158">
        <f>TB[[#This Row],[售价]]*TB[[#This Row],[销量]]</f>
        <v>6491</v>
      </c>
      <c r="N4158" t="str">
        <f>IF(TB[[#This Row],[售价]]&lt;1000,"低价商品",IF(TB[[#This Row],[售价]]&lt;5000,"中价商品",IF(TB[[#This Row],[售价]]&lt;10000,"高价商品","超高价商品")))</f>
        <v>高价商品</v>
      </c>
    </row>
    <row r="4159" spans="1:14" x14ac:dyDescent="0.2">
      <c r="A4159">
        <v>743</v>
      </c>
      <c r="B4159">
        <v>76</v>
      </c>
      <c r="C4159" t="s">
        <v>36</v>
      </c>
      <c r="D4159" t="s">
        <v>114</v>
      </c>
      <c r="E4159" t="s">
        <v>25</v>
      </c>
      <c r="F4159">
        <v>7</v>
      </c>
      <c r="G4159" t="s">
        <v>42</v>
      </c>
      <c r="H4159" s="1">
        <v>46006.87222222222</v>
      </c>
      <c r="I4159" s="5">
        <f>INT(TB[[#This Row],[时间戳]])</f>
        <v>46006</v>
      </c>
      <c r="J4159" s="2">
        <f>HOUR(TB[[#This Row],[时间戳]])</f>
        <v>20</v>
      </c>
      <c r="K4159">
        <v>3972</v>
      </c>
      <c r="L4159">
        <v>0</v>
      </c>
      <c r="M4159">
        <f>TB[[#This Row],[售价]]*TB[[#This Row],[销量]]</f>
        <v>0</v>
      </c>
      <c r="N4159" t="str">
        <f>IF(TB[[#This Row],[售价]]&lt;1000,"低价商品",IF(TB[[#This Row],[售价]]&lt;5000,"中价商品",IF(TB[[#This Row],[售价]]&lt;10000,"高价商品","超高价商品")))</f>
        <v>中价商品</v>
      </c>
    </row>
    <row r="4160" spans="1:14" x14ac:dyDescent="0.2">
      <c r="A4160">
        <v>463</v>
      </c>
      <c r="B4160">
        <v>294</v>
      </c>
      <c r="C4160" t="s">
        <v>32</v>
      </c>
      <c r="D4160" t="s">
        <v>118</v>
      </c>
      <c r="E4160" t="s">
        <v>19</v>
      </c>
      <c r="F4160">
        <v>3</v>
      </c>
      <c r="G4160" t="s">
        <v>13</v>
      </c>
      <c r="H4160" s="1">
        <v>46006.930555555555</v>
      </c>
      <c r="I4160" s="5">
        <f>INT(TB[[#This Row],[时间戳]])</f>
        <v>46006</v>
      </c>
      <c r="J4160" s="2">
        <f>HOUR(TB[[#This Row],[时间戳]])</f>
        <v>22</v>
      </c>
      <c r="K4160">
        <v>3574</v>
      </c>
      <c r="L4160">
        <v>2</v>
      </c>
      <c r="M4160">
        <f>TB[[#This Row],[售价]]*TB[[#This Row],[销量]]</f>
        <v>7148</v>
      </c>
      <c r="N4160" t="str">
        <f>IF(TB[[#This Row],[售价]]&lt;1000,"低价商品",IF(TB[[#This Row],[售价]]&lt;5000,"中价商品",IF(TB[[#This Row],[售价]]&lt;10000,"高价商品","超高价商品")))</f>
        <v>中价商品</v>
      </c>
    </row>
    <row r="4161" spans="1:14" x14ac:dyDescent="0.2">
      <c r="A4161">
        <v>134</v>
      </c>
      <c r="B4161">
        <v>44</v>
      </c>
      <c r="C4161" t="s">
        <v>26</v>
      </c>
      <c r="D4161" t="s">
        <v>131</v>
      </c>
      <c r="E4161" t="s">
        <v>22</v>
      </c>
      <c r="F4161">
        <v>1</v>
      </c>
      <c r="G4161" t="s">
        <v>13</v>
      </c>
      <c r="H4161" s="1">
        <v>46006.945833333331</v>
      </c>
      <c r="I4161" s="5">
        <f>INT(TB[[#This Row],[时间戳]])</f>
        <v>46006</v>
      </c>
      <c r="J4161" s="2">
        <f>HOUR(TB[[#This Row],[时间戳]])</f>
        <v>22</v>
      </c>
      <c r="K4161">
        <v>7142</v>
      </c>
      <c r="L4161">
        <v>2</v>
      </c>
      <c r="M4161">
        <f>TB[[#This Row],[售价]]*TB[[#This Row],[销量]]</f>
        <v>14284</v>
      </c>
      <c r="N4161" t="str">
        <f>IF(TB[[#This Row],[售价]]&lt;1000,"低价商品",IF(TB[[#This Row],[售价]]&lt;5000,"中价商品",IF(TB[[#This Row],[售价]]&lt;10000,"高价商品","超高价商品")))</f>
        <v>高价商品</v>
      </c>
    </row>
    <row r="4162" spans="1:14" x14ac:dyDescent="0.2">
      <c r="A4162">
        <v>469</v>
      </c>
      <c r="B4162">
        <v>263</v>
      </c>
      <c r="C4162" t="s">
        <v>14</v>
      </c>
      <c r="D4162" t="s">
        <v>295</v>
      </c>
      <c r="E4162" t="s">
        <v>39</v>
      </c>
      <c r="F4162">
        <v>5</v>
      </c>
      <c r="G4162" t="s">
        <v>13</v>
      </c>
      <c r="H4162" s="1">
        <v>46006.959027777775</v>
      </c>
      <c r="I4162" s="5">
        <f>INT(TB[[#This Row],[时间戳]])</f>
        <v>46006</v>
      </c>
      <c r="J4162" s="2">
        <f>HOUR(TB[[#This Row],[时间戳]])</f>
        <v>23</v>
      </c>
      <c r="K4162">
        <v>976</v>
      </c>
      <c r="L4162">
        <v>3</v>
      </c>
      <c r="M4162">
        <f>TB[[#This Row],[售价]]*TB[[#This Row],[销量]]</f>
        <v>2928</v>
      </c>
      <c r="N4162" t="str">
        <f>IF(TB[[#This Row],[售价]]&lt;1000,"低价商品",IF(TB[[#This Row],[售价]]&lt;5000,"中价商品",IF(TB[[#This Row],[售价]]&lt;10000,"高价商品","超高价商品")))</f>
        <v>低价商品</v>
      </c>
    </row>
    <row r="4163" spans="1:14" x14ac:dyDescent="0.2">
      <c r="A4163">
        <v>567</v>
      </c>
      <c r="B4163">
        <v>213</v>
      </c>
      <c r="C4163" t="s">
        <v>34</v>
      </c>
      <c r="D4163" t="s">
        <v>232</v>
      </c>
      <c r="E4163" t="s">
        <v>22</v>
      </c>
      <c r="F4163">
        <v>1</v>
      </c>
      <c r="G4163" t="s">
        <v>13</v>
      </c>
      <c r="H4163" s="1">
        <v>46006.960416666669</v>
      </c>
      <c r="I4163" s="5">
        <f>INT(TB[[#This Row],[时间戳]])</f>
        <v>46006</v>
      </c>
      <c r="J4163" s="2">
        <f>HOUR(TB[[#This Row],[时间戳]])</f>
        <v>23</v>
      </c>
      <c r="K4163">
        <v>1263</v>
      </c>
      <c r="L4163">
        <v>2</v>
      </c>
      <c r="M4163">
        <f>TB[[#This Row],[售价]]*TB[[#This Row],[销量]]</f>
        <v>2526</v>
      </c>
      <c r="N4163" t="str">
        <f>IF(TB[[#This Row],[售价]]&lt;1000,"低价商品",IF(TB[[#This Row],[售价]]&lt;5000,"中价商品",IF(TB[[#This Row],[售价]]&lt;10000,"高价商品","超高价商品")))</f>
        <v>中价商品</v>
      </c>
    </row>
    <row r="4164" spans="1:14" x14ac:dyDescent="0.2">
      <c r="A4164">
        <v>686</v>
      </c>
      <c r="B4164">
        <v>38</v>
      </c>
      <c r="C4164" t="s">
        <v>46</v>
      </c>
      <c r="D4164" t="s">
        <v>80</v>
      </c>
      <c r="E4164" t="s">
        <v>22</v>
      </c>
      <c r="F4164">
        <v>1</v>
      </c>
      <c r="G4164" t="s">
        <v>13</v>
      </c>
      <c r="H4164" s="1">
        <v>46006.975694444445</v>
      </c>
      <c r="I4164" s="5">
        <f>INT(TB[[#This Row],[时间戳]])</f>
        <v>46006</v>
      </c>
      <c r="J4164" s="2">
        <f>HOUR(TB[[#This Row],[时间戳]])</f>
        <v>23</v>
      </c>
      <c r="K4164">
        <v>7793</v>
      </c>
      <c r="L4164">
        <v>2</v>
      </c>
      <c r="M4164">
        <f>TB[[#This Row],[售价]]*TB[[#This Row],[销量]]</f>
        <v>15586</v>
      </c>
      <c r="N4164" t="str">
        <f>IF(TB[[#This Row],[售价]]&lt;1000,"低价商品",IF(TB[[#This Row],[售价]]&lt;5000,"中价商品",IF(TB[[#This Row],[售价]]&lt;10000,"高价商品","超高价商品")))</f>
        <v>高价商品</v>
      </c>
    </row>
    <row r="4165" spans="1:14" x14ac:dyDescent="0.2">
      <c r="A4165">
        <v>711</v>
      </c>
      <c r="B4165">
        <v>19</v>
      </c>
      <c r="C4165" t="s">
        <v>44</v>
      </c>
      <c r="D4165" t="s">
        <v>158</v>
      </c>
      <c r="E4165" t="s">
        <v>31</v>
      </c>
      <c r="F4165">
        <v>4</v>
      </c>
      <c r="G4165" t="s">
        <v>42</v>
      </c>
      <c r="H4165" s="1">
        <v>46006.984027777777</v>
      </c>
      <c r="I4165" s="5">
        <f>INT(TB[[#This Row],[时间戳]])</f>
        <v>46006</v>
      </c>
      <c r="J4165" s="2">
        <f>HOUR(TB[[#This Row],[时间戳]])</f>
        <v>23</v>
      </c>
      <c r="K4165">
        <v>805</v>
      </c>
      <c r="L4165">
        <v>0</v>
      </c>
      <c r="M4165">
        <f>TB[[#This Row],[售价]]*TB[[#This Row],[销量]]</f>
        <v>0</v>
      </c>
      <c r="N4165" t="str">
        <f>IF(TB[[#This Row],[售价]]&lt;1000,"低价商品",IF(TB[[#This Row],[售价]]&lt;5000,"中价商品",IF(TB[[#This Row],[售价]]&lt;10000,"高价商品","超高价商品")))</f>
        <v>低价商品</v>
      </c>
    </row>
    <row r="4166" spans="1:14" x14ac:dyDescent="0.2">
      <c r="A4166">
        <v>155</v>
      </c>
      <c r="B4166">
        <v>181</v>
      </c>
      <c r="C4166" t="s">
        <v>32</v>
      </c>
      <c r="D4166" t="s">
        <v>212</v>
      </c>
      <c r="E4166" t="s">
        <v>22</v>
      </c>
      <c r="F4166">
        <v>1</v>
      </c>
      <c r="G4166" t="s">
        <v>13</v>
      </c>
      <c r="H4166" s="1">
        <v>46007.001388888886</v>
      </c>
      <c r="I4166" s="5">
        <f>INT(TB[[#This Row],[时间戳]])</f>
        <v>46007</v>
      </c>
      <c r="J4166" s="2">
        <f>HOUR(TB[[#This Row],[时间戳]])</f>
        <v>0</v>
      </c>
      <c r="K4166">
        <v>7658</v>
      </c>
      <c r="L4166">
        <v>1</v>
      </c>
      <c r="M4166">
        <f>TB[[#This Row],[售价]]*TB[[#This Row],[销量]]</f>
        <v>7658</v>
      </c>
      <c r="N4166" t="str">
        <f>IF(TB[[#This Row],[售价]]&lt;1000,"低价商品",IF(TB[[#This Row],[售价]]&lt;5000,"中价商品",IF(TB[[#This Row],[售价]]&lt;10000,"高价商品","超高价商品")))</f>
        <v>高价商品</v>
      </c>
    </row>
    <row r="4167" spans="1:14" x14ac:dyDescent="0.2">
      <c r="A4167">
        <v>258</v>
      </c>
      <c r="B4167">
        <v>182</v>
      </c>
      <c r="C4167" t="s">
        <v>46</v>
      </c>
      <c r="D4167" t="s">
        <v>141</v>
      </c>
      <c r="E4167" t="s">
        <v>22</v>
      </c>
      <c r="F4167">
        <v>1</v>
      </c>
      <c r="G4167" t="s">
        <v>13</v>
      </c>
      <c r="H4167" s="1">
        <v>46007.010416666664</v>
      </c>
      <c r="I4167" s="5">
        <f>INT(TB[[#This Row],[时间戳]])</f>
        <v>46007</v>
      </c>
      <c r="J4167" s="2">
        <f>HOUR(TB[[#This Row],[时间戳]])</f>
        <v>0</v>
      </c>
      <c r="K4167">
        <v>1948</v>
      </c>
      <c r="L4167">
        <v>3</v>
      </c>
      <c r="M4167">
        <f>TB[[#This Row],[售价]]*TB[[#This Row],[销量]]</f>
        <v>5844</v>
      </c>
      <c r="N4167" t="str">
        <f>IF(TB[[#This Row],[售价]]&lt;1000,"低价商品",IF(TB[[#This Row],[售价]]&lt;5000,"中价商品",IF(TB[[#This Row],[售价]]&lt;10000,"高价商品","超高价商品")))</f>
        <v>中价商品</v>
      </c>
    </row>
    <row r="4168" spans="1:14" x14ac:dyDescent="0.2">
      <c r="A4168">
        <v>506</v>
      </c>
      <c r="B4168">
        <v>53</v>
      </c>
      <c r="C4168" t="s">
        <v>34</v>
      </c>
      <c r="D4168" t="s">
        <v>69</v>
      </c>
      <c r="E4168" t="s">
        <v>31</v>
      </c>
      <c r="F4168">
        <v>4</v>
      </c>
      <c r="G4168" t="s">
        <v>13</v>
      </c>
      <c r="H4168" s="1">
        <v>46007.015277777777</v>
      </c>
      <c r="I4168" s="5">
        <f>INT(TB[[#This Row],[时间戳]])</f>
        <v>46007</v>
      </c>
      <c r="J4168" s="2">
        <f>HOUR(TB[[#This Row],[时间戳]])</f>
        <v>0</v>
      </c>
      <c r="K4168">
        <v>520</v>
      </c>
      <c r="L4168">
        <v>1</v>
      </c>
      <c r="M4168">
        <f>TB[[#This Row],[售价]]*TB[[#This Row],[销量]]</f>
        <v>520</v>
      </c>
      <c r="N4168" t="str">
        <f>IF(TB[[#This Row],[售价]]&lt;1000,"低价商品",IF(TB[[#This Row],[售价]]&lt;5000,"中价商品",IF(TB[[#This Row],[售价]]&lt;10000,"高价商品","超高价商品")))</f>
        <v>低价商品</v>
      </c>
    </row>
    <row r="4169" spans="1:14" x14ac:dyDescent="0.2">
      <c r="A4169">
        <v>398</v>
      </c>
      <c r="B4169">
        <v>131</v>
      </c>
      <c r="C4169" t="s">
        <v>26</v>
      </c>
      <c r="D4169" t="s">
        <v>122</v>
      </c>
      <c r="E4169" t="s">
        <v>31</v>
      </c>
      <c r="F4169">
        <v>4</v>
      </c>
      <c r="G4169" t="s">
        <v>13</v>
      </c>
      <c r="H4169" s="1">
        <v>46007.017361111109</v>
      </c>
      <c r="I4169" s="5">
        <f>INT(TB[[#This Row],[时间戳]])</f>
        <v>46007</v>
      </c>
      <c r="J4169" s="2">
        <f>HOUR(TB[[#This Row],[时间戳]])</f>
        <v>0</v>
      </c>
      <c r="K4169">
        <v>292</v>
      </c>
      <c r="L4169">
        <v>3</v>
      </c>
      <c r="M4169">
        <f>TB[[#This Row],[售价]]*TB[[#This Row],[销量]]</f>
        <v>876</v>
      </c>
      <c r="N4169" t="str">
        <f>IF(TB[[#This Row],[售价]]&lt;1000,"低价商品",IF(TB[[#This Row],[售价]]&lt;5000,"中价商品",IF(TB[[#This Row],[售价]]&lt;10000,"高价商品","超高价商品")))</f>
        <v>低价商品</v>
      </c>
    </row>
    <row r="4170" spans="1:14" x14ac:dyDescent="0.2">
      <c r="A4170">
        <v>187</v>
      </c>
      <c r="B4170">
        <v>84</v>
      </c>
      <c r="C4170" t="s">
        <v>20</v>
      </c>
      <c r="D4170" t="s">
        <v>167</v>
      </c>
      <c r="E4170" t="s">
        <v>39</v>
      </c>
      <c r="F4170">
        <v>5</v>
      </c>
      <c r="G4170" t="s">
        <v>13</v>
      </c>
      <c r="H4170" s="1">
        <v>46007.024305555555</v>
      </c>
      <c r="I4170" s="5">
        <f>INT(TB[[#This Row],[时间戳]])</f>
        <v>46007</v>
      </c>
      <c r="J4170" s="2">
        <f>HOUR(TB[[#This Row],[时间戳]])</f>
        <v>0</v>
      </c>
      <c r="K4170">
        <v>1735</v>
      </c>
      <c r="L4170">
        <v>3</v>
      </c>
      <c r="M4170">
        <f>TB[[#This Row],[售价]]*TB[[#This Row],[销量]]</f>
        <v>5205</v>
      </c>
      <c r="N4170" t="str">
        <f>IF(TB[[#This Row],[售价]]&lt;1000,"低价商品",IF(TB[[#This Row],[售价]]&lt;5000,"中价商品",IF(TB[[#This Row],[售价]]&lt;10000,"高价商品","超高价商品")))</f>
        <v>中价商品</v>
      </c>
    </row>
    <row r="4171" spans="1:14" x14ac:dyDescent="0.2">
      <c r="A4171">
        <v>148</v>
      </c>
      <c r="B4171">
        <v>58</v>
      </c>
      <c r="C4171" t="s">
        <v>36</v>
      </c>
      <c r="D4171" t="s">
        <v>317</v>
      </c>
      <c r="E4171" t="s">
        <v>19</v>
      </c>
      <c r="F4171">
        <v>3</v>
      </c>
      <c r="G4171" t="s">
        <v>13</v>
      </c>
      <c r="H4171" s="1">
        <v>46007.026388888888</v>
      </c>
      <c r="I4171" s="5">
        <f>INT(TB[[#This Row],[时间戳]])</f>
        <v>46007</v>
      </c>
      <c r="J4171" s="2">
        <f>HOUR(TB[[#This Row],[时间戳]])</f>
        <v>0</v>
      </c>
      <c r="K4171">
        <v>1659</v>
      </c>
      <c r="L4171">
        <v>2</v>
      </c>
      <c r="M4171">
        <f>TB[[#This Row],[售价]]*TB[[#This Row],[销量]]</f>
        <v>3318</v>
      </c>
      <c r="N4171" t="str">
        <f>IF(TB[[#This Row],[售价]]&lt;1000,"低价商品",IF(TB[[#This Row],[售价]]&lt;5000,"中价商品",IF(TB[[#This Row],[售价]]&lt;10000,"高价商品","超高价商品")))</f>
        <v>中价商品</v>
      </c>
    </row>
    <row r="4172" spans="1:14" x14ac:dyDescent="0.2">
      <c r="A4172">
        <v>329</v>
      </c>
      <c r="B4172">
        <v>134</v>
      </c>
      <c r="C4172" t="s">
        <v>17</v>
      </c>
      <c r="D4172" t="s">
        <v>361</v>
      </c>
      <c r="E4172" t="s">
        <v>25</v>
      </c>
      <c r="F4172">
        <v>7</v>
      </c>
      <c r="G4172" t="s">
        <v>13</v>
      </c>
      <c r="H4172" s="1">
        <v>46007.029861111114</v>
      </c>
      <c r="I4172" s="5">
        <f>INT(TB[[#This Row],[时间戳]])</f>
        <v>46007</v>
      </c>
      <c r="J4172" s="2">
        <f>HOUR(TB[[#This Row],[时间戳]])</f>
        <v>0</v>
      </c>
      <c r="K4172">
        <v>4467</v>
      </c>
      <c r="L4172">
        <v>1</v>
      </c>
      <c r="M4172">
        <f>TB[[#This Row],[售价]]*TB[[#This Row],[销量]]</f>
        <v>4467</v>
      </c>
      <c r="N4172" t="str">
        <f>IF(TB[[#This Row],[售价]]&lt;1000,"低价商品",IF(TB[[#This Row],[售价]]&lt;5000,"中价商品",IF(TB[[#This Row],[售价]]&lt;10000,"高价商品","超高价商品")))</f>
        <v>中价商品</v>
      </c>
    </row>
    <row r="4173" spans="1:14" x14ac:dyDescent="0.2">
      <c r="A4173">
        <v>200</v>
      </c>
      <c r="B4173">
        <v>1</v>
      </c>
      <c r="C4173" t="s">
        <v>17</v>
      </c>
      <c r="D4173" t="s">
        <v>214</v>
      </c>
      <c r="E4173" t="s">
        <v>22</v>
      </c>
      <c r="F4173">
        <v>1</v>
      </c>
      <c r="G4173" t="s">
        <v>13</v>
      </c>
      <c r="H4173" s="1">
        <v>46007.11041666667</v>
      </c>
      <c r="I4173" s="5">
        <f>INT(TB[[#This Row],[时间戳]])</f>
        <v>46007</v>
      </c>
      <c r="J4173" s="2">
        <f>HOUR(TB[[#This Row],[时间戳]])</f>
        <v>2</v>
      </c>
      <c r="K4173">
        <v>5972</v>
      </c>
      <c r="L4173">
        <v>1</v>
      </c>
      <c r="M4173">
        <f>TB[[#This Row],[售价]]*TB[[#This Row],[销量]]</f>
        <v>5972</v>
      </c>
      <c r="N4173" t="str">
        <f>IF(TB[[#This Row],[售价]]&lt;1000,"低价商品",IF(TB[[#This Row],[售价]]&lt;5000,"中价商品",IF(TB[[#This Row],[售价]]&lt;10000,"高价商品","超高价商品")))</f>
        <v>高价商品</v>
      </c>
    </row>
    <row r="4174" spans="1:14" x14ac:dyDescent="0.2">
      <c r="A4174">
        <v>297</v>
      </c>
      <c r="B4174">
        <v>151</v>
      </c>
      <c r="C4174" t="s">
        <v>32</v>
      </c>
      <c r="D4174" t="s">
        <v>275</v>
      </c>
      <c r="E4174" t="s">
        <v>22</v>
      </c>
      <c r="F4174">
        <v>1</v>
      </c>
      <c r="G4174" t="s">
        <v>13</v>
      </c>
      <c r="H4174" s="1">
        <v>46007.120833333334</v>
      </c>
      <c r="I4174" s="5">
        <f>INT(TB[[#This Row],[时间戳]])</f>
        <v>46007</v>
      </c>
      <c r="J4174" s="2">
        <f>HOUR(TB[[#This Row],[时间戳]])</f>
        <v>2</v>
      </c>
      <c r="K4174">
        <v>6747</v>
      </c>
      <c r="L4174">
        <v>3</v>
      </c>
      <c r="M4174">
        <f>TB[[#This Row],[售价]]*TB[[#This Row],[销量]]</f>
        <v>20241</v>
      </c>
      <c r="N4174" t="str">
        <f>IF(TB[[#This Row],[售价]]&lt;1000,"低价商品",IF(TB[[#This Row],[售价]]&lt;5000,"中价商品",IF(TB[[#This Row],[售价]]&lt;10000,"高价商品","超高价商品")))</f>
        <v>高价商品</v>
      </c>
    </row>
    <row r="4175" spans="1:14" x14ac:dyDescent="0.2">
      <c r="A4175">
        <v>515</v>
      </c>
      <c r="B4175">
        <v>266</v>
      </c>
      <c r="C4175" t="s">
        <v>10</v>
      </c>
      <c r="D4175" t="s">
        <v>329</v>
      </c>
      <c r="E4175" t="s">
        <v>39</v>
      </c>
      <c r="F4175">
        <v>5</v>
      </c>
      <c r="G4175" t="s">
        <v>42</v>
      </c>
      <c r="H4175" s="1">
        <v>46007.134722222225</v>
      </c>
      <c r="I4175" s="5">
        <f>INT(TB[[#This Row],[时间戳]])</f>
        <v>46007</v>
      </c>
      <c r="J4175" s="2">
        <f>HOUR(TB[[#This Row],[时间戳]])</f>
        <v>3</v>
      </c>
      <c r="K4175">
        <v>2063</v>
      </c>
      <c r="L4175">
        <v>0</v>
      </c>
      <c r="M4175">
        <f>TB[[#This Row],[售价]]*TB[[#This Row],[销量]]</f>
        <v>0</v>
      </c>
      <c r="N4175" t="str">
        <f>IF(TB[[#This Row],[售价]]&lt;1000,"低价商品",IF(TB[[#This Row],[售价]]&lt;5000,"中价商品",IF(TB[[#This Row],[售价]]&lt;10000,"高价商品","超高价商品")))</f>
        <v>中价商品</v>
      </c>
    </row>
    <row r="4176" spans="1:14" x14ac:dyDescent="0.2">
      <c r="A4176">
        <v>339</v>
      </c>
      <c r="B4176">
        <v>7</v>
      </c>
      <c r="C4176" t="s">
        <v>46</v>
      </c>
      <c r="D4176" t="s">
        <v>81</v>
      </c>
      <c r="E4176" t="s">
        <v>12</v>
      </c>
      <c r="F4176">
        <v>2</v>
      </c>
      <c r="G4176" t="s">
        <v>13</v>
      </c>
      <c r="H4176" s="1">
        <v>46007.17291666667</v>
      </c>
      <c r="I4176" s="5">
        <f>INT(TB[[#This Row],[时间戳]])</f>
        <v>46007</v>
      </c>
      <c r="J4176" s="2">
        <f>HOUR(TB[[#This Row],[时间戳]])</f>
        <v>4</v>
      </c>
      <c r="K4176">
        <v>12237</v>
      </c>
      <c r="L4176">
        <v>4</v>
      </c>
      <c r="M4176">
        <f>TB[[#This Row],[售价]]*TB[[#This Row],[销量]]</f>
        <v>48948</v>
      </c>
      <c r="N4176" t="str">
        <f>IF(TB[[#This Row],[售价]]&lt;1000,"低价商品",IF(TB[[#This Row],[售价]]&lt;5000,"中价商品",IF(TB[[#This Row],[售价]]&lt;10000,"高价商品","超高价商品")))</f>
        <v>超高价商品</v>
      </c>
    </row>
    <row r="4177" spans="1:14" x14ac:dyDescent="0.2">
      <c r="A4177">
        <v>11</v>
      </c>
      <c r="B4177">
        <v>192</v>
      </c>
      <c r="C4177" t="s">
        <v>10</v>
      </c>
      <c r="D4177" t="s">
        <v>116</v>
      </c>
      <c r="E4177" t="s">
        <v>31</v>
      </c>
      <c r="F4177">
        <v>4</v>
      </c>
      <c r="G4177" t="s">
        <v>13</v>
      </c>
      <c r="H4177" s="1">
        <v>46007.272916666669</v>
      </c>
      <c r="I4177" s="5">
        <f>INT(TB[[#This Row],[时间戳]])</f>
        <v>46007</v>
      </c>
      <c r="J4177" s="2">
        <f>HOUR(TB[[#This Row],[时间戳]])</f>
        <v>6</v>
      </c>
      <c r="K4177">
        <v>641</v>
      </c>
      <c r="L4177">
        <v>3</v>
      </c>
      <c r="M4177">
        <f>TB[[#This Row],[售价]]*TB[[#This Row],[销量]]</f>
        <v>1923</v>
      </c>
      <c r="N4177" t="str">
        <f>IF(TB[[#This Row],[售价]]&lt;1000,"低价商品",IF(TB[[#This Row],[售价]]&lt;5000,"中价商品",IF(TB[[#This Row],[售价]]&lt;10000,"高价商品","超高价商品")))</f>
        <v>低价商品</v>
      </c>
    </row>
    <row r="4178" spans="1:14" x14ac:dyDescent="0.2">
      <c r="A4178">
        <v>701</v>
      </c>
      <c r="B4178">
        <v>179</v>
      </c>
      <c r="C4178" t="s">
        <v>17</v>
      </c>
      <c r="D4178" t="s">
        <v>50</v>
      </c>
      <c r="E4178" t="s">
        <v>22</v>
      </c>
      <c r="F4178">
        <v>1</v>
      </c>
      <c r="G4178" t="s">
        <v>13</v>
      </c>
      <c r="H4178" s="1">
        <v>46007.288888888892</v>
      </c>
      <c r="I4178" s="5">
        <f>INT(TB[[#This Row],[时间戳]])</f>
        <v>46007</v>
      </c>
      <c r="J4178" s="2">
        <f>HOUR(TB[[#This Row],[时间戳]])</f>
        <v>6</v>
      </c>
      <c r="K4178">
        <v>6177</v>
      </c>
      <c r="L4178">
        <v>2</v>
      </c>
      <c r="M4178">
        <f>TB[[#This Row],[售价]]*TB[[#This Row],[销量]]</f>
        <v>12354</v>
      </c>
      <c r="N4178" t="str">
        <f>IF(TB[[#This Row],[售价]]&lt;1000,"低价商品",IF(TB[[#This Row],[售价]]&lt;5000,"中价商品",IF(TB[[#This Row],[售价]]&lt;10000,"高价商品","超高价商品")))</f>
        <v>高价商品</v>
      </c>
    </row>
    <row r="4179" spans="1:14" x14ac:dyDescent="0.2">
      <c r="A4179">
        <v>699</v>
      </c>
      <c r="B4179">
        <v>230</v>
      </c>
      <c r="C4179" t="s">
        <v>34</v>
      </c>
      <c r="D4179" t="s">
        <v>82</v>
      </c>
      <c r="E4179" t="s">
        <v>31</v>
      </c>
      <c r="F4179">
        <v>4</v>
      </c>
      <c r="G4179" t="s">
        <v>13</v>
      </c>
      <c r="H4179" s="1">
        <v>46007.319444444445</v>
      </c>
      <c r="I4179" s="5">
        <f>INT(TB[[#This Row],[时间戳]])</f>
        <v>46007</v>
      </c>
      <c r="J4179" s="2">
        <f>HOUR(TB[[#This Row],[时间戳]])</f>
        <v>7</v>
      </c>
      <c r="K4179">
        <v>309</v>
      </c>
      <c r="L4179">
        <v>2</v>
      </c>
      <c r="M4179">
        <f>TB[[#This Row],[售价]]*TB[[#This Row],[销量]]</f>
        <v>618</v>
      </c>
      <c r="N4179" t="str">
        <f>IF(TB[[#This Row],[售价]]&lt;1000,"低价商品",IF(TB[[#This Row],[售价]]&lt;5000,"中价商品",IF(TB[[#This Row],[售价]]&lt;10000,"高价商品","超高价商品")))</f>
        <v>低价商品</v>
      </c>
    </row>
    <row r="4180" spans="1:14" x14ac:dyDescent="0.2">
      <c r="A4180">
        <v>187</v>
      </c>
      <c r="B4180">
        <v>204</v>
      </c>
      <c r="C4180" t="s">
        <v>46</v>
      </c>
      <c r="D4180" t="s">
        <v>289</v>
      </c>
      <c r="E4180" t="s">
        <v>16</v>
      </c>
      <c r="F4180">
        <v>6</v>
      </c>
      <c r="G4180" t="s">
        <v>13</v>
      </c>
      <c r="H4180" s="1">
        <v>46007.32708333333</v>
      </c>
      <c r="I4180" s="5">
        <f>INT(TB[[#This Row],[时间戳]])</f>
        <v>46007</v>
      </c>
      <c r="J4180" s="2">
        <f>HOUR(TB[[#This Row],[时间戳]])</f>
        <v>7</v>
      </c>
      <c r="K4180">
        <v>10071</v>
      </c>
      <c r="L4180">
        <v>3</v>
      </c>
      <c r="M4180">
        <f>TB[[#This Row],[售价]]*TB[[#This Row],[销量]]</f>
        <v>30213</v>
      </c>
      <c r="N4180" t="str">
        <f>IF(TB[[#This Row],[售价]]&lt;1000,"低价商品",IF(TB[[#This Row],[售价]]&lt;5000,"中价商品",IF(TB[[#This Row],[售价]]&lt;10000,"高价商品","超高价商品")))</f>
        <v>超高价商品</v>
      </c>
    </row>
    <row r="4181" spans="1:14" x14ac:dyDescent="0.2">
      <c r="A4181">
        <v>613</v>
      </c>
      <c r="B4181">
        <v>163</v>
      </c>
      <c r="C4181" t="s">
        <v>32</v>
      </c>
      <c r="D4181" t="s">
        <v>275</v>
      </c>
      <c r="E4181" t="s">
        <v>22</v>
      </c>
      <c r="F4181">
        <v>1</v>
      </c>
      <c r="G4181" t="s">
        <v>42</v>
      </c>
      <c r="H4181" s="1">
        <v>46007.333333333336</v>
      </c>
      <c r="I4181" s="5">
        <f>INT(TB[[#This Row],[时间戳]])</f>
        <v>46007</v>
      </c>
      <c r="J4181" s="2">
        <f>HOUR(TB[[#This Row],[时间戳]])</f>
        <v>8</v>
      </c>
      <c r="K4181">
        <v>4623</v>
      </c>
      <c r="L4181">
        <v>0</v>
      </c>
      <c r="M4181">
        <f>TB[[#This Row],[售价]]*TB[[#This Row],[销量]]</f>
        <v>0</v>
      </c>
      <c r="N4181" t="str">
        <f>IF(TB[[#This Row],[售价]]&lt;1000,"低价商品",IF(TB[[#This Row],[售价]]&lt;5000,"中价商品",IF(TB[[#This Row],[售价]]&lt;10000,"高价商品","超高价商品")))</f>
        <v>中价商品</v>
      </c>
    </row>
    <row r="4182" spans="1:14" x14ac:dyDescent="0.2">
      <c r="A4182">
        <v>464</v>
      </c>
      <c r="B4182">
        <v>255</v>
      </c>
      <c r="C4182" t="s">
        <v>36</v>
      </c>
      <c r="D4182" t="s">
        <v>310</v>
      </c>
      <c r="E4182" t="s">
        <v>39</v>
      </c>
      <c r="F4182">
        <v>5</v>
      </c>
      <c r="G4182" t="s">
        <v>13</v>
      </c>
      <c r="H4182" s="1">
        <v>46007.343055555553</v>
      </c>
      <c r="I4182" s="5">
        <f>INT(TB[[#This Row],[时间戳]])</f>
        <v>46007</v>
      </c>
      <c r="J4182" s="2">
        <f>HOUR(TB[[#This Row],[时间戳]])</f>
        <v>8</v>
      </c>
      <c r="K4182">
        <v>2415</v>
      </c>
      <c r="L4182">
        <v>2</v>
      </c>
      <c r="M4182">
        <f>TB[[#This Row],[售价]]*TB[[#This Row],[销量]]</f>
        <v>4830</v>
      </c>
      <c r="N4182" t="str">
        <f>IF(TB[[#This Row],[售价]]&lt;1000,"低价商品",IF(TB[[#This Row],[售价]]&lt;5000,"中价商品",IF(TB[[#This Row],[售价]]&lt;10000,"高价商品","超高价商品")))</f>
        <v>中价商品</v>
      </c>
    </row>
    <row r="4183" spans="1:14" x14ac:dyDescent="0.2">
      <c r="A4183">
        <v>368</v>
      </c>
      <c r="B4183">
        <v>291</v>
      </c>
      <c r="C4183" t="s">
        <v>26</v>
      </c>
      <c r="D4183" t="s">
        <v>345</v>
      </c>
      <c r="E4183" t="s">
        <v>12</v>
      </c>
      <c r="F4183">
        <v>2</v>
      </c>
      <c r="G4183" t="s">
        <v>13</v>
      </c>
      <c r="H4183" s="1">
        <v>46007.363888888889</v>
      </c>
      <c r="I4183" s="5">
        <f>INT(TB[[#This Row],[时间戳]])</f>
        <v>46007</v>
      </c>
      <c r="J4183" s="2">
        <f>HOUR(TB[[#This Row],[时间戳]])</f>
        <v>8</v>
      </c>
      <c r="K4183">
        <v>11731</v>
      </c>
      <c r="L4183">
        <v>2</v>
      </c>
      <c r="M4183">
        <f>TB[[#This Row],[售价]]*TB[[#This Row],[销量]]</f>
        <v>23462</v>
      </c>
      <c r="N4183" t="str">
        <f>IF(TB[[#This Row],[售价]]&lt;1000,"低价商品",IF(TB[[#This Row],[售价]]&lt;5000,"中价商品",IF(TB[[#This Row],[售价]]&lt;10000,"高价商品","超高价商品")))</f>
        <v>超高价商品</v>
      </c>
    </row>
    <row r="4184" spans="1:14" x14ac:dyDescent="0.2">
      <c r="A4184">
        <v>409</v>
      </c>
      <c r="B4184">
        <v>179</v>
      </c>
      <c r="C4184" t="s">
        <v>17</v>
      </c>
      <c r="D4184" t="s">
        <v>28</v>
      </c>
      <c r="E4184" t="s">
        <v>12</v>
      </c>
      <c r="F4184">
        <v>2</v>
      </c>
      <c r="G4184" t="s">
        <v>13</v>
      </c>
      <c r="H4184" s="1">
        <v>46007.384722222225</v>
      </c>
      <c r="I4184" s="5">
        <f>INT(TB[[#This Row],[时间戳]])</f>
        <v>46007</v>
      </c>
      <c r="J4184" s="2">
        <f>HOUR(TB[[#This Row],[时间戳]])</f>
        <v>9</v>
      </c>
      <c r="K4184">
        <v>6324</v>
      </c>
      <c r="L4184">
        <v>1</v>
      </c>
      <c r="M4184">
        <f>TB[[#This Row],[售价]]*TB[[#This Row],[销量]]</f>
        <v>6324</v>
      </c>
      <c r="N4184" t="str">
        <f>IF(TB[[#This Row],[售价]]&lt;1000,"低价商品",IF(TB[[#This Row],[售价]]&lt;5000,"中价商品",IF(TB[[#This Row],[售价]]&lt;10000,"高价商品","超高价商品")))</f>
        <v>高价商品</v>
      </c>
    </row>
    <row r="4185" spans="1:14" x14ac:dyDescent="0.2">
      <c r="A4185">
        <v>138</v>
      </c>
      <c r="B4185">
        <v>15</v>
      </c>
      <c r="C4185" t="s">
        <v>26</v>
      </c>
      <c r="D4185" t="s">
        <v>48</v>
      </c>
      <c r="E4185" t="s">
        <v>31</v>
      </c>
      <c r="F4185">
        <v>4</v>
      </c>
      <c r="G4185" t="s">
        <v>13</v>
      </c>
      <c r="H4185" s="1">
        <v>46007.39166666667</v>
      </c>
      <c r="I4185" s="5">
        <f>INT(TB[[#This Row],[时间戳]])</f>
        <v>46007</v>
      </c>
      <c r="J4185" s="2">
        <f>HOUR(TB[[#This Row],[时间戳]])</f>
        <v>9</v>
      </c>
      <c r="K4185">
        <v>1003</v>
      </c>
      <c r="L4185">
        <v>1</v>
      </c>
      <c r="M4185">
        <f>TB[[#This Row],[售价]]*TB[[#This Row],[销量]]</f>
        <v>1003</v>
      </c>
      <c r="N4185" t="str">
        <f>IF(TB[[#This Row],[售价]]&lt;1000,"低价商品",IF(TB[[#This Row],[售价]]&lt;5000,"中价商品",IF(TB[[#This Row],[售价]]&lt;10000,"高价商品","超高价商品")))</f>
        <v>中价商品</v>
      </c>
    </row>
    <row r="4186" spans="1:14" x14ac:dyDescent="0.2">
      <c r="A4186">
        <v>162</v>
      </c>
      <c r="B4186">
        <v>78</v>
      </c>
      <c r="C4186" t="s">
        <v>46</v>
      </c>
      <c r="D4186" t="s">
        <v>121</v>
      </c>
      <c r="E4186" t="s">
        <v>25</v>
      </c>
      <c r="F4186">
        <v>7</v>
      </c>
      <c r="G4186" t="s">
        <v>13</v>
      </c>
      <c r="H4186" s="1">
        <v>46007.394444444442</v>
      </c>
      <c r="I4186" s="5">
        <f>INT(TB[[#This Row],[时间戳]])</f>
        <v>46007</v>
      </c>
      <c r="J4186" s="2">
        <f>HOUR(TB[[#This Row],[时间戳]])</f>
        <v>9</v>
      </c>
      <c r="K4186">
        <v>6846</v>
      </c>
      <c r="L4186">
        <v>2</v>
      </c>
      <c r="M4186">
        <f>TB[[#This Row],[售价]]*TB[[#This Row],[销量]]</f>
        <v>13692</v>
      </c>
      <c r="N4186" t="str">
        <f>IF(TB[[#This Row],[售价]]&lt;1000,"低价商品",IF(TB[[#This Row],[售价]]&lt;5000,"中价商品",IF(TB[[#This Row],[售价]]&lt;10000,"高价商品","超高价商品")))</f>
        <v>高价商品</v>
      </c>
    </row>
    <row r="4187" spans="1:14" x14ac:dyDescent="0.2">
      <c r="A4187">
        <v>331</v>
      </c>
      <c r="B4187">
        <v>211</v>
      </c>
      <c r="C4187" t="s">
        <v>14</v>
      </c>
      <c r="D4187" t="s">
        <v>30</v>
      </c>
      <c r="E4187" t="s">
        <v>31</v>
      </c>
      <c r="F4187">
        <v>4</v>
      </c>
      <c r="G4187" t="s">
        <v>13</v>
      </c>
      <c r="H4187" s="1">
        <v>46007.412499999999</v>
      </c>
      <c r="I4187" s="5">
        <f>INT(TB[[#This Row],[时间戳]])</f>
        <v>46007</v>
      </c>
      <c r="J4187" s="2">
        <f>HOUR(TB[[#This Row],[时间戳]])</f>
        <v>9</v>
      </c>
      <c r="K4187">
        <v>1209</v>
      </c>
      <c r="L4187">
        <v>1</v>
      </c>
      <c r="M4187">
        <f>TB[[#This Row],[售价]]*TB[[#This Row],[销量]]</f>
        <v>1209</v>
      </c>
      <c r="N4187" t="str">
        <f>IF(TB[[#This Row],[售价]]&lt;1000,"低价商品",IF(TB[[#This Row],[售价]]&lt;5000,"中价商品",IF(TB[[#This Row],[售价]]&lt;10000,"高价商品","超高价商品")))</f>
        <v>中价商品</v>
      </c>
    </row>
    <row r="4188" spans="1:14" x14ac:dyDescent="0.2">
      <c r="A4188">
        <v>326</v>
      </c>
      <c r="B4188">
        <v>162</v>
      </c>
      <c r="C4188" t="s">
        <v>26</v>
      </c>
      <c r="D4188" t="s">
        <v>270</v>
      </c>
      <c r="E4188" t="s">
        <v>16</v>
      </c>
      <c r="F4188">
        <v>6</v>
      </c>
      <c r="G4188" t="s">
        <v>13</v>
      </c>
      <c r="H4188" s="1">
        <v>46007.415277777778</v>
      </c>
      <c r="I4188" s="5">
        <f>INT(TB[[#This Row],[时间戳]])</f>
        <v>46007</v>
      </c>
      <c r="J4188" s="2">
        <f>HOUR(TB[[#This Row],[时间戳]])</f>
        <v>9</v>
      </c>
      <c r="K4188">
        <v>5398</v>
      </c>
      <c r="L4188">
        <v>2</v>
      </c>
      <c r="M4188">
        <f>TB[[#This Row],[售价]]*TB[[#This Row],[销量]]</f>
        <v>10796</v>
      </c>
      <c r="N4188" t="str">
        <f>IF(TB[[#This Row],[售价]]&lt;1000,"低价商品",IF(TB[[#This Row],[售价]]&lt;5000,"中价商品",IF(TB[[#This Row],[售价]]&lt;10000,"高价商品","超高价商品")))</f>
        <v>高价商品</v>
      </c>
    </row>
    <row r="4189" spans="1:14" x14ac:dyDescent="0.2">
      <c r="A4189">
        <v>239</v>
      </c>
      <c r="B4189">
        <v>224</v>
      </c>
      <c r="C4189" t="s">
        <v>46</v>
      </c>
      <c r="D4189" t="s">
        <v>47</v>
      </c>
      <c r="E4189" t="s">
        <v>22</v>
      </c>
      <c r="F4189">
        <v>1</v>
      </c>
      <c r="G4189" t="s">
        <v>13</v>
      </c>
      <c r="H4189" s="1">
        <v>46007.431250000001</v>
      </c>
      <c r="I4189" s="5">
        <f>INT(TB[[#This Row],[时间戳]])</f>
        <v>46007</v>
      </c>
      <c r="J4189" s="2">
        <f>HOUR(TB[[#This Row],[时间戳]])</f>
        <v>10</v>
      </c>
      <c r="K4189">
        <v>7345</v>
      </c>
      <c r="L4189">
        <v>3</v>
      </c>
      <c r="M4189">
        <f>TB[[#This Row],[售价]]*TB[[#This Row],[销量]]</f>
        <v>22035</v>
      </c>
      <c r="N4189" t="str">
        <f>IF(TB[[#This Row],[售价]]&lt;1000,"低价商品",IF(TB[[#This Row],[售价]]&lt;5000,"中价商品",IF(TB[[#This Row],[售价]]&lt;10000,"高价商品","超高价商品")))</f>
        <v>高价商品</v>
      </c>
    </row>
    <row r="4190" spans="1:14" x14ac:dyDescent="0.2">
      <c r="A4190">
        <v>419</v>
      </c>
      <c r="B4190">
        <v>89</v>
      </c>
      <c r="C4190" t="s">
        <v>26</v>
      </c>
      <c r="D4190" t="s">
        <v>65</v>
      </c>
      <c r="E4190" t="s">
        <v>22</v>
      </c>
      <c r="F4190">
        <v>1</v>
      </c>
      <c r="G4190" t="s">
        <v>13</v>
      </c>
      <c r="H4190" s="1">
        <v>46007.452777777777</v>
      </c>
      <c r="I4190" s="5">
        <f>INT(TB[[#This Row],[时间戳]])</f>
        <v>46007</v>
      </c>
      <c r="J4190" s="2">
        <f>HOUR(TB[[#This Row],[时间戳]])</f>
        <v>10</v>
      </c>
      <c r="K4190">
        <v>3038</v>
      </c>
      <c r="L4190">
        <v>2</v>
      </c>
      <c r="M4190">
        <f>TB[[#This Row],[售价]]*TB[[#This Row],[销量]]</f>
        <v>6076</v>
      </c>
      <c r="N4190" t="str">
        <f>IF(TB[[#This Row],[售价]]&lt;1000,"低价商品",IF(TB[[#This Row],[售价]]&lt;5000,"中价商品",IF(TB[[#This Row],[售价]]&lt;10000,"高价商品","超高价商品")))</f>
        <v>中价商品</v>
      </c>
    </row>
    <row r="4191" spans="1:14" x14ac:dyDescent="0.2">
      <c r="A4191">
        <v>783</v>
      </c>
      <c r="B4191">
        <v>93</v>
      </c>
      <c r="C4191" t="s">
        <v>36</v>
      </c>
      <c r="D4191" t="s">
        <v>146</v>
      </c>
      <c r="E4191" t="s">
        <v>22</v>
      </c>
      <c r="F4191">
        <v>1</v>
      </c>
      <c r="G4191" t="s">
        <v>13</v>
      </c>
      <c r="H4191" s="1">
        <v>46007.474999999999</v>
      </c>
      <c r="I4191" s="5">
        <f>INT(TB[[#This Row],[时间戳]])</f>
        <v>46007</v>
      </c>
      <c r="J4191" s="2">
        <f>HOUR(TB[[#This Row],[时间戳]])</f>
        <v>11</v>
      </c>
      <c r="K4191">
        <v>7890</v>
      </c>
      <c r="L4191">
        <v>4</v>
      </c>
      <c r="M4191">
        <f>TB[[#This Row],[售价]]*TB[[#This Row],[销量]]</f>
        <v>31560</v>
      </c>
      <c r="N4191" t="str">
        <f>IF(TB[[#This Row],[售价]]&lt;1000,"低价商品",IF(TB[[#This Row],[售价]]&lt;5000,"中价商品",IF(TB[[#This Row],[售价]]&lt;10000,"高价商品","超高价商品")))</f>
        <v>高价商品</v>
      </c>
    </row>
    <row r="4192" spans="1:14" x14ac:dyDescent="0.2">
      <c r="A4192">
        <v>344</v>
      </c>
      <c r="B4192">
        <v>133</v>
      </c>
      <c r="C4192" t="s">
        <v>17</v>
      </c>
      <c r="D4192" t="s">
        <v>74</v>
      </c>
      <c r="E4192" t="s">
        <v>22</v>
      </c>
      <c r="F4192">
        <v>1</v>
      </c>
      <c r="G4192" t="s">
        <v>13</v>
      </c>
      <c r="H4192" s="1">
        <v>46007.500694444447</v>
      </c>
      <c r="I4192" s="5">
        <f>INT(TB[[#This Row],[时间戳]])</f>
        <v>46007</v>
      </c>
      <c r="J4192" s="2">
        <f>HOUR(TB[[#This Row],[时间戳]])</f>
        <v>12</v>
      </c>
      <c r="K4192">
        <v>1370</v>
      </c>
      <c r="L4192">
        <v>4</v>
      </c>
      <c r="M4192">
        <f>TB[[#This Row],[售价]]*TB[[#This Row],[销量]]</f>
        <v>5480</v>
      </c>
      <c r="N4192" t="str">
        <f>IF(TB[[#This Row],[售价]]&lt;1000,"低价商品",IF(TB[[#This Row],[售价]]&lt;5000,"中价商品",IF(TB[[#This Row],[售价]]&lt;10000,"高价商品","超高价商品")))</f>
        <v>中价商品</v>
      </c>
    </row>
    <row r="4193" spans="1:14" x14ac:dyDescent="0.2">
      <c r="A4193">
        <v>348</v>
      </c>
      <c r="B4193">
        <v>50</v>
      </c>
      <c r="C4193" t="s">
        <v>10</v>
      </c>
      <c r="D4193" t="s">
        <v>321</v>
      </c>
      <c r="E4193" t="s">
        <v>39</v>
      </c>
      <c r="F4193">
        <v>5</v>
      </c>
      <c r="G4193" t="s">
        <v>42</v>
      </c>
      <c r="H4193" s="1">
        <v>46007.538888888892</v>
      </c>
      <c r="I4193" s="5">
        <f>INT(TB[[#This Row],[时间戳]])</f>
        <v>46007</v>
      </c>
      <c r="J4193" s="2">
        <f>HOUR(TB[[#This Row],[时间戳]])</f>
        <v>12</v>
      </c>
      <c r="K4193">
        <v>3416</v>
      </c>
      <c r="L4193">
        <v>0</v>
      </c>
      <c r="M4193">
        <f>TB[[#This Row],[售价]]*TB[[#This Row],[销量]]</f>
        <v>0</v>
      </c>
      <c r="N4193" t="str">
        <f>IF(TB[[#This Row],[售价]]&lt;1000,"低价商品",IF(TB[[#This Row],[售价]]&lt;5000,"中价商品",IF(TB[[#This Row],[售价]]&lt;10000,"高价商品","超高价商品")))</f>
        <v>中价商品</v>
      </c>
    </row>
    <row r="4194" spans="1:14" x14ac:dyDescent="0.2">
      <c r="A4194">
        <v>671</v>
      </c>
      <c r="B4194">
        <v>276</v>
      </c>
      <c r="C4194" t="s">
        <v>14</v>
      </c>
      <c r="D4194" t="s">
        <v>43</v>
      </c>
      <c r="E4194" t="s">
        <v>31</v>
      </c>
      <c r="F4194">
        <v>4</v>
      </c>
      <c r="G4194" t="s">
        <v>13</v>
      </c>
      <c r="H4194" s="1">
        <v>46007.551388888889</v>
      </c>
      <c r="I4194" s="5">
        <f>INT(TB[[#This Row],[时间戳]])</f>
        <v>46007</v>
      </c>
      <c r="J4194" s="2">
        <f>HOUR(TB[[#This Row],[时间戳]])</f>
        <v>13</v>
      </c>
      <c r="K4194">
        <v>352</v>
      </c>
      <c r="L4194">
        <v>3</v>
      </c>
      <c r="M4194">
        <f>TB[[#This Row],[售价]]*TB[[#This Row],[销量]]</f>
        <v>1056</v>
      </c>
      <c r="N4194" t="str">
        <f>IF(TB[[#This Row],[售价]]&lt;1000,"低价商品",IF(TB[[#This Row],[售价]]&lt;5000,"中价商品",IF(TB[[#This Row],[售价]]&lt;10000,"高价商品","超高价商品")))</f>
        <v>低价商品</v>
      </c>
    </row>
    <row r="4195" spans="1:14" x14ac:dyDescent="0.2">
      <c r="A4195">
        <v>588</v>
      </c>
      <c r="B4195">
        <v>274</v>
      </c>
      <c r="C4195" t="s">
        <v>10</v>
      </c>
      <c r="D4195" t="s">
        <v>96</v>
      </c>
      <c r="E4195" t="s">
        <v>22</v>
      </c>
      <c r="F4195">
        <v>1</v>
      </c>
      <c r="G4195" t="s">
        <v>13</v>
      </c>
      <c r="H4195" s="1">
        <v>46007.575694444444</v>
      </c>
      <c r="I4195" s="5">
        <f>INT(TB[[#This Row],[时间戳]])</f>
        <v>46007</v>
      </c>
      <c r="J4195" s="2">
        <f>HOUR(TB[[#This Row],[时间戳]])</f>
        <v>13</v>
      </c>
      <c r="K4195">
        <v>7048</v>
      </c>
      <c r="L4195">
        <v>2</v>
      </c>
      <c r="M4195">
        <f>TB[[#This Row],[售价]]*TB[[#This Row],[销量]]</f>
        <v>14096</v>
      </c>
      <c r="N4195" t="str">
        <f>IF(TB[[#This Row],[售价]]&lt;1000,"低价商品",IF(TB[[#This Row],[售价]]&lt;5000,"中价商品",IF(TB[[#This Row],[售价]]&lt;10000,"高价商品","超高价商品")))</f>
        <v>高价商品</v>
      </c>
    </row>
    <row r="4196" spans="1:14" x14ac:dyDescent="0.2">
      <c r="A4196">
        <v>658</v>
      </c>
      <c r="B4196">
        <v>43</v>
      </c>
      <c r="C4196" t="s">
        <v>26</v>
      </c>
      <c r="D4196" t="s">
        <v>407</v>
      </c>
      <c r="E4196" t="s">
        <v>39</v>
      </c>
      <c r="F4196">
        <v>5</v>
      </c>
      <c r="G4196" t="s">
        <v>13</v>
      </c>
      <c r="H4196" s="1">
        <v>46007.593055555553</v>
      </c>
      <c r="I4196" s="5">
        <f>INT(TB[[#This Row],[时间戳]])</f>
        <v>46007</v>
      </c>
      <c r="J4196" s="2">
        <f>HOUR(TB[[#This Row],[时间戳]])</f>
        <v>14</v>
      </c>
      <c r="K4196">
        <v>1879</v>
      </c>
      <c r="L4196">
        <v>2</v>
      </c>
      <c r="M4196">
        <f>TB[[#This Row],[售价]]*TB[[#This Row],[销量]]</f>
        <v>3758</v>
      </c>
      <c r="N4196" t="str">
        <f>IF(TB[[#This Row],[售价]]&lt;1000,"低价商品",IF(TB[[#This Row],[售价]]&lt;5000,"中价商品",IF(TB[[#This Row],[售价]]&lt;10000,"高价商品","超高价商品")))</f>
        <v>中价商品</v>
      </c>
    </row>
    <row r="4197" spans="1:14" x14ac:dyDescent="0.2">
      <c r="A4197">
        <v>79</v>
      </c>
      <c r="B4197">
        <v>191</v>
      </c>
      <c r="C4197" t="s">
        <v>14</v>
      </c>
      <c r="D4197" t="s">
        <v>43</v>
      </c>
      <c r="E4197" t="s">
        <v>31</v>
      </c>
      <c r="F4197">
        <v>4</v>
      </c>
      <c r="G4197" t="s">
        <v>13</v>
      </c>
      <c r="H4197" s="1">
        <v>46007.597222222219</v>
      </c>
      <c r="I4197" s="5">
        <f>INT(TB[[#This Row],[时间戳]])</f>
        <v>46007</v>
      </c>
      <c r="J4197" s="2">
        <f>HOUR(TB[[#This Row],[时间戳]])</f>
        <v>14</v>
      </c>
      <c r="K4197">
        <v>289</v>
      </c>
      <c r="L4197">
        <v>2</v>
      </c>
      <c r="M4197">
        <f>TB[[#This Row],[售价]]*TB[[#This Row],[销量]]</f>
        <v>578</v>
      </c>
      <c r="N4197" t="str">
        <f>IF(TB[[#This Row],[售价]]&lt;1000,"低价商品",IF(TB[[#This Row],[售价]]&lt;5000,"中价商品",IF(TB[[#This Row],[售价]]&lt;10000,"高价商品","超高价商品")))</f>
        <v>低价商品</v>
      </c>
    </row>
    <row r="4198" spans="1:14" x14ac:dyDescent="0.2">
      <c r="A4198">
        <v>382</v>
      </c>
      <c r="B4198">
        <v>276</v>
      </c>
      <c r="C4198" t="s">
        <v>14</v>
      </c>
      <c r="D4198" t="s">
        <v>15</v>
      </c>
      <c r="E4198" t="s">
        <v>16</v>
      </c>
      <c r="F4198">
        <v>6</v>
      </c>
      <c r="G4198" t="s">
        <v>13</v>
      </c>
      <c r="H4198" s="1">
        <v>46007.597916666666</v>
      </c>
      <c r="I4198" s="5">
        <f>INT(TB[[#This Row],[时间戳]])</f>
        <v>46007</v>
      </c>
      <c r="J4198" s="2">
        <f>HOUR(TB[[#This Row],[时间戳]])</f>
        <v>14</v>
      </c>
      <c r="K4198">
        <v>6911</v>
      </c>
      <c r="L4198">
        <v>1</v>
      </c>
      <c r="M4198">
        <f>TB[[#This Row],[售价]]*TB[[#This Row],[销量]]</f>
        <v>6911</v>
      </c>
      <c r="N4198" t="str">
        <f>IF(TB[[#This Row],[售价]]&lt;1000,"低价商品",IF(TB[[#This Row],[售价]]&lt;5000,"中价商品",IF(TB[[#This Row],[售价]]&lt;10000,"高价商品","超高价商品")))</f>
        <v>高价商品</v>
      </c>
    </row>
    <row r="4199" spans="1:14" x14ac:dyDescent="0.2">
      <c r="A4199">
        <v>549</v>
      </c>
      <c r="B4199">
        <v>256</v>
      </c>
      <c r="C4199" t="s">
        <v>20</v>
      </c>
      <c r="D4199" t="s">
        <v>23</v>
      </c>
      <c r="E4199" t="s">
        <v>12</v>
      </c>
      <c r="F4199">
        <v>2</v>
      </c>
      <c r="G4199" t="s">
        <v>13</v>
      </c>
      <c r="H4199" s="1">
        <v>46007.604166666664</v>
      </c>
      <c r="I4199" s="5">
        <f>INT(TB[[#This Row],[时间戳]])</f>
        <v>46007</v>
      </c>
      <c r="J4199" s="2">
        <f>HOUR(TB[[#This Row],[时间戳]])</f>
        <v>14</v>
      </c>
      <c r="K4199">
        <v>6539</v>
      </c>
      <c r="L4199">
        <v>3</v>
      </c>
      <c r="M4199">
        <f>TB[[#This Row],[售价]]*TB[[#This Row],[销量]]</f>
        <v>19617</v>
      </c>
      <c r="N4199" t="str">
        <f>IF(TB[[#This Row],[售价]]&lt;1000,"低价商品",IF(TB[[#This Row],[售价]]&lt;5000,"中价商品",IF(TB[[#This Row],[售价]]&lt;10000,"高价商品","超高价商品")))</f>
        <v>高价商品</v>
      </c>
    </row>
    <row r="4200" spans="1:14" x14ac:dyDescent="0.2">
      <c r="A4200">
        <v>782</v>
      </c>
      <c r="B4200">
        <v>299</v>
      </c>
      <c r="C4200" t="s">
        <v>10</v>
      </c>
      <c r="D4200" t="s">
        <v>134</v>
      </c>
      <c r="E4200" t="s">
        <v>22</v>
      </c>
      <c r="F4200">
        <v>1</v>
      </c>
      <c r="G4200" t="s">
        <v>13</v>
      </c>
      <c r="H4200" s="1">
        <v>46007.614583333336</v>
      </c>
      <c r="I4200" s="5">
        <f>INT(TB[[#This Row],[时间戳]])</f>
        <v>46007</v>
      </c>
      <c r="J4200" s="2">
        <f>HOUR(TB[[#This Row],[时间戳]])</f>
        <v>14</v>
      </c>
      <c r="K4200">
        <v>4240</v>
      </c>
      <c r="L4200">
        <v>2</v>
      </c>
      <c r="M4200">
        <f>TB[[#This Row],[售价]]*TB[[#This Row],[销量]]</f>
        <v>8480</v>
      </c>
      <c r="N4200" t="str">
        <f>IF(TB[[#This Row],[售价]]&lt;1000,"低价商品",IF(TB[[#This Row],[售价]]&lt;5000,"中价商品",IF(TB[[#This Row],[售价]]&lt;10000,"高价商品","超高价商品")))</f>
        <v>中价商品</v>
      </c>
    </row>
    <row r="4201" spans="1:14" x14ac:dyDescent="0.2">
      <c r="A4201">
        <v>570</v>
      </c>
      <c r="B4201">
        <v>276</v>
      </c>
      <c r="C4201" t="s">
        <v>34</v>
      </c>
      <c r="D4201" t="s">
        <v>248</v>
      </c>
      <c r="E4201" t="s">
        <v>22</v>
      </c>
      <c r="F4201">
        <v>1</v>
      </c>
      <c r="G4201" t="s">
        <v>13</v>
      </c>
      <c r="H4201" s="1">
        <v>46007.631944444445</v>
      </c>
      <c r="I4201" s="5">
        <f>INT(TB[[#This Row],[时间戳]])</f>
        <v>46007</v>
      </c>
      <c r="J4201" s="2">
        <f>HOUR(TB[[#This Row],[时间戳]])</f>
        <v>15</v>
      </c>
      <c r="K4201">
        <v>1969</v>
      </c>
      <c r="L4201">
        <v>1</v>
      </c>
      <c r="M4201">
        <f>TB[[#This Row],[售价]]*TB[[#This Row],[销量]]</f>
        <v>1969</v>
      </c>
      <c r="N4201" t="str">
        <f>IF(TB[[#This Row],[售价]]&lt;1000,"低价商品",IF(TB[[#This Row],[售价]]&lt;5000,"中价商品",IF(TB[[#This Row],[售价]]&lt;10000,"高价商品","超高价商品")))</f>
        <v>中价商品</v>
      </c>
    </row>
    <row r="4202" spans="1:14" x14ac:dyDescent="0.2">
      <c r="A4202">
        <v>769</v>
      </c>
      <c r="B4202">
        <v>69</v>
      </c>
      <c r="C4202" t="s">
        <v>36</v>
      </c>
      <c r="D4202" t="s">
        <v>112</v>
      </c>
      <c r="E4202" t="s">
        <v>22</v>
      </c>
      <c r="F4202">
        <v>1</v>
      </c>
      <c r="G4202" t="s">
        <v>13</v>
      </c>
      <c r="H4202" s="1">
        <v>46007.667361111111</v>
      </c>
      <c r="I4202" s="5">
        <f>INT(TB[[#This Row],[时间戳]])</f>
        <v>46007</v>
      </c>
      <c r="J4202" s="2">
        <f>HOUR(TB[[#This Row],[时间戳]])</f>
        <v>16</v>
      </c>
      <c r="K4202">
        <v>1478</v>
      </c>
      <c r="L4202">
        <v>1</v>
      </c>
      <c r="M4202">
        <f>TB[[#This Row],[售价]]*TB[[#This Row],[销量]]</f>
        <v>1478</v>
      </c>
      <c r="N4202" t="str">
        <f>IF(TB[[#This Row],[售价]]&lt;1000,"低价商品",IF(TB[[#This Row],[售价]]&lt;5000,"中价商品",IF(TB[[#This Row],[售价]]&lt;10000,"高价商品","超高价商品")))</f>
        <v>中价商品</v>
      </c>
    </row>
    <row r="4203" spans="1:14" x14ac:dyDescent="0.2">
      <c r="A4203">
        <v>182</v>
      </c>
      <c r="B4203">
        <v>292</v>
      </c>
      <c r="C4203" t="s">
        <v>10</v>
      </c>
      <c r="D4203" t="s">
        <v>351</v>
      </c>
      <c r="E4203" t="s">
        <v>31</v>
      </c>
      <c r="F4203">
        <v>4</v>
      </c>
      <c r="G4203" t="s">
        <v>42</v>
      </c>
      <c r="H4203" s="1">
        <v>46007.671527777777</v>
      </c>
      <c r="I4203" s="5">
        <f>INT(TB[[#This Row],[时间戳]])</f>
        <v>46007</v>
      </c>
      <c r="J4203" s="2">
        <f>HOUR(TB[[#This Row],[时间戳]])</f>
        <v>16</v>
      </c>
      <c r="K4203">
        <v>1229</v>
      </c>
      <c r="L4203">
        <v>0</v>
      </c>
      <c r="M4203">
        <f>TB[[#This Row],[售价]]*TB[[#This Row],[销量]]</f>
        <v>0</v>
      </c>
      <c r="N4203" t="str">
        <f>IF(TB[[#This Row],[售价]]&lt;1000,"低价商品",IF(TB[[#This Row],[售价]]&lt;5000,"中价商品",IF(TB[[#This Row],[售价]]&lt;10000,"高价商品","超高价商品")))</f>
        <v>中价商品</v>
      </c>
    </row>
    <row r="4204" spans="1:14" x14ac:dyDescent="0.2">
      <c r="A4204">
        <v>538</v>
      </c>
      <c r="B4204">
        <v>246</v>
      </c>
      <c r="C4204" t="s">
        <v>44</v>
      </c>
      <c r="D4204" t="s">
        <v>372</v>
      </c>
      <c r="E4204" t="s">
        <v>22</v>
      </c>
      <c r="F4204">
        <v>1</v>
      </c>
      <c r="G4204" t="s">
        <v>13</v>
      </c>
      <c r="H4204" s="1">
        <v>46007.673611111109</v>
      </c>
      <c r="I4204" s="5">
        <f>INT(TB[[#This Row],[时间戳]])</f>
        <v>46007</v>
      </c>
      <c r="J4204" s="2">
        <f>HOUR(TB[[#This Row],[时间戳]])</f>
        <v>16</v>
      </c>
      <c r="K4204">
        <v>5170</v>
      </c>
      <c r="L4204">
        <v>4</v>
      </c>
      <c r="M4204">
        <f>TB[[#This Row],[售价]]*TB[[#This Row],[销量]]</f>
        <v>20680</v>
      </c>
      <c r="N4204" t="str">
        <f>IF(TB[[#This Row],[售价]]&lt;1000,"低价商品",IF(TB[[#This Row],[售价]]&lt;5000,"中价商品",IF(TB[[#This Row],[售价]]&lt;10000,"高价商品","超高价商品")))</f>
        <v>高价商品</v>
      </c>
    </row>
    <row r="4205" spans="1:14" x14ac:dyDescent="0.2">
      <c r="A4205">
        <v>795</v>
      </c>
      <c r="B4205">
        <v>199</v>
      </c>
      <c r="C4205" t="s">
        <v>20</v>
      </c>
      <c r="D4205" t="s">
        <v>147</v>
      </c>
      <c r="E4205" t="s">
        <v>22</v>
      </c>
      <c r="F4205">
        <v>1</v>
      </c>
      <c r="G4205" t="s">
        <v>13</v>
      </c>
      <c r="H4205" s="1">
        <v>46007.734722222223</v>
      </c>
      <c r="I4205" s="5">
        <f>INT(TB[[#This Row],[时间戳]])</f>
        <v>46007</v>
      </c>
      <c r="J4205" s="2">
        <f>HOUR(TB[[#This Row],[时间戳]])</f>
        <v>17</v>
      </c>
      <c r="K4205">
        <v>2963</v>
      </c>
      <c r="L4205">
        <v>3</v>
      </c>
      <c r="M4205">
        <f>TB[[#This Row],[售价]]*TB[[#This Row],[销量]]</f>
        <v>8889</v>
      </c>
      <c r="N4205" t="str">
        <f>IF(TB[[#This Row],[售价]]&lt;1000,"低价商品",IF(TB[[#This Row],[售价]]&lt;5000,"中价商品",IF(TB[[#This Row],[售价]]&lt;10000,"高价商品","超高价商品")))</f>
        <v>中价商品</v>
      </c>
    </row>
    <row r="4206" spans="1:14" x14ac:dyDescent="0.2">
      <c r="A4206">
        <v>767</v>
      </c>
      <c r="B4206">
        <v>160</v>
      </c>
      <c r="C4206" t="s">
        <v>36</v>
      </c>
      <c r="D4206" t="s">
        <v>83</v>
      </c>
      <c r="E4206" t="s">
        <v>22</v>
      </c>
      <c r="F4206">
        <v>1</v>
      </c>
      <c r="G4206" t="s">
        <v>13</v>
      </c>
      <c r="H4206" s="1">
        <v>46007.736805555556</v>
      </c>
      <c r="I4206" s="5">
        <f>INT(TB[[#This Row],[时间戳]])</f>
        <v>46007</v>
      </c>
      <c r="J4206" s="2">
        <f>HOUR(TB[[#This Row],[时间戳]])</f>
        <v>17</v>
      </c>
      <c r="K4206">
        <v>6229</v>
      </c>
      <c r="L4206">
        <v>3</v>
      </c>
      <c r="M4206">
        <f>TB[[#This Row],[售价]]*TB[[#This Row],[销量]]</f>
        <v>18687</v>
      </c>
      <c r="N4206" t="str">
        <f>IF(TB[[#This Row],[售价]]&lt;1000,"低价商品",IF(TB[[#This Row],[售价]]&lt;5000,"中价商品",IF(TB[[#This Row],[售价]]&lt;10000,"高价商品","超高价商品")))</f>
        <v>高价商品</v>
      </c>
    </row>
    <row r="4207" spans="1:14" x14ac:dyDescent="0.2">
      <c r="A4207">
        <v>223</v>
      </c>
      <c r="B4207">
        <v>152</v>
      </c>
      <c r="C4207" t="s">
        <v>17</v>
      </c>
      <c r="D4207" t="s">
        <v>61</v>
      </c>
      <c r="E4207" t="s">
        <v>31</v>
      </c>
      <c r="F4207">
        <v>4</v>
      </c>
      <c r="G4207" t="s">
        <v>13</v>
      </c>
      <c r="H4207" s="1">
        <v>46007.748611111114</v>
      </c>
      <c r="I4207" s="5">
        <f>INT(TB[[#This Row],[时间戳]])</f>
        <v>46007</v>
      </c>
      <c r="J4207" s="2">
        <f>HOUR(TB[[#This Row],[时间戳]])</f>
        <v>17</v>
      </c>
      <c r="K4207">
        <v>398</v>
      </c>
      <c r="L4207">
        <v>1</v>
      </c>
      <c r="M4207">
        <f>TB[[#This Row],[售价]]*TB[[#This Row],[销量]]</f>
        <v>398</v>
      </c>
      <c r="N4207" t="str">
        <f>IF(TB[[#This Row],[售价]]&lt;1000,"低价商品",IF(TB[[#This Row],[售价]]&lt;5000,"中价商品",IF(TB[[#This Row],[售价]]&lt;10000,"高价商品","超高价商品")))</f>
        <v>低价商品</v>
      </c>
    </row>
    <row r="4208" spans="1:14" x14ac:dyDescent="0.2">
      <c r="A4208">
        <v>145</v>
      </c>
      <c r="B4208">
        <v>224</v>
      </c>
      <c r="C4208" t="s">
        <v>14</v>
      </c>
      <c r="D4208" t="s">
        <v>29</v>
      </c>
      <c r="E4208" t="s">
        <v>22</v>
      </c>
      <c r="F4208">
        <v>1</v>
      </c>
      <c r="G4208" t="s">
        <v>13</v>
      </c>
      <c r="H4208" s="1">
        <v>46007.76458333333</v>
      </c>
      <c r="I4208" s="5">
        <f>INT(TB[[#This Row],[时间戳]])</f>
        <v>46007</v>
      </c>
      <c r="J4208" s="2">
        <f>HOUR(TB[[#This Row],[时间戳]])</f>
        <v>18</v>
      </c>
      <c r="K4208">
        <v>6286</v>
      </c>
      <c r="L4208">
        <v>4</v>
      </c>
      <c r="M4208">
        <f>TB[[#This Row],[售价]]*TB[[#This Row],[销量]]</f>
        <v>25144</v>
      </c>
      <c r="N4208" t="str">
        <f>IF(TB[[#This Row],[售价]]&lt;1000,"低价商品",IF(TB[[#This Row],[售价]]&lt;5000,"中价商品",IF(TB[[#This Row],[售价]]&lt;10000,"高价商品","超高价商品")))</f>
        <v>高价商品</v>
      </c>
    </row>
    <row r="4209" spans="1:14" x14ac:dyDescent="0.2">
      <c r="A4209">
        <v>188</v>
      </c>
      <c r="B4209">
        <v>9</v>
      </c>
      <c r="C4209" t="s">
        <v>14</v>
      </c>
      <c r="D4209" t="s">
        <v>186</v>
      </c>
      <c r="E4209" t="s">
        <v>25</v>
      </c>
      <c r="F4209">
        <v>7</v>
      </c>
      <c r="G4209" t="s">
        <v>13</v>
      </c>
      <c r="H4209" s="1">
        <v>46007.779166666667</v>
      </c>
      <c r="I4209" s="5">
        <f>INT(TB[[#This Row],[时间戳]])</f>
        <v>46007</v>
      </c>
      <c r="J4209" s="2">
        <f>HOUR(TB[[#This Row],[时间戳]])</f>
        <v>18</v>
      </c>
      <c r="K4209">
        <v>2577</v>
      </c>
      <c r="L4209">
        <v>2</v>
      </c>
      <c r="M4209">
        <f>TB[[#This Row],[售价]]*TB[[#This Row],[销量]]</f>
        <v>5154</v>
      </c>
      <c r="N4209" t="str">
        <f>IF(TB[[#This Row],[售价]]&lt;1000,"低价商品",IF(TB[[#This Row],[售价]]&lt;5000,"中价商品",IF(TB[[#This Row],[售价]]&lt;10000,"高价商品","超高价商品")))</f>
        <v>中价商品</v>
      </c>
    </row>
    <row r="4210" spans="1:14" x14ac:dyDescent="0.2">
      <c r="A4210">
        <v>292</v>
      </c>
      <c r="B4210">
        <v>84</v>
      </c>
      <c r="C4210" t="s">
        <v>14</v>
      </c>
      <c r="D4210" t="s">
        <v>395</v>
      </c>
      <c r="E4210" t="s">
        <v>12</v>
      </c>
      <c r="F4210">
        <v>2</v>
      </c>
      <c r="G4210" t="s">
        <v>42</v>
      </c>
      <c r="H4210" s="1">
        <v>46007.780555555553</v>
      </c>
      <c r="I4210" s="5">
        <f>INT(TB[[#This Row],[时间戳]])</f>
        <v>46007</v>
      </c>
      <c r="J4210" s="2">
        <f>HOUR(TB[[#This Row],[时间戳]])</f>
        <v>18</v>
      </c>
      <c r="K4210">
        <v>9160</v>
      </c>
      <c r="L4210">
        <v>0</v>
      </c>
      <c r="M4210">
        <f>TB[[#This Row],[售价]]*TB[[#This Row],[销量]]</f>
        <v>0</v>
      </c>
      <c r="N4210" t="str">
        <f>IF(TB[[#This Row],[售价]]&lt;1000,"低价商品",IF(TB[[#This Row],[售价]]&lt;5000,"中价商品",IF(TB[[#This Row],[售价]]&lt;10000,"高价商品","超高价商品")))</f>
        <v>高价商品</v>
      </c>
    </row>
    <row r="4211" spans="1:14" x14ac:dyDescent="0.2">
      <c r="A4211">
        <v>116</v>
      </c>
      <c r="B4211">
        <v>145</v>
      </c>
      <c r="C4211" t="s">
        <v>20</v>
      </c>
      <c r="D4211" t="s">
        <v>277</v>
      </c>
      <c r="E4211" t="s">
        <v>12</v>
      </c>
      <c r="F4211">
        <v>2</v>
      </c>
      <c r="G4211" t="s">
        <v>13</v>
      </c>
      <c r="H4211" s="1">
        <v>46007.781944444447</v>
      </c>
      <c r="I4211" s="5">
        <f>INT(TB[[#This Row],[时间戳]])</f>
        <v>46007</v>
      </c>
      <c r="J4211" s="2">
        <f>HOUR(TB[[#This Row],[时间戳]])</f>
        <v>18</v>
      </c>
      <c r="K4211">
        <v>13951</v>
      </c>
      <c r="L4211">
        <v>1</v>
      </c>
      <c r="M4211">
        <f>TB[[#This Row],[售价]]*TB[[#This Row],[销量]]</f>
        <v>13951</v>
      </c>
      <c r="N4211" t="str">
        <f>IF(TB[[#This Row],[售价]]&lt;1000,"低价商品",IF(TB[[#This Row],[售价]]&lt;5000,"中价商品",IF(TB[[#This Row],[售价]]&lt;10000,"高价商品","超高价商品")))</f>
        <v>超高价商品</v>
      </c>
    </row>
    <row r="4212" spans="1:14" x14ac:dyDescent="0.2">
      <c r="A4212">
        <v>115</v>
      </c>
      <c r="B4212">
        <v>47</v>
      </c>
      <c r="C4212" t="s">
        <v>46</v>
      </c>
      <c r="D4212" t="s">
        <v>289</v>
      </c>
      <c r="E4212" t="s">
        <v>16</v>
      </c>
      <c r="F4212">
        <v>6</v>
      </c>
      <c r="G4212" t="s">
        <v>13</v>
      </c>
      <c r="H4212" s="1">
        <v>46007.78402777778</v>
      </c>
      <c r="I4212" s="5">
        <f>INT(TB[[#This Row],[时间戳]])</f>
        <v>46007</v>
      </c>
      <c r="J4212" s="2">
        <f>HOUR(TB[[#This Row],[时间戳]])</f>
        <v>18</v>
      </c>
      <c r="K4212">
        <v>10017</v>
      </c>
      <c r="L4212">
        <v>2</v>
      </c>
      <c r="M4212">
        <f>TB[[#This Row],[售价]]*TB[[#This Row],[销量]]</f>
        <v>20034</v>
      </c>
      <c r="N4212" t="str">
        <f>IF(TB[[#This Row],[售价]]&lt;1000,"低价商品",IF(TB[[#This Row],[售价]]&lt;5000,"中价商品",IF(TB[[#This Row],[售价]]&lt;10000,"高价商品","超高价商品")))</f>
        <v>超高价商品</v>
      </c>
    </row>
    <row r="4213" spans="1:14" x14ac:dyDescent="0.2">
      <c r="A4213">
        <v>779</v>
      </c>
      <c r="B4213">
        <v>209</v>
      </c>
      <c r="C4213" t="s">
        <v>44</v>
      </c>
      <c r="D4213" t="s">
        <v>143</v>
      </c>
      <c r="E4213" t="s">
        <v>19</v>
      </c>
      <c r="F4213">
        <v>3</v>
      </c>
      <c r="G4213" t="s">
        <v>13</v>
      </c>
      <c r="H4213" s="1">
        <v>46007.8</v>
      </c>
      <c r="I4213" s="5">
        <f>INT(TB[[#This Row],[时间戳]])</f>
        <v>46007</v>
      </c>
      <c r="J4213" s="2">
        <f>HOUR(TB[[#This Row],[时间戳]])</f>
        <v>19</v>
      </c>
      <c r="K4213">
        <v>5472</v>
      </c>
      <c r="L4213">
        <v>4</v>
      </c>
      <c r="M4213">
        <f>TB[[#This Row],[售价]]*TB[[#This Row],[销量]]</f>
        <v>21888</v>
      </c>
      <c r="N4213" t="str">
        <f>IF(TB[[#This Row],[售价]]&lt;1000,"低价商品",IF(TB[[#This Row],[售价]]&lt;5000,"中价商品",IF(TB[[#This Row],[售价]]&lt;10000,"高价商品","超高价商品")))</f>
        <v>高价商品</v>
      </c>
    </row>
    <row r="4214" spans="1:14" x14ac:dyDescent="0.2">
      <c r="A4214">
        <v>285</v>
      </c>
      <c r="B4214">
        <v>295</v>
      </c>
      <c r="C4214" t="s">
        <v>46</v>
      </c>
      <c r="D4214" t="s">
        <v>141</v>
      </c>
      <c r="E4214" t="s">
        <v>22</v>
      </c>
      <c r="F4214">
        <v>1</v>
      </c>
      <c r="G4214" t="s">
        <v>13</v>
      </c>
      <c r="H4214" s="1">
        <v>46007.814583333333</v>
      </c>
      <c r="I4214" s="5">
        <f>INT(TB[[#This Row],[时间戳]])</f>
        <v>46007</v>
      </c>
      <c r="J4214" s="2">
        <f>HOUR(TB[[#This Row],[时间戳]])</f>
        <v>19</v>
      </c>
      <c r="K4214">
        <v>5929</v>
      </c>
      <c r="L4214">
        <v>1</v>
      </c>
      <c r="M4214">
        <f>TB[[#This Row],[售价]]*TB[[#This Row],[销量]]</f>
        <v>5929</v>
      </c>
      <c r="N4214" t="str">
        <f>IF(TB[[#This Row],[售价]]&lt;1000,"低价商品",IF(TB[[#This Row],[售价]]&lt;5000,"中价商品",IF(TB[[#This Row],[售价]]&lt;10000,"高价商品","超高价商品")))</f>
        <v>高价商品</v>
      </c>
    </row>
    <row r="4215" spans="1:14" x14ac:dyDescent="0.2">
      <c r="A4215">
        <v>165</v>
      </c>
      <c r="B4215">
        <v>264</v>
      </c>
      <c r="C4215" t="s">
        <v>14</v>
      </c>
      <c r="D4215" t="s">
        <v>223</v>
      </c>
      <c r="E4215" t="s">
        <v>22</v>
      </c>
      <c r="F4215">
        <v>1</v>
      </c>
      <c r="G4215" t="s">
        <v>42</v>
      </c>
      <c r="H4215" s="1">
        <v>46007.819444444445</v>
      </c>
      <c r="I4215" s="5">
        <f>INT(TB[[#This Row],[时间戳]])</f>
        <v>46007</v>
      </c>
      <c r="J4215" s="2">
        <f>HOUR(TB[[#This Row],[时间戳]])</f>
        <v>19</v>
      </c>
      <c r="K4215">
        <v>6726</v>
      </c>
      <c r="L4215">
        <v>0</v>
      </c>
      <c r="M4215">
        <f>TB[[#This Row],[售价]]*TB[[#This Row],[销量]]</f>
        <v>0</v>
      </c>
      <c r="N4215" t="str">
        <f>IF(TB[[#This Row],[售价]]&lt;1000,"低价商品",IF(TB[[#This Row],[售价]]&lt;5000,"中价商品",IF(TB[[#This Row],[售价]]&lt;10000,"高价商品","超高价商品")))</f>
        <v>高价商品</v>
      </c>
    </row>
    <row r="4216" spans="1:14" x14ac:dyDescent="0.2">
      <c r="A4216">
        <v>59</v>
      </c>
      <c r="B4216">
        <v>113</v>
      </c>
      <c r="C4216" t="s">
        <v>20</v>
      </c>
      <c r="D4216" t="s">
        <v>333</v>
      </c>
      <c r="E4216" t="s">
        <v>16</v>
      </c>
      <c r="F4216">
        <v>6</v>
      </c>
      <c r="G4216" t="s">
        <v>13</v>
      </c>
      <c r="H4216" s="1">
        <v>46007.838194444441</v>
      </c>
      <c r="I4216" s="5">
        <f>INT(TB[[#This Row],[时间戳]])</f>
        <v>46007</v>
      </c>
      <c r="J4216" s="2">
        <f>HOUR(TB[[#This Row],[时间戳]])</f>
        <v>20</v>
      </c>
      <c r="K4216">
        <v>5119</v>
      </c>
      <c r="L4216">
        <v>5</v>
      </c>
      <c r="M4216">
        <f>TB[[#This Row],[售价]]*TB[[#This Row],[销量]]</f>
        <v>25595</v>
      </c>
      <c r="N4216" t="str">
        <f>IF(TB[[#This Row],[售价]]&lt;1000,"低价商品",IF(TB[[#This Row],[售价]]&lt;5000,"中价商品",IF(TB[[#This Row],[售价]]&lt;10000,"高价商品","超高价商品")))</f>
        <v>高价商品</v>
      </c>
    </row>
    <row r="4217" spans="1:14" x14ac:dyDescent="0.2">
      <c r="A4217">
        <v>756</v>
      </c>
      <c r="B4217">
        <v>87</v>
      </c>
      <c r="C4217" t="s">
        <v>17</v>
      </c>
      <c r="D4217" t="s">
        <v>74</v>
      </c>
      <c r="E4217" t="s">
        <v>22</v>
      </c>
      <c r="F4217">
        <v>1</v>
      </c>
      <c r="G4217" t="s">
        <v>13</v>
      </c>
      <c r="H4217" s="1">
        <v>46007.869444444441</v>
      </c>
      <c r="I4217" s="5">
        <f>INT(TB[[#This Row],[时间戳]])</f>
        <v>46007</v>
      </c>
      <c r="J4217" s="2">
        <f>HOUR(TB[[#This Row],[时间戳]])</f>
        <v>20</v>
      </c>
      <c r="K4217">
        <v>4554</v>
      </c>
      <c r="L4217">
        <v>2</v>
      </c>
      <c r="M4217">
        <f>TB[[#This Row],[售价]]*TB[[#This Row],[销量]]</f>
        <v>9108</v>
      </c>
      <c r="N4217" t="str">
        <f>IF(TB[[#This Row],[售价]]&lt;1000,"低价商品",IF(TB[[#This Row],[售价]]&lt;5000,"中价商品",IF(TB[[#This Row],[售价]]&lt;10000,"高价商品","超高价商品")))</f>
        <v>中价商品</v>
      </c>
    </row>
    <row r="4218" spans="1:14" x14ac:dyDescent="0.2">
      <c r="A4218">
        <v>357</v>
      </c>
      <c r="B4218">
        <v>101</v>
      </c>
      <c r="C4218" t="s">
        <v>10</v>
      </c>
      <c r="D4218" t="s">
        <v>134</v>
      </c>
      <c r="E4218" t="s">
        <v>22</v>
      </c>
      <c r="F4218">
        <v>1</v>
      </c>
      <c r="G4218" t="s">
        <v>13</v>
      </c>
      <c r="H4218" s="1">
        <v>46007.870833333334</v>
      </c>
      <c r="I4218" s="5">
        <f>INT(TB[[#This Row],[时间戳]])</f>
        <v>46007</v>
      </c>
      <c r="J4218" s="2">
        <f>HOUR(TB[[#This Row],[时间戳]])</f>
        <v>20</v>
      </c>
      <c r="K4218">
        <v>6586</v>
      </c>
      <c r="L4218">
        <v>3</v>
      </c>
      <c r="M4218">
        <f>TB[[#This Row],[售价]]*TB[[#This Row],[销量]]</f>
        <v>19758</v>
      </c>
      <c r="N4218" t="str">
        <f>IF(TB[[#This Row],[售价]]&lt;1000,"低价商品",IF(TB[[#This Row],[售价]]&lt;5000,"中价商品",IF(TB[[#This Row],[售价]]&lt;10000,"高价商品","超高价商品")))</f>
        <v>高价商品</v>
      </c>
    </row>
    <row r="4219" spans="1:14" x14ac:dyDescent="0.2">
      <c r="A4219">
        <v>558</v>
      </c>
      <c r="B4219">
        <v>203</v>
      </c>
      <c r="C4219" t="s">
        <v>34</v>
      </c>
      <c r="D4219" t="s">
        <v>82</v>
      </c>
      <c r="E4219" t="s">
        <v>31</v>
      </c>
      <c r="F4219">
        <v>4</v>
      </c>
      <c r="G4219" t="s">
        <v>42</v>
      </c>
      <c r="H4219" s="1">
        <v>46007.883333333331</v>
      </c>
      <c r="I4219" s="5">
        <f>INT(TB[[#This Row],[时间戳]])</f>
        <v>46007</v>
      </c>
      <c r="J4219" s="2">
        <f>HOUR(TB[[#This Row],[时间戳]])</f>
        <v>21</v>
      </c>
      <c r="K4219">
        <v>456</v>
      </c>
      <c r="L4219">
        <v>0</v>
      </c>
      <c r="M4219">
        <f>TB[[#This Row],[售价]]*TB[[#This Row],[销量]]</f>
        <v>0</v>
      </c>
      <c r="N4219" t="str">
        <f>IF(TB[[#This Row],[售价]]&lt;1000,"低价商品",IF(TB[[#This Row],[售价]]&lt;5000,"中价商品",IF(TB[[#This Row],[售价]]&lt;10000,"高价商品","超高价商品")))</f>
        <v>低价商品</v>
      </c>
    </row>
    <row r="4220" spans="1:14" x14ac:dyDescent="0.2">
      <c r="A4220">
        <v>647</v>
      </c>
      <c r="B4220">
        <v>24</v>
      </c>
      <c r="C4220" t="s">
        <v>10</v>
      </c>
      <c r="D4220" t="s">
        <v>262</v>
      </c>
      <c r="E4220" t="s">
        <v>25</v>
      </c>
      <c r="F4220">
        <v>7</v>
      </c>
      <c r="G4220" t="s">
        <v>13</v>
      </c>
      <c r="H4220" s="1">
        <v>46007.904861111114</v>
      </c>
      <c r="I4220" s="5">
        <f>INT(TB[[#This Row],[时间戳]])</f>
        <v>46007</v>
      </c>
      <c r="J4220" s="2">
        <f>HOUR(TB[[#This Row],[时间戳]])</f>
        <v>21</v>
      </c>
      <c r="K4220">
        <v>2893</v>
      </c>
      <c r="L4220">
        <v>3</v>
      </c>
      <c r="M4220">
        <f>TB[[#This Row],[售价]]*TB[[#This Row],[销量]]</f>
        <v>8679</v>
      </c>
      <c r="N4220" t="str">
        <f>IF(TB[[#This Row],[售价]]&lt;1000,"低价商品",IF(TB[[#This Row],[售价]]&lt;5000,"中价商品",IF(TB[[#This Row],[售价]]&lt;10000,"高价商品","超高价商品")))</f>
        <v>中价商品</v>
      </c>
    </row>
    <row r="4221" spans="1:14" x14ac:dyDescent="0.2">
      <c r="A4221">
        <v>543</v>
      </c>
      <c r="B4221">
        <v>121</v>
      </c>
      <c r="C4221" t="s">
        <v>36</v>
      </c>
      <c r="D4221" t="s">
        <v>366</v>
      </c>
      <c r="E4221" t="s">
        <v>22</v>
      </c>
      <c r="F4221">
        <v>1</v>
      </c>
      <c r="G4221" t="s">
        <v>13</v>
      </c>
      <c r="H4221" s="1">
        <v>46007.910416666666</v>
      </c>
      <c r="I4221" s="5">
        <f>INT(TB[[#This Row],[时间戳]])</f>
        <v>46007</v>
      </c>
      <c r="J4221" s="2">
        <f>HOUR(TB[[#This Row],[时间戳]])</f>
        <v>21</v>
      </c>
      <c r="K4221">
        <v>3566</v>
      </c>
      <c r="L4221">
        <v>3</v>
      </c>
      <c r="M4221">
        <f>TB[[#This Row],[售价]]*TB[[#This Row],[销量]]</f>
        <v>10698</v>
      </c>
      <c r="N4221" t="str">
        <f>IF(TB[[#This Row],[售价]]&lt;1000,"低价商品",IF(TB[[#This Row],[售价]]&lt;5000,"中价商品",IF(TB[[#This Row],[售价]]&lt;10000,"高价商品","超高价商品")))</f>
        <v>中价商品</v>
      </c>
    </row>
    <row r="4222" spans="1:14" x14ac:dyDescent="0.2">
      <c r="A4222">
        <v>567</v>
      </c>
      <c r="B4222">
        <v>83</v>
      </c>
      <c r="C4222" t="s">
        <v>10</v>
      </c>
      <c r="D4222" t="s">
        <v>96</v>
      </c>
      <c r="E4222" t="s">
        <v>22</v>
      </c>
      <c r="F4222">
        <v>1</v>
      </c>
      <c r="G4222" t="s">
        <v>13</v>
      </c>
      <c r="H4222" s="1">
        <v>46007.916666666664</v>
      </c>
      <c r="I4222" s="5">
        <f>INT(TB[[#This Row],[时间戳]])</f>
        <v>46007</v>
      </c>
      <c r="J4222" s="2">
        <f>HOUR(TB[[#This Row],[时间戳]])</f>
        <v>22</v>
      </c>
      <c r="K4222">
        <v>5667</v>
      </c>
      <c r="L4222">
        <v>2</v>
      </c>
      <c r="M4222">
        <f>TB[[#This Row],[售价]]*TB[[#This Row],[销量]]</f>
        <v>11334</v>
      </c>
      <c r="N4222" t="str">
        <f>IF(TB[[#This Row],[售价]]&lt;1000,"低价商品",IF(TB[[#This Row],[售价]]&lt;5000,"中价商品",IF(TB[[#This Row],[售价]]&lt;10000,"高价商品","超高价商品")))</f>
        <v>高价商品</v>
      </c>
    </row>
    <row r="4223" spans="1:14" x14ac:dyDescent="0.2">
      <c r="A4223">
        <v>786</v>
      </c>
      <c r="B4223">
        <v>32</v>
      </c>
      <c r="C4223" t="s">
        <v>26</v>
      </c>
      <c r="D4223" t="s">
        <v>48</v>
      </c>
      <c r="E4223" t="s">
        <v>31</v>
      </c>
      <c r="F4223">
        <v>4</v>
      </c>
      <c r="G4223" t="s">
        <v>13</v>
      </c>
      <c r="H4223" s="1">
        <v>46007.93472222222</v>
      </c>
      <c r="I4223" s="5">
        <f>INT(TB[[#This Row],[时间戳]])</f>
        <v>46007</v>
      </c>
      <c r="J4223" s="2">
        <f>HOUR(TB[[#This Row],[时间戳]])</f>
        <v>22</v>
      </c>
      <c r="K4223">
        <v>1020</v>
      </c>
      <c r="L4223">
        <v>2</v>
      </c>
      <c r="M4223">
        <f>TB[[#This Row],[售价]]*TB[[#This Row],[销量]]</f>
        <v>2040</v>
      </c>
      <c r="N4223" t="str">
        <f>IF(TB[[#This Row],[售价]]&lt;1000,"低价商品",IF(TB[[#This Row],[售价]]&lt;5000,"中价商品",IF(TB[[#This Row],[售价]]&lt;10000,"高价商品","超高价商品")))</f>
        <v>中价商品</v>
      </c>
    </row>
    <row r="4224" spans="1:14" x14ac:dyDescent="0.2">
      <c r="A4224">
        <v>715</v>
      </c>
      <c r="B4224">
        <v>222</v>
      </c>
      <c r="C4224" t="s">
        <v>17</v>
      </c>
      <c r="D4224" t="s">
        <v>255</v>
      </c>
      <c r="E4224" t="s">
        <v>31</v>
      </c>
      <c r="F4224">
        <v>4</v>
      </c>
      <c r="G4224" t="s">
        <v>13</v>
      </c>
      <c r="H4224" s="1">
        <v>46007.976388888892</v>
      </c>
      <c r="I4224" s="5">
        <f>INT(TB[[#This Row],[时间戳]])</f>
        <v>46007</v>
      </c>
      <c r="J4224" s="2">
        <f>HOUR(TB[[#This Row],[时间戳]])</f>
        <v>23</v>
      </c>
      <c r="K4224">
        <v>202</v>
      </c>
      <c r="L4224">
        <v>4</v>
      </c>
      <c r="M4224">
        <f>TB[[#This Row],[售价]]*TB[[#This Row],[销量]]</f>
        <v>808</v>
      </c>
      <c r="N4224" t="str">
        <f>IF(TB[[#This Row],[售价]]&lt;1000,"低价商品",IF(TB[[#This Row],[售价]]&lt;5000,"中价商品",IF(TB[[#This Row],[售价]]&lt;10000,"高价商品","超高价商品")))</f>
        <v>低价商品</v>
      </c>
    </row>
    <row r="4225" spans="1:14" x14ac:dyDescent="0.2">
      <c r="A4225">
        <v>233</v>
      </c>
      <c r="B4225">
        <v>91</v>
      </c>
      <c r="C4225" t="s">
        <v>17</v>
      </c>
      <c r="D4225" t="s">
        <v>61</v>
      </c>
      <c r="E4225" t="s">
        <v>31</v>
      </c>
      <c r="F4225">
        <v>4</v>
      </c>
      <c r="G4225" t="s">
        <v>42</v>
      </c>
      <c r="H4225" s="1">
        <v>46008.006944444445</v>
      </c>
      <c r="I4225" s="5">
        <f>INT(TB[[#This Row],[时间戳]])</f>
        <v>46008</v>
      </c>
      <c r="J4225" s="2">
        <f>HOUR(TB[[#This Row],[时间戳]])</f>
        <v>0</v>
      </c>
      <c r="K4225">
        <v>419</v>
      </c>
      <c r="L4225">
        <v>0</v>
      </c>
      <c r="M4225">
        <f>TB[[#This Row],[售价]]*TB[[#This Row],[销量]]</f>
        <v>0</v>
      </c>
      <c r="N4225" t="str">
        <f>IF(TB[[#This Row],[售价]]&lt;1000,"低价商品",IF(TB[[#This Row],[售价]]&lt;5000,"中价商品",IF(TB[[#This Row],[售价]]&lt;10000,"高价商品","超高价商品")))</f>
        <v>低价商品</v>
      </c>
    </row>
    <row r="4226" spans="1:14" x14ac:dyDescent="0.2">
      <c r="A4226">
        <v>625</v>
      </c>
      <c r="B4226">
        <v>198</v>
      </c>
      <c r="C4226" t="s">
        <v>32</v>
      </c>
      <c r="D4226" t="s">
        <v>212</v>
      </c>
      <c r="E4226" t="s">
        <v>22</v>
      </c>
      <c r="F4226">
        <v>1</v>
      </c>
      <c r="G4226" t="s">
        <v>13</v>
      </c>
      <c r="H4226" s="1">
        <v>46008.022916666669</v>
      </c>
      <c r="I4226" s="5">
        <f>INT(TB[[#This Row],[时间戳]])</f>
        <v>46008</v>
      </c>
      <c r="J4226" s="2">
        <f>HOUR(TB[[#This Row],[时间戳]])</f>
        <v>0</v>
      </c>
      <c r="K4226">
        <v>7996</v>
      </c>
      <c r="L4226">
        <v>1</v>
      </c>
      <c r="M4226">
        <f>TB[[#This Row],[售价]]*TB[[#This Row],[销量]]</f>
        <v>7996</v>
      </c>
      <c r="N4226" t="str">
        <f>IF(TB[[#This Row],[售价]]&lt;1000,"低价商品",IF(TB[[#This Row],[售价]]&lt;5000,"中价商品",IF(TB[[#This Row],[售价]]&lt;10000,"高价商品","超高价商品")))</f>
        <v>高价商品</v>
      </c>
    </row>
    <row r="4227" spans="1:14" x14ac:dyDescent="0.2">
      <c r="A4227">
        <v>418</v>
      </c>
      <c r="B4227">
        <v>43</v>
      </c>
      <c r="C4227" t="s">
        <v>32</v>
      </c>
      <c r="D4227" t="s">
        <v>101</v>
      </c>
      <c r="E4227" t="s">
        <v>39</v>
      </c>
      <c r="F4227">
        <v>5</v>
      </c>
      <c r="G4227" t="s">
        <v>13</v>
      </c>
      <c r="H4227" s="1">
        <v>46008.047222222223</v>
      </c>
      <c r="I4227" s="5">
        <f>INT(TB[[#This Row],[时间戳]])</f>
        <v>46008</v>
      </c>
      <c r="J4227" s="2">
        <f>HOUR(TB[[#This Row],[时间戳]])</f>
        <v>1</v>
      </c>
      <c r="K4227">
        <v>3461</v>
      </c>
      <c r="L4227">
        <v>1</v>
      </c>
      <c r="M4227">
        <f>TB[[#This Row],[售价]]*TB[[#This Row],[销量]]</f>
        <v>3461</v>
      </c>
      <c r="N4227" t="str">
        <f>IF(TB[[#This Row],[售价]]&lt;1000,"低价商品",IF(TB[[#This Row],[售价]]&lt;5000,"中价商品",IF(TB[[#This Row],[售价]]&lt;10000,"高价商品","超高价商品")))</f>
        <v>中价商品</v>
      </c>
    </row>
    <row r="4228" spans="1:14" x14ac:dyDescent="0.2">
      <c r="A4228">
        <v>556</v>
      </c>
      <c r="B4228">
        <v>207</v>
      </c>
      <c r="C4228" t="s">
        <v>14</v>
      </c>
      <c r="D4228" t="s">
        <v>15</v>
      </c>
      <c r="E4228" t="s">
        <v>16</v>
      </c>
      <c r="F4228">
        <v>6</v>
      </c>
      <c r="G4228" t="s">
        <v>13</v>
      </c>
      <c r="H4228" s="1">
        <v>46008.055555555555</v>
      </c>
      <c r="I4228" s="5">
        <f>INT(TB[[#This Row],[时间戳]])</f>
        <v>46008</v>
      </c>
      <c r="J4228" s="2">
        <f>HOUR(TB[[#This Row],[时间戳]])</f>
        <v>1</v>
      </c>
      <c r="K4228">
        <v>10256</v>
      </c>
      <c r="L4228">
        <v>2</v>
      </c>
      <c r="M4228">
        <f>TB[[#This Row],[售价]]*TB[[#This Row],[销量]]</f>
        <v>20512</v>
      </c>
      <c r="N4228" t="str">
        <f>IF(TB[[#This Row],[售价]]&lt;1000,"低价商品",IF(TB[[#This Row],[售价]]&lt;5000,"中价商品",IF(TB[[#This Row],[售价]]&lt;10000,"高价商品","超高价商品")))</f>
        <v>超高价商品</v>
      </c>
    </row>
    <row r="4229" spans="1:14" x14ac:dyDescent="0.2">
      <c r="A4229">
        <v>254</v>
      </c>
      <c r="B4229">
        <v>223</v>
      </c>
      <c r="C4229" t="s">
        <v>44</v>
      </c>
      <c r="D4229" t="s">
        <v>222</v>
      </c>
      <c r="E4229" t="s">
        <v>12</v>
      </c>
      <c r="F4229">
        <v>2</v>
      </c>
      <c r="G4229" t="s">
        <v>13</v>
      </c>
      <c r="H4229" s="1">
        <v>46008.074305555558</v>
      </c>
      <c r="I4229" s="5">
        <f>INT(TB[[#This Row],[时间戳]])</f>
        <v>46008</v>
      </c>
      <c r="J4229" s="2">
        <f>HOUR(TB[[#This Row],[时间戳]])</f>
        <v>1</v>
      </c>
      <c r="K4229">
        <v>6903</v>
      </c>
      <c r="L4229">
        <v>2</v>
      </c>
      <c r="M4229">
        <f>TB[[#This Row],[售价]]*TB[[#This Row],[销量]]</f>
        <v>13806</v>
      </c>
      <c r="N4229" t="str">
        <f>IF(TB[[#This Row],[售价]]&lt;1000,"低价商品",IF(TB[[#This Row],[售价]]&lt;5000,"中价商品",IF(TB[[#This Row],[售价]]&lt;10000,"高价商品","超高价商品")))</f>
        <v>高价商品</v>
      </c>
    </row>
    <row r="4230" spans="1:14" x14ac:dyDescent="0.2">
      <c r="A4230">
        <v>77</v>
      </c>
      <c r="B4230">
        <v>98</v>
      </c>
      <c r="C4230" t="s">
        <v>14</v>
      </c>
      <c r="D4230" t="s">
        <v>343</v>
      </c>
      <c r="E4230" t="s">
        <v>39</v>
      </c>
      <c r="F4230">
        <v>5</v>
      </c>
      <c r="G4230" t="s">
        <v>13</v>
      </c>
      <c r="H4230" s="1">
        <v>46008.086111111108</v>
      </c>
      <c r="I4230" s="5">
        <f>INT(TB[[#This Row],[时间戳]])</f>
        <v>46008</v>
      </c>
      <c r="J4230" s="2">
        <f>HOUR(TB[[#This Row],[时间戳]])</f>
        <v>2</v>
      </c>
      <c r="K4230">
        <v>3017</v>
      </c>
      <c r="L4230">
        <v>1</v>
      </c>
      <c r="M4230">
        <f>TB[[#This Row],[售价]]*TB[[#This Row],[销量]]</f>
        <v>3017</v>
      </c>
      <c r="N4230" t="str">
        <f>IF(TB[[#This Row],[售价]]&lt;1000,"低价商品",IF(TB[[#This Row],[售价]]&lt;5000,"中价商品",IF(TB[[#This Row],[售价]]&lt;10000,"高价商品","超高价商品")))</f>
        <v>中价商品</v>
      </c>
    </row>
    <row r="4231" spans="1:14" x14ac:dyDescent="0.2">
      <c r="A4231">
        <v>206</v>
      </c>
      <c r="B4231">
        <v>116</v>
      </c>
      <c r="C4231" t="s">
        <v>20</v>
      </c>
      <c r="D4231" t="s">
        <v>64</v>
      </c>
      <c r="E4231" t="s">
        <v>31</v>
      </c>
      <c r="F4231">
        <v>4</v>
      </c>
      <c r="G4231" t="s">
        <v>13</v>
      </c>
      <c r="H4231" s="1">
        <v>46008.089583333334</v>
      </c>
      <c r="I4231" s="5">
        <f>INT(TB[[#This Row],[时间戳]])</f>
        <v>46008</v>
      </c>
      <c r="J4231" s="2">
        <f>HOUR(TB[[#This Row],[时间戳]])</f>
        <v>2</v>
      </c>
      <c r="K4231">
        <v>506</v>
      </c>
      <c r="L4231">
        <v>1</v>
      </c>
      <c r="M4231">
        <f>TB[[#This Row],[售价]]*TB[[#This Row],[销量]]</f>
        <v>506</v>
      </c>
      <c r="N4231" t="str">
        <f>IF(TB[[#This Row],[售价]]&lt;1000,"低价商品",IF(TB[[#This Row],[售价]]&lt;5000,"中价商品",IF(TB[[#This Row],[售价]]&lt;10000,"高价商品","超高价商品")))</f>
        <v>低价商品</v>
      </c>
    </row>
    <row r="4232" spans="1:14" x14ac:dyDescent="0.2">
      <c r="A4232">
        <v>690</v>
      </c>
      <c r="B4232">
        <v>277</v>
      </c>
      <c r="C4232" t="s">
        <v>26</v>
      </c>
      <c r="D4232" t="s">
        <v>131</v>
      </c>
      <c r="E4232" t="s">
        <v>22</v>
      </c>
      <c r="F4232">
        <v>1</v>
      </c>
      <c r="G4232" t="s">
        <v>13</v>
      </c>
      <c r="H4232" s="1">
        <v>46008.111805555556</v>
      </c>
      <c r="I4232" s="5">
        <f>INT(TB[[#This Row],[时间戳]])</f>
        <v>46008</v>
      </c>
      <c r="J4232" s="2">
        <f>HOUR(TB[[#This Row],[时间戳]])</f>
        <v>2</v>
      </c>
      <c r="K4232">
        <v>6983</v>
      </c>
      <c r="L4232">
        <v>2</v>
      </c>
      <c r="M4232">
        <f>TB[[#This Row],[售价]]*TB[[#This Row],[销量]]</f>
        <v>13966</v>
      </c>
      <c r="N4232" t="str">
        <f>IF(TB[[#This Row],[售价]]&lt;1000,"低价商品",IF(TB[[#This Row],[售价]]&lt;5000,"中价商品",IF(TB[[#This Row],[售价]]&lt;10000,"高价商品","超高价商品")))</f>
        <v>高价商品</v>
      </c>
    </row>
    <row r="4233" spans="1:14" x14ac:dyDescent="0.2">
      <c r="A4233">
        <v>192</v>
      </c>
      <c r="B4233">
        <v>237</v>
      </c>
      <c r="C4233" t="s">
        <v>32</v>
      </c>
      <c r="D4233" t="s">
        <v>342</v>
      </c>
      <c r="E4233" t="s">
        <v>39</v>
      </c>
      <c r="F4233">
        <v>5</v>
      </c>
      <c r="G4233" t="s">
        <v>13</v>
      </c>
      <c r="H4233" s="1">
        <v>46008.127083333333</v>
      </c>
      <c r="I4233" s="5">
        <f>INT(TB[[#This Row],[时间戳]])</f>
        <v>46008</v>
      </c>
      <c r="J4233" s="2">
        <f>HOUR(TB[[#This Row],[时间戳]])</f>
        <v>3</v>
      </c>
      <c r="K4233">
        <v>3055</v>
      </c>
      <c r="L4233">
        <v>2</v>
      </c>
      <c r="M4233">
        <f>TB[[#This Row],[售价]]*TB[[#This Row],[销量]]</f>
        <v>6110</v>
      </c>
      <c r="N4233" t="str">
        <f>IF(TB[[#This Row],[售价]]&lt;1000,"低价商品",IF(TB[[#This Row],[售价]]&lt;5000,"中价商品",IF(TB[[#This Row],[售价]]&lt;10000,"高价商品","超高价商品")))</f>
        <v>中价商品</v>
      </c>
    </row>
    <row r="4234" spans="1:14" x14ac:dyDescent="0.2">
      <c r="A4234">
        <v>489</v>
      </c>
      <c r="B4234">
        <v>167</v>
      </c>
      <c r="C4234" t="s">
        <v>14</v>
      </c>
      <c r="D4234" t="s">
        <v>295</v>
      </c>
      <c r="E4234" t="s">
        <v>39</v>
      </c>
      <c r="F4234">
        <v>5</v>
      </c>
      <c r="G4234" t="s">
        <v>13</v>
      </c>
      <c r="H4234" s="1">
        <v>46008.135416666664</v>
      </c>
      <c r="I4234" s="5">
        <f>INT(TB[[#This Row],[时间戳]])</f>
        <v>46008</v>
      </c>
      <c r="J4234" s="2">
        <f>HOUR(TB[[#This Row],[时间戳]])</f>
        <v>3</v>
      </c>
      <c r="K4234">
        <v>3926</v>
      </c>
      <c r="L4234">
        <v>3</v>
      </c>
      <c r="M4234">
        <f>TB[[#This Row],[售价]]*TB[[#This Row],[销量]]</f>
        <v>11778</v>
      </c>
      <c r="N4234" t="str">
        <f>IF(TB[[#This Row],[售价]]&lt;1000,"低价商品",IF(TB[[#This Row],[售价]]&lt;5000,"中价商品",IF(TB[[#This Row],[售价]]&lt;10000,"高价商品","超高价商品")))</f>
        <v>中价商品</v>
      </c>
    </row>
    <row r="4235" spans="1:14" x14ac:dyDescent="0.2">
      <c r="A4235">
        <v>395</v>
      </c>
      <c r="B4235">
        <v>49</v>
      </c>
      <c r="C4235" t="s">
        <v>44</v>
      </c>
      <c r="D4235" t="s">
        <v>268</v>
      </c>
      <c r="E4235" t="s">
        <v>16</v>
      </c>
      <c r="F4235">
        <v>6</v>
      </c>
      <c r="G4235" t="s">
        <v>13</v>
      </c>
      <c r="H4235" s="1">
        <v>46008.179861111108</v>
      </c>
      <c r="I4235" s="5">
        <f>INT(TB[[#This Row],[时间戳]])</f>
        <v>46008</v>
      </c>
      <c r="J4235" s="2">
        <f>HOUR(TB[[#This Row],[时间戳]])</f>
        <v>4</v>
      </c>
      <c r="K4235">
        <v>2331</v>
      </c>
      <c r="L4235">
        <v>2</v>
      </c>
      <c r="M4235">
        <f>TB[[#This Row],[售价]]*TB[[#This Row],[销量]]</f>
        <v>4662</v>
      </c>
      <c r="N4235" t="str">
        <f>IF(TB[[#This Row],[售价]]&lt;1000,"低价商品",IF(TB[[#This Row],[售价]]&lt;5000,"中价商品",IF(TB[[#This Row],[售价]]&lt;10000,"高价商品","超高价商品")))</f>
        <v>中价商品</v>
      </c>
    </row>
    <row r="4236" spans="1:14" x14ac:dyDescent="0.2">
      <c r="A4236">
        <v>596</v>
      </c>
      <c r="B4236">
        <v>86</v>
      </c>
      <c r="C4236" t="s">
        <v>17</v>
      </c>
      <c r="D4236" t="s">
        <v>67</v>
      </c>
      <c r="E4236" t="s">
        <v>39</v>
      </c>
      <c r="F4236">
        <v>5</v>
      </c>
      <c r="G4236" t="s">
        <v>13</v>
      </c>
      <c r="H4236" s="1">
        <v>46008.179861111108</v>
      </c>
      <c r="I4236" s="5">
        <f>INT(TB[[#This Row],[时间戳]])</f>
        <v>46008</v>
      </c>
      <c r="J4236" s="2">
        <f>HOUR(TB[[#This Row],[时间戳]])</f>
        <v>4</v>
      </c>
      <c r="K4236">
        <v>3287</v>
      </c>
      <c r="L4236">
        <v>4</v>
      </c>
      <c r="M4236">
        <f>TB[[#This Row],[售价]]*TB[[#This Row],[销量]]</f>
        <v>13148</v>
      </c>
      <c r="N4236" t="str">
        <f>IF(TB[[#This Row],[售价]]&lt;1000,"低价商品",IF(TB[[#This Row],[售价]]&lt;5000,"中价商品",IF(TB[[#This Row],[售价]]&lt;10000,"高价商品","超高价商品")))</f>
        <v>中价商品</v>
      </c>
    </row>
    <row r="4237" spans="1:14" x14ac:dyDescent="0.2">
      <c r="A4237">
        <v>103</v>
      </c>
      <c r="B4237">
        <v>137</v>
      </c>
      <c r="C4237" t="s">
        <v>20</v>
      </c>
      <c r="D4237" t="s">
        <v>399</v>
      </c>
      <c r="E4237" t="s">
        <v>31</v>
      </c>
      <c r="F4237">
        <v>4</v>
      </c>
      <c r="G4237" t="s">
        <v>13</v>
      </c>
      <c r="H4237" s="1">
        <v>46008.186805555553</v>
      </c>
      <c r="I4237" s="5">
        <f>INT(TB[[#This Row],[时间戳]])</f>
        <v>46008</v>
      </c>
      <c r="J4237" s="2">
        <f>HOUR(TB[[#This Row],[时间戳]])</f>
        <v>4</v>
      </c>
      <c r="K4237">
        <v>187</v>
      </c>
      <c r="L4237">
        <v>4</v>
      </c>
      <c r="M4237">
        <f>TB[[#This Row],[售价]]*TB[[#This Row],[销量]]</f>
        <v>748</v>
      </c>
      <c r="N4237" t="str">
        <f>IF(TB[[#This Row],[售价]]&lt;1000,"低价商品",IF(TB[[#This Row],[售价]]&lt;5000,"中价商品",IF(TB[[#This Row],[售价]]&lt;10000,"高价商品","超高价商品")))</f>
        <v>低价商品</v>
      </c>
    </row>
    <row r="4238" spans="1:14" x14ac:dyDescent="0.2">
      <c r="A4238">
        <v>131</v>
      </c>
      <c r="B4238">
        <v>240</v>
      </c>
      <c r="C4238" t="s">
        <v>14</v>
      </c>
      <c r="D4238" t="s">
        <v>29</v>
      </c>
      <c r="E4238" t="s">
        <v>22</v>
      </c>
      <c r="F4238">
        <v>1</v>
      </c>
      <c r="G4238" t="s">
        <v>13</v>
      </c>
      <c r="H4238" s="1">
        <v>46008.188194444447</v>
      </c>
      <c r="I4238" s="5">
        <f>INT(TB[[#This Row],[时间戳]])</f>
        <v>46008</v>
      </c>
      <c r="J4238" s="2">
        <f>HOUR(TB[[#This Row],[时间戳]])</f>
        <v>4</v>
      </c>
      <c r="K4238">
        <v>3220</v>
      </c>
      <c r="L4238">
        <v>1</v>
      </c>
      <c r="M4238">
        <f>TB[[#This Row],[售价]]*TB[[#This Row],[销量]]</f>
        <v>3220</v>
      </c>
      <c r="N4238" t="str">
        <f>IF(TB[[#This Row],[售价]]&lt;1000,"低价商品",IF(TB[[#This Row],[售价]]&lt;5000,"中价商品",IF(TB[[#This Row],[售价]]&lt;10000,"高价商品","超高价商品")))</f>
        <v>中价商品</v>
      </c>
    </row>
    <row r="4239" spans="1:14" x14ac:dyDescent="0.2">
      <c r="A4239">
        <v>472</v>
      </c>
      <c r="B4239">
        <v>258</v>
      </c>
      <c r="C4239" t="s">
        <v>17</v>
      </c>
      <c r="D4239" t="s">
        <v>362</v>
      </c>
      <c r="E4239" t="s">
        <v>25</v>
      </c>
      <c r="F4239">
        <v>7</v>
      </c>
      <c r="G4239" t="s">
        <v>42</v>
      </c>
      <c r="H4239" s="1">
        <v>46008.215277777781</v>
      </c>
      <c r="I4239" s="5">
        <f>INT(TB[[#This Row],[时间戳]])</f>
        <v>46008</v>
      </c>
      <c r="J4239" s="2">
        <f>HOUR(TB[[#This Row],[时间戳]])</f>
        <v>5</v>
      </c>
      <c r="K4239">
        <v>6497</v>
      </c>
      <c r="L4239">
        <v>0</v>
      </c>
      <c r="M4239">
        <f>TB[[#This Row],[售价]]*TB[[#This Row],[销量]]</f>
        <v>0</v>
      </c>
      <c r="N4239" t="str">
        <f>IF(TB[[#This Row],[售价]]&lt;1000,"低价商品",IF(TB[[#This Row],[售价]]&lt;5000,"中价商品",IF(TB[[#This Row],[售价]]&lt;10000,"高价商品","超高价商品")))</f>
        <v>高价商品</v>
      </c>
    </row>
    <row r="4240" spans="1:14" x14ac:dyDescent="0.2">
      <c r="A4240">
        <v>430</v>
      </c>
      <c r="B4240">
        <v>297</v>
      </c>
      <c r="C4240" t="s">
        <v>34</v>
      </c>
      <c r="D4240" t="s">
        <v>199</v>
      </c>
      <c r="E4240" t="s">
        <v>39</v>
      </c>
      <c r="F4240">
        <v>5</v>
      </c>
      <c r="G4240" t="s">
        <v>42</v>
      </c>
      <c r="H4240" s="1">
        <v>46008.237500000003</v>
      </c>
      <c r="I4240" s="5">
        <f>INT(TB[[#This Row],[时间戳]])</f>
        <v>46008</v>
      </c>
      <c r="J4240" s="2">
        <f>HOUR(TB[[#This Row],[时间戳]])</f>
        <v>5</v>
      </c>
      <c r="K4240">
        <v>3501</v>
      </c>
      <c r="L4240">
        <v>0</v>
      </c>
      <c r="M4240">
        <f>TB[[#This Row],[售价]]*TB[[#This Row],[销量]]</f>
        <v>0</v>
      </c>
      <c r="N4240" t="str">
        <f>IF(TB[[#This Row],[售价]]&lt;1000,"低价商品",IF(TB[[#This Row],[售价]]&lt;5000,"中价商品",IF(TB[[#This Row],[售价]]&lt;10000,"高价商品","超高价商品")))</f>
        <v>中价商品</v>
      </c>
    </row>
    <row r="4241" spans="1:14" x14ac:dyDescent="0.2">
      <c r="A4241">
        <v>710</v>
      </c>
      <c r="B4241">
        <v>154</v>
      </c>
      <c r="C4241" t="s">
        <v>32</v>
      </c>
      <c r="D4241" t="s">
        <v>63</v>
      </c>
      <c r="E4241" t="s">
        <v>12</v>
      </c>
      <c r="F4241">
        <v>2</v>
      </c>
      <c r="G4241" t="s">
        <v>42</v>
      </c>
      <c r="H4241" s="1">
        <v>46008.244444444441</v>
      </c>
      <c r="I4241" s="5">
        <f>INT(TB[[#This Row],[时间戳]])</f>
        <v>46008</v>
      </c>
      <c r="J4241" s="2">
        <f>HOUR(TB[[#This Row],[时间戳]])</f>
        <v>5</v>
      </c>
      <c r="K4241">
        <v>12865</v>
      </c>
      <c r="L4241">
        <v>0</v>
      </c>
      <c r="M4241">
        <f>TB[[#This Row],[售价]]*TB[[#This Row],[销量]]</f>
        <v>0</v>
      </c>
      <c r="N4241" t="str">
        <f>IF(TB[[#This Row],[售价]]&lt;1000,"低价商品",IF(TB[[#This Row],[售价]]&lt;5000,"中价商品",IF(TB[[#This Row],[售价]]&lt;10000,"高价商品","超高价商品")))</f>
        <v>超高价商品</v>
      </c>
    </row>
    <row r="4242" spans="1:14" x14ac:dyDescent="0.2">
      <c r="A4242">
        <v>753</v>
      </c>
      <c r="B4242">
        <v>9</v>
      </c>
      <c r="C4242" t="s">
        <v>44</v>
      </c>
      <c r="D4242" t="s">
        <v>70</v>
      </c>
      <c r="E4242" t="s">
        <v>12</v>
      </c>
      <c r="F4242">
        <v>2</v>
      </c>
      <c r="G4242" t="s">
        <v>13</v>
      </c>
      <c r="H4242" s="1">
        <v>46008.265277777777</v>
      </c>
      <c r="I4242" s="5">
        <f>INT(TB[[#This Row],[时间戳]])</f>
        <v>46008</v>
      </c>
      <c r="J4242" s="2">
        <f>HOUR(TB[[#This Row],[时间戳]])</f>
        <v>6</v>
      </c>
      <c r="K4242">
        <v>9871</v>
      </c>
      <c r="L4242">
        <v>2</v>
      </c>
      <c r="M4242">
        <f>TB[[#This Row],[售价]]*TB[[#This Row],[销量]]</f>
        <v>19742</v>
      </c>
      <c r="N4242" t="str">
        <f>IF(TB[[#This Row],[售价]]&lt;1000,"低价商品",IF(TB[[#This Row],[售价]]&lt;5000,"中价商品",IF(TB[[#This Row],[售价]]&lt;10000,"高价商品","超高价商品")))</f>
        <v>高价商品</v>
      </c>
    </row>
    <row r="4243" spans="1:14" x14ac:dyDescent="0.2">
      <c r="A4243">
        <v>378</v>
      </c>
      <c r="B4243">
        <v>205</v>
      </c>
      <c r="C4243" t="s">
        <v>17</v>
      </c>
      <c r="D4243" t="s">
        <v>128</v>
      </c>
      <c r="E4243" t="s">
        <v>12</v>
      </c>
      <c r="F4243">
        <v>2</v>
      </c>
      <c r="G4243" t="s">
        <v>13</v>
      </c>
      <c r="H4243" s="1">
        <v>46008.274305555555</v>
      </c>
      <c r="I4243" s="5">
        <f>INT(TB[[#This Row],[时间戳]])</f>
        <v>46008</v>
      </c>
      <c r="J4243" s="2">
        <f>HOUR(TB[[#This Row],[时间戳]])</f>
        <v>6</v>
      </c>
      <c r="K4243">
        <v>6627</v>
      </c>
      <c r="L4243">
        <v>2</v>
      </c>
      <c r="M4243">
        <f>TB[[#This Row],[售价]]*TB[[#This Row],[销量]]</f>
        <v>13254</v>
      </c>
      <c r="N4243" t="str">
        <f>IF(TB[[#This Row],[售价]]&lt;1000,"低价商品",IF(TB[[#This Row],[售价]]&lt;5000,"中价商品",IF(TB[[#This Row],[售价]]&lt;10000,"高价商品","超高价商品")))</f>
        <v>高价商品</v>
      </c>
    </row>
    <row r="4244" spans="1:14" x14ac:dyDescent="0.2">
      <c r="A4244">
        <v>363</v>
      </c>
      <c r="B4244">
        <v>295</v>
      </c>
      <c r="C4244" t="s">
        <v>26</v>
      </c>
      <c r="D4244" t="s">
        <v>48</v>
      </c>
      <c r="E4244" t="s">
        <v>31</v>
      </c>
      <c r="F4244">
        <v>4</v>
      </c>
      <c r="G4244" t="s">
        <v>13</v>
      </c>
      <c r="H4244" s="1">
        <v>46008.300694444442</v>
      </c>
      <c r="I4244" s="5">
        <f>INT(TB[[#This Row],[时间戳]])</f>
        <v>46008</v>
      </c>
      <c r="J4244" s="2">
        <f>HOUR(TB[[#This Row],[时间戳]])</f>
        <v>7</v>
      </c>
      <c r="K4244">
        <v>1139</v>
      </c>
      <c r="L4244">
        <v>1</v>
      </c>
      <c r="M4244">
        <f>TB[[#This Row],[售价]]*TB[[#This Row],[销量]]</f>
        <v>1139</v>
      </c>
      <c r="N4244" t="str">
        <f>IF(TB[[#This Row],[售价]]&lt;1000,"低价商品",IF(TB[[#This Row],[售价]]&lt;5000,"中价商品",IF(TB[[#This Row],[售价]]&lt;10000,"高价商品","超高价商品")))</f>
        <v>中价商品</v>
      </c>
    </row>
    <row r="4245" spans="1:14" x14ac:dyDescent="0.2">
      <c r="A4245">
        <v>210</v>
      </c>
      <c r="B4245">
        <v>158</v>
      </c>
      <c r="C4245" t="s">
        <v>34</v>
      </c>
      <c r="D4245" t="s">
        <v>311</v>
      </c>
      <c r="E4245" t="s">
        <v>19</v>
      </c>
      <c r="F4245">
        <v>3</v>
      </c>
      <c r="G4245" t="s">
        <v>13</v>
      </c>
      <c r="H4245" s="1">
        <v>46008.311805555553</v>
      </c>
      <c r="I4245" s="5">
        <f>INT(TB[[#This Row],[时间戳]])</f>
        <v>46008</v>
      </c>
      <c r="J4245" s="2">
        <f>HOUR(TB[[#This Row],[时间戳]])</f>
        <v>7</v>
      </c>
      <c r="K4245">
        <v>2141</v>
      </c>
      <c r="L4245">
        <v>1</v>
      </c>
      <c r="M4245">
        <f>TB[[#This Row],[售价]]*TB[[#This Row],[销量]]</f>
        <v>2141</v>
      </c>
      <c r="N4245" t="str">
        <f>IF(TB[[#This Row],[售价]]&lt;1000,"低价商品",IF(TB[[#This Row],[售价]]&lt;5000,"中价商品",IF(TB[[#This Row],[售价]]&lt;10000,"高价商品","超高价商品")))</f>
        <v>中价商品</v>
      </c>
    </row>
    <row r="4246" spans="1:14" x14ac:dyDescent="0.2">
      <c r="A4246">
        <v>167</v>
      </c>
      <c r="B4246">
        <v>176</v>
      </c>
      <c r="C4246" t="s">
        <v>46</v>
      </c>
      <c r="D4246" t="s">
        <v>84</v>
      </c>
      <c r="E4246" t="s">
        <v>39</v>
      </c>
      <c r="F4246">
        <v>5</v>
      </c>
      <c r="G4246" t="s">
        <v>13</v>
      </c>
      <c r="H4246" s="1">
        <v>46008.321527777778</v>
      </c>
      <c r="I4246" s="5">
        <f>INT(TB[[#This Row],[时间戳]])</f>
        <v>46008</v>
      </c>
      <c r="J4246" s="2">
        <f>HOUR(TB[[#This Row],[时间戳]])</f>
        <v>7</v>
      </c>
      <c r="K4246">
        <v>3385</v>
      </c>
      <c r="L4246">
        <v>1</v>
      </c>
      <c r="M4246">
        <f>TB[[#This Row],[售价]]*TB[[#This Row],[销量]]</f>
        <v>3385</v>
      </c>
      <c r="N4246" t="str">
        <f>IF(TB[[#This Row],[售价]]&lt;1000,"低价商品",IF(TB[[#This Row],[售价]]&lt;5000,"中价商品",IF(TB[[#This Row],[售价]]&lt;10000,"高价商品","超高价商品")))</f>
        <v>中价商品</v>
      </c>
    </row>
    <row r="4247" spans="1:14" x14ac:dyDescent="0.2">
      <c r="A4247">
        <v>688</v>
      </c>
      <c r="B4247">
        <v>223</v>
      </c>
      <c r="C4247" t="s">
        <v>46</v>
      </c>
      <c r="D4247" t="s">
        <v>142</v>
      </c>
      <c r="E4247" t="s">
        <v>31</v>
      </c>
      <c r="F4247">
        <v>4</v>
      </c>
      <c r="G4247" t="s">
        <v>13</v>
      </c>
      <c r="H4247" s="1">
        <v>46008.371527777781</v>
      </c>
      <c r="I4247" s="5">
        <f>INT(TB[[#This Row],[时间戳]])</f>
        <v>46008</v>
      </c>
      <c r="J4247" s="2">
        <f>HOUR(TB[[#This Row],[时间戳]])</f>
        <v>8</v>
      </c>
      <c r="K4247">
        <v>631</v>
      </c>
      <c r="L4247">
        <v>4</v>
      </c>
      <c r="M4247">
        <f>TB[[#This Row],[售价]]*TB[[#This Row],[销量]]</f>
        <v>2524</v>
      </c>
      <c r="N4247" t="str">
        <f>IF(TB[[#This Row],[售价]]&lt;1000,"低价商品",IF(TB[[#This Row],[售价]]&lt;5000,"中价商品",IF(TB[[#This Row],[售价]]&lt;10000,"高价商品","超高价商品")))</f>
        <v>低价商品</v>
      </c>
    </row>
    <row r="4248" spans="1:14" x14ac:dyDescent="0.2">
      <c r="A4248">
        <v>756</v>
      </c>
      <c r="B4248">
        <v>153</v>
      </c>
      <c r="C4248" t="s">
        <v>10</v>
      </c>
      <c r="D4248" t="s">
        <v>312</v>
      </c>
      <c r="E4248" t="s">
        <v>12</v>
      </c>
      <c r="F4248">
        <v>2</v>
      </c>
      <c r="G4248" t="s">
        <v>13</v>
      </c>
      <c r="H4248" s="1">
        <v>46008.377083333333</v>
      </c>
      <c r="I4248" s="5">
        <f>INT(TB[[#This Row],[时间戳]])</f>
        <v>46008</v>
      </c>
      <c r="J4248" s="2">
        <f>HOUR(TB[[#This Row],[时间戳]])</f>
        <v>9</v>
      </c>
      <c r="K4248">
        <v>14418</v>
      </c>
      <c r="L4248">
        <v>3</v>
      </c>
      <c r="M4248">
        <f>TB[[#This Row],[售价]]*TB[[#This Row],[销量]]</f>
        <v>43254</v>
      </c>
      <c r="N4248" t="str">
        <f>IF(TB[[#This Row],[售价]]&lt;1000,"低价商品",IF(TB[[#This Row],[售价]]&lt;5000,"中价商品",IF(TB[[#This Row],[售价]]&lt;10000,"高价商品","超高价商品")))</f>
        <v>超高价商品</v>
      </c>
    </row>
    <row r="4249" spans="1:14" x14ac:dyDescent="0.2">
      <c r="A4249">
        <v>456</v>
      </c>
      <c r="B4249">
        <v>138</v>
      </c>
      <c r="C4249" t="s">
        <v>46</v>
      </c>
      <c r="D4249" t="s">
        <v>80</v>
      </c>
      <c r="E4249" t="s">
        <v>22</v>
      </c>
      <c r="F4249">
        <v>1</v>
      </c>
      <c r="G4249" t="s">
        <v>13</v>
      </c>
      <c r="H4249" s="1">
        <v>46008.379166666666</v>
      </c>
      <c r="I4249" s="5">
        <f>INT(TB[[#This Row],[时间戳]])</f>
        <v>46008</v>
      </c>
      <c r="J4249" s="2">
        <f>HOUR(TB[[#This Row],[时间戳]])</f>
        <v>9</v>
      </c>
      <c r="K4249">
        <v>2214</v>
      </c>
      <c r="L4249">
        <v>1</v>
      </c>
      <c r="M4249">
        <f>TB[[#This Row],[售价]]*TB[[#This Row],[销量]]</f>
        <v>2214</v>
      </c>
      <c r="N4249" t="str">
        <f>IF(TB[[#This Row],[售价]]&lt;1000,"低价商品",IF(TB[[#This Row],[售价]]&lt;5000,"中价商品",IF(TB[[#This Row],[售价]]&lt;10000,"高价商品","超高价商品")))</f>
        <v>中价商品</v>
      </c>
    </row>
    <row r="4250" spans="1:14" x14ac:dyDescent="0.2">
      <c r="A4250">
        <v>422</v>
      </c>
      <c r="B4250">
        <v>217</v>
      </c>
      <c r="C4250" t="s">
        <v>26</v>
      </c>
      <c r="D4250" t="s">
        <v>364</v>
      </c>
      <c r="E4250" t="s">
        <v>39</v>
      </c>
      <c r="F4250">
        <v>5</v>
      </c>
      <c r="G4250" t="s">
        <v>13</v>
      </c>
      <c r="H4250" s="1">
        <v>46008.395833333336</v>
      </c>
      <c r="I4250" s="5">
        <f>INT(TB[[#This Row],[时间戳]])</f>
        <v>46008</v>
      </c>
      <c r="J4250" s="2">
        <f>HOUR(TB[[#This Row],[时间戳]])</f>
        <v>9</v>
      </c>
      <c r="K4250">
        <v>3412</v>
      </c>
      <c r="L4250">
        <v>2</v>
      </c>
      <c r="M4250">
        <f>TB[[#This Row],[售价]]*TB[[#This Row],[销量]]</f>
        <v>6824</v>
      </c>
      <c r="N4250" t="str">
        <f>IF(TB[[#This Row],[售价]]&lt;1000,"低价商品",IF(TB[[#This Row],[售价]]&lt;5000,"中价商品",IF(TB[[#This Row],[售价]]&lt;10000,"高价商品","超高价商品")))</f>
        <v>中价商品</v>
      </c>
    </row>
    <row r="4251" spans="1:14" x14ac:dyDescent="0.2">
      <c r="A4251">
        <v>588</v>
      </c>
      <c r="B4251">
        <v>203</v>
      </c>
      <c r="C4251" t="s">
        <v>14</v>
      </c>
      <c r="D4251" t="s">
        <v>207</v>
      </c>
      <c r="E4251" t="s">
        <v>25</v>
      </c>
      <c r="F4251">
        <v>7</v>
      </c>
      <c r="G4251" t="s">
        <v>13</v>
      </c>
      <c r="H4251" s="1">
        <v>46008.459722222222</v>
      </c>
      <c r="I4251" s="5">
        <f>INT(TB[[#This Row],[时间戳]])</f>
        <v>46008</v>
      </c>
      <c r="J4251" s="2">
        <f>HOUR(TB[[#This Row],[时间戳]])</f>
        <v>11</v>
      </c>
      <c r="K4251">
        <v>6290</v>
      </c>
      <c r="L4251">
        <v>3</v>
      </c>
      <c r="M4251">
        <f>TB[[#This Row],[售价]]*TB[[#This Row],[销量]]</f>
        <v>18870</v>
      </c>
      <c r="N4251" t="str">
        <f>IF(TB[[#This Row],[售价]]&lt;1000,"低价商品",IF(TB[[#This Row],[售价]]&lt;5000,"中价商品",IF(TB[[#This Row],[售价]]&lt;10000,"高价商品","超高价商品")))</f>
        <v>高价商品</v>
      </c>
    </row>
    <row r="4252" spans="1:14" x14ac:dyDescent="0.2">
      <c r="A4252">
        <v>567</v>
      </c>
      <c r="B4252">
        <v>235</v>
      </c>
      <c r="C4252" t="s">
        <v>20</v>
      </c>
      <c r="D4252" t="s">
        <v>394</v>
      </c>
      <c r="E4252" t="s">
        <v>39</v>
      </c>
      <c r="F4252">
        <v>5</v>
      </c>
      <c r="G4252" t="s">
        <v>13</v>
      </c>
      <c r="H4252" s="1">
        <v>46008.46875</v>
      </c>
      <c r="I4252" s="5">
        <f>INT(TB[[#This Row],[时间戳]])</f>
        <v>46008</v>
      </c>
      <c r="J4252" s="2">
        <f>HOUR(TB[[#This Row],[时间戳]])</f>
        <v>11</v>
      </c>
      <c r="K4252">
        <v>2595</v>
      </c>
      <c r="L4252">
        <v>3</v>
      </c>
      <c r="M4252">
        <f>TB[[#This Row],[售价]]*TB[[#This Row],[销量]]</f>
        <v>7785</v>
      </c>
      <c r="N4252" t="str">
        <f>IF(TB[[#This Row],[售价]]&lt;1000,"低价商品",IF(TB[[#This Row],[售价]]&lt;5000,"中价商品",IF(TB[[#This Row],[售价]]&lt;10000,"高价商品","超高价商品")))</f>
        <v>中价商品</v>
      </c>
    </row>
    <row r="4253" spans="1:14" x14ac:dyDescent="0.2">
      <c r="A4253">
        <v>573</v>
      </c>
      <c r="B4253">
        <v>181</v>
      </c>
      <c r="C4253" t="s">
        <v>44</v>
      </c>
      <c r="D4253" t="s">
        <v>132</v>
      </c>
      <c r="E4253" t="s">
        <v>22</v>
      </c>
      <c r="F4253">
        <v>1</v>
      </c>
      <c r="G4253" t="s">
        <v>13</v>
      </c>
      <c r="H4253" s="1">
        <v>46008.469444444447</v>
      </c>
      <c r="I4253" s="5">
        <f>INT(TB[[#This Row],[时间戳]])</f>
        <v>46008</v>
      </c>
      <c r="J4253" s="2">
        <f>HOUR(TB[[#This Row],[时间戳]])</f>
        <v>11</v>
      </c>
      <c r="K4253">
        <v>3665</v>
      </c>
      <c r="L4253">
        <v>4</v>
      </c>
      <c r="M4253">
        <f>TB[[#This Row],[售价]]*TB[[#This Row],[销量]]</f>
        <v>14660</v>
      </c>
      <c r="N4253" t="str">
        <f>IF(TB[[#This Row],[售价]]&lt;1000,"低价商品",IF(TB[[#This Row],[售价]]&lt;5000,"中价商品",IF(TB[[#This Row],[售价]]&lt;10000,"高价商品","超高价商品")))</f>
        <v>中价商品</v>
      </c>
    </row>
    <row r="4254" spans="1:14" x14ac:dyDescent="0.2">
      <c r="A4254">
        <v>416</v>
      </c>
      <c r="B4254">
        <v>142</v>
      </c>
      <c r="C4254" t="s">
        <v>46</v>
      </c>
      <c r="D4254" t="s">
        <v>220</v>
      </c>
      <c r="E4254" t="s">
        <v>39</v>
      </c>
      <c r="F4254">
        <v>5</v>
      </c>
      <c r="G4254" t="s">
        <v>13</v>
      </c>
      <c r="H4254" s="1">
        <v>46008.477083333331</v>
      </c>
      <c r="I4254" s="5">
        <f>INT(TB[[#This Row],[时间戳]])</f>
        <v>46008</v>
      </c>
      <c r="J4254" s="2">
        <f>HOUR(TB[[#This Row],[时间戳]])</f>
        <v>11</v>
      </c>
      <c r="K4254">
        <v>3724</v>
      </c>
      <c r="L4254">
        <v>1</v>
      </c>
      <c r="M4254">
        <f>TB[[#This Row],[售价]]*TB[[#This Row],[销量]]</f>
        <v>3724</v>
      </c>
      <c r="N4254" t="str">
        <f>IF(TB[[#This Row],[售价]]&lt;1000,"低价商品",IF(TB[[#This Row],[售价]]&lt;5000,"中价商品",IF(TB[[#This Row],[售价]]&lt;10000,"高价商品","超高价商品")))</f>
        <v>中价商品</v>
      </c>
    </row>
    <row r="4255" spans="1:14" x14ac:dyDescent="0.2">
      <c r="A4255">
        <v>517</v>
      </c>
      <c r="B4255">
        <v>155</v>
      </c>
      <c r="C4255" t="s">
        <v>32</v>
      </c>
      <c r="D4255" t="s">
        <v>200</v>
      </c>
      <c r="E4255" t="s">
        <v>25</v>
      </c>
      <c r="F4255">
        <v>7</v>
      </c>
      <c r="G4255" t="s">
        <v>13</v>
      </c>
      <c r="H4255" s="1">
        <v>46008.490277777775</v>
      </c>
      <c r="I4255" s="5">
        <f>INT(TB[[#This Row],[时间戳]])</f>
        <v>46008</v>
      </c>
      <c r="J4255" s="2">
        <f>HOUR(TB[[#This Row],[时间戳]])</f>
        <v>11</v>
      </c>
      <c r="K4255">
        <v>2176</v>
      </c>
      <c r="L4255">
        <v>2</v>
      </c>
      <c r="M4255">
        <f>TB[[#This Row],[售价]]*TB[[#This Row],[销量]]</f>
        <v>4352</v>
      </c>
      <c r="N4255" t="str">
        <f>IF(TB[[#This Row],[售价]]&lt;1000,"低价商品",IF(TB[[#This Row],[售价]]&lt;5000,"中价商品",IF(TB[[#This Row],[售价]]&lt;10000,"高价商品","超高价商品")))</f>
        <v>中价商品</v>
      </c>
    </row>
    <row r="4256" spans="1:14" x14ac:dyDescent="0.2">
      <c r="A4256">
        <v>296</v>
      </c>
      <c r="B4256">
        <v>235</v>
      </c>
      <c r="C4256" t="s">
        <v>44</v>
      </c>
      <c r="D4256" t="s">
        <v>143</v>
      </c>
      <c r="E4256" t="s">
        <v>19</v>
      </c>
      <c r="F4256">
        <v>3</v>
      </c>
      <c r="G4256" t="s">
        <v>13</v>
      </c>
      <c r="H4256" s="1">
        <v>46008.493750000001</v>
      </c>
      <c r="I4256" s="5">
        <f>INT(TB[[#This Row],[时间戳]])</f>
        <v>46008</v>
      </c>
      <c r="J4256" s="2">
        <f>HOUR(TB[[#This Row],[时间戳]])</f>
        <v>11</v>
      </c>
      <c r="K4256">
        <v>2431</v>
      </c>
      <c r="L4256">
        <v>1</v>
      </c>
      <c r="M4256">
        <f>TB[[#This Row],[售价]]*TB[[#This Row],[销量]]</f>
        <v>2431</v>
      </c>
      <c r="N4256" t="str">
        <f>IF(TB[[#This Row],[售价]]&lt;1000,"低价商品",IF(TB[[#This Row],[售价]]&lt;5000,"中价商品",IF(TB[[#This Row],[售价]]&lt;10000,"高价商品","超高价商品")))</f>
        <v>中价商品</v>
      </c>
    </row>
    <row r="4257" spans="1:14" x14ac:dyDescent="0.2">
      <c r="A4257">
        <v>409</v>
      </c>
      <c r="B4257">
        <v>298</v>
      </c>
      <c r="C4257" t="s">
        <v>34</v>
      </c>
      <c r="D4257" t="s">
        <v>82</v>
      </c>
      <c r="E4257" t="s">
        <v>31</v>
      </c>
      <c r="F4257">
        <v>4</v>
      </c>
      <c r="G4257" t="s">
        <v>42</v>
      </c>
      <c r="H4257" s="1">
        <v>46008.513194444444</v>
      </c>
      <c r="I4257" s="5">
        <f>INT(TB[[#This Row],[时间戳]])</f>
        <v>46008</v>
      </c>
      <c r="J4257" s="2">
        <f>HOUR(TB[[#This Row],[时间戳]])</f>
        <v>12</v>
      </c>
      <c r="K4257">
        <v>1234</v>
      </c>
      <c r="L4257">
        <v>0</v>
      </c>
      <c r="M4257">
        <f>TB[[#This Row],[售价]]*TB[[#This Row],[销量]]</f>
        <v>0</v>
      </c>
      <c r="N4257" t="str">
        <f>IF(TB[[#This Row],[售价]]&lt;1000,"低价商品",IF(TB[[#This Row],[售价]]&lt;5000,"中价商品",IF(TB[[#This Row],[售价]]&lt;10000,"高价商品","超高价商品")))</f>
        <v>中价商品</v>
      </c>
    </row>
    <row r="4258" spans="1:14" x14ac:dyDescent="0.2">
      <c r="A4258">
        <v>300</v>
      </c>
      <c r="B4258">
        <v>300</v>
      </c>
      <c r="C4258" t="s">
        <v>14</v>
      </c>
      <c r="D4258" t="s">
        <v>202</v>
      </c>
      <c r="E4258" t="s">
        <v>31</v>
      </c>
      <c r="F4258">
        <v>4</v>
      </c>
      <c r="G4258" t="s">
        <v>13</v>
      </c>
      <c r="H4258" s="1">
        <v>46008.625694444447</v>
      </c>
      <c r="I4258" s="5">
        <f>INT(TB[[#This Row],[时间戳]])</f>
        <v>46008</v>
      </c>
      <c r="J4258" s="2">
        <f>HOUR(TB[[#This Row],[时间戳]])</f>
        <v>15</v>
      </c>
      <c r="K4258">
        <v>1221</v>
      </c>
      <c r="L4258">
        <v>2</v>
      </c>
      <c r="M4258">
        <f>TB[[#This Row],[售价]]*TB[[#This Row],[销量]]</f>
        <v>2442</v>
      </c>
      <c r="N4258" t="str">
        <f>IF(TB[[#This Row],[售价]]&lt;1000,"低价商品",IF(TB[[#This Row],[售价]]&lt;5000,"中价商品",IF(TB[[#This Row],[售价]]&lt;10000,"高价商品","超高价商品")))</f>
        <v>中价商品</v>
      </c>
    </row>
    <row r="4259" spans="1:14" x14ac:dyDescent="0.2">
      <c r="A4259">
        <v>324</v>
      </c>
      <c r="B4259">
        <v>6</v>
      </c>
      <c r="C4259" t="s">
        <v>36</v>
      </c>
      <c r="D4259" t="s">
        <v>112</v>
      </c>
      <c r="E4259" t="s">
        <v>22</v>
      </c>
      <c r="F4259">
        <v>1</v>
      </c>
      <c r="G4259" t="s">
        <v>13</v>
      </c>
      <c r="H4259" s="1">
        <v>46008.636111111111</v>
      </c>
      <c r="I4259" s="5">
        <f>INT(TB[[#This Row],[时间戳]])</f>
        <v>46008</v>
      </c>
      <c r="J4259" s="2">
        <f>HOUR(TB[[#This Row],[时间戳]])</f>
        <v>15</v>
      </c>
      <c r="K4259">
        <v>5186</v>
      </c>
      <c r="L4259">
        <v>2</v>
      </c>
      <c r="M4259">
        <f>TB[[#This Row],[售价]]*TB[[#This Row],[销量]]</f>
        <v>10372</v>
      </c>
      <c r="N4259" t="str">
        <f>IF(TB[[#This Row],[售价]]&lt;1000,"低价商品",IF(TB[[#This Row],[售价]]&lt;5000,"中价商品",IF(TB[[#This Row],[售价]]&lt;10000,"高价商品","超高价商品")))</f>
        <v>高价商品</v>
      </c>
    </row>
    <row r="4260" spans="1:14" x14ac:dyDescent="0.2">
      <c r="A4260">
        <v>656</v>
      </c>
      <c r="B4260">
        <v>264</v>
      </c>
      <c r="C4260" t="s">
        <v>26</v>
      </c>
      <c r="D4260" t="s">
        <v>65</v>
      </c>
      <c r="E4260" t="s">
        <v>22</v>
      </c>
      <c r="F4260">
        <v>1</v>
      </c>
      <c r="G4260" t="s">
        <v>13</v>
      </c>
      <c r="H4260" s="1">
        <v>46008.644444444442</v>
      </c>
      <c r="I4260" s="5">
        <f>INT(TB[[#This Row],[时间戳]])</f>
        <v>46008</v>
      </c>
      <c r="J4260" s="2">
        <f>HOUR(TB[[#This Row],[时间戳]])</f>
        <v>15</v>
      </c>
      <c r="K4260">
        <v>7599</v>
      </c>
      <c r="L4260">
        <v>4</v>
      </c>
      <c r="M4260">
        <f>TB[[#This Row],[售价]]*TB[[#This Row],[销量]]</f>
        <v>30396</v>
      </c>
      <c r="N4260" t="str">
        <f>IF(TB[[#This Row],[售价]]&lt;1000,"低价商品",IF(TB[[#This Row],[售价]]&lt;5000,"中价商品",IF(TB[[#This Row],[售价]]&lt;10000,"高价商品","超高价商品")))</f>
        <v>高价商品</v>
      </c>
    </row>
    <row r="4261" spans="1:14" x14ac:dyDescent="0.2">
      <c r="A4261">
        <v>122</v>
      </c>
      <c r="B4261">
        <v>17</v>
      </c>
      <c r="C4261" t="s">
        <v>34</v>
      </c>
      <c r="D4261" t="s">
        <v>323</v>
      </c>
      <c r="E4261" t="s">
        <v>39</v>
      </c>
      <c r="F4261">
        <v>5</v>
      </c>
      <c r="G4261" t="s">
        <v>13</v>
      </c>
      <c r="H4261" s="1">
        <v>46008.654166666667</v>
      </c>
      <c r="I4261" s="5">
        <f>INT(TB[[#This Row],[时间戳]])</f>
        <v>46008</v>
      </c>
      <c r="J4261" s="2">
        <f>HOUR(TB[[#This Row],[时间戳]])</f>
        <v>15</v>
      </c>
      <c r="K4261">
        <v>2220</v>
      </c>
      <c r="L4261">
        <v>5</v>
      </c>
      <c r="M4261">
        <f>TB[[#This Row],[售价]]*TB[[#This Row],[销量]]</f>
        <v>11100</v>
      </c>
      <c r="N4261" t="str">
        <f>IF(TB[[#This Row],[售价]]&lt;1000,"低价商品",IF(TB[[#This Row],[售价]]&lt;5000,"中价商品",IF(TB[[#This Row],[售价]]&lt;10000,"高价商品","超高价商品")))</f>
        <v>中价商品</v>
      </c>
    </row>
    <row r="4262" spans="1:14" x14ac:dyDescent="0.2">
      <c r="A4262">
        <v>41</v>
      </c>
      <c r="B4262">
        <v>204</v>
      </c>
      <c r="C4262" t="s">
        <v>26</v>
      </c>
      <c r="D4262" t="s">
        <v>122</v>
      </c>
      <c r="E4262" t="s">
        <v>31</v>
      </c>
      <c r="F4262">
        <v>4</v>
      </c>
      <c r="G4262" t="s">
        <v>13</v>
      </c>
      <c r="H4262" s="1">
        <v>46008.65625</v>
      </c>
      <c r="I4262" s="5">
        <f>INT(TB[[#This Row],[时间戳]])</f>
        <v>46008</v>
      </c>
      <c r="J4262" s="2">
        <f>HOUR(TB[[#This Row],[时间戳]])</f>
        <v>15</v>
      </c>
      <c r="K4262">
        <v>389</v>
      </c>
      <c r="L4262">
        <v>2</v>
      </c>
      <c r="M4262">
        <f>TB[[#This Row],[售价]]*TB[[#This Row],[销量]]</f>
        <v>778</v>
      </c>
      <c r="N4262" t="str">
        <f>IF(TB[[#This Row],[售价]]&lt;1000,"低价商品",IF(TB[[#This Row],[售价]]&lt;5000,"中价商品",IF(TB[[#This Row],[售价]]&lt;10000,"高价商品","超高价商品")))</f>
        <v>低价商品</v>
      </c>
    </row>
    <row r="4263" spans="1:14" x14ac:dyDescent="0.2">
      <c r="A4263">
        <v>63</v>
      </c>
      <c r="B4263">
        <v>10</v>
      </c>
      <c r="C4263" t="s">
        <v>20</v>
      </c>
      <c r="D4263" t="s">
        <v>367</v>
      </c>
      <c r="E4263" t="s">
        <v>25</v>
      </c>
      <c r="F4263">
        <v>7</v>
      </c>
      <c r="G4263" t="s">
        <v>13</v>
      </c>
      <c r="H4263" s="1">
        <v>46008.695833333331</v>
      </c>
      <c r="I4263" s="5">
        <f>INT(TB[[#This Row],[时间戳]])</f>
        <v>46008</v>
      </c>
      <c r="J4263" s="2">
        <f>HOUR(TB[[#This Row],[时间戳]])</f>
        <v>16</v>
      </c>
      <c r="K4263">
        <v>4726</v>
      </c>
      <c r="L4263">
        <v>1</v>
      </c>
      <c r="M4263">
        <f>TB[[#This Row],[售价]]*TB[[#This Row],[销量]]</f>
        <v>4726</v>
      </c>
      <c r="N4263" t="str">
        <f>IF(TB[[#This Row],[售价]]&lt;1000,"低价商品",IF(TB[[#This Row],[售价]]&lt;5000,"中价商品",IF(TB[[#This Row],[售价]]&lt;10000,"高价商品","超高价商品")))</f>
        <v>中价商品</v>
      </c>
    </row>
    <row r="4264" spans="1:14" x14ac:dyDescent="0.2">
      <c r="A4264">
        <v>259</v>
      </c>
      <c r="B4264">
        <v>184</v>
      </c>
      <c r="C4264" t="s">
        <v>36</v>
      </c>
      <c r="D4264" t="s">
        <v>90</v>
      </c>
      <c r="E4264" t="s">
        <v>16</v>
      </c>
      <c r="F4264">
        <v>6</v>
      </c>
      <c r="G4264" t="s">
        <v>13</v>
      </c>
      <c r="H4264" s="1">
        <v>46008.705555555556</v>
      </c>
      <c r="I4264" s="5">
        <f>INT(TB[[#This Row],[时间戳]])</f>
        <v>46008</v>
      </c>
      <c r="J4264" s="2">
        <f>HOUR(TB[[#This Row],[时间戳]])</f>
        <v>16</v>
      </c>
      <c r="K4264">
        <v>10809</v>
      </c>
      <c r="L4264">
        <v>2</v>
      </c>
      <c r="M4264">
        <f>TB[[#This Row],[售价]]*TB[[#This Row],[销量]]</f>
        <v>21618</v>
      </c>
      <c r="N4264" t="str">
        <f>IF(TB[[#This Row],[售价]]&lt;1000,"低价商品",IF(TB[[#This Row],[售价]]&lt;5000,"中价商品",IF(TB[[#This Row],[售价]]&lt;10000,"高价商品","超高价商品")))</f>
        <v>超高价商品</v>
      </c>
    </row>
    <row r="4265" spans="1:14" x14ac:dyDescent="0.2">
      <c r="A4265">
        <v>570</v>
      </c>
      <c r="B4265">
        <v>277</v>
      </c>
      <c r="C4265" t="s">
        <v>32</v>
      </c>
      <c r="D4265" t="s">
        <v>33</v>
      </c>
      <c r="E4265" t="s">
        <v>16</v>
      </c>
      <c r="F4265">
        <v>6</v>
      </c>
      <c r="G4265" t="s">
        <v>13</v>
      </c>
      <c r="H4265" s="1">
        <v>46008.714583333334</v>
      </c>
      <c r="I4265" s="5">
        <f>INT(TB[[#This Row],[时间戳]])</f>
        <v>46008</v>
      </c>
      <c r="J4265" s="2">
        <f>HOUR(TB[[#This Row],[时间戳]])</f>
        <v>17</v>
      </c>
      <c r="K4265">
        <v>10374</v>
      </c>
      <c r="L4265">
        <v>2</v>
      </c>
      <c r="M4265">
        <f>TB[[#This Row],[售价]]*TB[[#This Row],[销量]]</f>
        <v>20748</v>
      </c>
      <c r="N4265" t="str">
        <f>IF(TB[[#This Row],[售价]]&lt;1000,"低价商品",IF(TB[[#This Row],[售价]]&lt;5000,"中价商品",IF(TB[[#This Row],[售价]]&lt;10000,"高价商品","超高价商品")))</f>
        <v>超高价商品</v>
      </c>
    </row>
    <row r="4266" spans="1:14" x14ac:dyDescent="0.2">
      <c r="A4266">
        <v>43</v>
      </c>
      <c r="B4266">
        <v>169</v>
      </c>
      <c r="C4266" t="s">
        <v>32</v>
      </c>
      <c r="D4266" t="s">
        <v>193</v>
      </c>
      <c r="E4266" t="s">
        <v>22</v>
      </c>
      <c r="F4266">
        <v>1</v>
      </c>
      <c r="G4266" t="s">
        <v>13</v>
      </c>
      <c r="H4266" s="1">
        <v>46008.734722222223</v>
      </c>
      <c r="I4266" s="5">
        <f>INT(TB[[#This Row],[时间戳]])</f>
        <v>46008</v>
      </c>
      <c r="J4266" s="2">
        <f>HOUR(TB[[#This Row],[时间戳]])</f>
        <v>17</v>
      </c>
      <c r="K4266">
        <v>5779</v>
      </c>
      <c r="L4266">
        <v>1</v>
      </c>
      <c r="M4266">
        <f>TB[[#This Row],[售价]]*TB[[#This Row],[销量]]</f>
        <v>5779</v>
      </c>
      <c r="N4266" t="str">
        <f>IF(TB[[#This Row],[售价]]&lt;1000,"低价商品",IF(TB[[#This Row],[售价]]&lt;5000,"中价商品",IF(TB[[#This Row],[售价]]&lt;10000,"高价商品","超高价商品")))</f>
        <v>高价商品</v>
      </c>
    </row>
    <row r="4267" spans="1:14" x14ac:dyDescent="0.2">
      <c r="A4267">
        <v>243</v>
      </c>
      <c r="B4267">
        <v>243</v>
      </c>
      <c r="C4267" t="s">
        <v>20</v>
      </c>
      <c r="D4267" t="s">
        <v>412</v>
      </c>
      <c r="E4267" t="s">
        <v>12</v>
      </c>
      <c r="F4267">
        <v>2</v>
      </c>
      <c r="G4267" t="s">
        <v>13</v>
      </c>
      <c r="H4267" s="1">
        <v>46008.745138888888</v>
      </c>
      <c r="I4267" s="5">
        <f>INT(TB[[#This Row],[时间戳]])</f>
        <v>46008</v>
      </c>
      <c r="J4267" s="2">
        <f>HOUR(TB[[#This Row],[时间戳]])</f>
        <v>17</v>
      </c>
      <c r="K4267">
        <v>11860</v>
      </c>
      <c r="L4267">
        <v>2</v>
      </c>
      <c r="M4267">
        <f>TB[[#This Row],[售价]]*TB[[#This Row],[销量]]</f>
        <v>23720</v>
      </c>
      <c r="N4267" t="str">
        <f>IF(TB[[#This Row],[售价]]&lt;1000,"低价商品",IF(TB[[#This Row],[售价]]&lt;5000,"中价商品",IF(TB[[#This Row],[售价]]&lt;10000,"高价商品","超高价商品")))</f>
        <v>超高价商品</v>
      </c>
    </row>
    <row r="4268" spans="1:14" x14ac:dyDescent="0.2">
      <c r="A4268">
        <v>356</v>
      </c>
      <c r="B4268">
        <v>213</v>
      </c>
      <c r="C4268" t="s">
        <v>14</v>
      </c>
      <c r="D4268" t="s">
        <v>29</v>
      </c>
      <c r="E4268" t="s">
        <v>22</v>
      </c>
      <c r="F4268">
        <v>1</v>
      </c>
      <c r="G4268" t="s">
        <v>13</v>
      </c>
      <c r="H4268" s="1">
        <v>46008.76458333333</v>
      </c>
      <c r="I4268" s="5">
        <f>INT(TB[[#This Row],[时间戳]])</f>
        <v>46008</v>
      </c>
      <c r="J4268" s="2">
        <f>HOUR(TB[[#This Row],[时间戳]])</f>
        <v>18</v>
      </c>
      <c r="K4268">
        <v>3325</v>
      </c>
      <c r="L4268">
        <v>2</v>
      </c>
      <c r="M4268">
        <f>TB[[#This Row],[售价]]*TB[[#This Row],[销量]]</f>
        <v>6650</v>
      </c>
      <c r="N4268" t="str">
        <f>IF(TB[[#This Row],[售价]]&lt;1000,"低价商品",IF(TB[[#This Row],[售价]]&lt;5000,"中价商品",IF(TB[[#This Row],[售价]]&lt;10000,"高价商品","超高价商品")))</f>
        <v>中价商品</v>
      </c>
    </row>
    <row r="4269" spans="1:14" x14ac:dyDescent="0.2">
      <c r="A4269">
        <v>380</v>
      </c>
      <c r="B4269">
        <v>7</v>
      </c>
      <c r="C4269" t="s">
        <v>26</v>
      </c>
      <c r="D4269" t="s">
        <v>417</v>
      </c>
      <c r="E4269" t="s">
        <v>25</v>
      </c>
      <c r="F4269">
        <v>7</v>
      </c>
      <c r="G4269" t="s">
        <v>13</v>
      </c>
      <c r="H4269" s="1">
        <v>46008.765277777777</v>
      </c>
      <c r="I4269" s="5">
        <f>INT(TB[[#This Row],[时间戳]])</f>
        <v>46008</v>
      </c>
      <c r="J4269" s="2">
        <f>HOUR(TB[[#This Row],[时间戳]])</f>
        <v>18</v>
      </c>
      <c r="K4269">
        <v>3244</v>
      </c>
      <c r="L4269">
        <v>1</v>
      </c>
      <c r="M4269">
        <f>TB[[#This Row],[售价]]*TB[[#This Row],[销量]]</f>
        <v>3244</v>
      </c>
      <c r="N4269" t="str">
        <f>IF(TB[[#This Row],[售价]]&lt;1000,"低价商品",IF(TB[[#This Row],[售价]]&lt;5000,"中价商品",IF(TB[[#This Row],[售价]]&lt;10000,"高价商品","超高价商品")))</f>
        <v>中价商品</v>
      </c>
    </row>
    <row r="4270" spans="1:14" x14ac:dyDescent="0.2">
      <c r="A4270">
        <v>696</v>
      </c>
      <c r="B4270">
        <v>177</v>
      </c>
      <c r="C4270" t="s">
        <v>32</v>
      </c>
      <c r="D4270" t="s">
        <v>58</v>
      </c>
      <c r="E4270" t="s">
        <v>31</v>
      </c>
      <c r="F4270">
        <v>4</v>
      </c>
      <c r="G4270" t="s">
        <v>13</v>
      </c>
      <c r="H4270" s="1">
        <v>46008.796527777777</v>
      </c>
      <c r="I4270" s="5">
        <f>INT(TB[[#This Row],[时间戳]])</f>
        <v>46008</v>
      </c>
      <c r="J4270" s="2">
        <f>HOUR(TB[[#This Row],[时间戳]])</f>
        <v>19</v>
      </c>
      <c r="K4270">
        <v>50</v>
      </c>
      <c r="L4270">
        <v>3</v>
      </c>
      <c r="M4270">
        <f>TB[[#This Row],[售价]]*TB[[#This Row],[销量]]</f>
        <v>150</v>
      </c>
      <c r="N4270" t="str">
        <f>IF(TB[[#This Row],[售价]]&lt;1000,"低价商品",IF(TB[[#This Row],[售价]]&lt;5000,"中价商品",IF(TB[[#This Row],[售价]]&lt;10000,"高价商品","超高价商品")))</f>
        <v>低价商品</v>
      </c>
    </row>
    <row r="4271" spans="1:14" x14ac:dyDescent="0.2">
      <c r="A4271">
        <v>607</v>
      </c>
      <c r="B4271">
        <v>183</v>
      </c>
      <c r="C4271" t="s">
        <v>17</v>
      </c>
      <c r="D4271" t="s">
        <v>234</v>
      </c>
      <c r="E4271" t="s">
        <v>39</v>
      </c>
      <c r="F4271">
        <v>5</v>
      </c>
      <c r="G4271" t="s">
        <v>13</v>
      </c>
      <c r="H4271" s="1">
        <v>46008.848611111112</v>
      </c>
      <c r="I4271" s="5">
        <f>INT(TB[[#This Row],[时间戳]])</f>
        <v>46008</v>
      </c>
      <c r="J4271" s="2">
        <f>HOUR(TB[[#This Row],[时间戳]])</f>
        <v>20</v>
      </c>
      <c r="K4271">
        <v>3748</v>
      </c>
      <c r="L4271">
        <v>1</v>
      </c>
      <c r="M4271">
        <f>TB[[#This Row],[售价]]*TB[[#This Row],[销量]]</f>
        <v>3748</v>
      </c>
      <c r="N4271" t="str">
        <f>IF(TB[[#This Row],[售价]]&lt;1000,"低价商品",IF(TB[[#This Row],[售价]]&lt;5000,"中价商品",IF(TB[[#This Row],[售价]]&lt;10000,"高价商品","超高价商品")))</f>
        <v>中价商品</v>
      </c>
    </row>
    <row r="4272" spans="1:14" x14ac:dyDescent="0.2">
      <c r="A4272">
        <v>397</v>
      </c>
      <c r="B4272">
        <v>150</v>
      </c>
      <c r="C4272" t="s">
        <v>10</v>
      </c>
      <c r="D4272" t="s">
        <v>96</v>
      </c>
      <c r="E4272" t="s">
        <v>22</v>
      </c>
      <c r="F4272">
        <v>1</v>
      </c>
      <c r="G4272" t="s">
        <v>42</v>
      </c>
      <c r="H4272" s="1">
        <v>46008.867361111108</v>
      </c>
      <c r="I4272" s="5">
        <f>INT(TB[[#This Row],[时间戳]])</f>
        <v>46008</v>
      </c>
      <c r="J4272" s="2">
        <f>HOUR(TB[[#This Row],[时间戳]])</f>
        <v>20</v>
      </c>
      <c r="K4272">
        <v>6188</v>
      </c>
      <c r="L4272">
        <v>0</v>
      </c>
      <c r="M4272">
        <f>TB[[#This Row],[售价]]*TB[[#This Row],[销量]]</f>
        <v>0</v>
      </c>
      <c r="N4272" t="str">
        <f>IF(TB[[#This Row],[售价]]&lt;1000,"低价商品",IF(TB[[#This Row],[售价]]&lt;5000,"中价商品",IF(TB[[#This Row],[售价]]&lt;10000,"高价商品","超高价商品")))</f>
        <v>高价商品</v>
      </c>
    </row>
    <row r="4273" spans="1:14" x14ac:dyDescent="0.2">
      <c r="A4273">
        <v>197</v>
      </c>
      <c r="B4273">
        <v>225</v>
      </c>
      <c r="C4273" t="s">
        <v>36</v>
      </c>
      <c r="D4273" t="s">
        <v>192</v>
      </c>
      <c r="E4273" t="s">
        <v>22</v>
      </c>
      <c r="F4273">
        <v>1</v>
      </c>
      <c r="G4273" t="s">
        <v>42</v>
      </c>
      <c r="H4273" s="1">
        <v>46008.924305555556</v>
      </c>
      <c r="I4273" s="5">
        <f>INT(TB[[#This Row],[时间戳]])</f>
        <v>46008</v>
      </c>
      <c r="J4273" s="2">
        <f>HOUR(TB[[#This Row],[时间戳]])</f>
        <v>22</v>
      </c>
      <c r="K4273">
        <v>1880</v>
      </c>
      <c r="L4273">
        <v>0</v>
      </c>
      <c r="M4273">
        <f>TB[[#This Row],[售价]]*TB[[#This Row],[销量]]</f>
        <v>0</v>
      </c>
      <c r="N4273" t="str">
        <f>IF(TB[[#This Row],[售价]]&lt;1000,"低价商品",IF(TB[[#This Row],[售价]]&lt;5000,"中价商品",IF(TB[[#This Row],[售价]]&lt;10000,"高价商品","超高价商品")))</f>
        <v>中价商品</v>
      </c>
    </row>
    <row r="4274" spans="1:14" x14ac:dyDescent="0.2">
      <c r="A4274">
        <v>460</v>
      </c>
      <c r="B4274">
        <v>292</v>
      </c>
      <c r="C4274" t="s">
        <v>36</v>
      </c>
      <c r="D4274" t="s">
        <v>265</v>
      </c>
      <c r="E4274" t="s">
        <v>31</v>
      </c>
      <c r="F4274">
        <v>4</v>
      </c>
      <c r="G4274" t="s">
        <v>13</v>
      </c>
      <c r="H4274" s="1">
        <v>46008.927777777775</v>
      </c>
      <c r="I4274" s="5">
        <f>INT(TB[[#This Row],[时间戳]])</f>
        <v>46008</v>
      </c>
      <c r="J4274" s="2">
        <f>HOUR(TB[[#This Row],[时间戳]])</f>
        <v>22</v>
      </c>
      <c r="K4274">
        <v>1298</v>
      </c>
      <c r="L4274">
        <v>3</v>
      </c>
      <c r="M4274">
        <f>TB[[#This Row],[售价]]*TB[[#This Row],[销量]]</f>
        <v>3894</v>
      </c>
      <c r="N4274" t="str">
        <f>IF(TB[[#This Row],[售价]]&lt;1000,"低价商品",IF(TB[[#This Row],[售价]]&lt;5000,"中价商品",IF(TB[[#This Row],[售价]]&lt;10000,"高价商品","超高价商品")))</f>
        <v>中价商品</v>
      </c>
    </row>
    <row r="4275" spans="1:14" x14ac:dyDescent="0.2">
      <c r="A4275">
        <v>670</v>
      </c>
      <c r="B4275">
        <v>61</v>
      </c>
      <c r="C4275" t="s">
        <v>44</v>
      </c>
      <c r="D4275" t="s">
        <v>140</v>
      </c>
      <c r="E4275" t="s">
        <v>19</v>
      </c>
      <c r="F4275">
        <v>3</v>
      </c>
      <c r="G4275" t="s">
        <v>42</v>
      </c>
      <c r="H4275" s="1">
        <v>46008.939583333333</v>
      </c>
      <c r="I4275" s="5">
        <f>INT(TB[[#This Row],[时间戳]])</f>
        <v>46008</v>
      </c>
      <c r="J4275" s="2">
        <f>HOUR(TB[[#This Row],[时间戳]])</f>
        <v>22</v>
      </c>
      <c r="K4275">
        <v>1981</v>
      </c>
      <c r="L4275">
        <v>0</v>
      </c>
      <c r="M4275">
        <f>TB[[#This Row],[售价]]*TB[[#This Row],[销量]]</f>
        <v>0</v>
      </c>
      <c r="N4275" t="str">
        <f>IF(TB[[#This Row],[售价]]&lt;1000,"低价商品",IF(TB[[#This Row],[售价]]&lt;5000,"中价商品",IF(TB[[#This Row],[售价]]&lt;10000,"高价商品","超高价商品")))</f>
        <v>中价商品</v>
      </c>
    </row>
    <row r="4276" spans="1:14" x14ac:dyDescent="0.2">
      <c r="A4276">
        <v>659</v>
      </c>
      <c r="B4276">
        <v>18</v>
      </c>
      <c r="C4276" t="s">
        <v>26</v>
      </c>
      <c r="D4276" t="s">
        <v>95</v>
      </c>
      <c r="E4276" t="s">
        <v>22</v>
      </c>
      <c r="F4276">
        <v>1</v>
      </c>
      <c r="G4276" t="s">
        <v>42</v>
      </c>
      <c r="H4276" s="1">
        <v>46008.956250000003</v>
      </c>
      <c r="I4276" s="5">
        <f>INT(TB[[#This Row],[时间戳]])</f>
        <v>46008</v>
      </c>
      <c r="J4276" s="2">
        <f>HOUR(TB[[#This Row],[时间戳]])</f>
        <v>22</v>
      </c>
      <c r="K4276">
        <v>5389</v>
      </c>
      <c r="L4276">
        <v>0</v>
      </c>
      <c r="M4276">
        <f>TB[[#This Row],[售价]]*TB[[#This Row],[销量]]</f>
        <v>0</v>
      </c>
      <c r="N4276" t="str">
        <f>IF(TB[[#This Row],[售价]]&lt;1000,"低价商品",IF(TB[[#This Row],[售价]]&lt;5000,"中价商品",IF(TB[[#This Row],[售价]]&lt;10000,"高价商品","超高价商品")))</f>
        <v>高价商品</v>
      </c>
    </row>
    <row r="4277" spans="1:14" x14ac:dyDescent="0.2">
      <c r="A4277">
        <v>382</v>
      </c>
      <c r="B4277">
        <v>63</v>
      </c>
      <c r="C4277" t="s">
        <v>32</v>
      </c>
      <c r="D4277" t="s">
        <v>273</v>
      </c>
      <c r="E4277" t="s">
        <v>16</v>
      </c>
      <c r="F4277">
        <v>6</v>
      </c>
      <c r="G4277" t="s">
        <v>13</v>
      </c>
      <c r="H4277" s="1">
        <v>46008.972222222219</v>
      </c>
      <c r="I4277" s="5">
        <f>INT(TB[[#This Row],[时间戳]])</f>
        <v>46008</v>
      </c>
      <c r="J4277" s="2">
        <f>HOUR(TB[[#This Row],[时间戳]])</f>
        <v>23</v>
      </c>
      <c r="K4277">
        <v>2368</v>
      </c>
      <c r="L4277">
        <v>3</v>
      </c>
      <c r="M4277">
        <f>TB[[#This Row],[售价]]*TB[[#This Row],[销量]]</f>
        <v>7104</v>
      </c>
      <c r="N4277" t="str">
        <f>IF(TB[[#This Row],[售价]]&lt;1000,"低价商品",IF(TB[[#This Row],[售价]]&lt;5000,"中价商品",IF(TB[[#This Row],[售价]]&lt;10000,"高价商品","超高价商品")))</f>
        <v>中价商品</v>
      </c>
    </row>
    <row r="4278" spans="1:14" x14ac:dyDescent="0.2">
      <c r="A4278">
        <v>311</v>
      </c>
      <c r="B4278">
        <v>130</v>
      </c>
      <c r="C4278" t="s">
        <v>36</v>
      </c>
      <c r="D4278" t="s">
        <v>210</v>
      </c>
      <c r="E4278" t="s">
        <v>31</v>
      </c>
      <c r="F4278">
        <v>4</v>
      </c>
      <c r="G4278" t="s">
        <v>13</v>
      </c>
      <c r="H4278" s="1">
        <v>46008.981944444444</v>
      </c>
      <c r="I4278" s="5">
        <f>INT(TB[[#This Row],[时间戳]])</f>
        <v>46008</v>
      </c>
      <c r="J4278" s="2">
        <f>HOUR(TB[[#This Row],[时间戳]])</f>
        <v>23</v>
      </c>
      <c r="K4278">
        <v>65</v>
      </c>
      <c r="L4278">
        <v>2</v>
      </c>
      <c r="M4278">
        <f>TB[[#This Row],[售价]]*TB[[#This Row],[销量]]</f>
        <v>130</v>
      </c>
      <c r="N4278" t="str">
        <f>IF(TB[[#This Row],[售价]]&lt;1000,"低价商品",IF(TB[[#This Row],[售价]]&lt;5000,"中价商品",IF(TB[[#This Row],[售价]]&lt;10000,"高价商品","超高价商品")))</f>
        <v>低价商品</v>
      </c>
    </row>
    <row r="4279" spans="1:14" x14ac:dyDescent="0.2">
      <c r="A4279">
        <v>403</v>
      </c>
      <c r="B4279">
        <v>248</v>
      </c>
      <c r="C4279" t="s">
        <v>46</v>
      </c>
      <c r="D4279" t="s">
        <v>332</v>
      </c>
      <c r="E4279" t="s">
        <v>19</v>
      </c>
      <c r="F4279">
        <v>3</v>
      </c>
      <c r="G4279" t="s">
        <v>13</v>
      </c>
      <c r="H4279" s="1">
        <v>46008.989583333336</v>
      </c>
      <c r="I4279" s="5">
        <f>INT(TB[[#This Row],[时间戳]])</f>
        <v>46008</v>
      </c>
      <c r="J4279" s="2">
        <f>HOUR(TB[[#This Row],[时间戳]])</f>
        <v>23</v>
      </c>
      <c r="K4279">
        <v>2684</v>
      </c>
      <c r="L4279">
        <v>1</v>
      </c>
      <c r="M4279">
        <f>TB[[#This Row],[售价]]*TB[[#This Row],[销量]]</f>
        <v>2684</v>
      </c>
      <c r="N4279" t="str">
        <f>IF(TB[[#This Row],[售价]]&lt;1000,"低价商品",IF(TB[[#This Row],[售价]]&lt;5000,"中价商品",IF(TB[[#This Row],[售价]]&lt;10000,"高价商品","超高价商品")))</f>
        <v>中价商品</v>
      </c>
    </row>
    <row r="4280" spans="1:14" x14ac:dyDescent="0.2">
      <c r="A4280">
        <v>573</v>
      </c>
      <c r="B4280">
        <v>206</v>
      </c>
      <c r="C4280" t="s">
        <v>34</v>
      </c>
      <c r="D4280" t="s">
        <v>57</v>
      </c>
      <c r="E4280" t="s">
        <v>12</v>
      </c>
      <c r="F4280">
        <v>2</v>
      </c>
      <c r="G4280" t="s">
        <v>42</v>
      </c>
      <c r="H4280" s="1">
        <v>46008.991666666669</v>
      </c>
      <c r="I4280" s="5">
        <f>INT(TB[[#This Row],[时间戳]])</f>
        <v>46008</v>
      </c>
      <c r="J4280" s="2">
        <f>HOUR(TB[[#This Row],[时间戳]])</f>
        <v>23</v>
      </c>
      <c r="K4280">
        <v>8633</v>
      </c>
      <c r="L4280">
        <v>0</v>
      </c>
      <c r="M4280">
        <f>TB[[#This Row],[售价]]*TB[[#This Row],[销量]]</f>
        <v>0</v>
      </c>
      <c r="N4280" t="str">
        <f>IF(TB[[#This Row],[售价]]&lt;1000,"低价商品",IF(TB[[#This Row],[售价]]&lt;5000,"中价商品",IF(TB[[#This Row],[售价]]&lt;10000,"高价商品","超高价商品")))</f>
        <v>高价商品</v>
      </c>
    </row>
    <row r="4281" spans="1:14" x14ac:dyDescent="0.2">
      <c r="A4281">
        <v>387</v>
      </c>
      <c r="B4281">
        <v>73</v>
      </c>
      <c r="C4281" t="s">
        <v>36</v>
      </c>
      <c r="D4281" t="s">
        <v>187</v>
      </c>
      <c r="E4281" t="s">
        <v>12</v>
      </c>
      <c r="F4281">
        <v>2</v>
      </c>
      <c r="G4281" t="s">
        <v>13</v>
      </c>
      <c r="H4281" s="1">
        <v>46009.001388888886</v>
      </c>
      <c r="I4281" s="5">
        <f>INT(TB[[#This Row],[时间戳]])</f>
        <v>46009</v>
      </c>
      <c r="J4281" s="2">
        <f>HOUR(TB[[#This Row],[时间戳]])</f>
        <v>0</v>
      </c>
      <c r="K4281">
        <v>10015</v>
      </c>
      <c r="L4281">
        <v>1</v>
      </c>
      <c r="M4281">
        <f>TB[[#This Row],[售价]]*TB[[#This Row],[销量]]</f>
        <v>10015</v>
      </c>
      <c r="N4281" t="str">
        <f>IF(TB[[#This Row],[售价]]&lt;1000,"低价商品",IF(TB[[#This Row],[售价]]&lt;5000,"中价商品",IF(TB[[#This Row],[售价]]&lt;10000,"高价商品","超高价商品")))</f>
        <v>超高价商品</v>
      </c>
    </row>
    <row r="4282" spans="1:14" x14ac:dyDescent="0.2">
      <c r="A4282">
        <v>626</v>
      </c>
      <c r="B4282">
        <v>224</v>
      </c>
      <c r="C4282" t="s">
        <v>34</v>
      </c>
      <c r="D4282" t="s">
        <v>400</v>
      </c>
      <c r="E4282" t="s">
        <v>19</v>
      </c>
      <c r="F4282">
        <v>3</v>
      </c>
      <c r="G4282" t="s">
        <v>13</v>
      </c>
      <c r="H4282" s="1">
        <v>46009.004166666666</v>
      </c>
      <c r="I4282" s="5">
        <f>INT(TB[[#This Row],[时间戳]])</f>
        <v>46009</v>
      </c>
      <c r="J4282" s="2">
        <f>HOUR(TB[[#This Row],[时间戳]])</f>
        <v>0</v>
      </c>
      <c r="K4282">
        <v>2391</v>
      </c>
      <c r="L4282">
        <v>1</v>
      </c>
      <c r="M4282">
        <f>TB[[#This Row],[售价]]*TB[[#This Row],[销量]]</f>
        <v>2391</v>
      </c>
      <c r="N4282" t="str">
        <f>IF(TB[[#This Row],[售价]]&lt;1000,"低价商品",IF(TB[[#This Row],[售价]]&lt;5000,"中价商品",IF(TB[[#This Row],[售价]]&lt;10000,"高价商品","超高价商品")))</f>
        <v>中价商品</v>
      </c>
    </row>
    <row r="4283" spans="1:14" x14ac:dyDescent="0.2">
      <c r="A4283">
        <v>787</v>
      </c>
      <c r="B4283">
        <v>92</v>
      </c>
      <c r="C4283" t="s">
        <v>34</v>
      </c>
      <c r="D4283" t="s">
        <v>62</v>
      </c>
      <c r="E4283" t="s">
        <v>31</v>
      </c>
      <c r="F4283">
        <v>4</v>
      </c>
      <c r="G4283" t="s">
        <v>13</v>
      </c>
      <c r="H4283" s="1">
        <v>46009.02847222222</v>
      </c>
      <c r="I4283" s="5">
        <f>INT(TB[[#This Row],[时间戳]])</f>
        <v>46009</v>
      </c>
      <c r="J4283" s="2">
        <f>HOUR(TB[[#This Row],[时间戳]])</f>
        <v>0</v>
      </c>
      <c r="K4283">
        <v>898</v>
      </c>
      <c r="L4283">
        <v>1</v>
      </c>
      <c r="M4283">
        <f>TB[[#This Row],[售价]]*TB[[#This Row],[销量]]</f>
        <v>898</v>
      </c>
      <c r="N4283" t="str">
        <f>IF(TB[[#This Row],[售价]]&lt;1000,"低价商品",IF(TB[[#This Row],[售价]]&lt;5000,"中价商品",IF(TB[[#This Row],[售价]]&lt;10000,"高价商品","超高价商品")))</f>
        <v>低价商品</v>
      </c>
    </row>
    <row r="4284" spans="1:14" x14ac:dyDescent="0.2">
      <c r="A4284">
        <v>9</v>
      </c>
      <c r="B4284">
        <v>170</v>
      </c>
      <c r="C4284" t="s">
        <v>14</v>
      </c>
      <c r="D4284" t="s">
        <v>388</v>
      </c>
      <c r="E4284" t="s">
        <v>19</v>
      </c>
      <c r="F4284">
        <v>3</v>
      </c>
      <c r="G4284" t="s">
        <v>42</v>
      </c>
      <c r="H4284" s="1">
        <v>46009.033333333333</v>
      </c>
      <c r="I4284" s="5">
        <f>INT(TB[[#This Row],[时间戳]])</f>
        <v>46009</v>
      </c>
      <c r="J4284" s="2">
        <f>HOUR(TB[[#This Row],[时间戳]])</f>
        <v>0</v>
      </c>
      <c r="K4284">
        <v>2901</v>
      </c>
      <c r="L4284">
        <v>0</v>
      </c>
      <c r="M4284">
        <f>TB[[#This Row],[售价]]*TB[[#This Row],[销量]]</f>
        <v>0</v>
      </c>
      <c r="N4284" t="str">
        <f>IF(TB[[#This Row],[售价]]&lt;1000,"低价商品",IF(TB[[#This Row],[售价]]&lt;5000,"中价商品",IF(TB[[#This Row],[售价]]&lt;10000,"高价商品","超高价商品")))</f>
        <v>中价商品</v>
      </c>
    </row>
    <row r="4285" spans="1:14" x14ac:dyDescent="0.2">
      <c r="A4285">
        <v>31</v>
      </c>
      <c r="B4285">
        <v>133</v>
      </c>
      <c r="C4285" t="s">
        <v>36</v>
      </c>
      <c r="D4285" t="s">
        <v>83</v>
      </c>
      <c r="E4285" t="s">
        <v>22</v>
      </c>
      <c r="F4285">
        <v>1</v>
      </c>
      <c r="G4285" t="s">
        <v>13</v>
      </c>
      <c r="H4285" s="1">
        <v>46009.03402777778</v>
      </c>
      <c r="I4285" s="5">
        <f>INT(TB[[#This Row],[时间戳]])</f>
        <v>46009</v>
      </c>
      <c r="J4285" s="2">
        <f>HOUR(TB[[#This Row],[时间戳]])</f>
        <v>0</v>
      </c>
      <c r="K4285">
        <v>2842</v>
      </c>
      <c r="L4285">
        <v>2</v>
      </c>
      <c r="M4285">
        <f>TB[[#This Row],[售价]]*TB[[#This Row],[销量]]</f>
        <v>5684</v>
      </c>
      <c r="N4285" t="str">
        <f>IF(TB[[#This Row],[售价]]&lt;1000,"低价商品",IF(TB[[#This Row],[售价]]&lt;5000,"中价商品",IF(TB[[#This Row],[售价]]&lt;10000,"高价商品","超高价商品")))</f>
        <v>中价商品</v>
      </c>
    </row>
    <row r="4286" spans="1:14" x14ac:dyDescent="0.2">
      <c r="A4286">
        <v>311</v>
      </c>
      <c r="B4286">
        <v>278</v>
      </c>
      <c r="C4286" t="s">
        <v>44</v>
      </c>
      <c r="D4286" t="s">
        <v>254</v>
      </c>
      <c r="E4286" t="s">
        <v>25</v>
      </c>
      <c r="F4286">
        <v>7</v>
      </c>
      <c r="G4286" t="s">
        <v>13</v>
      </c>
      <c r="H4286" s="1">
        <v>46009.049305555556</v>
      </c>
      <c r="I4286" s="5">
        <f>INT(TB[[#This Row],[时间戳]])</f>
        <v>46009</v>
      </c>
      <c r="J4286" s="2">
        <f>HOUR(TB[[#This Row],[时间戳]])</f>
        <v>1</v>
      </c>
      <c r="K4286">
        <v>5544</v>
      </c>
      <c r="L4286">
        <v>2</v>
      </c>
      <c r="M4286">
        <f>TB[[#This Row],[售价]]*TB[[#This Row],[销量]]</f>
        <v>11088</v>
      </c>
      <c r="N4286" t="str">
        <f>IF(TB[[#This Row],[售价]]&lt;1000,"低价商品",IF(TB[[#This Row],[售价]]&lt;5000,"中价商品",IF(TB[[#This Row],[售价]]&lt;10000,"高价商品","超高价商品")))</f>
        <v>高价商品</v>
      </c>
    </row>
    <row r="4287" spans="1:14" x14ac:dyDescent="0.2">
      <c r="A4287">
        <v>612</v>
      </c>
      <c r="B4287">
        <v>115</v>
      </c>
      <c r="C4287" t="s">
        <v>34</v>
      </c>
      <c r="D4287" t="s">
        <v>291</v>
      </c>
      <c r="E4287" t="s">
        <v>31</v>
      </c>
      <c r="F4287">
        <v>4</v>
      </c>
      <c r="G4287" t="s">
        <v>13</v>
      </c>
      <c r="H4287" s="1">
        <v>46009.065972222219</v>
      </c>
      <c r="I4287" s="5">
        <f>INT(TB[[#This Row],[时间戳]])</f>
        <v>46009</v>
      </c>
      <c r="J4287" s="2">
        <f>HOUR(TB[[#This Row],[时间戳]])</f>
        <v>1</v>
      </c>
      <c r="K4287">
        <v>790</v>
      </c>
      <c r="L4287">
        <v>3</v>
      </c>
      <c r="M4287">
        <f>TB[[#This Row],[售价]]*TB[[#This Row],[销量]]</f>
        <v>2370</v>
      </c>
      <c r="N4287" t="str">
        <f>IF(TB[[#This Row],[售价]]&lt;1000,"低价商品",IF(TB[[#This Row],[售价]]&lt;5000,"中价商品",IF(TB[[#This Row],[售价]]&lt;10000,"高价商品","超高价商品")))</f>
        <v>低价商品</v>
      </c>
    </row>
    <row r="4288" spans="1:14" x14ac:dyDescent="0.2">
      <c r="A4288">
        <v>99</v>
      </c>
      <c r="B4288">
        <v>119</v>
      </c>
      <c r="C4288" t="s">
        <v>34</v>
      </c>
      <c r="D4288" t="s">
        <v>82</v>
      </c>
      <c r="E4288" t="s">
        <v>31</v>
      </c>
      <c r="F4288">
        <v>4</v>
      </c>
      <c r="G4288" t="s">
        <v>13</v>
      </c>
      <c r="H4288" s="1">
        <v>46009.103472222225</v>
      </c>
      <c r="I4288" s="5">
        <f>INT(TB[[#This Row],[时间戳]])</f>
        <v>46009</v>
      </c>
      <c r="J4288" s="2">
        <f>HOUR(TB[[#This Row],[时间戳]])</f>
        <v>2</v>
      </c>
      <c r="K4288">
        <v>1303</v>
      </c>
      <c r="L4288">
        <v>1</v>
      </c>
      <c r="M4288">
        <f>TB[[#This Row],[售价]]*TB[[#This Row],[销量]]</f>
        <v>1303</v>
      </c>
      <c r="N4288" t="str">
        <f>IF(TB[[#This Row],[售价]]&lt;1000,"低价商品",IF(TB[[#This Row],[售价]]&lt;5000,"中价商品",IF(TB[[#This Row],[售价]]&lt;10000,"高价商品","超高价商品")))</f>
        <v>中价商品</v>
      </c>
    </row>
    <row r="4289" spans="1:14" x14ac:dyDescent="0.2">
      <c r="A4289">
        <v>501</v>
      </c>
      <c r="B4289">
        <v>42</v>
      </c>
      <c r="C4289" t="s">
        <v>34</v>
      </c>
      <c r="D4289" t="s">
        <v>69</v>
      </c>
      <c r="E4289" t="s">
        <v>31</v>
      </c>
      <c r="F4289">
        <v>4</v>
      </c>
      <c r="G4289" t="s">
        <v>13</v>
      </c>
      <c r="H4289" s="1">
        <v>46009.119444444441</v>
      </c>
      <c r="I4289" s="5">
        <f>INT(TB[[#This Row],[时间戳]])</f>
        <v>46009</v>
      </c>
      <c r="J4289" s="2">
        <f>HOUR(TB[[#This Row],[时间戳]])</f>
        <v>2</v>
      </c>
      <c r="K4289">
        <v>1059</v>
      </c>
      <c r="L4289">
        <v>2</v>
      </c>
      <c r="M4289">
        <f>TB[[#This Row],[售价]]*TB[[#This Row],[销量]]</f>
        <v>2118</v>
      </c>
      <c r="N4289" t="str">
        <f>IF(TB[[#This Row],[售价]]&lt;1000,"低价商品",IF(TB[[#This Row],[售价]]&lt;5000,"中价商品",IF(TB[[#This Row],[售价]]&lt;10000,"高价商品","超高价商品")))</f>
        <v>中价商品</v>
      </c>
    </row>
    <row r="4290" spans="1:14" x14ac:dyDescent="0.2">
      <c r="A4290">
        <v>224</v>
      </c>
      <c r="B4290">
        <v>53</v>
      </c>
      <c r="C4290" t="s">
        <v>34</v>
      </c>
      <c r="D4290" t="s">
        <v>291</v>
      </c>
      <c r="E4290" t="s">
        <v>31</v>
      </c>
      <c r="F4290">
        <v>4</v>
      </c>
      <c r="G4290" t="s">
        <v>13</v>
      </c>
      <c r="H4290" s="1">
        <v>46009.127083333333</v>
      </c>
      <c r="I4290" s="5">
        <f>INT(TB[[#This Row],[时间戳]])</f>
        <v>46009</v>
      </c>
      <c r="J4290" s="2">
        <f>HOUR(TB[[#This Row],[时间戳]])</f>
        <v>3</v>
      </c>
      <c r="K4290">
        <v>277</v>
      </c>
      <c r="L4290">
        <v>3</v>
      </c>
      <c r="M4290">
        <f>TB[[#This Row],[售价]]*TB[[#This Row],[销量]]</f>
        <v>831</v>
      </c>
      <c r="N4290" t="str">
        <f>IF(TB[[#This Row],[售价]]&lt;1000,"低价商品",IF(TB[[#This Row],[售价]]&lt;5000,"中价商品",IF(TB[[#This Row],[售价]]&lt;10000,"高价商品","超高价商品")))</f>
        <v>低价商品</v>
      </c>
    </row>
    <row r="4291" spans="1:14" x14ac:dyDescent="0.2">
      <c r="A4291">
        <v>4</v>
      </c>
      <c r="B4291">
        <v>128</v>
      </c>
      <c r="C4291" t="s">
        <v>46</v>
      </c>
      <c r="D4291" t="s">
        <v>159</v>
      </c>
      <c r="E4291" t="s">
        <v>16</v>
      </c>
      <c r="F4291">
        <v>6</v>
      </c>
      <c r="G4291" t="s">
        <v>42</v>
      </c>
      <c r="H4291" s="1">
        <v>46009.156944444447</v>
      </c>
      <c r="I4291" s="5">
        <f>INT(TB[[#This Row],[时间戳]])</f>
        <v>46009</v>
      </c>
      <c r="J4291" s="2">
        <f>HOUR(TB[[#This Row],[时间戳]])</f>
        <v>3</v>
      </c>
      <c r="K4291">
        <v>4882</v>
      </c>
      <c r="L4291">
        <v>0</v>
      </c>
      <c r="M4291">
        <f>TB[[#This Row],[售价]]*TB[[#This Row],[销量]]</f>
        <v>0</v>
      </c>
      <c r="N4291" t="str">
        <f>IF(TB[[#This Row],[售价]]&lt;1000,"低价商品",IF(TB[[#This Row],[售价]]&lt;5000,"中价商品",IF(TB[[#This Row],[售价]]&lt;10000,"高价商品","超高价商品")))</f>
        <v>中价商品</v>
      </c>
    </row>
    <row r="4292" spans="1:14" x14ac:dyDescent="0.2">
      <c r="A4292">
        <v>70</v>
      </c>
      <c r="B4292">
        <v>242</v>
      </c>
      <c r="C4292" t="s">
        <v>26</v>
      </c>
      <c r="D4292" t="s">
        <v>271</v>
      </c>
      <c r="E4292" t="s">
        <v>25</v>
      </c>
      <c r="F4292">
        <v>7</v>
      </c>
      <c r="G4292" t="s">
        <v>42</v>
      </c>
      <c r="H4292" s="1">
        <v>46009.171527777777</v>
      </c>
      <c r="I4292" s="5">
        <f>INT(TB[[#This Row],[时间戳]])</f>
        <v>46009</v>
      </c>
      <c r="J4292" s="2">
        <f>HOUR(TB[[#This Row],[时间戳]])</f>
        <v>4</v>
      </c>
      <c r="K4292">
        <v>4595</v>
      </c>
      <c r="L4292">
        <v>0</v>
      </c>
      <c r="M4292">
        <f>TB[[#This Row],[售价]]*TB[[#This Row],[销量]]</f>
        <v>0</v>
      </c>
      <c r="N4292" t="str">
        <f>IF(TB[[#This Row],[售价]]&lt;1000,"低价商品",IF(TB[[#This Row],[售价]]&lt;5000,"中价商品",IF(TB[[#This Row],[售价]]&lt;10000,"高价商品","超高价商品")))</f>
        <v>中价商品</v>
      </c>
    </row>
    <row r="4293" spans="1:14" x14ac:dyDescent="0.2">
      <c r="A4293">
        <v>507</v>
      </c>
      <c r="B4293">
        <v>81</v>
      </c>
      <c r="C4293" t="s">
        <v>26</v>
      </c>
      <c r="D4293" t="s">
        <v>245</v>
      </c>
      <c r="E4293" t="s">
        <v>39</v>
      </c>
      <c r="F4293">
        <v>5</v>
      </c>
      <c r="G4293" t="s">
        <v>42</v>
      </c>
      <c r="H4293" s="1">
        <v>46009.17291666667</v>
      </c>
      <c r="I4293" s="5">
        <f>INT(TB[[#This Row],[时间戳]])</f>
        <v>46009</v>
      </c>
      <c r="J4293" s="2">
        <f>HOUR(TB[[#This Row],[时间戳]])</f>
        <v>4</v>
      </c>
      <c r="K4293">
        <v>1968</v>
      </c>
      <c r="L4293">
        <v>0</v>
      </c>
      <c r="M4293">
        <f>TB[[#This Row],[售价]]*TB[[#This Row],[销量]]</f>
        <v>0</v>
      </c>
      <c r="N4293" t="str">
        <f>IF(TB[[#This Row],[售价]]&lt;1000,"低价商品",IF(TB[[#This Row],[售价]]&lt;5000,"中价商品",IF(TB[[#This Row],[售价]]&lt;10000,"高价商品","超高价商品")))</f>
        <v>中价商品</v>
      </c>
    </row>
    <row r="4294" spans="1:14" x14ac:dyDescent="0.2">
      <c r="A4294">
        <v>658</v>
      </c>
      <c r="B4294">
        <v>280</v>
      </c>
      <c r="C4294" t="s">
        <v>36</v>
      </c>
      <c r="D4294" t="s">
        <v>90</v>
      </c>
      <c r="E4294" t="s">
        <v>16</v>
      </c>
      <c r="F4294">
        <v>6</v>
      </c>
      <c r="G4294" t="s">
        <v>13</v>
      </c>
      <c r="H4294" s="1">
        <v>46009.188194444447</v>
      </c>
      <c r="I4294" s="5">
        <f>INT(TB[[#This Row],[时间戳]])</f>
        <v>46009</v>
      </c>
      <c r="J4294" s="2">
        <f>HOUR(TB[[#This Row],[时间戳]])</f>
        <v>4</v>
      </c>
      <c r="K4294">
        <v>9168</v>
      </c>
      <c r="L4294">
        <v>1</v>
      </c>
      <c r="M4294">
        <f>TB[[#This Row],[售价]]*TB[[#This Row],[销量]]</f>
        <v>9168</v>
      </c>
      <c r="N4294" t="str">
        <f>IF(TB[[#This Row],[售价]]&lt;1000,"低价商品",IF(TB[[#This Row],[售价]]&lt;5000,"中价商品",IF(TB[[#This Row],[售价]]&lt;10000,"高价商品","超高价商品")))</f>
        <v>高价商品</v>
      </c>
    </row>
    <row r="4295" spans="1:14" x14ac:dyDescent="0.2">
      <c r="A4295">
        <v>570</v>
      </c>
      <c r="B4295">
        <v>165</v>
      </c>
      <c r="C4295" t="s">
        <v>46</v>
      </c>
      <c r="D4295" t="s">
        <v>260</v>
      </c>
      <c r="E4295" t="s">
        <v>22</v>
      </c>
      <c r="F4295">
        <v>1</v>
      </c>
      <c r="G4295" t="s">
        <v>13</v>
      </c>
      <c r="H4295" s="1">
        <v>46009.231944444444</v>
      </c>
      <c r="I4295" s="5">
        <f>INT(TB[[#This Row],[时间戳]])</f>
        <v>46009</v>
      </c>
      <c r="J4295" s="2">
        <f>HOUR(TB[[#This Row],[时间戳]])</f>
        <v>5</v>
      </c>
      <c r="K4295">
        <v>6918</v>
      </c>
      <c r="L4295">
        <v>3</v>
      </c>
      <c r="M4295">
        <f>TB[[#This Row],[售价]]*TB[[#This Row],[销量]]</f>
        <v>20754</v>
      </c>
      <c r="N4295" t="str">
        <f>IF(TB[[#This Row],[售价]]&lt;1000,"低价商品",IF(TB[[#This Row],[售价]]&lt;5000,"中价商品",IF(TB[[#This Row],[售价]]&lt;10000,"高价商品","超高价商品")))</f>
        <v>高价商品</v>
      </c>
    </row>
    <row r="4296" spans="1:14" x14ac:dyDescent="0.2">
      <c r="A4296">
        <v>186</v>
      </c>
      <c r="B4296">
        <v>300</v>
      </c>
      <c r="C4296" t="s">
        <v>34</v>
      </c>
      <c r="D4296" t="s">
        <v>339</v>
      </c>
      <c r="E4296" t="s">
        <v>12</v>
      </c>
      <c r="F4296">
        <v>2</v>
      </c>
      <c r="G4296" t="s">
        <v>13</v>
      </c>
      <c r="H4296" s="1">
        <v>46009.241666666669</v>
      </c>
      <c r="I4296" s="5">
        <f>INT(TB[[#This Row],[时间戳]])</f>
        <v>46009</v>
      </c>
      <c r="J4296" s="2">
        <f>HOUR(TB[[#This Row],[时间戳]])</f>
        <v>5</v>
      </c>
      <c r="K4296">
        <v>9346</v>
      </c>
      <c r="L4296">
        <v>2</v>
      </c>
      <c r="M4296">
        <f>TB[[#This Row],[售价]]*TB[[#This Row],[销量]]</f>
        <v>18692</v>
      </c>
      <c r="N4296" t="str">
        <f>IF(TB[[#This Row],[售价]]&lt;1000,"低价商品",IF(TB[[#This Row],[售价]]&lt;5000,"中价商品",IF(TB[[#This Row],[售价]]&lt;10000,"高价商品","超高价商品")))</f>
        <v>高价商品</v>
      </c>
    </row>
    <row r="4297" spans="1:14" x14ac:dyDescent="0.2">
      <c r="A4297">
        <v>730</v>
      </c>
      <c r="B4297">
        <v>161</v>
      </c>
      <c r="C4297" t="s">
        <v>34</v>
      </c>
      <c r="D4297" t="s">
        <v>413</v>
      </c>
      <c r="E4297" t="s">
        <v>16</v>
      </c>
      <c r="F4297">
        <v>6</v>
      </c>
      <c r="G4297" t="s">
        <v>13</v>
      </c>
      <c r="H4297" s="1">
        <v>46009.247916666667</v>
      </c>
      <c r="I4297" s="5">
        <f>INT(TB[[#This Row],[时间戳]])</f>
        <v>46009</v>
      </c>
      <c r="J4297" s="2">
        <f>HOUR(TB[[#This Row],[时间戳]])</f>
        <v>5</v>
      </c>
      <c r="K4297">
        <v>6888</v>
      </c>
      <c r="L4297">
        <v>2</v>
      </c>
      <c r="M4297">
        <f>TB[[#This Row],[售价]]*TB[[#This Row],[销量]]</f>
        <v>13776</v>
      </c>
      <c r="N4297" t="str">
        <f>IF(TB[[#This Row],[售价]]&lt;1000,"低价商品",IF(TB[[#This Row],[售价]]&lt;5000,"中价商品",IF(TB[[#This Row],[售价]]&lt;10000,"高价商品","超高价商品")))</f>
        <v>高价商品</v>
      </c>
    </row>
    <row r="4298" spans="1:14" x14ac:dyDescent="0.2">
      <c r="A4298">
        <v>336</v>
      </c>
      <c r="B4298">
        <v>251</v>
      </c>
      <c r="C4298" t="s">
        <v>14</v>
      </c>
      <c r="D4298" t="s">
        <v>29</v>
      </c>
      <c r="E4298" t="s">
        <v>22</v>
      </c>
      <c r="F4298">
        <v>1</v>
      </c>
      <c r="G4298" t="s">
        <v>13</v>
      </c>
      <c r="H4298" s="1">
        <v>46009.250694444447</v>
      </c>
      <c r="I4298" s="5">
        <f>INT(TB[[#This Row],[时间戳]])</f>
        <v>46009</v>
      </c>
      <c r="J4298" s="2">
        <f>HOUR(TB[[#This Row],[时间戳]])</f>
        <v>6</v>
      </c>
      <c r="K4298">
        <v>1837</v>
      </c>
      <c r="L4298">
        <v>2</v>
      </c>
      <c r="M4298">
        <f>TB[[#This Row],[售价]]*TB[[#This Row],[销量]]</f>
        <v>3674</v>
      </c>
      <c r="N4298" t="str">
        <f>IF(TB[[#This Row],[售价]]&lt;1000,"低价商品",IF(TB[[#This Row],[售价]]&lt;5000,"中价商品",IF(TB[[#This Row],[售价]]&lt;10000,"高价商品","超高价商品")))</f>
        <v>中价商品</v>
      </c>
    </row>
    <row r="4299" spans="1:14" x14ac:dyDescent="0.2">
      <c r="A4299">
        <v>69</v>
      </c>
      <c r="B4299">
        <v>29</v>
      </c>
      <c r="C4299" t="s">
        <v>14</v>
      </c>
      <c r="D4299" t="s">
        <v>106</v>
      </c>
      <c r="E4299" t="s">
        <v>22</v>
      </c>
      <c r="F4299">
        <v>1</v>
      </c>
      <c r="G4299" t="s">
        <v>13</v>
      </c>
      <c r="H4299" s="1">
        <v>46009.253472222219</v>
      </c>
      <c r="I4299" s="5">
        <f>INT(TB[[#This Row],[时间戳]])</f>
        <v>46009</v>
      </c>
      <c r="J4299" s="2">
        <f>HOUR(TB[[#This Row],[时间戳]])</f>
        <v>6</v>
      </c>
      <c r="K4299">
        <v>4130</v>
      </c>
      <c r="L4299">
        <v>3</v>
      </c>
      <c r="M4299">
        <f>TB[[#This Row],[售价]]*TB[[#This Row],[销量]]</f>
        <v>12390</v>
      </c>
      <c r="N4299" t="str">
        <f>IF(TB[[#This Row],[售价]]&lt;1000,"低价商品",IF(TB[[#This Row],[售价]]&lt;5000,"中价商品",IF(TB[[#This Row],[售价]]&lt;10000,"高价商品","超高价商品")))</f>
        <v>中价商品</v>
      </c>
    </row>
    <row r="4300" spans="1:14" x14ac:dyDescent="0.2">
      <c r="A4300">
        <v>49</v>
      </c>
      <c r="B4300">
        <v>186</v>
      </c>
      <c r="C4300" t="s">
        <v>20</v>
      </c>
      <c r="D4300" t="s">
        <v>276</v>
      </c>
      <c r="E4300" t="s">
        <v>16</v>
      </c>
      <c r="F4300">
        <v>6</v>
      </c>
      <c r="G4300" t="s">
        <v>42</v>
      </c>
      <c r="H4300" s="1">
        <v>46009.263888888891</v>
      </c>
      <c r="I4300" s="5">
        <f>INT(TB[[#This Row],[时间戳]])</f>
        <v>46009</v>
      </c>
      <c r="J4300" s="2">
        <f>HOUR(TB[[#This Row],[时间戳]])</f>
        <v>6</v>
      </c>
      <c r="K4300">
        <v>7330</v>
      </c>
      <c r="L4300">
        <v>0</v>
      </c>
      <c r="M4300">
        <f>TB[[#This Row],[售价]]*TB[[#This Row],[销量]]</f>
        <v>0</v>
      </c>
      <c r="N4300" t="str">
        <f>IF(TB[[#This Row],[售价]]&lt;1000,"低价商品",IF(TB[[#This Row],[售价]]&lt;5000,"中价商品",IF(TB[[#This Row],[售价]]&lt;10000,"高价商品","超高价商品")))</f>
        <v>高价商品</v>
      </c>
    </row>
    <row r="4301" spans="1:14" x14ac:dyDescent="0.2">
      <c r="A4301">
        <v>459</v>
      </c>
      <c r="B4301">
        <v>233</v>
      </c>
      <c r="C4301" t="s">
        <v>14</v>
      </c>
      <c r="D4301" t="s">
        <v>228</v>
      </c>
      <c r="E4301" t="s">
        <v>31</v>
      </c>
      <c r="F4301">
        <v>4</v>
      </c>
      <c r="G4301" t="s">
        <v>42</v>
      </c>
      <c r="H4301" s="1">
        <v>46009.280555555553</v>
      </c>
      <c r="I4301" s="5">
        <f>INT(TB[[#This Row],[时间戳]])</f>
        <v>46009</v>
      </c>
      <c r="J4301" s="2">
        <f>HOUR(TB[[#This Row],[时间戳]])</f>
        <v>6</v>
      </c>
      <c r="K4301">
        <v>787</v>
      </c>
      <c r="L4301">
        <v>0</v>
      </c>
      <c r="M4301">
        <f>TB[[#This Row],[售价]]*TB[[#This Row],[销量]]</f>
        <v>0</v>
      </c>
      <c r="N4301" t="str">
        <f>IF(TB[[#This Row],[售价]]&lt;1000,"低价商品",IF(TB[[#This Row],[售价]]&lt;5000,"中价商品",IF(TB[[#This Row],[售价]]&lt;10000,"高价商品","超高价商品")))</f>
        <v>低价商品</v>
      </c>
    </row>
    <row r="4302" spans="1:14" x14ac:dyDescent="0.2">
      <c r="A4302">
        <v>784</v>
      </c>
      <c r="B4302">
        <v>188</v>
      </c>
      <c r="C4302" t="s">
        <v>44</v>
      </c>
      <c r="D4302" t="s">
        <v>338</v>
      </c>
      <c r="E4302" t="s">
        <v>16</v>
      </c>
      <c r="F4302">
        <v>6</v>
      </c>
      <c r="G4302" t="s">
        <v>13</v>
      </c>
      <c r="H4302" s="1">
        <v>46009.282638888886</v>
      </c>
      <c r="I4302" s="5">
        <f>INT(TB[[#This Row],[时间戳]])</f>
        <v>46009</v>
      </c>
      <c r="J4302" s="2">
        <f>HOUR(TB[[#This Row],[时间戳]])</f>
        <v>6</v>
      </c>
      <c r="K4302">
        <v>6971</v>
      </c>
      <c r="L4302">
        <v>2</v>
      </c>
      <c r="M4302">
        <f>TB[[#This Row],[售价]]*TB[[#This Row],[销量]]</f>
        <v>13942</v>
      </c>
      <c r="N4302" t="str">
        <f>IF(TB[[#This Row],[售价]]&lt;1000,"低价商品",IF(TB[[#This Row],[售价]]&lt;5000,"中价商品",IF(TB[[#This Row],[售价]]&lt;10000,"高价商品","超高价商品")))</f>
        <v>高价商品</v>
      </c>
    </row>
    <row r="4303" spans="1:14" x14ac:dyDescent="0.2">
      <c r="A4303">
        <v>305</v>
      </c>
      <c r="B4303">
        <v>225</v>
      </c>
      <c r="C4303" t="s">
        <v>34</v>
      </c>
      <c r="D4303" t="s">
        <v>339</v>
      </c>
      <c r="E4303" t="s">
        <v>12</v>
      </c>
      <c r="F4303">
        <v>2</v>
      </c>
      <c r="G4303" t="s">
        <v>13</v>
      </c>
      <c r="H4303" s="1">
        <v>46009.334027777775</v>
      </c>
      <c r="I4303" s="5">
        <f>INT(TB[[#This Row],[时间戳]])</f>
        <v>46009</v>
      </c>
      <c r="J4303" s="2">
        <f>HOUR(TB[[#This Row],[时间戳]])</f>
        <v>8</v>
      </c>
      <c r="K4303">
        <v>14372</v>
      </c>
      <c r="L4303">
        <v>1</v>
      </c>
      <c r="M4303">
        <f>TB[[#This Row],[售价]]*TB[[#This Row],[销量]]</f>
        <v>14372</v>
      </c>
      <c r="N4303" t="str">
        <f>IF(TB[[#This Row],[售价]]&lt;1000,"低价商品",IF(TB[[#This Row],[售价]]&lt;5000,"中价商品",IF(TB[[#This Row],[售价]]&lt;10000,"高价商品","超高价商品")))</f>
        <v>超高价商品</v>
      </c>
    </row>
    <row r="4304" spans="1:14" x14ac:dyDescent="0.2">
      <c r="A4304">
        <v>473</v>
      </c>
      <c r="B4304">
        <v>61</v>
      </c>
      <c r="C4304" t="s">
        <v>36</v>
      </c>
      <c r="D4304" t="s">
        <v>386</v>
      </c>
      <c r="E4304" t="s">
        <v>22</v>
      </c>
      <c r="F4304">
        <v>1</v>
      </c>
      <c r="G4304" t="s">
        <v>42</v>
      </c>
      <c r="H4304" s="1">
        <v>46009.359722222223</v>
      </c>
      <c r="I4304" s="5">
        <f>INT(TB[[#This Row],[时间戳]])</f>
        <v>46009</v>
      </c>
      <c r="J4304" s="2">
        <f>HOUR(TB[[#This Row],[时间戳]])</f>
        <v>8</v>
      </c>
      <c r="K4304">
        <v>5506</v>
      </c>
      <c r="L4304">
        <v>0</v>
      </c>
      <c r="M4304">
        <f>TB[[#This Row],[售价]]*TB[[#This Row],[销量]]</f>
        <v>0</v>
      </c>
      <c r="N4304" t="str">
        <f>IF(TB[[#This Row],[售价]]&lt;1000,"低价商品",IF(TB[[#This Row],[售价]]&lt;5000,"中价商品",IF(TB[[#This Row],[售价]]&lt;10000,"高价商品","超高价商品")))</f>
        <v>高价商品</v>
      </c>
    </row>
    <row r="4305" spans="1:14" x14ac:dyDescent="0.2">
      <c r="A4305">
        <v>585</v>
      </c>
      <c r="B4305">
        <v>236</v>
      </c>
      <c r="C4305" t="s">
        <v>36</v>
      </c>
      <c r="D4305" t="s">
        <v>146</v>
      </c>
      <c r="E4305" t="s">
        <v>22</v>
      </c>
      <c r="F4305">
        <v>1</v>
      </c>
      <c r="G4305" t="s">
        <v>42</v>
      </c>
      <c r="H4305" s="1">
        <v>46009.376388888886</v>
      </c>
      <c r="I4305" s="5">
        <f>INT(TB[[#This Row],[时间戳]])</f>
        <v>46009</v>
      </c>
      <c r="J4305" s="2">
        <f>HOUR(TB[[#This Row],[时间戳]])</f>
        <v>9</v>
      </c>
      <c r="K4305">
        <v>4016</v>
      </c>
      <c r="L4305">
        <v>0</v>
      </c>
      <c r="M4305">
        <f>TB[[#This Row],[售价]]*TB[[#This Row],[销量]]</f>
        <v>0</v>
      </c>
      <c r="N4305" t="str">
        <f>IF(TB[[#This Row],[售价]]&lt;1000,"低价商品",IF(TB[[#This Row],[售价]]&lt;5000,"中价商品",IF(TB[[#This Row],[售价]]&lt;10000,"高价商品","超高价商品")))</f>
        <v>中价商品</v>
      </c>
    </row>
    <row r="4306" spans="1:14" x14ac:dyDescent="0.2">
      <c r="A4306">
        <v>209</v>
      </c>
      <c r="B4306">
        <v>19</v>
      </c>
      <c r="C4306" t="s">
        <v>36</v>
      </c>
      <c r="D4306" t="s">
        <v>123</v>
      </c>
      <c r="E4306" t="s">
        <v>31</v>
      </c>
      <c r="F4306">
        <v>4</v>
      </c>
      <c r="G4306" t="s">
        <v>13</v>
      </c>
      <c r="H4306" s="1">
        <v>46009.408333333333</v>
      </c>
      <c r="I4306" s="5">
        <f>INT(TB[[#This Row],[时间戳]])</f>
        <v>46009</v>
      </c>
      <c r="J4306" s="2">
        <f>HOUR(TB[[#This Row],[时间戳]])</f>
        <v>9</v>
      </c>
      <c r="K4306">
        <v>391</v>
      </c>
      <c r="L4306">
        <v>2</v>
      </c>
      <c r="M4306">
        <f>TB[[#This Row],[售价]]*TB[[#This Row],[销量]]</f>
        <v>782</v>
      </c>
      <c r="N4306" t="str">
        <f>IF(TB[[#This Row],[售价]]&lt;1000,"低价商品",IF(TB[[#This Row],[售价]]&lt;5000,"中价商品",IF(TB[[#This Row],[售价]]&lt;10000,"高价商品","超高价商品")))</f>
        <v>低价商品</v>
      </c>
    </row>
    <row r="4307" spans="1:14" x14ac:dyDescent="0.2">
      <c r="A4307">
        <v>548</v>
      </c>
      <c r="B4307">
        <v>16</v>
      </c>
      <c r="C4307" t="s">
        <v>44</v>
      </c>
      <c r="D4307" t="s">
        <v>250</v>
      </c>
      <c r="E4307" t="s">
        <v>25</v>
      </c>
      <c r="F4307">
        <v>7</v>
      </c>
      <c r="G4307" t="s">
        <v>13</v>
      </c>
      <c r="H4307" s="1">
        <v>46009.409722222219</v>
      </c>
      <c r="I4307" s="5">
        <f>INT(TB[[#This Row],[时间戳]])</f>
        <v>46009</v>
      </c>
      <c r="J4307" s="2">
        <f>HOUR(TB[[#This Row],[时间戳]])</f>
        <v>9</v>
      </c>
      <c r="K4307">
        <v>4148</v>
      </c>
      <c r="L4307">
        <v>1</v>
      </c>
      <c r="M4307">
        <f>TB[[#This Row],[售价]]*TB[[#This Row],[销量]]</f>
        <v>4148</v>
      </c>
      <c r="N4307" t="str">
        <f>IF(TB[[#This Row],[售价]]&lt;1000,"低价商品",IF(TB[[#This Row],[售价]]&lt;5000,"中价商品",IF(TB[[#This Row],[售价]]&lt;10000,"高价商品","超高价商品")))</f>
        <v>中价商品</v>
      </c>
    </row>
    <row r="4308" spans="1:14" x14ac:dyDescent="0.2">
      <c r="A4308">
        <v>223</v>
      </c>
      <c r="B4308">
        <v>216</v>
      </c>
      <c r="C4308" t="s">
        <v>14</v>
      </c>
      <c r="D4308" t="s">
        <v>249</v>
      </c>
      <c r="E4308" t="s">
        <v>25</v>
      </c>
      <c r="F4308">
        <v>7</v>
      </c>
      <c r="G4308" t="s">
        <v>13</v>
      </c>
      <c r="H4308" s="1">
        <v>46009.422222222223</v>
      </c>
      <c r="I4308" s="5">
        <f>INT(TB[[#This Row],[时间戳]])</f>
        <v>46009</v>
      </c>
      <c r="J4308" s="2">
        <f>HOUR(TB[[#This Row],[时间戳]])</f>
        <v>10</v>
      </c>
      <c r="K4308">
        <v>3219</v>
      </c>
      <c r="L4308">
        <v>1</v>
      </c>
      <c r="M4308">
        <f>TB[[#This Row],[售价]]*TB[[#This Row],[销量]]</f>
        <v>3219</v>
      </c>
      <c r="N4308" t="str">
        <f>IF(TB[[#This Row],[售价]]&lt;1000,"低价商品",IF(TB[[#This Row],[售价]]&lt;5000,"中价商品",IF(TB[[#This Row],[售价]]&lt;10000,"高价商品","超高价商品")))</f>
        <v>中价商品</v>
      </c>
    </row>
    <row r="4309" spans="1:14" x14ac:dyDescent="0.2">
      <c r="A4309">
        <v>660</v>
      </c>
      <c r="B4309">
        <v>267</v>
      </c>
      <c r="C4309" t="s">
        <v>32</v>
      </c>
      <c r="D4309" t="s">
        <v>170</v>
      </c>
      <c r="E4309" t="s">
        <v>31</v>
      </c>
      <c r="F4309">
        <v>4</v>
      </c>
      <c r="G4309" t="s">
        <v>13</v>
      </c>
      <c r="H4309" s="1">
        <v>46009.44027777778</v>
      </c>
      <c r="I4309" s="5">
        <f>INT(TB[[#This Row],[时间戳]])</f>
        <v>46009</v>
      </c>
      <c r="J4309" s="2">
        <f>HOUR(TB[[#This Row],[时间戳]])</f>
        <v>10</v>
      </c>
      <c r="K4309">
        <v>55</v>
      </c>
      <c r="L4309">
        <v>1</v>
      </c>
      <c r="M4309">
        <f>TB[[#This Row],[售价]]*TB[[#This Row],[销量]]</f>
        <v>55</v>
      </c>
      <c r="N4309" t="str">
        <f>IF(TB[[#This Row],[售价]]&lt;1000,"低价商品",IF(TB[[#This Row],[售价]]&lt;5000,"中价商品",IF(TB[[#This Row],[售价]]&lt;10000,"高价商品","超高价商品")))</f>
        <v>低价商品</v>
      </c>
    </row>
    <row r="4310" spans="1:14" x14ac:dyDescent="0.2">
      <c r="A4310">
        <v>526</v>
      </c>
      <c r="B4310">
        <v>243</v>
      </c>
      <c r="C4310" t="s">
        <v>17</v>
      </c>
      <c r="D4310" t="s">
        <v>234</v>
      </c>
      <c r="E4310" t="s">
        <v>39</v>
      </c>
      <c r="F4310">
        <v>5</v>
      </c>
      <c r="G4310" t="s">
        <v>13</v>
      </c>
      <c r="H4310" s="1">
        <v>46009.472916666666</v>
      </c>
      <c r="I4310" s="5">
        <f>INT(TB[[#This Row],[时间戳]])</f>
        <v>46009</v>
      </c>
      <c r="J4310" s="2">
        <f>HOUR(TB[[#This Row],[时间戳]])</f>
        <v>11</v>
      </c>
      <c r="K4310">
        <v>3154</v>
      </c>
      <c r="L4310">
        <v>2</v>
      </c>
      <c r="M4310">
        <f>TB[[#This Row],[售价]]*TB[[#This Row],[销量]]</f>
        <v>6308</v>
      </c>
      <c r="N4310" t="str">
        <f>IF(TB[[#This Row],[售价]]&lt;1000,"低价商品",IF(TB[[#This Row],[售价]]&lt;5000,"中价商品",IF(TB[[#This Row],[售价]]&lt;10000,"高价商品","超高价商品")))</f>
        <v>中价商品</v>
      </c>
    </row>
    <row r="4311" spans="1:14" x14ac:dyDescent="0.2">
      <c r="A4311">
        <v>70</v>
      </c>
      <c r="B4311">
        <v>181</v>
      </c>
      <c r="C4311" t="s">
        <v>26</v>
      </c>
      <c r="D4311" t="s">
        <v>252</v>
      </c>
      <c r="E4311" t="s">
        <v>25</v>
      </c>
      <c r="F4311">
        <v>7</v>
      </c>
      <c r="G4311" t="s">
        <v>13</v>
      </c>
      <c r="H4311" s="1">
        <v>46009.500694444447</v>
      </c>
      <c r="I4311" s="5">
        <f>INT(TB[[#This Row],[时间戳]])</f>
        <v>46009</v>
      </c>
      <c r="J4311" s="2">
        <f>HOUR(TB[[#This Row],[时间戳]])</f>
        <v>12</v>
      </c>
      <c r="K4311">
        <v>5718</v>
      </c>
      <c r="L4311">
        <v>1</v>
      </c>
      <c r="M4311">
        <f>TB[[#This Row],[售价]]*TB[[#This Row],[销量]]</f>
        <v>5718</v>
      </c>
      <c r="N4311" t="str">
        <f>IF(TB[[#This Row],[售价]]&lt;1000,"低价商品",IF(TB[[#This Row],[售价]]&lt;5000,"中价商品",IF(TB[[#This Row],[售价]]&lt;10000,"高价商品","超高价商品")))</f>
        <v>高价商品</v>
      </c>
    </row>
    <row r="4312" spans="1:14" x14ac:dyDescent="0.2">
      <c r="A4312">
        <v>202</v>
      </c>
      <c r="B4312">
        <v>5</v>
      </c>
      <c r="C4312" t="s">
        <v>20</v>
      </c>
      <c r="D4312" t="s">
        <v>23</v>
      </c>
      <c r="E4312" t="s">
        <v>12</v>
      </c>
      <c r="F4312">
        <v>2</v>
      </c>
      <c r="G4312" t="s">
        <v>13</v>
      </c>
      <c r="H4312" s="1">
        <v>46009.506944444445</v>
      </c>
      <c r="I4312" s="5">
        <f>INT(TB[[#This Row],[时间戳]])</f>
        <v>46009</v>
      </c>
      <c r="J4312" s="2">
        <f>HOUR(TB[[#This Row],[时间戳]])</f>
        <v>12</v>
      </c>
      <c r="K4312">
        <v>6897</v>
      </c>
      <c r="L4312">
        <v>2</v>
      </c>
      <c r="M4312">
        <f>TB[[#This Row],[售价]]*TB[[#This Row],[销量]]</f>
        <v>13794</v>
      </c>
      <c r="N4312" t="str">
        <f>IF(TB[[#This Row],[售价]]&lt;1000,"低价商品",IF(TB[[#This Row],[售价]]&lt;5000,"中价商品",IF(TB[[#This Row],[售价]]&lt;10000,"高价商品","超高价商品")))</f>
        <v>高价商品</v>
      </c>
    </row>
    <row r="4313" spans="1:14" x14ac:dyDescent="0.2">
      <c r="A4313">
        <v>324</v>
      </c>
      <c r="B4313">
        <v>33</v>
      </c>
      <c r="C4313" t="s">
        <v>17</v>
      </c>
      <c r="D4313" t="s">
        <v>320</v>
      </c>
      <c r="E4313" t="s">
        <v>16</v>
      </c>
      <c r="F4313">
        <v>6</v>
      </c>
      <c r="G4313" t="s">
        <v>42</v>
      </c>
      <c r="H4313" s="1">
        <v>46009.559027777781</v>
      </c>
      <c r="I4313" s="5">
        <f>INT(TB[[#This Row],[时间戳]])</f>
        <v>46009</v>
      </c>
      <c r="J4313" s="2">
        <f>HOUR(TB[[#This Row],[时间戳]])</f>
        <v>13</v>
      </c>
      <c r="K4313">
        <v>6757</v>
      </c>
      <c r="L4313">
        <v>0</v>
      </c>
      <c r="M4313">
        <f>TB[[#This Row],[售价]]*TB[[#This Row],[销量]]</f>
        <v>0</v>
      </c>
      <c r="N4313" t="str">
        <f>IF(TB[[#This Row],[售价]]&lt;1000,"低价商品",IF(TB[[#This Row],[售价]]&lt;5000,"中价商品",IF(TB[[#This Row],[售价]]&lt;10000,"高价商品","超高价商品")))</f>
        <v>高价商品</v>
      </c>
    </row>
    <row r="4314" spans="1:14" x14ac:dyDescent="0.2">
      <c r="A4314">
        <v>709</v>
      </c>
      <c r="B4314">
        <v>157</v>
      </c>
      <c r="C4314" t="s">
        <v>14</v>
      </c>
      <c r="D4314" t="s">
        <v>202</v>
      </c>
      <c r="E4314" t="s">
        <v>31</v>
      </c>
      <c r="F4314">
        <v>4</v>
      </c>
      <c r="G4314" t="s">
        <v>13</v>
      </c>
      <c r="H4314" s="1">
        <v>46009.561111111114</v>
      </c>
      <c r="I4314" s="5">
        <f>INT(TB[[#This Row],[时间戳]])</f>
        <v>46009</v>
      </c>
      <c r="J4314" s="2">
        <f>HOUR(TB[[#This Row],[时间戳]])</f>
        <v>13</v>
      </c>
      <c r="K4314">
        <v>583</v>
      </c>
      <c r="L4314">
        <v>2</v>
      </c>
      <c r="M4314">
        <f>TB[[#This Row],[售价]]*TB[[#This Row],[销量]]</f>
        <v>1166</v>
      </c>
      <c r="N4314" t="str">
        <f>IF(TB[[#This Row],[售价]]&lt;1000,"低价商品",IF(TB[[#This Row],[售价]]&lt;5000,"中价商品",IF(TB[[#This Row],[售价]]&lt;10000,"高价商品","超高价商品")))</f>
        <v>低价商品</v>
      </c>
    </row>
    <row r="4315" spans="1:14" x14ac:dyDescent="0.2">
      <c r="A4315">
        <v>747</v>
      </c>
      <c r="B4315">
        <v>116</v>
      </c>
      <c r="C4315" t="s">
        <v>32</v>
      </c>
      <c r="D4315" t="s">
        <v>107</v>
      </c>
      <c r="E4315" t="s">
        <v>31</v>
      </c>
      <c r="F4315">
        <v>4</v>
      </c>
      <c r="G4315" t="s">
        <v>13</v>
      </c>
      <c r="H4315" s="1">
        <v>46009.599305555559</v>
      </c>
      <c r="I4315" s="5">
        <f>INT(TB[[#This Row],[时间戳]])</f>
        <v>46009</v>
      </c>
      <c r="J4315" s="2">
        <f>HOUR(TB[[#This Row],[时间戳]])</f>
        <v>14</v>
      </c>
      <c r="K4315">
        <v>853</v>
      </c>
      <c r="L4315">
        <v>2</v>
      </c>
      <c r="M4315">
        <f>TB[[#This Row],[售价]]*TB[[#This Row],[销量]]</f>
        <v>1706</v>
      </c>
      <c r="N4315" t="str">
        <f>IF(TB[[#This Row],[售价]]&lt;1000,"低价商品",IF(TB[[#This Row],[售价]]&lt;5000,"中价商品",IF(TB[[#This Row],[售价]]&lt;10000,"高价商品","超高价商品")))</f>
        <v>低价商品</v>
      </c>
    </row>
    <row r="4316" spans="1:14" x14ac:dyDescent="0.2">
      <c r="A4316">
        <v>525</v>
      </c>
      <c r="B4316">
        <v>290</v>
      </c>
      <c r="C4316" t="s">
        <v>10</v>
      </c>
      <c r="D4316" t="s">
        <v>130</v>
      </c>
      <c r="E4316" t="s">
        <v>16</v>
      </c>
      <c r="F4316">
        <v>6</v>
      </c>
      <c r="G4316" t="s">
        <v>13</v>
      </c>
      <c r="H4316" s="1">
        <v>46009.664583333331</v>
      </c>
      <c r="I4316" s="5">
        <f>INT(TB[[#This Row],[时间戳]])</f>
        <v>46009</v>
      </c>
      <c r="J4316" s="2">
        <f>HOUR(TB[[#This Row],[时间戳]])</f>
        <v>15</v>
      </c>
      <c r="K4316">
        <v>9969</v>
      </c>
      <c r="L4316">
        <v>3</v>
      </c>
      <c r="M4316">
        <f>TB[[#This Row],[售价]]*TB[[#This Row],[销量]]</f>
        <v>29907</v>
      </c>
      <c r="N4316" t="str">
        <f>IF(TB[[#This Row],[售价]]&lt;1000,"低价商品",IF(TB[[#This Row],[售价]]&lt;5000,"中价商品",IF(TB[[#This Row],[售价]]&lt;10000,"高价商品","超高价商品")))</f>
        <v>高价商品</v>
      </c>
    </row>
    <row r="4317" spans="1:14" x14ac:dyDescent="0.2">
      <c r="A4317">
        <v>193</v>
      </c>
      <c r="B4317">
        <v>150</v>
      </c>
      <c r="C4317" t="s">
        <v>17</v>
      </c>
      <c r="D4317" t="s">
        <v>126</v>
      </c>
      <c r="E4317" t="s">
        <v>39</v>
      </c>
      <c r="F4317">
        <v>5</v>
      </c>
      <c r="G4317" t="s">
        <v>13</v>
      </c>
      <c r="H4317" s="1">
        <v>46009.668055555558</v>
      </c>
      <c r="I4317" s="5">
        <f>INT(TB[[#This Row],[时间戳]])</f>
        <v>46009</v>
      </c>
      <c r="J4317" s="2">
        <f>HOUR(TB[[#This Row],[时间戳]])</f>
        <v>16</v>
      </c>
      <c r="K4317">
        <v>1221</v>
      </c>
      <c r="L4317">
        <v>2</v>
      </c>
      <c r="M4317">
        <f>TB[[#This Row],[售价]]*TB[[#This Row],[销量]]</f>
        <v>2442</v>
      </c>
      <c r="N4317" t="str">
        <f>IF(TB[[#This Row],[售价]]&lt;1000,"低价商品",IF(TB[[#This Row],[售价]]&lt;5000,"中价商品",IF(TB[[#This Row],[售价]]&lt;10000,"高价商品","超高价商品")))</f>
        <v>中价商品</v>
      </c>
    </row>
    <row r="4318" spans="1:14" x14ac:dyDescent="0.2">
      <c r="A4318">
        <v>753</v>
      </c>
      <c r="B4318">
        <v>246</v>
      </c>
      <c r="C4318" t="s">
        <v>44</v>
      </c>
      <c r="D4318" t="s">
        <v>59</v>
      </c>
      <c r="E4318" t="s">
        <v>22</v>
      </c>
      <c r="F4318">
        <v>1</v>
      </c>
      <c r="G4318" t="s">
        <v>13</v>
      </c>
      <c r="H4318" s="1">
        <v>46009.691666666666</v>
      </c>
      <c r="I4318" s="5">
        <f>INT(TB[[#This Row],[时间戳]])</f>
        <v>46009</v>
      </c>
      <c r="J4318" s="2">
        <f>HOUR(TB[[#This Row],[时间戳]])</f>
        <v>16</v>
      </c>
      <c r="K4318">
        <v>3282</v>
      </c>
      <c r="L4318">
        <v>1</v>
      </c>
      <c r="M4318">
        <f>TB[[#This Row],[售价]]*TB[[#This Row],[销量]]</f>
        <v>3282</v>
      </c>
      <c r="N4318" t="str">
        <f>IF(TB[[#This Row],[售价]]&lt;1000,"低价商品",IF(TB[[#This Row],[售价]]&lt;5000,"中价商品",IF(TB[[#This Row],[售价]]&lt;10000,"高价商品","超高价商品")))</f>
        <v>中价商品</v>
      </c>
    </row>
    <row r="4319" spans="1:14" x14ac:dyDescent="0.2">
      <c r="A4319">
        <v>607</v>
      </c>
      <c r="B4319">
        <v>204</v>
      </c>
      <c r="C4319" t="s">
        <v>17</v>
      </c>
      <c r="D4319" t="s">
        <v>285</v>
      </c>
      <c r="E4319" t="s">
        <v>25</v>
      </c>
      <c r="F4319">
        <v>7</v>
      </c>
      <c r="G4319" t="s">
        <v>13</v>
      </c>
      <c r="H4319" s="1">
        <v>46009.692361111112</v>
      </c>
      <c r="I4319" s="5">
        <f>INT(TB[[#This Row],[时间戳]])</f>
        <v>46009</v>
      </c>
      <c r="J4319" s="2">
        <f>HOUR(TB[[#This Row],[时间戳]])</f>
        <v>16</v>
      </c>
      <c r="K4319">
        <v>5306</v>
      </c>
      <c r="L4319">
        <v>1</v>
      </c>
      <c r="M4319">
        <f>TB[[#This Row],[售价]]*TB[[#This Row],[销量]]</f>
        <v>5306</v>
      </c>
      <c r="N4319" t="str">
        <f>IF(TB[[#This Row],[售价]]&lt;1000,"低价商品",IF(TB[[#This Row],[售价]]&lt;5000,"中价商品",IF(TB[[#This Row],[售价]]&lt;10000,"高价商品","超高价商品")))</f>
        <v>高价商品</v>
      </c>
    </row>
    <row r="4320" spans="1:14" x14ac:dyDescent="0.2">
      <c r="A4320">
        <v>215</v>
      </c>
      <c r="B4320">
        <v>203</v>
      </c>
      <c r="C4320" t="s">
        <v>36</v>
      </c>
      <c r="D4320" t="s">
        <v>151</v>
      </c>
      <c r="E4320" t="s">
        <v>25</v>
      </c>
      <c r="F4320">
        <v>7</v>
      </c>
      <c r="G4320" t="s">
        <v>13</v>
      </c>
      <c r="H4320" s="1">
        <v>46009.70208333333</v>
      </c>
      <c r="I4320" s="5">
        <f>INT(TB[[#This Row],[时间戳]])</f>
        <v>46009</v>
      </c>
      <c r="J4320" s="2">
        <f>HOUR(TB[[#This Row],[时间戳]])</f>
        <v>16</v>
      </c>
      <c r="K4320">
        <v>6156</v>
      </c>
      <c r="L4320">
        <v>1</v>
      </c>
      <c r="M4320">
        <f>TB[[#This Row],[售价]]*TB[[#This Row],[销量]]</f>
        <v>6156</v>
      </c>
      <c r="N4320" t="str">
        <f>IF(TB[[#This Row],[售价]]&lt;1000,"低价商品",IF(TB[[#This Row],[售价]]&lt;5000,"中价商品",IF(TB[[#This Row],[售价]]&lt;10000,"高价商品","超高价商品")))</f>
        <v>高价商品</v>
      </c>
    </row>
    <row r="4321" spans="1:14" x14ac:dyDescent="0.2">
      <c r="A4321">
        <v>264</v>
      </c>
      <c r="B4321">
        <v>193</v>
      </c>
      <c r="C4321" t="s">
        <v>46</v>
      </c>
      <c r="D4321" t="s">
        <v>81</v>
      </c>
      <c r="E4321" t="s">
        <v>12</v>
      </c>
      <c r="F4321">
        <v>2</v>
      </c>
      <c r="G4321" t="s">
        <v>13</v>
      </c>
      <c r="H4321" s="1">
        <v>46009.715277777781</v>
      </c>
      <c r="I4321" s="5">
        <f>INT(TB[[#This Row],[时间戳]])</f>
        <v>46009</v>
      </c>
      <c r="J4321" s="2">
        <f>HOUR(TB[[#This Row],[时间戳]])</f>
        <v>17</v>
      </c>
      <c r="K4321">
        <v>6337</v>
      </c>
      <c r="L4321">
        <v>4</v>
      </c>
      <c r="M4321">
        <f>TB[[#This Row],[售价]]*TB[[#This Row],[销量]]</f>
        <v>25348</v>
      </c>
      <c r="N4321" t="str">
        <f>IF(TB[[#This Row],[售价]]&lt;1000,"低价商品",IF(TB[[#This Row],[售价]]&lt;5000,"中价商品",IF(TB[[#This Row],[售价]]&lt;10000,"高价商品","超高价商品")))</f>
        <v>高价商品</v>
      </c>
    </row>
    <row r="4322" spans="1:14" x14ac:dyDescent="0.2">
      <c r="A4322">
        <v>625</v>
      </c>
      <c r="B4322">
        <v>295</v>
      </c>
      <c r="C4322" t="s">
        <v>34</v>
      </c>
      <c r="D4322" t="s">
        <v>196</v>
      </c>
      <c r="E4322" t="s">
        <v>16</v>
      </c>
      <c r="F4322">
        <v>6</v>
      </c>
      <c r="G4322" t="s">
        <v>13</v>
      </c>
      <c r="H4322" s="1">
        <v>46009.731249999997</v>
      </c>
      <c r="I4322" s="5">
        <f>INT(TB[[#This Row],[时间戳]])</f>
        <v>46009</v>
      </c>
      <c r="J4322" s="2">
        <f>HOUR(TB[[#This Row],[时间戳]])</f>
        <v>17</v>
      </c>
      <c r="K4322">
        <v>8979</v>
      </c>
      <c r="L4322">
        <v>4</v>
      </c>
      <c r="M4322">
        <f>TB[[#This Row],[售价]]*TB[[#This Row],[销量]]</f>
        <v>35916</v>
      </c>
      <c r="N4322" t="str">
        <f>IF(TB[[#This Row],[售价]]&lt;1000,"低价商品",IF(TB[[#This Row],[售价]]&lt;5000,"中价商品",IF(TB[[#This Row],[售价]]&lt;10000,"高价商品","超高价商品")))</f>
        <v>高价商品</v>
      </c>
    </row>
    <row r="4323" spans="1:14" x14ac:dyDescent="0.2">
      <c r="A4323">
        <v>50</v>
      </c>
      <c r="B4323">
        <v>273</v>
      </c>
      <c r="C4323" t="s">
        <v>10</v>
      </c>
      <c r="D4323" t="s">
        <v>258</v>
      </c>
      <c r="E4323" t="s">
        <v>39</v>
      </c>
      <c r="F4323">
        <v>5</v>
      </c>
      <c r="G4323" t="s">
        <v>42</v>
      </c>
      <c r="H4323" s="1">
        <v>46009.781944444447</v>
      </c>
      <c r="I4323" s="5">
        <f>INT(TB[[#This Row],[时间戳]])</f>
        <v>46009</v>
      </c>
      <c r="J4323" s="2">
        <f>HOUR(TB[[#This Row],[时间戳]])</f>
        <v>18</v>
      </c>
      <c r="K4323">
        <v>3013</v>
      </c>
      <c r="L4323">
        <v>0</v>
      </c>
      <c r="M4323">
        <f>TB[[#This Row],[售价]]*TB[[#This Row],[销量]]</f>
        <v>0</v>
      </c>
      <c r="N4323" t="str">
        <f>IF(TB[[#This Row],[售价]]&lt;1000,"低价商品",IF(TB[[#This Row],[售价]]&lt;5000,"中价商品",IF(TB[[#This Row],[售价]]&lt;10000,"高价商品","超高价商品")))</f>
        <v>中价商品</v>
      </c>
    </row>
    <row r="4324" spans="1:14" x14ac:dyDescent="0.2">
      <c r="A4324">
        <v>234</v>
      </c>
      <c r="B4324">
        <v>296</v>
      </c>
      <c r="C4324" t="s">
        <v>34</v>
      </c>
      <c r="D4324" t="s">
        <v>57</v>
      </c>
      <c r="E4324" t="s">
        <v>12</v>
      </c>
      <c r="F4324">
        <v>2</v>
      </c>
      <c r="G4324" t="s">
        <v>13</v>
      </c>
      <c r="H4324" s="1">
        <v>46009.802777777775</v>
      </c>
      <c r="I4324" s="5">
        <f>INT(TB[[#This Row],[时间戳]])</f>
        <v>46009</v>
      </c>
      <c r="J4324" s="2">
        <f>HOUR(TB[[#This Row],[时间戳]])</f>
        <v>19</v>
      </c>
      <c r="K4324">
        <v>13840</v>
      </c>
      <c r="L4324">
        <v>3</v>
      </c>
      <c r="M4324">
        <f>TB[[#This Row],[售价]]*TB[[#This Row],[销量]]</f>
        <v>41520</v>
      </c>
      <c r="N4324" t="str">
        <f>IF(TB[[#This Row],[售价]]&lt;1000,"低价商品",IF(TB[[#This Row],[售价]]&lt;5000,"中价商品",IF(TB[[#This Row],[售价]]&lt;10000,"高价商品","超高价商品")))</f>
        <v>超高价商品</v>
      </c>
    </row>
    <row r="4325" spans="1:14" x14ac:dyDescent="0.2">
      <c r="A4325">
        <v>726</v>
      </c>
      <c r="B4325">
        <v>175</v>
      </c>
      <c r="C4325" t="s">
        <v>32</v>
      </c>
      <c r="D4325" t="s">
        <v>368</v>
      </c>
      <c r="E4325" t="s">
        <v>16</v>
      </c>
      <c r="F4325">
        <v>6</v>
      </c>
      <c r="G4325" t="s">
        <v>13</v>
      </c>
      <c r="H4325" s="1">
        <v>46009.814583333333</v>
      </c>
      <c r="I4325" s="5">
        <f>INT(TB[[#This Row],[时间戳]])</f>
        <v>46009</v>
      </c>
      <c r="J4325" s="2">
        <f>HOUR(TB[[#This Row],[时间戳]])</f>
        <v>19</v>
      </c>
      <c r="K4325">
        <v>2349</v>
      </c>
      <c r="L4325">
        <v>2</v>
      </c>
      <c r="M4325">
        <f>TB[[#This Row],[售价]]*TB[[#This Row],[销量]]</f>
        <v>4698</v>
      </c>
      <c r="N4325" t="str">
        <f>IF(TB[[#This Row],[售价]]&lt;1000,"低价商品",IF(TB[[#This Row],[售价]]&lt;5000,"中价商品",IF(TB[[#This Row],[售价]]&lt;10000,"高价商品","超高价商品")))</f>
        <v>中价商品</v>
      </c>
    </row>
    <row r="4326" spans="1:14" x14ac:dyDescent="0.2">
      <c r="A4326">
        <v>609</v>
      </c>
      <c r="B4326">
        <v>210</v>
      </c>
      <c r="C4326" t="s">
        <v>14</v>
      </c>
      <c r="D4326" t="s">
        <v>178</v>
      </c>
      <c r="E4326" t="s">
        <v>12</v>
      </c>
      <c r="F4326">
        <v>2</v>
      </c>
      <c r="G4326" t="s">
        <v>13</v>
      </c>
      <c r="H4326" s="1">
        <v>46009.845138888886</v>
      </c>
      <c r="I4326" s="5">
        <f>INT(TB[[#This Row],[时间戳]])</f>
        <v>46009</v>
      </c>
      <c r="J4326" s="2">
        <f>HOUR(TB[[#This Row],[时间戳]])</f>
        <v>20</v>
      </c>
      <c r="K4326">
        <v>6530</v>
      </c>
      <c r="L4326">
        <v>2</v>
      </c>
      <c r="M4326">
        <f>TB[[#This Row],[售价]]*TB[[#This Row],[销量]]</f>
        <v>13060</v>
      </c>
      <c r="N4326" t="str">
        <f>IF(TB[[#This Row],[售价]]&lt;1000,"低价商品",IF(TB[[#This Row],[售价]]&lt;5000,"中价商品",IF(TB[[#This Row],[售价]]&lt;10000,"高价商品","超高价商品")))</f>
        <v>高价商品</v>
      </c>
    </row>
    <row r="4327" spans="1:14" x14ac:dyDescent="0.2">
      <c r="A4327">
        <v>175</v>
      </c>
      <c r="B4327">
        <v>151</v>
      </c>
      <c r="C4327" t="s">
        <v>36</v>
      </c>
      <c r="D4327" t="s">
        <v>210</v>
      </c>
      <c r="E4327" t="s">
        <v>31</v>
      </c>
      <c r="F4327">
        <v>4</v>
      </c>
      <c r="G4327" t="s">
        <v>13</v>
      </c>
      <c r="H4327" s="1">
        <v>46009.900694444441</v>
      </c>
      <c r="I4327" s="5">
        <f>INT(TB[[#This Row],[时间戳]])</f>
        <v>46009</v>
      </c>
      <c r="J4327" s="2">
        <f>HOUR(TB[[#This Row],[时间戳]])</f>
        <v>21</v>
      </c>
      <c r="K4327">
        <v>1475</v>
      </c>
      <c r="L4327">
        <v>1</v>
      </c>
      <c r="M4327">
        <f>TB[[#This Row],[售价]]*TB[[#This Row],[销量]]</f>
        <v>1475</v>
      </c>
      <c r="N4327" t="str">
        <f>IF(TB[[#This Row],[售价]]&lt;1000,"低价商品",IF(TB[[#This Row],[售价]]&lt;5000,"中价商品",IF(TB[[#This Row],[售价]]&lt;10000,"高价商品","超高价商品")))</f>
        <v>中价商品</v>
      </c>
    </row>
    <row r="4328" spans="1:14" x14ac:dyDescent="0.2">
      <c r="A4328">
        <v>305</v>
      </c>
      <c r="B4328">
        <v>235</v>
      </c>
      <c r="C4328" t="s">
        <v>20</v>
      </c>
      <c r="D4328" t="s">
        <v>355</v>
      </c>
      <c r="E4328" t="s">
        <v>39</v>
      </c>
      <c r="F4328">
        <v>5</v>
      </c>
      <c r="G4328" t="s">
        <v>13</v>
      </c>
      <c r="H4328" s="1">
        <v>46009.900694444441</v>
      </c>
      <c r="I4328" s="5">
        <f>INT(TB[[#This Row],[时间戳]])</f>
        <v>46009</v>
      </c>
      <c r="J4328" s="2">
        <f>HOUR(TB[[#This Row],[时间戳]])</f>
        <v>21</v>
      </c>
      <c r="K4328">
        <v>2337</v>
      </c>
      <c r="L4328">
        <v>3</v>
      </c>
      <c r="M4328">
        <f>TB[[#This Row],[售价]]*TB[[#This Row],[销量]]</f>
        <v>7011</v>
      </c>
      <c r="N4328" t="str">
        <f>IF(TB[[#This Row],[售价]]&lt;1000,"低价商品",IF(TB[[#This Row],[售价]]&lt;5000,"中价商品",IF(TB[[#This Row],[售价]]&lt;10000,"高价商品","超高价商品")))</f>
        <v>中价商品</v>
      </c>
    </row>
    <row r="4329" spans="1:14" x14ac:dyDescent="0.2">
      <c r="A4329">
        <v>575</v>
      </c>
      <c r="B4329">
        <v>190</v>
      </c>
      <c r="C4329" t="s">
        <v>44</v>
      </c>
      <c r="D4329" t="s">
        <v>415</v>
      </c>
      <c r="E4329" t="s">
        <v>39</v>
      </c>
      <c r="F4329">
        <v>5</v>
      </c>
      <c r="G4329" t="s">
        <v>13</v>
      </c>
      <c r="H4329" s="1">
        <v>46009.975694444445</v>
      </c>
      <c r="I4329" s="5">
        <f>INT(TB[[#This Row],[时间戳]])</f>
        <v>46009</v>
      </c>
      <c r="J4329" s="2">
        <f>HOUR(TB[[#This Row],[时间戳]])</f>
        <v>23</v>
      </c>
      <c r="K4329">
        <v>3176</v>
      </c>
      <c r="L4329">
        <v>5</v>
      </c>
      <c r="M4329">
        <f>TB[[#This Row],[售价]]*TB[[#This Row],[销量]]</f>
        <v>15880</v>
      </c>
      <c r="N4329" t="str">
        <f>IF(TB[[#This Row],[售价]]&lt;1000,"低价商品",IF(TB[[#This Row],[售价]]&lt;5000,"中价商品",IF(TB[[#This Row],[售价]]&lt;10000,"高价商品","超高价商品")))</f>
        <v>中价商品</v>
      </c>
    </row>
    <row r="4330" spans="1:14" x14ac:dyDescent="0.2">
      <c r="A4330">
        <v>773</v>
      </c>
      <c r="B4330">
        <v>267</v>
      </c>
      <c r="C4330" t="s">
        <v>46</v>
      </c>
      <c r="D4330" t="s">
        <v>303</v>
      </c>
      <c r="E4330" t="s">
        <v>19</v>
      </c>
      <c r="F4330">
        <v>3</v>
      </c>
      <c r="G4330" t="s">
        <v>13</v>
      </c>
      <c r="H4330" s="1">
        <v>46009.977083333331</v>
      </c>
      <c r="I4330" s="5">
        <f>INT(TB[[#This Row],[时间戳]])</f>
        <v>46009</v>
      </c>
      <c r="J4330" s="2">
        <f>HOUR(TB[[#This Row],[时间戳]])</f>
        <v>23</v>
      </c>
      <c r="K4330">
        <v>5484</v>
      </c>
      <c r="L4330">
        <v>2</v>
      </c>
      <c r="M4330">
        <f>TB[[#This Row],[售价]]*TB[[#This Row],[销量]]</f>
        <v>10968</v>
      </c>
      <c r="N4330" t="str">
        <f>IF(TB[[#This Row],[售价]]&lt;1000,"低价商品",IF(TB[[#This Row],[售价]]&lt;5000,"中价商品",IF(TB[[#This Row],[售价]]&lt;10000,"高价商品","超高价商品")))</f>
        <v>高价商品</v>
      </c>
    </row>
    <row r="4331" spans="1:14" x14ac:dyDescent="0.2">
      <c r="A4331">
        <v>53</v>
      </c>
      <c r="B4331">
        <v>92</v>
      </c>
      <c r="C4331" t="s">
        <v>14</v>
      </c>
      <c r="D4331" t="s">
        <v>29</v>
      </c>
      <c r="E4331" t="s">
        <v>22</v>
      </c>
      <c r="F4331">
        <v>1</v>
      </c>
      <c r="G4331" t="s">
        <v>13</v>
      </c>
      <c r="H4331" s="1">
        <v>46010.008333333331</v>
      </c>
      <c r="I4331" s="5">
        <f>INT(TB[[#This Row],[时间戳]])</f>
        <v>46010</v>
      </c>
      <c r="J4331" s="2">
        <f>HOUR(TB[[#This Row],[时间戳]])</f>
        <v>0</v>
      </c>
      <c r="K4331">
        <v>2100</v>
      </c>
      <c r="L4331">
        <v>1</v>
      </c>
      <c r="M4331">
        <f>TB[[#This Row],[售价]]*TB[[#This Row],[销量]]</f>
        <v>2100</v>
      </c>
      <c r="N4331" t="str">
        <f>IF(TB[[#This Row],[售价]]&lt;1000,"低价商品",IF(TB[[#This Row],[售价]]&lt;5000,"中价商品",IF(TB[[#This Row],[售价]]&lt;10000,"高价商品","超高价商品")))</f>
        <v>中价商品</v>
      </c>
    </row>
    <row r="4332" spans="1:14" x14ac:dyDescent="0.2">
      <c r="A4332">
        <v>598</v>
      </c>
      <c r="B4332">
        <v>237</v>
      </c>
      <c r="C4332" t="s">
        <v>44</v>
      </c>
      <c r="D4332" t="s">
        <v>236</v>
      </c>
      <c r="E4332" t="s">
        <v>12</v>
      </c>
      <c r="F4332">
        <v>2</v>
      </c>
      <c r="G4332" t="s">
        <v>13</v>
      </c>
      <c r="H4332" s="1">
        <v>46010.013888888891</v>
      </c>
      <c r="I4332" s="5">
        <f>INT(TB[[#This Row],[时间戳]])</f>
        <v>46010</v>
      </c>
      <c r="J4332" s="2">
        <f>HOUR(TB[[#This Row],[时间戳]])</f>
        <v>0</v>
      </c>
      <c r="K4332">
        <v>6186</v>
      </c>
      <c r="L4332">
        <v>1</v>
      </c>
      <c r="M4332">
        <f>TB[[#This Row],[售价]]*TB[[#This Row],[销量]]</f>
        <v>6186</v>
      </c>
      <c r="N4332" t="str">
        <f>IF(TB[[#This Row],[售价]]&lt;1000,"低价商品",IF(TB[[#This Row],[售价]]&lt;5000,"中价商品",IF(TB[[#This Row],[售价]]&lt;10000,"高价商品","超高价商品")))</f>
        <v>高价商品</v>
      </c>
    </row>
    <row r="4333" spans="1:14" x14ac:dyDescent="0.2">
      <c r="A4333">
        <v>679</v>
      </c>
      <c r="B4333">
        <v>38</v>
      </c>
      <c r="C4333" t="s">
        <v>46</v>
      </c>
      <c r="D4333" t="s">
        <v>121</v>
      </c>
      <c r="E4333" t="s">
        <v>25</v>
      </c>
      <c r="F4333">
        <v>7</v>
      </c>
      <c r="G4333" t="s">
        <v>13</v>
      </c>
      <c r="H4333" s="1">
        <v>46010.01666666667</v>
      </c>
      <c r="I4333" s="5">
        <f>INT(TB[[#This Row],[时间戳]])</f>
        <v>46010</v>
      </c>
      <c r="J4333" s="2">
        <f>HOUR(TB[[#This Row],[时间戳]])</f>
        <v>0</v>
      </c>
      <c r="K4333">
        <v>7564</v>
      </c>
      <c r="L4333">
        <v>2</v>
      </c>
      <c r="M4333">
        <f>TB[[#This Row],[售价]]*TB[[#This Row],[销量]]</f>
        <v>15128</v>
      </c>
      <c r="N4333" t="str">
        <f>IF(TB[[#This Row],[售价]]&lt;1000,"低价商品",IF(TB[[#This Row],[售价]]&lt;5000,"中价商品",IF(TB[[#This Row],[售价]]&lt;10000,"高价商品","超高价商品")))</f>
        <v>高价商品</v>
      </c>
    </row>
    <row r="4334" spans="1:14" x14ac:dyDescent="0.2">
      <c r="A4334">
        <v>193</v>
      </c>
      <c r="B4334">
        <v>232</v>
      </c>
      <c r="C4334" t="s">
        <v>20</v>
      </c>
      <c r="D4334" t="s">
        <v>412</v>
      </c>
      <c r="E4334" t="s">
        <v>12</v>
      </c>
      <c r="F4334">
        <v>2</v>
      </c>
      <c r="G4334" t="s">
        <v>13</v>
      </c>
      <c r="H4334" s="1">
        <v>46010.027083333334</v>
      </c>
      <c r="I4334" s="5">
        <f>INT(TB[[#This Row],[时间戳]])</f>
        <v>46010</v>
      </c>
      <c r="J4334" s="2">
        <f>HOUR(TB[[#This Row],[时间戳]])</f>
        <v>0</v>
      </c>
      <c r="K4334">
        <v>6208</v>
      </c>
      <c r="L4334">
        <v>3</v>
      </c>
      <c r="M4334">
        <f>TB[[#This Row],[售价]]*TB[[#This Row],[销量]]</f>
        <v>18624</v>
      </c>
      <c r="N4334" t="str">
        <f>IF(TB[[#This Row],[售价]]&lt;1000,"低价商品",IF(TB[[#This Row],[售价]]&lt;5000,"中价商品",IF(TB[[#This Row],[售价]]&lt;10000,"高价商品","超高价商品")))</f>
        <v>高价商品</v>
      </c>
    </row>
    <row r="4335" spans="1:14" x14ac:dyDescent="0.2">
      <c r="A4335">
        <v>769</v>
      </c>
      <c r="B4335">
        <v>298</v>
      </c>
      <c r="C4335" t="s">
        <v>10</v>
      </c>
      <c r="D4335" t="s">
        <v>241</v>
      </c>
      <c r="E4335" t="s">
        <v>12</v>
      </c>
      <c r="F4335">
        <v>2</v>
      </c>
      <c r="G4335" t="s">
        <v>13</v>
      </c>
      <c r="H4335" s="1">
        <v>46010.046527777777</v>
      </c>
      <c r="I4335" s="5">
        <f>INT(TB[[#This Row],[时间戳]])</f>
        <v>46010</v>
      </c>
      <c r="J4335" s="2">
        <f>HOUR(TB[[#This Row],[时间戳]])</f>
        <v>1</v>
      </c>
      <c r="K4335">
        <v>5378</v>
      </c>
      <c r="L4335">
        <v>3</v>
      </c>
      <c r="M4335">
        <f>TB[[#This Row],[售价]]*TB[[#This Row],[销量]]</f>
        <v>16134</v>
      </c>
      <c r="N4335" t="str">
        <f>IF(TB[[#This Row],[售价]]&lt;1000,"低价商品",IF(TB[[#This Row],[售价]]&lt;5000,"中价商品",IF(TB[[#This Row],[售价]]&lt;10000,"高价商品","超高价商品")))</f>
        <v>高价商品</v>
      </c>
    </row>
    <row r="4336" spans="1:14" x14ac:dyDescent="0.2">
      <c r="A4336">
        <v>102</v>
      </c>
      <c r="B4336">
        <v>137</v>
      </c>
      <c r="C4336" t="s">
        <v>36</v>
      </c>
      <c r="D4336" t="s">
        <v>377</v>
      </c>
      <c r="E4336" t="s">
        <v>12</v>
      </c>
      <c r="F4336">
        <v>2</v>
      </c>
      <c r="G4336" t="s">
        <v>42</v>
      </c>
      <c r="H4336" s="1">
        <v>46010.055555555555</v>
      </c>
      <c r="I4336" s="5">
        <f>INT(TB[[#This Row],[时间戳]])</f>
        <v>46010</v>
      </c>
      <c r="J4336" s="2">
        <f>HOUR(TB[[#This Row],[时间戳]])</f>
        <v>1</v>
      </c>
      <c r="K4336">
        <v>12622</v>
      </c>
      <c r="L4336">
        <v>0</v>
      </c>
      <c r="M4336">
        <f>TB[[#This Row],[售价]]*TB[[#This Row],[销量]]</f>
        <v>0</v>
      </c>
      <c r="N4336" t="str">
        <f>IF(TB[[#This Row],[售价]]&lt;1000,"低价商品",IF(TB[[#This Row],[售价]]&lt;5000,"中价商品",IF(TB[[#This Row],[售价]]&lt;10000,"高价商品","超高价商品")))</f>
        <v>超高价商品</v>
      </c>
    </row>
    <row r="4337" spans="1:14" x14ac:dyDescent="0.2">
      <c r="A4337">
        <v>536</v>
      </c>
      <c r="B4337">
        <v>201</v>
      </c>
      <c r="C4337" t="s">
        <v>44</v>
      </c>
      <c r="D4337" t="s">
        <v>70</v>
      </c>
      <c r="E4337" t="s">
        <v>12</v>
      </c>
      <c r="F4337">
        <v>2</v>
      </c>
      <c r="G4337" t="s">
        <v>13</v>
      </c>
      <c r="H4337" s="1">
        <v>46010.056250000001</v>
      </c>
      <c r="I4337" s="5">
        <f>INT(TB[[#This Row],[时间戳]])</f>
        <v>46010</v>
      </c>
      <c r="J4337" s="2">
        <f>HOUR(TB[[#This Row],[时间戳]])</f>
        <v>1</v>
      </c>
      <c r="K4337">
        <v>7393</v>
      </c>
      <c r="L4337">
        <v>2</v>
      </c>
      <c r="M4337">
        <f>TB[[#This Row],[售价]]*TB[[#This Row],[销量]]</f>
        <v>14786</v>
      </c>
      <c r="N4337" t="str">
        <f>IF(TB[[#This Row],[售价]]&lt;1000,"低价商品",IF(TB[[#This Row],[售价]]&lt;5000,"中价商品",IF(TB[[#This Row],[售价]]&lt;10000,"高价商品","超高价商品")))</f>
        <v>高价商品</v>
      </c>
    </row>
    <row r="4338" spans="1:14" x14ac:dyDescent="0.2">
      <c r="A4338">
        <v>744</v>
      </c>
      <c r="B4338">
        <v>112</v>
      </c>
      <c r="C4338" t="s">
        <v>14</v>
      </c>
      <c r="D4338" t="s">
        <v>186</v>
      </c>
      <c r="E4338" t="s">
        <v>25</v>
      </c>
      <c r="F4338">
        <v>7</v>
      </c>
      <c r="G4338" t="s">
        <v>42</v>
      </c>
      <c r="H4338" s="1">
        <v>46010.072916666664</v>
      </c>
      <c r="I4338" s="5">
        <f>INT(TB[[#This Row],[时间戳]])</f>
        <v>46010</v>
      </c>
      <c r="J4338" s="2">
        <f>HOUR(TB[[#This Row],[时间戳]])</f>
        <v>1</v>
      </c>
      <c r="K4338">
        <v>5640</v>
      </c>
      <c r="L4338">
        <v>0</v>
      </c>
      <c r="M4338">
        <f>TB[[#This Row],[售价]]*TB[[#This Row],[销量]]</f>
        <v>0</v>
      </c>
      <c r="N4338" t="str">
        <f>IF(TB[[#This Row],[售价]]&lt;1000,"低价商品",IF(TB[[#This Row],[售价]]&lt;5000,"中价商品",IF(TB[[#This Row],[售价]]&lt;10000,"高价商品","超高价商品")))</f>
        <v>高价商品</v>
      </c>
    </row>
    <row r="4339" spans="1:14" x14ac:dyDescent="0.2">
      <c r="A4339">
        <v>515</v>
      </c>
      <c r="B4339">
        <v>175</v>
      </c>
      <c r="C4339" t="s">
        <v>32</v>
      </c>
      <c r="D4339" t="s">
        <v>313</v>
      </c>
      <c r="E4339" t="s">
        <v>39</v>
      </c>
      <c r="F4339">
        <v>5</v>
      </c>
      <c r="G4339" t="s">
        <v>13</v>
      </c>
      <c r="H4339" s="1">
        <v>46010.115972222222</v>
      </c>
      <c r="I4339" s="5">
        <f>INT(TB[[#This Row],[时间戳]])</f>
        <v>46010</v>
      </c>
      <c r="J4339" s="2">
        <f>HOUR(TB[[#This Row],[时间戳]])</f>
        <v>2</v>
      </c>
      <c r="K4339">
        <v>3229</v>
      </c>
      <c r="L4339">
        <v>2</v>
      </c>
      <c r="M4339">
        <f>TB[[#This Row],[售价]]*TB[[#This Row],[销量]]</f>
        <v>6458</v>
      </c>
      <c r="N4339" t="str">
        <f>IF(TB[[#This Row],[售价]]&lt;1000,"低价商品",IF(TB[[#This Row],[售价]]&lt;5000,"中价商品",IF(TB[[#This Row],[售价]]&lt;10000,"高价商品","超高价商品")))</f>
        <v>中价商品</v>
      </c>
    </row>
    <row r="4340" spans="1:14" x14ac:dyDescent="0.2">
      <c r="A4340">
        <v>794</v>
      </c>
      <c r="B4340">
        <v>42</v>
      </c>
      <c r="C4340" t="s">
        <v>20</v>
      </c>
      <c r="D4340" t="s">
        <v>72</v>
      </c>
      <c r="E4340" t="s">
        <v>25</v>
      </c>
      <c r="F4340">
        <v>7</v>
      </c>
      <c r="G4340" t="s">
        <v>13</v>
      </c>
      <c r="H4340" s="1">
        <v>46010.125</v>
      </c>
      <c r="I4340" s="5">
        <f>INT(TB[[#This Row],[时间戳]])</f>
        <v>46010</v>
      </c>
      <c r="J4340" s="2">
        <f>HOUR(TB[[#This Row],[时间戳]])</f>
        <v>3</v>
      </c>
      <c r="K4340">
        <v>7682</v>
      </c>
      <c r="L4340">
        <v>2</v>
      </c>
      <c r="M4340">
        <f>TB[[#This Row],[售价]]*TB[[#This Row],[销量]]</f>
        <v>15364</v>
      </c>
      <c r="N4340" t="str">
        <f>IF(TB[[#This Row],[售价]]&lt;1000,"低价商品",IF(TB[[#This Row],[售价]]&lt;5000,"中价商品",IF(TB[[#This Row],[售价]]&lt;10000,"高价商品","超高价商品")))</f>
        <v>高价商品</v>
      </c>
    </row>
    <row r="4341" spans="1:14" x14ac:dyDescent="0.2">
      <c r="A4341">
        <v>552</v>
      </c>
      <c r="B4341">
        <v>41</v>
      </c>
      <c r="C4341" t="s">
        <v>46</v>
      </c>
      <c r="D4341" t="s">
        <v>211</v>
      </c>
      <c r="E4341" t="s">
        <v>31</v>
      </c>
      <c r="F4341">
        <v>4</v>
      </c>
      <c r="G4341" t="s">
        <v>42</v>
      </c>
      <c r="H4341" s="1">
        <v>46010.129166666666</v>
      </c>
      <c r="I4341" s="5">
        <f>INT(TB[[#This Row],[时间戳]])</f>
        <v>46010</v>
      </c>
      <c r="J4341" s="2">
        <f>HOUR(TB[[#This Row],[时间戳]])</f>
        <v>3</v>
      </c>
      <c r="K4341">
        <v>1158</v>
      </c>
      <c r="L4341">
        <v>0</v>
      </c>
      <c r="M4341">
        <f>TB[[#This Row],[售价]]*TB[[#This Row],[销量]]</f>
        <v>0</v>
      </c>
      <c r="N4341" t="str">
        <f>IF(TB[[#This Row],[售价]]&lt;1000,"低价商品",IF(TB[[#This Row],[售价]]&lt;5000,"中价商品",IF(TB[[#This Row],[售价]]&lt;10000,"高价商品","超高价商品")))</f>
        <v>中价商品</v>
      </c>
    </row>
    <row r="4342" spans="1:14" x14ac:dyDescent="0.2">
      <c r="A4342">
        <v>24</v>
      </c>
      <c r="B4342">
        <v>294</v>
      </c>
      <c r="C4342" t="s">
        <v>46</v>
      </c>
      <c r="D4342" t="s">
        <v>180</v>
      </c>
      <c r="E4342" t="s">
        <v>31</v>
      </c>
      <c r="F4342">
        <v>4</v>
      </c>
      <c r="G4342" t="s">
        <v>13</v>
      </c>
      <c r="H4342" s="1">
        <v>46010.140277777777</v>
      </c>
      <c r="I4342" s="5">
        <f>INT(TB[[#This Row],[时间戳]])</f>
        <v>46010</v>
      </c>
      <c r="J4342" s="2">
        <f>HOUR(TB[[#This Row],[时间戳]])</f>
        <v>3</v>
      </c>
      <c r="K4342">
        <v>585</v>
      </c>
      <c r="L4342">
        <v>1</v>
      </c>
      <c r="M4342">
        <f>TB[[#This Row],[售价]]*TB[[#This Row],[销量]]</f>
        <v>585</v>
      </c>
      <c r="N4342" t="str">
        <f>IF(TB[[#This Row],[售价]]&lt;1000,"低价商品",IF(TB[[#This Row],[售价]]&lt;5000,"中价商品",IF(TB[[#This Row],[售价]]&lt;10000,"高价商品","超高价商品")))</f>
        <v>低价商品</v>
      </c>
    </row>
    <row r="4343" spans="1:14" x14ac:dyDescent="0.2">
      <c r="A4343">
        <v>480</v>
      </c>
      <c r="B4343">
        <v>296</v>
      </c>
      <c r="C4343" t="s">
        <v>14</v>
      </c>
      <c r="D4343" t="s">
        <v>280</v>
      </c>
      <c r="E4343" t="s">
        <v>12</v>
      </c>
      <c r="F4343">
        <v>2</v>
      </c>
      <c r="G4343" t="s">
        <v>42</v>
      </c>
      <c r="H4343" s="1">
        <v>46010.140972222223</v>
      </c>
      <c r="I4343" s="5">
        <f>INT(TB[[#This Row],[时间戳]])</f>
        <v>46010</v>
      </c>
      <c r="J4343" s="2">
        <f>HOUR(TB[[#This Row],[时间戳]])</f>
        <v>3</v>
      </c>
      <c r="K4343">
        <v>14211</v>
      </c>
      <c r="L4343">
        <v>0</v>
      </c>
      <c r="M4343">
        <f>TB[[#This Row],[售价]]*TB[[#This Row],[销量]]</f>
        <v>0</v>
      </c>
      <c r="N4343" t="str">
        <f>IF(TB[[#This Row],[售价]]&lt;1000,"低价商品",IF(TB[[#This Row],[售价]]&lt;5000,"中价商品",IF(TB[[#This Row],[售价]]&lt;10000,"高价商品","超高价商品")))</f>
        <v>超高价商品</v>
      </c>
    </row>
    <row r="4344" spans="1:14" x14ac:dyDescent="0.2">
      <c r="A4344">
        <v>574</v>
      </c>
      <c r="B4344">
        <v>218</v>
      </c>
      <c r="C4344" t="s">
        <v>34</v>
      </c>
      <c r="D4344" t="s">
        <v>308</v>
      </c>
      <c r="E4344" t="s">
        <v>25</v>
      </c>
      <c r="F4344">
        <v>7</v>
      </c>
      <c r="G4344" t="s">
        <v>42</v>
      </c>
      <c r="H4344" s="1">
        <v>46010.172222222223</v>
      </c>
      <c r="I4344" s="5">
        <f>INT(TB[[#This Row],[时间戳]])</f>
        <v>46010</v>
      </c>
      <c r="J4344" s="2">
        <f>HOUR(TB[[#This Row],[时间戳]])</f>
        <v>4</v>
      </c>
      <c r="K4344">
        <v>1873</v>
      </c>
      <c r="L4344">
        <v>0</v>
      </c>
      <c r="M4344">
        <f>TB[[#This Row],[售价]]*TB[[#This Row],[销量]]</f>
        <v>0</v>
      </c>
      <c r="N4344" t="str">
        <f>IF(TB[[#This Row],[售价]]&lt;1000,"低价商品",IF(TB[[#This Row],[售价]]&lt;5000,"中价商品",IF(TB[[#This Row],[售价]]&lt;10000,"高价商品","超高价商品")))</f>
        <v>中价商品</v>
      </c>
    </row>
    <row r="4345" spans="1:14" x14ac:dyDescent="0.2">
      <c r="A4345">
        <v>383</v>
      </c>
      <c r="B4345">
        <v>46</v>
      </c>
      <c r="C4345" t="s">
        <v>32</v>
      </c>
      <c r="D4345" t="s">
        <v>38</v>
      </c>
      <c r="E4345" t="s">
        <v>39</v>
      </c>
      <c r="F4345">
        <v>5</v>
      </c>
      <c r="G4345" t="s">
        <v>13</v>
      </c>
      <c r="H4345" s="1">
        <v>46010.204861111109</v>
      </c>
      <c r="I4345" s="5">
        <f>INT(TB[[#This Row],[时间戳]])</f>
        <v>46010</v>
      </c>
      <c r="J4345" s="2">
        <f>HOUR(TB[[#This Row],[时间戳]])</f>
        <v>4</v>
      </c>
      <c r="K4345">
        <v>2631</v>
      </c>
      <c r="L4345">
        <v>3</v>
      </c>
      <c r="M4345">
        <f>TB[[#This Row],[售价]]*TB[[#This Row],[销量]]</f>
        <v>7893</v>
      </c>
      <c r="N4345" t="str">
        <f>IF(TB[[#This Row],[售价]]&lt;1000,"低价商品",IF(TB[[#This Row],[售价]]&lt;5000,"中价商品",IF(TB[[#This Row],[售价]]&lt;10000,"高价商品","超高价商品")))</f>
        <v>中价商品</v>
      </c>
    </row>
    <row r="4346" spans="1:14" x14ac:dyDescent="0.2">
      <c r="A4346">
        <v>769</v>
      </c>
      <c r="B4346">
        <v>11</v>
      </c>
      <c r="C4346" t="s">
        <v>20</v>
      </c>
      <c r="D4346" t="s">
        <v>230</v>
      </c>
      <c r="E4346" t="s">
        <v>19</v>
      </c>
      <c r="F4346">
        <v>3</v>
      </c>
      <c r="G4346" t="s">
        <v>13</v>
      </c>
      <c r="H4346" s="1">
        <v>46010.220833333333</v>
      </c>
      <c r="I4346" s="5">
        <f>INT(TB[[#This Row],[时间戳]])</f>
        <v>46010</v>
      </c>
      <c r="J4346" s="2">
        <f>HOUR(TB[[#This Row],[时间戳]])</f>
        <v>5</v>
      </c>
      <c r="K4346">
        <v>4245</v>
      </c>
      <c r="L4346">
        <v>1</v>
      </c>
      <c r="M4346">
        <f>TB[[#This Row],[售价]]*TB[[#This Row],[销量]]</f>
        <v>4245</v>
      </c>
      <c r="N4346" t="str">
        <f>IF(TB[[#This Row],[售价]]&lt;1000,"低价商品",IF(TB[[#This Row],[售价]]&lt;5000,"中价商品",IF(TB[[#This Row],[售价]]&lt;10000,"高价商品","超高价商品")))</f>
        <v>中价商品</v>
      </c>
    </row>
    <row r="4347" spans="1:14" x14ac:dyDescent="0.2">
      <c r="A4347">
        <v>327</v>
      </c>
      <c r="B4347">
        <v>100</v>
      </c>
      <c r="C4347" t="s">
        <v>10</v>
      </c>
      <c r="D4347" t="s">
        <v>11</v>
      </c>
      <c r="E4347" t="s">
        <v>12</v>
      </c>
      <c r="F4347">
        <v>2</v>
      </c>
      <c r="G4347" t="s">
        <v>13</v>
      </c>
      <c r="H4347" s="1">
        <v>46010.229166666664</v>
      </c>
      <c r="I4347" s="5">
        <f>INT(TB[[#This Row],[时间戳]])</f>
        <v>46010</v>
      </c>
      <c r="J4347" s="2">
        <f>HOUR(TB[[#This Row],[时间戳]])</f>
        <v>5</v>
      </c>
      <c r="K4347">
        <v>11796</v>
      </c>
      <c r="L4347">
        <v>3</v>
      </c>
      <c r="M4347">
        <f>TB[[#This Row],[售价]]*TB[[#This Row],[销量]]</f>
        <v>35388</v>
      </c>
      <c r="N4347" t="str">
        <f>IF(TB[[#This Row],[售价]]&lt;1000,"低价商品",IF(TB[[#This Row],[售价]]&lt;5000,"中价商品",IF(TB[[#This Row],[售价]]&lt;10000,"高价商品","超高价商品")))</f>
        <v>超高价商品</v>
      </c>
    </row>
    <row r="4348" spans="1:14" x14ac:dyDescent="0.2">
      <c r="A4348">
        <v>765</v>
      </c>
      <c r="B4348">
        <v>63</v>
      </c>
      <c r="C4348" t="s">
        <v>17</v>
      </c>
      <c r="D4348" t="s">
        <v>362</v>
      </c>
      <c r="E4348" t="s">
        <v>25</v>
      </c>
      <c r="F4348">
        <v>7</v>
      </c>
      <c r="G4348" t="s">
        <v>13</v>
      </c>
      <c r="H4348" s="1">
        <v>46010.259027777778</v>
      </c>
      <c r="I4348" s="5">
        <f>INT(TB[[#This Row],[时间戳]])</f>
        <v>46010</v>
      </c>
      <c r="J4348" s="2">
        <f>HOUR(TB[[#This Row],[时间戳]])</f>
        <v>6</v>
      </c>
      <c r="K4348">
        <v>2680</v>
      </c>
      <c r="L4348">
        <v>2</v>
      </c>
      <c r="M4348">
        <f>TB[[#This Row],[售价]]*TB[[#This Row],[销量]]</f>
        <v>5360</v>
      </c>
      <c r="N4348" t="str">
        <f>IF(TB[[#This Row],[售价]]&lt;1000,"低价商品",IF(TB[[#This Row],[售价]]&lt;5000,"中价商品",IF(TB[[#This Row],[售价]]&lt;10000,"高价商品","超高价商品")))</f>
        <v>中价商品</v>
      </c>
    </row>
    <row r="4349" spans="1:14" x14ac:dyDescent="0.2">
      <c r="A4349">
        <v>82</v>
      </c>
      <c r="B4349">
        <v>6</v>
      </c>
      <c r="C4349" t="s">
        <v>32</v>
      </c>
      <c r="D4349" t="s">
        <v>287</v>
      </c>
      <c r="E4349" t="s">
        <v>19</v>
      </c>
      <c r="F4349">
        <v>3</v>
      </c>
      <c r="G4349" t="s">
        <v>13</v>
      </c>
      <c r="H4349" s="1">
        <v>46010.273611111108</v>
      </c>
      <c r="I4349" s="5">
        <f>INT(TB[[#This Row],[时间戳]])</f>
        <v>46010</v>
      </c>
      <c r="J4349" s="2">
        <f>HOUR(TB[[#This Row],[时间戳]])</f>
        <v>6</v>
      </c>
      <c r="K4349">
        <v>2592</v>
      </c>
      <c r="L4349">
        <v>2</v>
      </c>
      <c r="M4349">
        <f>TB[[#This Row],[售价]]*TB[[#This Row],[销量]]</f>
        <v>5184</v>
      </c>
      <c r="N4349" t="str">
        <f>IF(TB[[#This Row],[售价]]&lt;1000,"低价商品",IF(TB[[#This Row],[售价]]&lt;5000,"中价商品",IF(TB[[#This Row],[售价]]&lt;10000,"高价商品","超高价商品")))</f>
        <v>中价商品</v>
      </c>
    </row>
    <row r="4350" spans="1:14" x14ac:dyDescent="0.2">
      <c r="A4350">
        <v>486</v>
      </c>
      <c r="B4350">
        <v>158</v>
      </c>
      <c r="C4350" t="s">
        <v>26</v>
      </c>
      <c r="D4350" t="s">
        <v>56</v>
      </c>
      <c r="E4350" t="s">
        <v>22</v>
      </c>
      <c r="F4350">
        <v>1</v>
      </c>
      <c r="G4350" t="s">
        <v>13</v>
      </c>
      <c r="H4350" s="1">
        <v>46010.305555555555</v>
      </c>
      <c r="I4350" s="5">
        <f>INT(TB[[#This Row],[时间戳]])</f>
        <v>46010</v>
      </c>
      <c r="J4350" s="2">
        <f>HOUR(TB[[#This Row],[时间戳]])</f>
        <v>7</v>
      </c>
      <c r="K4350">
        <v>3108</v>
      </c>
      <c r="L4350">
        <v>2</v>
      </c>
      <c r="M4350">
        <f>TB[[#This Row],[售价]]*TB[[#This Row],[销量]]</f>
        <v>6216</v>
      </c>
      <c r="N4350" t="str">
        <f>IF(TB[[#This Row],[售价]]&lt;1000,"低价商品",IF(TB[[#This Row],[售价]]&lt;5000,"中价商品",IF(TB[[#This Row],[售价]]&lt;10000,"高价商品","超高价商品")))</f>
        <v>中价商品</v>
      </c>
    </row>
    <row r="4351" spans="1:14" x14ac:dyDescent="0.2">
      <c r="A4351">
        <v>125</v>
      </c>
      <c r="B4351">
        <v>125</v>
      </c>
      <c r="C4351" t="s">
        <v>34</v>
      </c>
      <c r="D4351" t="s">
        <v>248</v>
      </c>
      <c r="E4351" t="s">
        <v>22</v>
      </c>
      <c r="F4351">
        <v>1</v>
      </c>
      <c r="G4351" t="s">
        <v>13</v>
      </c>
      <c r="H4351" s="1">
        <v>46010.324305555558</v>
      </c>
      <c r="I4351" s="5">
        <f>INT(TB[[#This Row],[时间戳]])</f>
        <v>46010</v>
      </c>
      <c r="J4351" s="2">
        <f>HOUR(TB[[#This Row],[时间戳]])</f>
        <v>7</v>
      </c>
      <c r="K4351">
        <v>2231</v>
      </c>
      <c r="L4351">
        <v>1</v>
      </c>
      <c r="M4351">
        <f>TB[[#This Row],[售价]]*TB[[#This Row],[销量]]</f>
        <v>2231</v>
      </c>
      <c r="N4351" t="str">
        <f>IF(TB[[#This Row],[售价]]&lt;1000,"低价商品",IF(TB[[#This Row],[售价]]&lt;5000,"中价商品",IF(TB[[#This Row],[售价]]&lt;10000,"高价商品","超高价商品")))</f>
        <v>中价商品</v>
      </c>
    </row>
    <row r="4352" spans="1:14" x14ac:dyDescent="0.2">
      <c r="A4352">
        <v>707</v>
      </c>
      <c r="B4352">
        <v>272</v>
      </c>
      <c r="C4352" t="s">
        <v>46</v>
      </c>
      <c r="D4352" t="s">
        <v>315</v>
      </c>
      <c r="E4352" t="s">
        <v>12</v>
      </c>
      <c r="F4352">
        <v>2</v>
      </c>
      <c r="G4352" t="s">
        <v>13</v>
      </c>
      <c r="H4352" s="1">
        <v>46010.352083333331</v>
      </c>
      <c r="I4352" s="5">
        <f>INT(TB[[#This Row],[时间戳]])</f>
        <v>46010</v>
      </c>
      <c r="J4352" s="2">
        <f>HOUR(TB[[#This Row],[时间戳]])</f>
        <v>8</v>
      </c>
      <c r="K4352">
        <v>10810</v>
      </c>
      <c r="L4352">
        <v>3</v>
      </c>
      <c r="M4352">
        <f>TB[[#This Row],[售价]]*TB[[#This Row],[销量]]</f>
        <v>32430</v>
      </c>
      <c r="N4352" t="str">
        <f>IF(TB[[#This Row],[售价]]&lt;1000,"低价商品",IF(TB[[#This Row],[售价]]&lt;5000,"中价商品",IF(TB[[#This Row],[售价]]&lt;10000,"高价商品","超高价商品")))</f>
        <v>超高价商品</v>
      </c>
    </row>
    <row r="4353" spans="1:14" x14ac:dyDescent="0.2">
      <c r="A4353">
        <v>735</v>
      </c>
      <c r="B4353">
        <v>63</v>
      </c>
      <c r="C4353" t="s">
        <v>14</v>
      </c>
      <c r="D4353" t="s">
        <v>52</v>
      </c>
      <c r="E4353" t="s">
        <v>31</v>
      </c>
      <c r="F4353">
        <v>4</v>
      </c>
      <c r="G4353" t="s">
        <v>42</v>
      </c>
      <c r="H4353" s="1">
        <v>46010.369444444441</v>
      </c>
      <c r="I4353" s="5">
        <f>INT(TB[[#This Row],[时间戳]])</f>
        <v>46010</v>
      </c>
      <c r="J4353" s="2">
        <f>HOUR(TB[[#This Row],[时间戳]])</f>
        <v>8</v>
      </c>
      <c r="K4353">
        <v>794</v>
      </c>
      <c r="L4353">
        <v>0</v>
      </c>
      <c r="M4353">
        <f>TB[[#This Row],[售价]]*TB[[#This Row],[销量]]</f>
        <v>0</v>
      </c>
      <c r="N4353" t="str">
        <f>IF(TB[[#This Row],[售价]]&lt;1000,"低价商品",IF(TB[[#This Row],[售价]]&lt;5000,"中价商品",IF(TB[[#This Row],[售价]]&lt;10000,"高价商品","超高价商品")))</f>
        <v>低价商品</v>
      </c>
    </row>
    <row r="4354" spans="1:14" x14ac:dyDescent="0.2">
      <c r="A4354">
        <v>139</v>
      </c>
      <c r="B4354">
        <v>154</v>
      </c>
      <c r="C4354" t="s">
        <v>34</v>
      </c>
      <c r="D4354" t="s">
        <v>325</v>
      </c>
      <c r="E4354" t="s">
        <v>25</v>
      </c>
      <c r="F4354">
        <v>7</v>
      </c>
      <c r="G4354" t="s">
        <v>13</v>
      </c>
      <c r="H4354" s="1">
        <v>46010.379166666666</v>
      </c>
      <c r="I4354" s="5">
        <f>INT(TB[[#This Row],[时间戳]])</f>
        <v>46010</v>
      </c>
      <c r="J4354" s="2">
        <f>HOUR(TB[[#This Row],[时间戳]])</f>
        <v>9</v>
      </c>
      <c r="K4354">
        <v>1794</v>
      </c>
      <c r="L4354">
        <v>2</v>
      </c>
      <c r="M4354">
        <f>TB[[#This Row],[售价]]*TB[[#This Row],[销量]]</f>
        <v>3588</v>
      </c>
      <c r="N4354" t="str">
        <f>IF(TB[[#This Row],[售价]]&lt;1000,"低价商品",IF(TB[[#This Row],[售价]]&lt;5000,"中价商品",IF(TB[[#This Row],[售价]]&lt;10000,"高价商品","超高价商品")))</f>
        <v>中价商品</v>
      </c>
    </row>
    <row r="4355" spans="1:14" x14ac:dyDescent="0.2">
      <c r="A4355">
        <v>411</v>
      </c>
      <c r="B4355">
        <v>36</v>
      </c>
      <c r="C4355" t="s">
        <v>44</v>
      </c>
      <c r="D4355" t="s">
        <v>195</v>
      </c>
      <c r="E4355" t="s">
        <v>22</v>
      </c>
      <c r="F4355">
        <v>1</v>
      </c>
      <c r="G4355" t="s">
        <v>13</v>
      </c>
      <c r="H4355" s="1">
        <v>46010.4375</v>
      </c>
      <c r="I4355" s="5">
        <f>INT(TB[[#This Row],[时间戳]])</f>
        <v>46010</v>
      </c>
      <c r="J4355" s="2">
        <f>HOUR(TB[[#This Row],[时间戳]])</f>
        <v>10</v>
      </c>
      <c r="K4355">
        <v>2903</v>
      </c>
      <c r="L4355">
        <v>2</v>
      </c>
      <c r="M4355">
        <f>TB[[#This Row],[售价]]*TB[[#This Row],[销量]]</f>
        <v>5806</v>
      </c>
      <c r="N4355" t="str">
        <f>IF(TB[[#This Row],[售价]]&lt;1000,"低价商品",IF(TB[[#This Row],[售价]]&lt;5000,"中价商品",IF(TB[[#This Row],[售价]]&lt;10000,"高价商品","超高价商品")))</f>
        <v>中价商品</v>
      </c>
    </row>
    <row r="4356" spans="1:14" x14ac:dyDescent="0.2">
      <c r="A4356">
        <v>211</v>
      </c>
      <c r="B4356">
        <v>195</v>
      </c>
      <c r="C4356" t="s">
        <v>20</v>
      </c>
      <c r="D4356" t="s">
        <v>113</v>
      </c>
      <c r="E4356" t="s">
        <v>31</v>
      </c>
      <c r="F4356">
        <v>4</v>
      </c>
      <c r="G4356" t="s">
        <v>13</v>
      </c>
      <c r="H4356" s="1">
        <v>46010.451388888891</v>
      </c>
      <c r="I4356" s="5">
        <f>INT(TB[[#This Row],[时间戳]])</f>
        <v>46010</v>
      </c>
      <c r="J4356" s="2">
        <f>HOUR(TB[[#This Row],[时间戳]])</f>
        <v>10</v>
      </c>
      <c r="K4356">
        <v>908</v>
      </c>
      <c r="L4356">
        <v>1</v>
      </c>
      <c r="M4356">
        <f>TB[[#This Row],[售价]]*TB[[#This Row],[销量]]</f>
        <v>908</v>
      </c>
      <c r="N4356" t="str">
        <f>IF(TB[[#This Row],[售价]]&lt;1000,"低价商品",IF(TB[[#This Row],[售价]]&lt;5000,"中价商品",IF(TB[[#This Row],[售价]]&lt;10000,"高价商品","超高价商品")))</f>
        <v>低价商品</v>
      </c>
    </row>
    <row r="4357" spans="1:14" x14ac:dyDescent="0.2">
      <c r="A4357">
        <v>223</v>
      </c>
      <c r="B4357">
        <v>179</v>
      </c>
      <c r="C4357" t="s">
        <v>44</v>
      </c>
      <c r="D4357" t="s">
        <v>222</v>
      </c>
      <c r="E4357" t="s">
        <v>12</v>
      </c>
      <c r="F4357">
        <v>2</v>
      </c>
      <c r="G4357" t="s">
        <v>13</v>
      </c>
      <c r="H4357" s="1">
        <v>46010.46875</v>
      </c>
      <c r="I4357" s="5">
        <f>INT(TB[[#This Row],[时间戳]])</f>
        <v>46010</v>
      </c>
      <c r="J4357" s="2">
        <f>HOUR(TB[[#This Row],[时间戳]])</f>
        <v>11</v>
      </c>
      <c r="K4357">
        <v>10458</v>
      </c>
      <c r="L4357">
        <v>3</v>
      </c>
      <c r="M4357">
        <f>TB[[#This Row],[售价]]*TB[[#This Row],[销量]]</f>
        <v>31374</v>
      </c>
      <c r="N4357" t="str">
        <f>IF(TB[[#This Row],[售价]]&lt;1000,"低价商品",IF(TB[[#This Row],[售价]]&lt;5000,"中价商品",IF(TB[[#This Row],[售价]]&lt;10000,"高价商品","超高价商品")))</f>
        <v>超高价商品</v>
      </c>
    </row>
    <row r="4358" spans="1:14" x14ac:dyDescent="0.2">
      <c r="A4358">
        <v>582</v>
      </c>
      <c r="B4358">
        <v>126</v>
      </c>
      <c r="C4358" t="s">
        <v>46</v>
      </c>
      <c r="D4358" t="s">
        <v>316</v>
      </c>
      <c r="E4358" t="s">
        <v>25</v>
      </c>
      <c r="F4358">
        <v>7</v>
      </c>
      <c r="G4358" t="s">
        <v>13</v>
      </c>
      <c r="H4358" s="1">
        <v>46010.473611111112</v>
      </c>
      <c r="I4358" s="5">
        <f>INT(TB[[#This Row],[时间戳]])</f>
        <v>46010</v>
      </c>
      <c r="J4358" s="2">
        <f>HOUR(TB[[#This Row],[时间戳]])</f>
        <v>11</v>
      </c>
      <c r="K4358">
        <v>5843</v>
      </c>
      <c r="L4358">
        <v>2</v>
      </c>
      <c r="M4358">
        <f>TB[[#This Row],[售价]]*TB[[#This Row],[销量]]</f>
        <v>11686</v>
      </c>
      <c r="N4358" t="str">
        <f>IF(TB[[#This Row],[售价]]&lt;1000,"低价商品",IF(TB[[#This Row],[售价]]&lt;5000,"中价商品",IF(TB[[#This Row],[售价]]&lt;10000,"高价商品","超高价商品")))</f>
        <v>高价商品</v>
      </c>
    </row>
    <row r="4359" spans="1:14" x14ac:dyDescent="0.2">
      <c r="A4359">
        <v>62</v>
      </c>
      <c r="B4359">
        <v>4</v>
      </c>
      <c r="C4359" t="s">
        <v>32</v>
      </c>
      <c r="D4359" t="s">
        <v>287</v>
      </c>
      <c r="E4359" t="s">
        <v>19</v>
      </c>
      <c r="F4359">
        <v>3</v>
      </c>
      <c r="G4359" t="s">
        <v>13</v>
      </c>
      <c r="H4359" s="1">
        <v>46010.491666666669</v>
      </c>
      <c r="I4359" s="5">
        <f>INT(TB[[#This Row],[时间戳]])</f>
        <v>46010</v>
      </c>
      <c r="J4359" s="2">
        <f>HOUR(TB[[#This Row],[时间戳]])</f>
        <v>11</v>
      </c>
      <c r="K4359">
        <v>3192</v>
      </c>
      <c r="L4359">
        <v>3</v>
      </c>
      <c r="M4359">
        <f>TB[[#This Row],[售价]]*TB[[#This Row],[销量]]</f>
        <v>9576</v>
      </c>
      <c r="N4359" t="str">
        <f>IF(TB[[#This Row],[售价]]&lt;1000,"低价商品",IF(TB[[#This Row],[售价]]&lt;5000,"中价商品",IF(TB[[#This Row],[售价]]&lt;10000,"高价商品","超高价商品")))</f>
        <v>中价商品</v>
      </c>
    </row>
    <row r="4360" spans="1:14" x14ac:dyDescent="0.2">
      <c r="A4360">
        <v>770</v>
      </c>
      <c r="B4360">
        <v>221</v>
      </c>
      <c r="C4360" t="s">
        <v>20</v>
      </c>
      <c r="D4360" t="s">
        <v>263</v>
      </c>
      <c r="E4360" t="s">
        <v>39</v>
      </c>
      <c r="F4360">
        <v>5</v>
      </c>
      <c r="G4360" t="s">
        <v>42</v>
      </c>
      <c r="H4360" s="1">
        <v>46010.506944444445</v>
      </c>
      <c r="I4360" s="5">
        <f>INT(TB[[#This Row],[时间戳]])</f>
        <v>46010</v>
      </c>
      <c r="J4360" s="2">
        <f>HOUR(TB[[#This Row],[时间戳]])</f>
        <v>12</v>
      </c>
      <c r="K4360">
        <v>3336</v>
      </c>
      <c r="L4360">
        <v>0</v>
      </c>
      <c r="M4360">
        <f>TB[[#This Row],[售价]]*TB[[#This Row],[销量]]</f>
        <v>0</v>
      </c>
      <c r="N4360" t="str">
        <f>IF(TB[[#This Row],[售价]]&lt;1000,"低价商品",IF(TB[[#This Row],[售价]]&lt;5000,"中价商品",IF(TB[[#This Row],[售价]]&lt;10000,"高价商品","超高价商品")))</f>
        <v>中价商品</v>
      </c>
    </row>
    <row r="4361" spans="1:14" x14ac:dyDescent="0.2">
      <c r="A4361">
        <v>682</v>
      </c>
      <c r="B4361">
        <v>127</v>
      </c>
      <c r="C4361" t="s">
        <v>36</v>
      </c>
      <c r="D4361" t="s">
        <v>269</v>
      </c>
      <c r="E4361" t="s">
        <v>19</v>
      </c>
      <c r="F4361">
        <v>3</v>
      </c>
      <c r="G4361" t="s">
        <v>13</v>
      </c>
      <c r="H4361" s="1">
        <v>46010.510416666664</v>
      </c>
      <c r="I4361" s="5">
        <f>INT(TB[[#This Row],[时间戳]])</f>
        <v>46010</v>
      </c>
      <c r="J4361" s="2">
        <f>HOUR(TB[[#This Row],[时间戳]])</f>
        <v>12</v>
      </c>
      <c r="K4361">
        <v>2227</v>
      </c>
      <c r="L4361">
        <v>1</v>
      </c>
      <c r="M4361">
        <f>TB[[#This Row],[售价]]*TB[[#This Row],[销量]]</f>
        <v>2227</v>
      </c>
      <c r="N4361" t="str">
        <f>IF(TB[[#This Row],[售价]]&lt;1000,"低价商品",IF(TB[[#This Row],[售价]]&lt;5000,"中价商品",IF(TB[[#This Row],[售价]]&lt;10000,"高价商品","超高价商品")))</f>
        <v>中价商品</v>
      </c>
    </row>
    <row r="4362" spans="1:14" x14ac:dyDescent="0.2">
      <c r="A4362">
        <v>385</v>
      </c>
      <c r="B4362">
        <v>123</v>
      </c>
      <c r="C4362" t="s">
        <v>34</v>
      </c>
      <c r="D4362" t="s">
        <v>62</v>
      </c>
      <c r="E4362" t="s">
        <v>31</v>
      </c>
      <c r="F4362">
        <v>4</v>
      </c>
      <c r="G4362" t="s">
        <v>13</v>
      </c>
      <c r="H4362" s="1">
        <v>46010.511805555558</v>
      </c>
      <c r="I4362" s="5">
        <f>INT(TB[[#This Row],[时间戳]])</f>
        <v>46010</v>
      </c>
      <c r="J4362" s="2">
        <f>HOUR(TB[[#This Row],[时间戳]])</f>
        <v>12</v>
      </c>
      <c r="K4362">
        <v>359</v>
      </c>
      <c r="L4362">
        <v>1</v>
      </c>
      <c r="M4362">
        <f>TB[[#This Row],[售价]]*TB[[#This Row],[销量]]</f>
        <v>359</v>
      </c>
      <c r="N4362" t="str">
        <f>IF(TB[[#This Row],[售价]]&lt;1000,"低价商品",IF(TB[[#This Row],[售价]]&lt;5000,"中价商品",IF(TB[[#This Row],[售价]]&lt;10000,"高价商品","超高价商品")))</f>
        <v>低价商品</v>
      </c>
    </row>
    <row r="4363" spans="1:14" x14ac:dyDescent="0.2">
      <c r="A4363">
        <v>366</v>
      </c>
      <c r="B4363">
        <v>178</v>
      </c>
      <c r="C4363" t="s">
        <v>46</v>
      </c>
      <c r="D4363" t="s">
        <v>341</v>
      </c>
      <c r="E4363" t="s">
        <v>31</v>
      </c>
      <c r="F4363">
        <v>4</v>
      </c>
      <c r="G4363" t="s">
        <v>13</v>
      </c>
      <c r="H4363" s="1">
        <v>46010.529166666667</v>
      </c>
      <c r="I4363" s="5">
        <f>INT(TB[[#This Row],[时间戳]])</f>
        <v>46010</v>
      </c>
      <c r="J4363" s="2">
        <f>HOUR(TB[[#This Row],[时间戳]])</f>
        <v>12</v>
      </c>
      <c r="K4363">
        <v>1296</v>
      </c>
      <c r="L4363">
        <v>3</v>
      </c>
      <c r="M4363">
        <f>TB[[#This Row],[售价]]*TB[[#This Row],[销量]]</f>
        <v>3888</v>
      </c>
      <c r="N4363" t="str">
        <f>IF(TB[[#This Row],[售价]]&lt;1000,"低价商品",IF(TB[[#This Row],[售价]]&lt;5000,"中价商品",IF(TB[[#This Row],[售价]]&lt;10000,"高价商品","超高价商品")))</f>
        <v>中价商品</v>
      </c>
    </row>
    <row r="4364" spans="1:14" x14ac:dyDescent="0.2">
      <c r="A4364">
        <v>253</v>
      </c>
      <c r="B4364">
        <v>202</v>
      </c>
      <c r="C4364" t="s">
        <v>17</v>
      </c>
      <c r="D4364" t="s">
        <v>67</v>
      </c>
      <c r="E4364" t="s">
        <v>39</v>
      </c>
      <c r="F4364">
        <v>5</v>
      </c>
      <c r="G4364" t="s">
        <v>13</v>
      </c>
      <c r="H4364" s="1">
        <v>46010.555555555555</v>
      </c>
      <c r="I4364" s="5">
        <f>INT(TB[[#This Row],[时间戳]])</f>
        <v>46010</v>
      </c>
      <c r="J4364" s="2">
        <f>HOUR(TB[[#This Row],[时间戳]])</f>
        <v>13</v>
      </c>
      <c r="K4364">
        <v>1124</v>
      </c>
      <c r="L4364">
        <v>1</v>
      </c>
      <c r="M4364">
        <f>TB[[#This Row],[售价]]*TB[[#This Row],[销量]]</f>
        <v>1124</v>
      </c>
      <c r="N4364" t="str">
        <f>IF(TB[[#This Row],[售价]]&lt;1000,"低价商品",IF(TB[[#This Row],[售价]]&lt;5000,"中价商品",IF(TB[[#This Row],[售价]]&lt;10000,"高价商品","超高价商品")))</f>
        <v>中价商品</v>
      </c>
    </row>
    <row r="4365" spans="1:14" x14ac:dyDescent="0.2">
      <c r="A4365">
        <v>521</v>
      </c>
      <c r="B4365">
        <v>123</v>
      </c>
      <c r="C4365" t="s">
        <v>10</v>
      </c>
      <c r="D4365" t="s">
        <v>116</v>
      </c>
      <c r="E4365" t="s">
        <v>31</v>
      </c>
      <c r="F4365">
        <v>4</v>
      </c>
      <c r="G4365" t="s">
        <v>13</v>
      </c>
      <c r="H4365" s="1">
        <v>46010.569444444445</v>
      </c>
      <c r="I4365" s="5">
        <f>INT(TB[[#This Row],[时间戳]])</f>
        <v>46010</v>
      </c>
      <c r="J4365" s="2">
        <f>HOUR(TB[[#This Row],[时间戳]])</f>
        <v>13</v>
      </c>
      <c r="K4365">
        <v>1500</v>
      </c>
      <c r="L4365">
        <v>3</v>
      </c>
      <c r="M4365">
        <f>TB[[#This Row],[售价]]*TB[[#This Row],[销量]]</f>
        <v>4500</v>
      </c>
      <c r="N4365" t="str">
        <f>IF(TB[[#This Row],[售价]]&lt;1000,"低价商品",IF(TB[[#This Row],[售价]]&lt;5000,"中价商品",IF(TB[[#This Row],[售价]]&lt;10000,"高价商品","超高价商品")))</f>
        <v>中价商品</v>
      </c>
    </row>
    <row r="4366" spans="1:14" x14ac:dyDescent="0.2">
      <c r="A4366">
        <v>29</v>
      </c>
      <c r="B4366">
        <v>82</v>
      </c>
      <c r="C4366" t="s">
        <v>26</v>
      </c>
      <c r="D4366" t="s">
        <v>417</v>
      </c>
      <c r="E4366" t="s">
        <v>25</v>
      </c>
      <c r="F4366">
        <v>7</v>
      </c>
      <c r="G4366" t="s">
        <v>13</v>
      </c>
      <c r="H4366" s="1">
        <v>46010.573611111111</v>
      </c>
      <c r="I4366" s="5">
        <f>INT(TB[[#This Row],[时间戳]])</f>
        <v>46010</v>
      </c>
      <c r="J4366" s="2">
        <f>HOUR(TB[[#This Row],[时间戳]])</f>
        <v>13</v>
      </c>
      <c r="K4366">
        <v>5410</v>
      </c>
      <c r="L4366">
        <v>1</v>
      </c>
      <c r="M4366">
        <f>TB[[#This Row],[售价]]*TB[[#This Row],[销量]]</f>
        <v>5410</v>
      </c>
      <c r="N4366" t="str">
        <f>IF(TB[[#This Row],[售价]]&lt;1000,"低价商品",IF(TB[[#This Row],[售价]]&lt;5000,"中价商品",IF(TB[[#This Row],[售价]]&lt;10000,"高价商品","超高价商品")))</f>
        <v>高价商品</v>
      </c>
    </row>
    <row r="4367" spans="1:14" x14ac:dyDescent="0.2">
      <c r="A4367">
        <v>420</v>
      </c>
      <c r="B4367">
        <v>3</v>
      </c>
      <c r="C4367" t="s">
        <v>17</v>
      </c>
      <c r="D4367" t="s">
        <v>156</v>
      </c>
      <c r="E4367" t="s">
        <v>19</v>
      </c>
      <c r="F4367">
        <v>3</v>
      </c>
      <c r="G4367" t="s">
        <v>13</v>
      </c>
      <c r="H4367" s="1">
        <v>46010.59375</v>
      </c>
      <c r="I4367" s="5">
        <f>INT(TB[[#This Row],[时间戳]])</f>
        <v>46010</v>
      </c>
      <c r="J4367" s="2">
        <f>HOUR(TB[[#This Row],[时间戳]])</f>
        <v>14</v>
      </c>
      <c r="K4367">
        <v>6000</v>
      </c>
      <c r="L4367">
        <v>3</v>
      </c>
      <c r="M4367">
        <f>TB[[#This Row],[售价]]*TB[[#This Row],[销量]]</f>
        <v>18000</v>
      </c>
      <c r="N4367" t="str">
        <f>IF(TB[[#This Row],[售价]]&lt;1000,"低价商品",IF(TB[[#This Row],[售价]]&lt;5000,"中价商品",IF(TB[[#This Row],[售价]]&lt;10000,"高价商品","超高价商品")))</f>
        <v>高价商品</v>
      </c>
    </row>
    <row r="4368" spans="1:14" x14ac:dyDescent="0.2">
      <c r="A4368">
        <v>534</v>
      </c>
      <c r="B4368">
        <v>43</v>
      </c>
      <c r="C4368" t="s">
        <v>36</v>
      </c>
      <c r="D4368" t="s">
        <v>366</v>
      </c>
      <c r="E4368" t="s">
        <v>22</v>
      </c>
      <c r="F4368">
        <v>1</v>
      </c>
      <c r="G4368" t="s">
        <v>13</v>
      </c>
      <c r="H4368" s="1">
        <v>46010.595833333333</v>
      </c>
      <c r="I4368" s="5">
        <f>INT(TB[[#This Row],[时间戳]])</f>
        <v>46010</v>
      </c>
      <c r="J4368" s="2">
        <f>HOUR(TB[[#This Row],[时间戳]])</f>
        <v>14</v>
      </c>
      <c r="K4368">
        <v>3737</v>
      </c>
      <c r="L4368">
        <v>1</v>
      </c>
      <c r="M4368">
        <f>TB[[#This Row],[售价]]*TB[[#This Row],[销量]]</f>
        <v>3737</v>
      </c>
      <c r="N4368" t="str">
        <f>IF(TB[[#This Row],[售价]]&lt;1000,"低价商品",IF(TB[[#This Row],[售价]]&lt;5000,"中价商品",IF(TB[[#This Row],[售价]]&lt;10000,"高价商品","超高价商品")))</f>
        <v>中价商品</v>
      </c>
    </row>
    <row r="4369" spans="1:14" x14ac:dyDescent="0.2">
      <c r="A4369">
        <v>722</v>
      </c>
      <c r="B4369">
        <v>212</v>
      </c>
      <c r="C4369" t="s">
        <v>36</v>
      </c>
      <c r="D4369" t="s">
        <v>37</v>
      </c>
      <c r="E4369" t="s">
        <v>31</v>
      </c>
      <c r="F4369">
        <v>4</v>
      </c>
      <c r="G4369" t="s">
        <v>13</v>
      </c>
      <c r="H4369" s="1">
        <v>46010.606249999997</v>
      </c>
      <c r="I4369" s="5">
        <f>INT(TB[[#This Row],[时间戳]])</f>
        <v>46010</v>
      </c>
      <c r="J4369" s="2">
        <f>HOUR(TB[[#This Row],[时间戳]])</f>
        <v>14</v>
      </c>
      <c r="K4369">
        <v>753</v>
      </c>
      <c r="L4369">
        <v>2</v>
      </c>
      <c r="M4369">
        <f>TB[[#This Row],[售价]]*TB[[#This Row],[销量]]</f>
        <v>1506</v>
      </c>
      <c r="N4369" t="str">
        <f>IF(TB[[#This Row],[售价]]&lt;1000,"低价商品",IF(TB[[#This Row],[售价]]&lt;5000,"中价商品",IF(TB[[#This Row],[售价]]&lt;10000,"高价商品","超高价商品")))</f>
        <v>低价商品</v>
      </c>
    </row>
    <row r="4370" spans="1:14" x14ac:dyDescent="0.2">
      <c r="A4370">
        <v>714</v>
      </c>
      <c r="B4370">
        <v>237</v>
      </c>
      <c r="C4370" t="s">
        <v>14</v>
      </c>
      <c r="D4370" t="s">
        <v>52</v>
      </c>
      <c r="E4370" t="s">
        <v>31</v>
      </c>
      <c r="F4370">
        <v>4</v>
      </c>
      <c r="G4370" t="s">
        <v>13</v>
      </c>
      <c r="H4370" s="1">
        <v>46010.609722222223</v>
      </c>
      <c r="I4370" s="5">
        <f>INT(TB[[#This Row],[时间戳]])</f>
        <v>46010</v>
      </c>
      <c r="J4370" s="2">
        <f>HOUR(TB[[#This Row],[时间戳]])</f>
        <v>14</v>
      </c>
      <c r="K4370">
        <v>50</v>
      </c>
      <c r="L4370">
        <v>3</v>
      </c>
      <c r="M4370">
        <f>TB[[#This Row],[售价]]*TB[[#This Row],[销量]]</f>
        <v>150</v>
      </c>
      <c r="N4370" t="str">
        <f>IF(TB[[#This Row],[售价]]&lt;1000,"低价商品",IF(TB[[#This Row],[售价]]&lt;5000,"中价商品",IF(TB[[#This Row],[售价]]&lt;10000,"高价商品","超高价商品")))</f>
        <v>低价商品</v>
      </c>
    </row>
    <row r="4371" spans="1:14" x14ac:dyDescent="0.2">
      <c r="A4371">
        <v>549</v>
      </c>
      <c r="B4371">
        <v>154</v>
      </c>
      <c r="C4371" t="s">
        <v>32</v>
      </c>
      <c r="D4371" t="s">
        <v>115</v>
      </c>
      <c r="E4371" t="s">
        <v>19</v>
      </c>
      <c r="F4371">
        <v>3</v>
      </c>
      <c r="G4371" t="s">
        <v>13</v>
      </c>
      <c r="H4371" s="1">
        <v>46010.613194444442</v>
      </c>
      <c r="I4371" s="5">
        <f>INT(TB[[#This Row],[时间戳]])</f>
        <v>46010</v>
      </c>
      <c r="J4371" s="2">
        <f>HOUR(TB[[#This Row],[时间戳]])</f>
        <v>14</v>
      </c>
      <c r="K4371">
        <v>4272</v>
      </c>
      <c r="L4371">
        <v>3</v>
      </c>
      <c r="M4371">
        <f>TB[[#This Row],[售价]]*TB[[#This Row],[销量]]</f>
        <v>12816</v>
      </c>
      <c r="N4371" t="str">
        <f>IF(TB[[#This Row],[售价]]&lt;1000,"低价商品",IF(TB[[#This Row],[售价]]&lt;5000,"中价商品",IF(TB[[#This Row],[售价]]&lt;10000,"高价商品","超高价商品")))</f>
        <v>中价商品</v>
      </c>
    </row>
    <row r="4372" spans="1:14" x14ac:dyDescent="0.2">
      <c r="A4372">
        <v>128</v>
      </c>
      <c r="B4372">
        <v>20</v>
      </c>
      <c r="C4372" t="s">
        <v>10</v>
      </c>
      <c r="D4372" t="s">
        <v>262</v>
      </c>
      <c r="E4372" t="s">
        <v>25</v>
      </c>
      <c r="F4372">
        <v>7</v>
      </c>
      <c r="G4372" t="s">
        <v>13</v>
      </c>
      <c r="H4372" s="1">
        <v>46010.617361111108</v>
      </c>
      <c r="I4372" s="5">
        <f>INT(TB[[#This Row],[时间戳]])</f>
        <v>46010</v>
      </c>
      <c r="J4372" s="2">
        <f>HOUR(TB[[#This Row],[时间戳]])</f>
        <v>14</v>
      </c>
      <c r="K4372">
        <v>4790</v>
      </c>
      <c r="L4372">
        <v>5</v>
      </c>
      <c r="M4372">
        <f>TB[[#This Row],[售价]]*TB[[#This Row],[销量]]</f>
        <v>23950</v>
      </c>
      <c r="N4372" t="str">
        <f>IF(TB[[#This Row],[售价]]&lt;1000,"低价商品",IF(TB[[#This Row],[售价]]&lt;5000,"中价商品",IF(TB[[#This Row],[售价]]&lt;10000,"高价商品","超高价商品")))</f>
        <v>中价商品</v>
      </c>
    </row>
    <row r="4373" spans="1:14" x14ac:dyDescent="0.2">
      <c r="A4373">
        <v>2</v>
      </c>
      <c r="B4373">
        <v>70</v>
      </c>
      <c r="C4373" t="s">
        <v>20</v>
      </c>
      <c r="D4373" t="s">
        <v>21</v>
      </c>
      <c r="E4373" t="s">
        <v>22</v>
      </c>
      <c r="F4373">
        <v>1</v>
      </c>
      <c r="G4373" t="s">
        <v>13</v>
      </c>
      <c r="H4373" s="1">
        <v>46010.626388888886</v>
      </c>
      <c r="I4373" s="5">
        <f>INT(TB[[#This Row],[时间戳]])</f>
        <v>46010</v>
      </c>
      <c r="J4373" s="2">
        <f>HOUR(TB[[#This Row],[时间戳]])</f>
        <v>15</v>
      </c>
      <c r="K4373">
        <v>2689</v>
      </c>
      <c r="L4373">
        <v>1</v>
      </c>
      <c r="M4373">
        <f>TB[[#This Row],[售价]]*TB[[#This Row],[销量]]</f>
        <v>2689</v>
      </c>
      <c r="N4373" t="str">
        <f>IF(TB[[#This Row],[售价]]&lt;1000,"低价商品",IF(TB[[#This Row],[售价]]&lt;5000,"中价商品",IF(TB[[#This Row],[售价]]&lt;10000,"高价商品","超高价商品")))</f>
        <v>中价商品</v>
      </c>
    </row>
    <row r="4374" spans="1:14" x14ac:dyDescent="0.2">
      <c r="A4374">
        <v>147</v>
      </c>
      <c r="B4374">
        <v>250</v>
      </c>
      <c r="C4374" t="s">
        <v>10</v>
      </c>
      <c r="D4374" t="s">
        <v>247</v>
      </c>
      <c r="E4374" t="s">
        <v>31</v>
      </c>
      <c r="F4374">
        <v>4</v>
      </c>
      <c r="G4374" t="s">
        <v>13</v>
      </c>
      <c r="H4374" s="1">
        <v>46010.62777777778</v>
      </c>
      <c r="I4374" s="5">
        <f>INT(TB[[#This Row],[时间戳]])</f>
        <v>46010</v>
      </c>
      <c r="J4374" s="2">
        <f>HOUR(TB[[#This Row],[时间戳]])</f>
        <v>15</v>
      </c>
      <c r="K4374">
        <v>963</v>
      </c>
      <c r="L4374">
        <v>3</v>
      </c>
      <c r="M4374">
        <f>TB[[#This Row],[售价]]*TB[[#This Row],[销量]]</f>
        <v>2889</v>
      </c>
      <c r="N4374" t="str">
        <f>IF(TB[[#This Row],[售价]]&lt;1000,"低价商品",IF(TB[[#This Row],[售价]]&lt;5000,"中价商品",IF(TB[[#This Row],[售价]]&lt;10000,"高价商品","超高价商品")))</f>
        <v>低价商品</v>
      </c>
    </row>
    <row r="4375" spans="1:14" x14ac:dyDescent="0.2">
      <c r="A4375">
        <v>522</v>
      </c>
      <c r="B4375">
        <v>53</v>
      </c>
      <c r="C4375" t="s">
        <v>17</v>
      </c>
      <c r="D4375" t="s">
        <v>61</v>
      </c>
      <c r="E4375" t="s">
        <v>31</v>
      </c>
      <c r="F4375">
        <v>4</v>
      </c>
      <c r="G4375" t="s">
        <v>13</v>
      </c>
      <c r="H4375" s="1">
        <v>46010.636805555558</v>
      </c>
      <c r="I4375" s="5">
        <f>INT(TB[[#This Row],[时间戳]])</f>
        <v>46010</v>
      </c>
      <c r="J4375" s="2">
        <f>HOUR(TB[[#This Row],[时间戳]])</f>
        <v>15</v>
      </c>
      <c r="K4375">
        <v>815</v>
      </c>
      <c r="L4375">
        <v>1</v>
      </c>
      <c r="M4375">
        <f>TB[[#This Row],[售价]]*TB[[#This Row],[销量]]</f>
        <v>815</v>
      </c>
      <c r="N4375" t="str">
        <f>IF(TB[[#This Row],[售价]]&lt;1000,"低价商品",IF(TB[[#This Row],[售价]]&lt;5000,"中价商品",IF(TB[[#This Row],[售价]]&lt;10000,"高价商品","超高价商品")))</f>
        <v>低价商品</v>
      </c>
    </row>
    <row r="4376" spans="1:14" x14ac:dyDescent="0.2">
      <c r="A4376">
        <v>278</v>
      </c>
      <c r="B4376">
        <v>233</v>
      </c>
      <c r="C4376" t="s">
        <v>36</v>
      </c>
      <c r="D4376" t="s">
        <v>264</v>
      </c>
      <c r="E4376" t="s">
        <v>12</v>
      </c>
      <c r="F4376">
        <v>2</v>
      </c>
      <c r="G4376" t="s">
        <v>13</v>
      </c>
      <c r="H4376" s="1">
        <v>46010.65</v>
      </c>
      <c r="I4376" s="5">
        <f>INT(TB[[#This Row],[时间戳]])</f>
        <v>46010</v>
      </c>
      <c r="J4376" s="2">
        <f>HOUR(TB[[#This Row],[时间戳]])</f>
        <v>15</v>
      </c>
      <c r="K4376">
        <v>8437</v>
      </c>
      <c r="L4376">
        <v>2</v>
      </c>
      <c r="M4376">
        <f>TB[[#This Row],[售价]]*TB[[#This Row],[销量]]</f>
        <v>16874</v>
      </c>
      <c r="N4376" t="str">
        <f>IF(TB[[#This Row],[售价]]&lt;1000,"低价商品",IF(TB[[#This Row],[售价]]&lt;5000,"中价商品",IF(TB[[#This Row],[售价]]&lt;10000,"高价商品","超高价商品")))</f>
        <v>高价商品</v>
      </c>
    </row>
    <row r="4377" spans="1:14" x14ac:dyDescent="0.2">
      <c r="A4377">
        <v>607</v>
      </c>
      <c r="B4377">
        <v>163</v>
      </c>
      <c r="C4377" t="s">
        <v>46</v>
      </c>
      <c r="D4377" t="s">
        <v>231</v>
      </c>
      <c r="E4377" t="s">
        <v>16</v>
      </c>
      <c r="F4377">
        <v>6</v>
      </c>
      <c r="G4377" t="s">
        <v>13</v>
      </c>
      <c r="H4377" s="1">
        <v>46010.661805555559</v>
      </c>
      <c r="I4377" s="5">
        <f>INT(TB[[#This Row],[时间戳]])</f>
        <v>46010</v>
      </c>
      <c r="J4377" s="2">
        <f>HOUR(TB[[#This Row],[时间戳]])</f>
        <v>15</v>
      </c>
      <c r="K4377">
        <v>3971</v>
      </c>
      <c r="L4377">
        <v>3</v>
      </c>
      <c r="M4377">
        <f>TB[[#This Row],[售价]]*TB[[#This Row],[销量]]</f>
        <v>11913</v>
      </c>
      <c r="N4377" t="str">
        <f>IF(TB[[#This Row],[售价]]&lt;1000,"低价商品",IF(TB[[#This Row],[售价]]&lt;5000,"中价商品",IF(TB[[#This Row],[售价]]&lt;10000,"高价商品","超高价商品")))</f>
        <v>中价商品</v>
      </c>
    </row>
    <row r="4378" spans="1:14" x14ac:dyDescent="0.2">
      <c r="A4378">
        <v>589</v>
      </c>
      <c r="B4378">
        <v>23</v>
      </c>
      <c r="C4378" t="s">
        <v>46</v>
      </c>
      <c r="D4378" t="s">
        <v>316</v>
      </c>
      <c r="E4378" t="s">
        <v>25</v>
      </c>
      <c r="F4378">
        <v>7</v>
      </c>
      <c r="G4378" t="s">
        <v>13</v>
      </c>
      <c r="H4378" s="1">
        <v>46010.67083333333</v>
      </c>
      <c r="I4378" s="5">
        <f>INT(TB[[#This Row],[时间戳]])</f>
        <v>46010</v>
      </c>
      <c r="J4378" s="2">
        <f>HOUR(TB[[#This Row],[时间戳]])</f>
        <v>16</v>
      </c>
      <c r="K4378">
        <v>3042</v>
      </c>
      <c r="L4378">
        <v>2</v>
      </c>
      <c r="M4378">
        <f>TB[[#This Row],[售价]]*TB[[#This Row],[销量]]</f>
        <v>6084</v>
      </c>
      <c r="N4378" t="str">
        <f>IF(TB[[#This Row],[售价]]&lt;1000,"低价商品",IF(TB[[#This Row],[售价]]&lt;5000,"中价商品",IF(TB[[#This Row],[售价]]&lt;10000,"高价商品","超高价商品")))</f>
        <v>中价商品</v>
      </c>
    </row>
    <row r="4379" spans="1:14" x14ac:dyDescent="0.2">
      <c r="A4379">
        <v>712</v>
      </c>
      <c r="B4379">
        <v>2</v>
      </c>
      <c r="C4379" t="s">
        <v>17</v>
      </c>
      <c r="D4379" t="s">
        <v>309</v>
      </c>
      <c r="E4379" t="s">
        <v>16</v>
      </c>
      <c r="F4379">
        <v>6</v>
      </c>
      <c r="G4379" t="s">
        <v>13</v>
      </c>
      <c r="H4379" s="1">
        <v>46010.704861111109</v>
      </c>
      <c r="I4379" s="5">
        <f>INT(TB[[#This Row],[时间戳]])</f>
        <v>46010</v>
      </c>
      <c r="J4379" s="2">
        <f>HOUR(TB[[#This Row],[时间戳]])</f>
        <v>16</v>
      </c>
      <c r="K4379">
        <v>8907</v>
      </c>
      <c r="L4379">
        <v>1</v>
      </c>
      <c r="M4379">
        <f>TB[[#This Row],[售价]]*TB[[#This Row],[销量]]</f>
        <v>8907</v>
      </c>
      <c r="N4379" t="str">
        <f>IF(TB[[#This Row],[售价]]&lt;1000,"低价商品",IF(TB[[#This Row],[售价]]&lt;5000,"中价商品",IF(TB[[#This Row],[售价]]&lt;10000,"高价商品","超高价商品")))</f>
        <v>高价商品</v>
      </c>
    </row>
    <row r="4380" spans="1:14" x14ac:dyDescent="0.2">
      <c r="A4380">
        <v>550</v>
      </c>
      <c r="B4380">
        <v>143</v>
      </c>
      <c r="C4380" t="s">
        <v>26</v>
      </c>
      <c r="D4380" t="s">
        <v>364</v>
      </c>
      <c r="E4380" t="s">
        <v>39</v>
      </c>
      <c r="F4380">
        <v>5</v>
      </c>
      <c r="G4380" t="s">
        <v>13</v>
      </c>
      <c r="H4380" s="1">
        <v>46010.707638888889</v>
      </c>
      <c r="I4380" s="5">
        <f>INT(TB[[#This Row],[时间戳]])</f>
        <v>46010</v>
      </c>
      <c r="J4380" s="2">
        <f>HOUR(TB[[#This Row],[时间戳]])</f>
        <v>16</v>
      </c>
      <c r="K4380">
        <v>3021</v>
      </c>
      <c r="L4380">
        <v>1</v>
      </c>
      <c r="M4380">
        <f>TB[[#This Row],[售价]]*TB[[#This Row],[销量]]</f>
        <v>3021</v>
      </c>
      <c r="N4380" t="str">
        <f>IF(TB[[#This Row],[售价]]&lt;1000,"低价商品",IF(TB[[#This Row],[售价]]&lt;5000,"中价商品",IF(TB[[#This Row],[售价]]&lt;10000,"高价商品","超高价商品")))</f>
        <v>中价商品</v>
      </c>
    </row>
    <row r="4381" spans="1:14" x14ac:dyDescent="0.2">
      <c r="A4381">
        <v>328</v>
      </c>
      <c r="B4381">
        <v>180</v>
      </c>
      <c r="C4381" t="s">
        <v>44</v>
      </c>
      <c r="D4381" t="s">
        <v>410</v>
      </c>
      <c r="E4381" t="s">
        <v>25</v>
      </c>
      <c r="F4381">
        <v>7</v>
      </c>
      <c r="G4381" t="s">
        <v>13</v>
      </c>
      <c r="H4381" s="1">
        <v>46010.720138888886</v>
      </c>
      <c r="I4381" s="5">
        <f>INT(TB[[#This Row],[时间戳]])</f>
        <v>46010</v>
      </c>
      <c r="J4381" s="2">
        <f>HOUR(TB[[#This Row],[时间戳]])</f>
        <v>17</v>
      </c>
      <c r="K4381">
        <v>6587</v>
      </c>
      <c r="L4381">
        <v>1</v>
      </c>
      <c r="M4381">
        <f>TB[[#This Row],[售价]]*TB[[#This Row],[销量]]</f>
        <v>6587</v>
      </c>
      <c r="N4381" t="str">
        <f>IF(TB[[#This Row],[售价]]&lt;1000,"低价商品",IF(TB[[#This Row],[售价]]&lt;5000,"中价商品",IF(TB[[#This Row],[售价]]&lt;10000,"高价商品","超高价商品")))</f>
        <v>高价商品</v>
      </c>
    </row>
    <row r="4382" spans="1:14" x14ac:dyDescent="0.2">
      <c r="A4382">
        <v>551</v>
      </c>
      <c r="B4382">
        <v>233</v>
      </c>
      <c r="C4382" t="s">
        <v>32</v>
      </c>
      <c r="D4382" t="s">
        <v>342</v>
      </c>
      <c r="E4382" t="s">
        <v>39</v>
      </c>
      <c r="F4382">
        <v>5</v>
      </c>
      <c r="G4382" t="s">
        <v>42</v>
      </c>
      <c r="H4382" s="1">
        <v>46010.72152777778</v>
      </c>
      <c r="I4382" s="5">
        <f>INT(TB[[#This Row],[时间戳]])</f>
        <v>46010</v>
      </c>
      <c r="J4382" s="2">
        <f>HOUR(TB[[#This Row],[时间戳]])</f>
        <v>17</v>
      </c>
      <c r="K4382">
        <v>1419</v>
      </c>
      <c r="L4382">
        <v>0</v>
      </c>
      <c r="M4382">
        <f>TB[[#This Row],[售价]]*TB[[#This Row],[销量]]</f>
        <v>0</v>
      </c>
      <c r="N4382" t="str">
        <f>IF(TB[[#This Row],[售价]]&lt;1000,"低价商品",IF(TB[[#This Row],[售价]]&lt;5000,"中价商品",IF(TB[[#This Row],[售价]]&lt;10000,"高价商品","超高价商品")))</f>
        <v>中价商品</v>
      </c>
    </row>
    <row r="4383" spans="1:14" x14ac:dyDescent="0.2">
      <c r="A4383">
        <v>273</v>
      </c>
      <c r="B4383">
        <v>101</v>
      </c>
      <c r="C4383" t="s">
        <v>14</v>
      </c>
      <c r="D4383" t="s">
        <v>106</v>
      </c>
      <c r="E4383" t="s">
        <v>22</v>
      </c>
      <c r="F4383">
        <v>1</v>
      </c>
      <c r="G4383" t="s">
        <v>13</v>
      </c>
      <c r="H4383" s="1">
        <v>46010.722916666666</v>
      </c>
      <c r="I4383" s="5">
        <f>INT(TB[[#This Row],[时间戳]])</f>
        <v>46010</v>
      </c>
      <c r="J4383" s="2">
        <f>HOUR(TB[[#This Row],[时间戳]])</f>
        <v>17</v>
      </c>
      <c r="K4383">
        <v>2163</v>
      </c>
      <c r="L4383">
        <v>2</v>
      </c>
      <c r="M4383">
        <f>TB[[#This Row],[售价]]*TB[[#This Row],[销量]]</f>
        <v>4326</v>
      </c>
      <c r="N4383" t="str">
        <f>IF(TB[[#This Row],[售价]]&lt;1000,"低价商品",IF(TB[[#This Row],[售价]]&lt;5000,"中价商品",IF(TB[[#This Row],[售价]]&lt;10000,"高价商品","超高价商品")))</f>
        <v>中价商品</v>
      </c>
    </row>
    <row r="4384" spans="1:14" x14ac:dyDescent="0.2">
      <c r="A4384">
        <v>574</v>
      </c>
      <c r="B4384">
        <v>62</v>
      </c>
      <c r="C4384" t="s">
        <v>17</v>
      </c>
      <c r="D4384" t="s">
        <v>198</v>
      </c>
      <c r="E4384" t="s">
        <v>19</v>
      </c>
      <c r="F4384">
        <v>3</v>
      </c>
      <c r="G4384" t="s">
        <v>13</v>
      </c>
      <c r="H4384" s="1">
        <v>46010.738888888889</v>
      </c>
      <c r="I4384" s="5">
        <f>INT(TB[[#This Row],[时间戳]])</f>
        <v>46010</v>
      </c>
      <c r="J4384" s="2">
        <f>HOUR(TB[[#This Row],[时间戳]])</f>
        <v>17</v>
      </c>
      <c r="K4384">
        <v>1802</v>
      </c>
      <c r="L4384">
        <v>3</v>
      </c>
      <c r="M4384">
        <f>TB[[#This Row],[售价]]*TB[[#This Row],[销量]]</f>
        <v>5406</v>
      </c>
      <c r="N4384" t="str">
        <f>IF(TB[[#This Row],[售价]]&lt;1000,"低价商品",IF(TB[[#This Row],[售价]]&lt;5000,"中价商品",IF(TB[[#This Row],[售价]]&lt;10000,"高价商品","超高价商品")))</f>
        <v>中价商品</v>
      </c>
    </row>
    <row r="4385" spans="1:14" x14ac:dyDescent="0.2">
      <c r="A4385">
        <v>795</v>
      </c>
      <c r="B4385">
        <v>18</v>
      </c>
      <c r="C4385" t="s">
        <v>17</v>
      </c>
      <c r="D4385" t="s">
        <v>309</v>
      </c>
      <c r="E4385" t="s">
        <v>16</v>
      </c>
      <c r="F4385">
        <v>6</v>
      </c>
      <c r="G4385" t="s">
        <v>13</v>
      </c>
      <c r="H4385" s="1">
        <v>46010.754166666666</v>
      </c>
      <c r="I4385" s="5">
        <f>INT(TB[[#This Row],[时间戳]])</f>
        <v>46010</v>
      </c>
      <c r="J4385" s="2">
        <f>HOUR(TB[[#This Row],[时间戳]])</f>
        <v>18</v>
      </c>
      <c r="K4385">
        <v>3918</v>
      </c>
      <c r="L4385">
        <v>2</v>
      </c>
      <c r="M4385">
        <f>TB[[#This Row],[售价]]*TB[[#This Row],[销量]]</f>
        <v>7836</v>
      </c>
      <c r="N4385" t="str">
        <f>IF(TB[[#This Row],[售价]]&lt;1000,"低价商品",IF(TB[[#This Row],[售价]]&lt;5000,"中价商品",IF(TB[[#This Row],[售价]]&lt;10000,"高价商品","超高价商品")))</f>
        <v>中价商品</v>
      </c>
    </row>
    <row r="4386" spans="1:14" x14ac:dyDescent="0.2">
      <c r="A4386">
        <v>516</v>
      </c>
      <c r="B4386">
        <v>268</v>
      </c>
      <c r="C4386" t="s">
        <v>32</v>
      </c>
      <c r="D4386" t="s">
        <v>212</v>
      </c>
      <c r="E4386" t="s">
        <v>22</v>
      </c>
      <c r="F4386">
        <v>1</v>
      </c>
      <c r="G4386" t="s">
        <v>42</v>
      </c>
      <c r="H4386" s="1">
        <v>46010.793055555558</v>
      </c>
      <c r="I4386" s="5">
        <f>INT(TB[[#This Row],[时间戳]])</f>
        <v>46010</v>
      </c>
      <c r="J4386" s="2">
        <f>HOUR(TB[[#This Row],[时间戳]])</f>
        <v>19</v>
      </c>
      <c r="K4386">
        <v>2619</v>
      </c>
      <c r="L4386">
        <v>0</v>
      </c>
      <c r="M4386">
        <f>TB[[#This Row],[售价]]*TB[[#This Row],[销量]]</f>
        <v>0</v>
      </c>
      <c r="N4386" t="str">
        <f>IF(TB[[#This Row],[售价]]&lt;1000,"低价商品",IF(TB[[#This Row],[售价]]&lt;5000,"中价商品",IF(TB[[#This Row],[售价]]&lt;10000,"高价商品","超高价商品")))</f>
        <v>中价商品</v>
      </c>
    </row>
    <row r="4387" spans="1:14" x14ac:dyDescent="0.2">
      <c r="A4387">
        <v>562</v>
      </c>
      <c r="B4387">
        <v>241</v>
      </c>
      <c r="C4387" t="s">
        <v>44</v>
      </c>
      <c r="D4387" t="s">
        <v>76</v>
      </c>
      <c r="E4387" t="s">
        <v>31</v>
      </c>
      <c r="F4387">
        <v>4</v>
      </c>
      <c r="G4387" t="s">
        <v>13</v>
      </c>
      <c r="H4387" s="1">
        <v>46010.807638888888</v>
      </c>
      <c r="I4387" s="5">
        <f>INT(TB[[#This Row],[时间戳]])</f>
        <v>46010</v>
      </c>
      <c r="J4387" s="2">
        <f>HOUR(TB[[#This Row],[时间戳]])</f>
        <v>19</v>
      </c>
      <c r="K4387">
        <v>242</v>
      </c>
      <c r="L4387">
        <v>4</v>
      </c>
      <c r="M4387">
        <f>TB[[#This Row],[售价]]*TB[[#This Row],[销量]]</f>
        <v>968</v>
      </c>
      <c r="N4387" t="str">
        <f>IF(TB[[#This Row],[售价]]&lt;1000,"低价商品",IF(TB[[#This Row],[售价]]&lt;5000,"中价商品",IF(TB[[#This Row],[售价]]&lt;10000,"高价商品","超高价商品")))</f>
        <v>低价商品</v>
      </c>
    </row>
    <row r="4388" spans="1:14" x14ac:dyDescent="0.2">
      <c r="A4388">
        <v>228</v>
      </c>
      <c r="B4388">
        <v>120</v>
      </c>
      <c r="C4388" t="s">
        <v>34</v>
      </c>
      <c r="D4388" t="s">
        <v>331</v>
      </c>
      <c r="E4388" t="s">
        <v>25</v>
      </c>
      <c r="F4388">
        <v>7</v>
      </c>
      <c r="G4388" t="s">
        <v>13</v>
      </c>
      <c r="H4388" s="1">
        <v>46010.866666666669</v>
      </c>
      <c r="I4388" s="5">
        <f>INT(TB[[#This Row],[时间戳]])</f>
        <v>46010</v>
      </c>
      <c r="J4388" s="2">
        <f>HOUR(TB[[#This Row],[时间戳]])</f>
        <v>20</v>
      </c>
      <c r="K4388">
        <v>5263</v>
      </c>
      <c r="L4388">
        <v>1</v>
      </c>
      <c r="M4388">
        <f>TB[[#This Row],[售价]]*TB[[#This Row],[销量]]</f>
        <v>5263</v>
      </c>
      <c r="N4388" t="str">
        <f>IF(TB[[#This Row],[售价]]&lt;1000,"低价商品",IF(TB[[#This Row],[售价]]&lt;5000,"中价商品",IF(TB[[#This Row],[售价]]&lt;10000,"高价商品","超高价商品")))</f>
        <v>高价商品</v>
      </c>
    </row>
    <row r="4389" spans="1:14" x14ac:dyDescent="0.2">
      <c r="A4389">
        <v>461</v>
      </c>
      <c r="B4389">
        <v>8</v>
      </c>
      <c r="C4389" t="s">
        <v>36</v>
      </c>
      <c r="D4389" t="s">
        <v>172</v>
      </c>
      <c r="E4389" t="s">
        <v>25</v>
      </c>
      <c r="F4389">
        <v>7</v>
      </c>
      <c r="G4389" t="s">
        <v>13</v>
      </c>
      <c r="H4389" s="1">
        <v>46010.868055555555</v>
      </c>
      <c r="I4389" s="5">
        <f>INT(TB[[#This Row],[时间戳]])</f>
        <v>46010</v>
      </c>
      <c r="J4389" s="2">
        <f>HOUR(TB[[#This Row],[时间戳]])</f>
        <v>20</v>
      </c>
      <c r="K4389">
        <v>3263</v>
      </c>
      <c r="L4389">
        <v>3</v>
      </c>
      <c r="M4389">
        <f>TB[[#This Row],[售价]]*TB[[#This Row],[销量]]</f>
        <v>9789</v>
      </c>
      <c r="N4389" t="str">
        <f>IF(TB[[#This Row],[售价]]&lt;1000,"低价商品",IF(TB[[#This Row],[售价]]&lt;5000,"中价商品",IF(TB[[#This Row],[售价]]&lt;10000,"高价商品","超高价商品")))</f>
        <v>中价商品</v>
      </c>
    </row>
    <row r="4390" spans="1:14" x14ac:dyDescent="0.2">
      <c r="A4390">
        <v>620</v>
      </c>
      <c r="B4390">
        <v>7</v>
      </c>
      <c r="C4390" t="s">
        <v>32</v>
      </c>
      <c r="D4390" t="s">
        <v>381</v>
      </c>
      <c r="E4390" t="s">
        <v>19</v>
      </c>
      <c r="F4390">
        <v>3</v>
      </c>
      <c r="G4390" t="s">
        <v>13</v>
      </c>
      <c r="H4390" s="1">
        <v>46010.869444444441</v>
      </c>
      <c r="I4390" s="5">
        <f>INT(TB[[#This Row],[时间戳]])</f>
        <v>46010</v>
      </c>
      <c r="J4390" s="2">
        <f>HOUR(TB[[#This Row],[时间戳]])</f>
        <v>20</v>
      </c>
      <c r="K4390">
        <v>3404</v>
      </c>
      <c r="L4390">
        <v>4</v>
      </c>
      <c r="M4390">
        <f>TB[[#This Row],[售价]]*TB[[#This Row],[销量]]</f>
        <v>13616</v>
      </c>
      <c r="N4390" t="str">
        <f>IF(TB[[#This Row],[售价]]&lt;1000,"低价商品",IF(TB[[#This Row],[售价]]&lt;5000,"中价商品",IF(TB[[#This Row],[售价]]&lt;10000,"高价商品","超高价商品")))</f>
        <v>中价商品</v>
      </c>
    </row>
    <row r="4391" spans="1:14" x14ac:dyDescent="0.2">
      <c r="A4391">
        <v>525</v>
      </c>
      <c r="B4391">
        <v>215</v>
      </c>
      <c r="C4391" t="s">
        <v>34</v>
      </c>
      <c r="D4391" t="s">
        <v>323</v>
      </c>
      <c r="E4391" t="s">
        <v>39</v>
      </c>
      <c r="F4391">
        <v>5</v>
      </c>
      <c r="G4391" t="s">
        <v>42</v>
      </c>
      <c r="H4391" s="1">
        <v>46010.870833333334</v>
      </c>
      <c r="I4391" s="5">
        <f>INT(TB[[#This Row],[时间戳]])</f>
        <v>46010</v>
      </c>
      <c r="J4391" s="2">
        <f>HOUR(TB[[#This Row],[时间戳]])</f>
        <v>20</v>
      </c>
      <c r="K4391">
        <v>3207</v>
      </c>
      <c r="L4391">
        <v>0</v>
      </c>
      <c r="M4391">
        <f>TB[[#This Row],[售价]]*TB[[#This Row],[销量]]</f>
        <v>0</v>
      </c>
      <c r="N4391" t="str">
        <f>IF(TB[[#This Row],[售价]]&lt;1000,"低价商品",IF(TB[[#This Row],[售价]]&lt;5000,"中价商品",IF(TB[[#This Row],[售价]]&lt;10000,"高价商品","超高价商品")))</f>
        <v>中价商品</v>
      </c>
    </row>
    <row r="4392" spans="1:14" x14ac:dyDescent="0.2">
      <c r="A4392">
        <v>406</v>
      </c>
      <c r="B4392">
        <v>69</v>
      </c>
      <c r="C4392" t="s">
        <v>20</v>
      </c>
      <c r="D4392" t="s">
        <v>64</v>
      </c>
      <c r="E4392" t="s">
        <v>31</v>
      </c>
      <c r="F4392">
        <v>4</v>
      </c>
      <c r="G4392" t="s">
        <v>13</v>
      </c>
      <c r="H4392" s="1">
        <v>46010.874305555553</v>
      </c>
      <c r="I4392" s="5">
        <f>INT(TB[[#This Row],[时间戳]])</f>
        <v>46010</v>
      </c>
      <c r="J4392" s="2">
        <f>HOUR(TB[[#This Row],[时间戳]])</f>
        <v>20</v>
      </c>
      <c r="K4392">
        <v>50</v>
      </c>
      <c r="L4392">
        <v>5</v>
      </c>
      <c r="M4392">
        <f>TB[[#This Row],[售价]]*TB[[#This Row],[销量]]</f>
        <v>250</v>
      </c>
      <c r="N4392" t="str">
        <f>IF(TB[[#This Row],[售价]]&lt;1000,"低价商品",IF(TB[[#This Row],[售价]]&lt;5000,"中价商品",IF(TB[[#This Row],[售价]]&lt;10000,"高价商品","超高价商品")))</f>
        <v>低价商品</v>
      </c>
    </row>
    <row r="4393" spans="1:14" x14ac:dyDescent="0.2">
      <c r="A4393">
        <v>269</v>
      </c>
      <c r="B4393">
        <v>35</v>
      </c>
      <c r="C4393" t="s">
        <v>26</v>
      </c>
      <c r="D4393" t="s">
        <v>131</v>
      </c>
      <c r="E4393" t="s">
        <v>22</v>
      </c>
      <c r="F4393">
        <v>1</v>
      </c>
      <c r="G4393" t="s">
        <v>42</v>
      </c>
      <c r="H4393" s="1">
        <v>46010.888888888891</v>
      </c>
      <c r="I4393" s="5">
        <f>INT(TB[[#This Row],[时间戳]])</f>
        <v>46010</v>
      </c>
      <c r="J4393" s="2">
        <f>HOUR(TB[[#This Row],[时间戳]])</f>
        <v>21</v>
      </c>
      <c r="K4393">
        <v>3791</v>
      </c>
      <c r="L4393">
        <v>0</v>
      </c>
      <c r="M4393">
        <f>TB[[#This Row],[售价]]*TB[[#This Row],[销量]]</f>
        <v>0</v>
      </c>
      <c r="N4393" t="str">
        <f>IF(TB[[#This Row],[售价]]&lt;1000,"低价商品",IF(TB[[#This Row],[售价]]&lt;5000,"中价商品",IF(TB[[#This Row],[售价]]&lt;10000,"高价商品","超高价商品")))</f>
        <v>中价商品</v>
      </c>
    </row>
    <row r="4394" spans="1:14" x14ac:dyDescent="0.2">
      <c r="A4394">
        <v>626</v>
      </c>
      <c r="B4394">
        <v>18</v>
      </c>
      <c r="C4394" t="s">
        <v>32</v>
      </c>
      <c r="D4394" t="s">
        <v>286</v>
      </c>
      <c r="E4394" t="s">
        <v>22</v>
      </c>
      <c r="F4394">
        <v>1</v>
      </c>
      <c r="G4394" t="s">
        <v>13</v>
      </c>
      <c r="H4394" s="1">
        <v>46010.907638888886</v>
      </c>
      <c r="I4394" s="5">
        <f>INT(TB[[#This Row],[时间戳]])</f>
        <v>46010</v>
      </c>
      <c r="J4394" s="2">
        <f>HOUR(TB[[#This Row],[时间戳]])</f>
        <v>21</v>
      </c>
      <c r="K4394">
        <v>6254</v>
      </c>
      <c r="L4394">
        <v>2</v>
      </c>
      <c r="M4394">
        <f>TB[[#This Row],[售价]]*TB[[#This Row],[销量]]</f>
        <v>12508</v>
      </c>
      <c r="N4394" t="str">
        <f>IF(TB[[#This Row],[售价]]&lt;1000,"低价商品",IF(TB[[#This Row],[售价]]&lt;5000,"中价商品",IF(TB[[#This Row],[售价]]&lt;10000,"高价商品","超高价商品")))</f>
        <v>高价商品</v>
      </c>
    </row>
    <row r="4395" spans="1:14" x14ac:dyDescent="0.2">
      <c r="A4395">
        <v>138</v>
      </c>
      <c r="B4395">
        <v>4</v>
      </c>
      <c r="C4395" t="s">
        <v>44</v>
      </c>
      <c r="D4395" t="s">
        <v>169</v>
      </c>
      <c r="E4395" t="s">
        <v>31</v>
      </c>
      <c r="F4395">
        <v>4</v>
      </c>
      <c r="G4395" t="s">
        <v>13</v>
      </c>
      <c r="H4395" s="1">
        <v>46010.908333333333</v>
      </c>
      <c r="I4395" s="5">
        <f>INT(TB[[#This Row],[时间戳]])</f>
        <v>46010</v>
      </c>
      <c r="J4395" s="2">
        <f>HOUR(TB[[#This Row],[时间戳]])</f>
        <v>21</v>
      </c>
      <c r="K4395">
        <v>1368</v>
      </c>
      <c r="L4395">
        <v>4</v>
      </c>
      <c r="M4395">
        <f>TB[[#This Row],[售价]]*TB[[#This Row],[销量]]</f>
        <v>5472</v>
      </c>
      <c r="N4395" t="str">
        <f>IF(TB[[#This Row],[售价]]&lt;1000,"低价商品",IF(TB[[#This Row],[售价]]&lt;5000,"中价商品",IF(TB[[#This Row],[售价]]&lt;10000,"高价商品","超高价商品")))</f>
        <v>中价商品</v>
      </c>
    </row>
    <row r="4396" spans="1:14" x14ac:dyDescent="0.2">
      <c r="A4396">
        <v>21</v>
      </c>
      <c r="B4396">
        <v>29</v>
      </c>
      <c r="C4396" t="s">
        <v>36</v>
      </c>
      <c r="D4396" t="s">
        <v>136</v>
      </c>
      <c r="E4396" t="s">
        <v>39</v>
      </c>
      <c r="F4396">
        <v>5</v>
      </c>
      <c r="G4396" t="s">
        <v>13</v>
      </c>
      <c r="H4396" s="1">
        <v>46010.962500000001</v>
      </c>
      <c r="I4396" s="5">
        <f>INT(TB[[#This Row],[时间戳]])</f>
        <v>46010</v>
      </c>
      <c r="J4396" s="2">
        <f>HOUR(TB[[#This Row],[时间戳]])</f>
        <v>23</v>
      </c>
      <c r="K4396">
        <v>2087</v>
      </c>
      <c r="L4396">
        <v>2</v>
      </c>
      <c r="M4396">
        <f>TB[[#This Row],[售价]]*TB[[#This Row],[销量]]</f>
        <v>4174</v>
      </c>
      <c r="N4396" t="str">
        <f>IF(TB[[#This Row],[售价]]&lt;1000,"低价商品",IF(TB[[#This Row],[售价]]&lt;5000,"中价商品",IF(TB[[#This Row],[售价]]&lt;10000,"高价商品","超高价商品")))</f>
        <v>中价商品</v>
      </c>
    </row>
    <row r="4397" spans="1:14" x14ac:dyDescent="0.2">
      <c r="A4397">
        <v>279</v>
      </c>
      <c r="B4397">
        <v>52</v>
      </c>
      <c r="C4397" t="s">
        <v>46</v>
      </c>
      <c r="D4397" t="s">
        <v>266</v>
      </c>
      <c r="E4397" t="s">
        <v>12</v>
      </c>
      <c r="F4397">
        <v>2</v>
      </c>
      <c r="G4397" t="s">
        <v>13</v>
      </c>
      <c r="H4397" s="1">
        <v>46010.996527777781</v>
      </c>
      <c r="I4397" s="5">
        <f>INT(TB[[#This Row],[时间戳]])</f>
        <v>46010</v>
      </c>
      <c r="J4397" s="2">
        <f>HOUR(TB[[#This Row],[时间戳]])</f>
        <v>23</v>
      </c>
      <c r="K4397">
        <v>12258</v>
      </c>
      <c r="L4397">
        <v>3</v>
      </c>
      <c r="M4397">
        <f>TB[[#This Row],[售价]]*TB[[#This Row],[销量]]</f>
        <v>36774</v>
      </c>
      <c r="N4397" t="str">
        <f>IF(TB[[#This Row],[售价]]&lt;1000,"低价商品",IF(TB[[#This Row],[售价]]&lt;5000,"中价商品",IF(TB[[#This Row],[售价]]&lt;10000,"高价商品","超高价商品")))</f>
        <v>超高价商品</v>
      </c>
    </row>
    <row r="4398" spans="1:14" x14ac:dyDescent="0.2">
      <c r="A4398">
        <v>381</v>
      </c>
      <c r="B4398">
        <v>123</v>
      </c>
      <c r="C4398" t="s">
        <v>26</v>
      </c>
      <c r="D4398" t="s">
        <v>166</v>
      </c>
      <c r="E4398" t="s">
        <v>39</v>
      </c>
      <c r="F4398">
        <v>5</v>
      </c>
      <c r="G4398" t="s">
        <v>13</v>
      </c>
      <c r="H4398" s="1">
        <v>46011.00277777778</v>
      </c>
      <c r="I4398" s="5">
        <f>INT(TB[[#This Row],[时间戳]])</f>
        <v>46011</v>
      </c>
      <c r="J4398" s="2">
        <f>HOUR(TB[[#This Row],[时间戳]])</f>
        <v>0</v>
      </c>
      <c r="K4398">
        <v>3024</v>
      </c>
      <c r="L4398">
        <v>3</v>
      </c>
      <c r="M4398">
        <f>TB[[#This Row],[售价]]*TB[[#This Row],[销量]]</f>
        <v>9072</v>
      </c>
      <c r="N4398" t="str">
        <f>IF(TB[[#This Row],[售价]]&lt;1000,"低价商品",IF(TB[[#This Row],[售价]]&lt;5000,"中价商品",IF(TB[[#This Row],[售价]]&lt;10000,"高价商品","超高价商品")))</f>
        <v>中价商品</v>
      </c>
    </row>
    <row r="4399" spans="1:14" x14ac:dyDescent="0.2">
      <c r="A4399">
        <v>732</v>
      </c>
      <c r="B4399">
        <v>159</v>
      </c>
      <c r="C4399" t="s">
        <v>46</v>
      </c>
      <c r="D4399" t="s">
        <v>217</v>
      </c>
      <c r="E4399" t="s">
        <v>19</v>
      </c>
      <c r="F4399">
        <v>3</v>
      </c>
      <c r="G4399" t="s">
        <v>13</v>
      </c>
      <c r="H4399" s="1">
        <v>46011.004166666666</v>
      </c>
      <c r="I4399" s="5">
        <f>INT(TB[[#This Row],[时间戳]])</f>
        <v>46011</v>
      </c>
      <c r="J4399" s="2">
        <f>HOUR(TB[[#This Row],[时间戳]])</f>
        <v>0</v>
      </c>
      <c r="K4399">
        <v>1946</v>
      </c>
      <c r="L4399">
        <v>3</v>
      </c>
      <c r="M4399">
        <f>TB[[#This Row],[售价]]*TB[[#This Row],[销量]]</f>
        <v>5838</v>
      </c>
      <c r="N4399" t="str">
        <f>IF(TB[[#This Row],[售价]]&lt;1000,"低价商品",IF(TB[[#This Row],[售价]]&lt;5000,"中价商品",IF(TB[[#This Row],[售价]]&lt;10000,"高价商品","超高价商品")))</f>
        <v>中价商品</v>
      </c>
    </row>
    <row r="4400" spans="1:14" x14ac:dyDescent="0.2">
      <c r="A4400">
        <v>769</v>
      </c>
      <c r="B4400">
        <v>142</v>
      </c>
      <c r="C4400" t="s">
        <v>26</v>
      </c>
      <c r="D4400" t="s">
        <v>182</v>
      </c>
      <c r="E4400" t="s">
        <v>31</v>
      </c>
      <c r="F4400">
        <v>4</v>
      </c>
      <c r="G4400" t="s">
        <v>42</v>
      </c>
      <c r="H4400" s="1">
        <v>46011.007638888892</v>
      </c>
      <c r="I4400" s="5">
        <f>INT(TB[[#This Row],[时间戳]])</f>
        <v>46011</v>
      </c>
      <c r="J4400" s="2">
        <f>HOUR(TB[[#This Row],[时间戳]])</f>
        <v>0</v>
      </c>
      <c r="K4400">
        <v>376</v>
      </c>
      <c r="L4400">
        <v>0</v>
      </c>
      <c r="M4400">
        <f>TB[[#This Row],[售价]]*TB[[#This Row],[销量]]</f>
        <v>0</v>
      </c>
      <c r="N4400" t="str">
        <f>IF(TB[[#This Row],[售价]]&lt;1000,"低价商品",IF(TB[[#This Row],[售价]]&lt;5000,"中价商品",IF(TB[[#This Row],[售价]]&lt;10000,"高价商品","超高价商品")))</f>
        <v>低价商品</v>
      </c>
    </row>
    <row r="4401" spans="1:14" x14ac:dyDescent="0.2">
      <c r="A4401">
        <v>748</v>
      </c>
      <c r="B4401">
        <v>286</v>
      </c>
      <c r="C4401" t="s">
        <v>10</v>
      </c>
      <c r="D4401" t="s">
        <v>294</v>
      </c>
      <c r="E4401" t="s">
        <v>31</v>
      </c>
      <c r="F4401">
        <v>4</v>
      </c>
      <c r="G4401" t="s">
        <v>13</v>
      </c>
      <c r="H4401" s="1">
        <v>46011.010416666664</v>
      </c>
      <c r="I4401" s="5">
        <f>INT(TB[[#This Row],[时间戳]])</f>
        <v>46011</v>
      </c>
      <c r="J4401" s="2">
        <f>HOUR(TB[[#This Row],[时间戳]])</f>
        <v>0</v>
      </c>
      <c r="K4401">
        <v>1202</v>
      </c>
      <c r="L4401">
        <v>5</v>
      </c>
      <c r="M4401">
        <f>TB[[#This Row],[售价]]*TB[[#This Row],[销量]]</f>
        <v>6010</v>
      </c>
      <c r="N4401" t="str">
        <f>IF(TB[[#This Row],[售价]]&lt;1000,"低价商品",IF(TB[[#This Row],[售价]]&lt;5000,"中价商品",IF(TB[[#This Row],[售价]]&lt;10000,"高价商品","超高价商品")))</f>
        <v>中价商品</v>
      </c>
    </row>
    <row r="4402" spans="1:14" x14ac:dyDescent="0.2">
      <c r="A4402">
        <v>589</v>
      </c>
      <c r="B4402">
        <v>209</v>
      </c>
      <c r="C4402" t="s">
        <v>17</v>
      </c>
      <c r="D4402" t="s">
        <v>109</v>
      </c>
      <c r="E4402" t="s">
        <v>12</v>
      </c>
      <c r="F4402">
        <v>2</v>
      </c>
      <c r="G4402" t="s">
        <v>13</v>
      </c>
      <c r="H4402" s="1">
        <v>46011.012499999997</v>
      </c>
      <c r="I4402" s="5">
        <f>INT(TB[[#This Row],[时间戳]])</f>
        <v>46011</v>
      </c>
      <c r="J4402" s="2">
        <f>HOUR(TB[[#This Row],[时间戳]])</f>
        <v>0</v>
      </c>
      <c r="K4402">
        <v>11653</v>
      </c>
      <c r="L4402">
        <v>5</v>
      </c>
      <c r="M4402">
        <f>TB[[#This Row],[售价]]*TB[[#This Row],[销量]]</f>
        <v>58265</v>
      </c>
      <c r="N4402" t="str">
        <f>IF(TB[[#This Row],[售价]]&lt;1000,"低价商品",IF(TB[[#This Row],[售价]]&lt;5000,"中价商品",IF(TB[[#This Row],[售价]]&lt;10000,"高价商品","超高价商品")))</f>
        <v>超高价商品</v>
      </c>
    </row>
    <row r="4403" spans="1:14" x14ac:dyDescent="0.2">
      <c r="A4403">
        <v>81</v>
      </c>
      <c r="B4403">
        <v>254</v>
      </c>
      <c r="C4403" t="s">
        <v>26</v>
      </c>
      <c r="D4403" t="s">
        <v>166</v>
      </c>
      <c r="E4403" t="s">
        <v>39</v>
      </c>
      <c r="F4403">
        <v>5</v>
      </c>
      <c r="G4403" t="s">
        <v>13</v>
      </c>
      <c r="H4403" s="1">
        <v>46011.026388888888</v>
      </c>
      <c r="I4403" s="5">
        <f>INT(TB[[#This Row],[时间戳]])</f>
        <v>46011</v>
      </c>
      <c r="J4403" s="2">
        <f>HOUR(TB[[#This Row],[时间戳]])</f>
        <v>0</v>
      </c>
      <c r="K4403">
        <v>1531</v>
      </c>
      <c r="L4403">
        <v>5</v>
      </c>
      <c r="M4403">
        <f>TB[[#This Row],[售价]]*TB[[#This Row],[销量]]</f>
        <v>7655</v>
      </c>
      <c r="N4403" t="str">
        <f>IF(TB[[#This Row],[售价]]&lt;1000,"低价商品",IF(TB[[#This Row],[售价]]&lt;5000,"中价商品",IF(TB[[#This Row],[售价]]&lt;10000,"高价商品","超高价商品")))</f>
        <v>中价商品</v>
      </c>
    </row>
    <row r="4404" spans="1:14" x14ac:dyDescent="0.2">
      <c r="A4404">
        <v>297</v>
      </c>
      <c r="B4404">
        <v>8</v>
      </c>
      <c r="C4404" t="s">
        <v>26</v>
      </c>
      <c r="D4404" t="s">
        <v>27</v>
      </c>
      <c r="E4404" t="s">
        <v>22</v>
      </c>
      <c r="F4404">
        <v>1</v>
      </c>
      <c r="G4404" t="s">
        <v>13</v>
      </c>
      <c r="H4404" s="1">
        <v>46011.03125</v>
      </c>
      <c r="I4404" s="5">
        <f>INT(TB[[#This Row],[时间戳]])</f>
        <v>46011</v>
      </c>
      <c r="J4404" s="2">
        <f>HOUR(TB[[#This Row],[时间戳]])</f>
        <v>0</v>
      </c>
      <c r="K4404">
        <v>7849</v>
      </c>
      <c r="L4404">
        <v>5</v>
      </c>
      <c r="M4404">
        <f>TB[[#This Row],[售价]]*TB[[#This Row],[销量]]</f>
        <v>39245</v>
      </c>
      <c r="N4404" t="str">
        <f>IF(TB[[#This Row],[售价]]&lt;1000,"低价商品",IF(TB[[#This Row],[售价]]&lt;5000,"中价商品",IF(TB[[#This Row],[售价]]&lt;10000,"高价商品","超高价商品")))</f>
        <v>高价商品</v>
      </c>
    </row>
    <row r="4405" spans="1:14" x14ac:dyDescent="0.2">
      <c r="A4405">
        <v>430</v>
      </c>
      <c r="B4405">
        <v>52</v>
      </c>
      <c r="C4405" t="s">
        <v>32</v>
      </c>
      <c r="D4405" t="s">
        <v>170</v>
      </c>
      <c r="E4405" t="s">
        <v>31</v>
      </c>
      <c r="F4405">
        <v>4</v>
      </c>
      <c r="G4405" t="s">
        <v>13</v>
      </c>
      <c r="H4405" s="1">
        <v>46011.039583333331</v>
      </c>
      <c r="I4405" s="5">
        <f>INT(TB[[#This Row],[时间戳]])</f>
        <v>46011</v>
      </c>
      <c r="J4405" s="2">
        <f>HOUR(TB[[#This Row],[时间戳]])</f>
        <v>0</v>
      </c>
      <c r="K4405">
        <v>747</v>
      </c>
      <c r="L4405">
        <v>5</v>
      </c>
      <c r="M4405">
        <f>TB[[#This Row],[售价]]*TB[[#This Row],[销量]]</f>
        <v>3735</v>
      </c>
      <c r="N4405" t="str">
        <f>IF(TB[[#This Row],[售价]]&lt;1000,"低价商品",IF(TB[[#This Row],[售价]]&lt;5000,"中价商品",IF(TB[[#This Row],[售价]]&lt;10000,"高价商品","超高价商品")))</f>
        <v>低价商品</v>
      </c>
    </row>
    <row r="4406" spans="1:14" x14ac:dyDescent="0.2">
      <c r="A4406">
        <v>37</v>
      </c>
      <c r="B4406">
        <v>99</v>
      </c>
      <c r="C4406" t="s">
        <v>46</v>
      </c>
      <c r="D4406" t="s">
        <v>315</v>
      </c>
      <c r="E4406" t="s">
        <v>12</v>
      </c>
      <c r="F4406">
        <v>2</v>
      </c>
      <c r="G4406" t="s">
        <v>13</v>
      </c>
      <c r="H4406" s="1">
        <v>46011.122916666667</v>
      </c>
      <c r="I4406" s="5">
        <f>INT(TB[[#This Row],[时间戳]])</f>
        <v>46011</v>
      </c>
      <c r="J4406" s="2">
        <f>HOUR(TB[[#This Row],[时间戳]])</f>
        <v>2</v>
      </c>
      <c r="K4406">
        <v>5840</v>
      </c>
      <c r="L4406">
        <v>5</v>
      </c>
      <c r="M4406">
        <f>TB[[#This Row],[售价]]*TB[[#This Row],[销量]]</f>
        <v>29200</v>
      </c>
      <c r="N4406" t="str">
        <f>IF(TB[[#This Row],[售价]]&lt;1000,"低价商品",IF(TB[[#This Row],[售价]]&lt;5000,"中价商品",IF(TB[[#This Row],[售价]]&lt;10000,"高价商品","超高价商品")))</f>
        <v>高价商品</v>
      </c>
    </row>
    <row r="4407" spans="1:14" x14ac:dyDescent="0.2">
      <c r="A4407">
        <v>102</v>
      </c>
      <c r="B4407">
        <v>196</v>
      </c>
      <c r="C4407" t="s">
        <v>20</v>
      </c>
      <c r="D4407" t="s">
        <v>167</v>
      </c>
      <c r="E4407" t="s">
        <v>39</v>
      </c>
      <c r="F4407">
        <v>5</v>
      </c>
      <c r="G4407" t="s">
        <v>13</v>
      </c>
      <c r="H4407" s="1">
        <v>46011.144444444442</v>
      </c>
      <c r="I4407" s="5">
        <f>INT(TB[[#This Row],[时间戳]])</f>
        <v>46011</v>
      </c>
      <c r="J4407" s="2">
        <f>HOUR(TB[[#This Row],[时间戳]])</f>
        <v>3</v>
      </c>
      <c r="K4407">
        <v>2046</v>
      </c>
      <c r="L4407">
        <v>2</v>
      </c>
      <c r="M4407">
        <f>TB[[#This Row],[售价]]*TB[[#This Row],[销量]]</f>
        <v>4092</v>
      </c>
      <c r="N4407" t="str">
        <f>IF(TB[[#This Row],[售价]]&lt;1000,"低价商品",IF(TB[[#This Row],[售价]]&lt;5000,"中价商品",IF(TB[[#This Row],[售价]]&lt;10000,"高价商品","超高价商品")))</f>
        <v>中价商品</v>
      </c>
    </row>
    <row r="4408" spans="1:14" x14ac:dyDescent="0.2">
      <c r="A4408">
        <v>153</v>
      </c>
      <c r="B4408">
        <v>280</v>
      </c>
      <c r="C4408" t="s">
        <v>44</v>
      </c>
      <c r="D4408" t="s">
        <v>59</v>
      </c>
      <c r="E4408" t="s">
        <v>22</v>
      </c>
      <c r="F4408">
        <v>1</v>
      </c>
      <c r="G4408" t="s">
        <v>42</v>
      </c>
      <c r="H4408" s="1">
        <v>46011.199305555558</v>
      </c>
      <c r="I4408" s="5">
        <f>INT(TB[[#This Row],[时间戳]])</f>
        <v>46011</v>
      </c>
      <c r="J4408" s="2">
        <f>HOUR(TB[[#This Row],[时间戳]])</f>
        <v>4</v>
      </c>
      <c r="K4408">
        <v>2587</v>
      </c>
      <c r="L4408">
        <v>0</v>
      </c>
      <c r="M4408">
        <f>TB[[#This Row],[售价]]*TB[[#This Row],[销量]]</f>
        <v>0</v>
      </c>
      <c r="N4408" t="str">
        <f>IF(TB[[#This Row],[售价]]&lt;1000,"低价商品",IF(TB[[#This Row],[售价]]&lt;5000,"中价商品",IF(TB[[#This Row],[售价]]&lt;10000,"高价商品","超高价商品")))</f>
        <v>中价商品</v>
      </c>
    </row>
    <row r="4409" spans="1:14" x14ac:dyDescent="0.2">
      <c r="A4409">
        <v>156</v>
      </c>
      <c r="B4409">
        <v>18</v>
      </c>
      <c r="C4409" t="s">
        <v>26</v>
      </c>
      <c r="D4409" t="s">
        <v>131</v>
      </c>
      <c r="E4409" t="s">
        <v>22</v>
      </c>
      <c r="F4409">
        <v>1</v>
      </c>
      <c r="G4409" t="s">
        <v>13</v>
      </c>
      <c r="H4409" s="1">
        <v>46011.20208333333</v>
      </c>
      <c r="I4409" s="5">
        <f>INT(TB[[#This Row],[时间戳]])</f>
        <v>46011</v>
      </c>
      <c r="J4409" s="2">
        <f>HOUR(TB[[#This Row],[时间戳]])</f>
        <v>4</v>
      </c>
      <c r="K4409">
        <v>4300</v>
      </c>
      <c r="L4409">
        <v>2</v>
      </c>
      <c r="M4409">
        <f>TB[[#This Row],[售价]]*TB[[#This Row],[销量]]</f>
        <v>8600</v>
      </c>
      <c r="N4409" t="str">
        <f>IF(TB[[#This Row],[售价]]&lt;1000,"低价商品",IF(TB[[#This Row],[售价]]&lt;5000,"中价商品",IF(TB[[#This Row],[售价]]&lt;10000,"高价商品","超高价商品")))</f>
        <v>中价商品</v>
      </c>
    </row>
    <row r="4410" spans="1:14" x14ac:dyDescent="0.2">
      <c r="A4410">
        <v>401</v>
      </c>
      <c r="B4410">
        <v>213</v>
      </c>
      <c r="C4410" t="s">
        <v>34</v>
      </c>
      <c r="D4410" t="s">
        <v>35</v>
      </c>
      <c r="E4410" t="s">
        <v>19</v>
      </c>
      <c r="F4410">
        <v>3</v>
      </c>
      <c r="G4410" t="s">
        <v>42</v>
      </c>
      <c r="H4410" s="1">
        <v>46011.211111111108</v>
      </c>
      <c r="I4410" s="5">
        <f>INT(TB[[#This Row],[时间戳]])</f>
        <v>46011</v>
      </c>
      <c r="J4410" s="2">
        <f>HOUR(TB[[#This Row],[时间戳]])</f>
        <v>5</v>
      </c>
      <c r="K4410">
        <v>1864</v>
      </c>
      <c r="L4410">
        <v>0</v>
      </c>
      <c r="M4410">
        <f>TB[[#This Row],[售价]]*TB[[#This Row],[销量]]</f>
        <v>0</v>
      </c>
      <c r="N4410" t="str">
        <f>IF(TB[[#This Row],[售价]]&lt;1000,"低价商品",IF(TB[[#This Row],[售价]]&lt;5000,"中价商品",IF(TB[[#This Row],[售价]]&lt;10000,"高价商品","超高价商品")))</f>
        <v>中价商品</v>
      </c>
    </row>
    <row r="4411" spans="1:14" x14ac:dyDescent="0.2">
      <c r="A4411">
        <v>202</v>
      </c>
      <c r="B4411">
        <v>210</v>
      </c>
      <c r="C4411" t="s">
        <v>46</v>
      </c>
      <c r="D4411" t="s">
        <v>142</v>
      </c>
      <c r="E4411" t="s">
        <v>31</v>
      </c>
      <c r="F4411">
        <v>4</v>
      </c>
      <c r="G4411" t="s">
        <v>13</v>
      </c>
      <c r="H4411" s="1">
        <v>46011.225694444445</v>
      </c>
      <c r="I4411" s="5">
        <f>INT(TB[[#This Row],[时间戳]])</f>
        <v>46011</v>
      </c>
      <c r="J4411" s="2">
        <f>HOUR(TB[[#This Row],[时间戳]])</f>
        <v>5</v>
      </c>
      <c r="K4411">
        <v>162</v>
      </c>
      <c r="L4411">
        <v>2</v>
      </c>
      <c r="M4411">
        <f>TB[[#This Row],[售价]]*TB[[#This Row],[销量]]</f>
        <v>324</v>
      </c>
      <c r="N4411" t="str">
        <f>IF(TB[[#This Row],[售价]]&lt;1000,"低价商品",IF(TB[[#This Row],[售价]]&lt;5000,"中价商品",IF(TB[[#This Row],[售价]]&lt;10000,"高价商品","超高价商品")))</f>
        <v>低价商品</v>
      </c>
    </row>
    <row r="4412" spans="1:14" x14ac:dyDescent="0.2">
      <c r="A4412">
        <v>348</v>
      </c>
      <c r="B4412">
        <v>239</v>
      </c>
      <c r="C4412" t="s">
        <v>10</v>
      </c>
      <c r="D4412" t="s">
        <v>237</v>
      </c>
      <c r="E4412" t="s">
        <v>25</v>
      </c>
      <c r="F4412">
        <v>7</v>
      </c>
      <c r="G4412" t="s">
        <v>13</v>
      </c>
      <c r="H4412" s="1">
        <v>46011.227083333331</v>
      </c>
      <c r="I4412" s="5">
        <f>INT(TB[[#This Row],[时间戳]])</f>
        <v>46011</v>
      </c>
      <c r="J4412" s="2">
        <f>HOUR(TB[[#This Row],[时间戳]])</f>
        <v>5</v>
      </c>
      <c r="K4412">
        <v>6052</v>
      </c>
      <c r="L4412">
        <v>3</v>
      </c>
      <c r="M4412">
        <f>TB[[#This Row],[售价]]*TB[[#This Row],[销量]]</f>
        <v>18156</v>
      </c>
      <c r="N4412" t="str">
        <f>IF(TB[[#This Row],[售价]]&lt;1000,"低价商品",IF(TB[[#This Row],[售价]]&lt;5000,"中价商品",IF(TB[[#This Row],[售价]]&lt;10000,"高价商品","超高价商品")))</f>
        <v>高价商品</v>
      </c>
    </row>
    <row r="4413" spans="1:14" x14ac:dyDescent="0.2">
      <c r="A4413">
        <v>62</v>
      </c>
      <c r="B4413">
        <v>50</v>
      </c>
      <c r="C4413" t="s">
        <v>34</v>
      </c>
      <c r="D4413" t="s">
        <v>414</v>
      </c>
      <c r="E4413" t="s">
        <v>12</v>
      </c>
      <c r="F4413">
        <v>2</v>
      </c>
      <c r="G4413" t="s">
        <v>13</v>
      </c>
      <c r="H4413" s="1">
        <v>46011.227083333331</v>
      </c>
      <c r="I4413" s="5">
        <f>INT(TB[[#This Row],[时间戳]])</f>
        <v>46011</v>
      </c>
      <c r="J4413" s="2">
        <f>HOUR(TB[[#This Row],[时间戳]])</f>
        <v>5</v>
      </c>
      <c r="K4413">
        <v>11904</v>
      </c>
      <c r="L4413">
        <v>5</v>
      </c>
      <c r="M4413">
        <f>TB[[#This Row],[售价]]*TB[[#This Row],[销量]]</f>
        <v>59520</v>
      </c>
      <c r="N4413" t="str">
        <f>IF(TB[[#This Row],[售价]]&lt;1000,"低价商品",IF(TB[[#This Row],[售价]]&lt;5000,"中价商品",IF(TB[[#This Row],[售价]]&lt;10000,"高价商品","超高价商品")))</f>
        <v>超高价商品</v>
      </c>
    </row>
    <row r="4414" spans="1:14" x14ac:dyDescent="0.2">
      <c r="A4414">
        <v>577</v>
      </c>
      <c r="B4414">
        <v>7</v>
      </c>
      <c r="C4414" t="s">
        <v>26</v>
      </c>
      <c r="D4414" t="s">
        <v>166</v>
      </c>
      <c r="E4414" t="s">
        <v>39</v>
      </c>
      <c r="F4414">
        <v>5</v>
      </c>
      <c r="G4414" t="s">
        <v>42</v>
      </c>
      <c r="H4414" s="1">
        <v>46011.247916666667</v>
      </c>
      <c r="I4414" s="5">
        <f>INT(TB[[#This Row],[时间戳]])</f>
        <v>46011</v>
      </c>
      <c r="J4414" s="2">
        <f>HOUR(TB[[#This Row],[时间戳]])</f>
        <v>5</v>
      </c>
      <c r="K4414">
        <v>2751</v>
      </c>
      <c r="L4414">
        <v>0</v>
      </c>
      <c r="M4414">
        <f>TB[[#This Row],[售价]]*TB[[#This Row],[销量]]</f>
        <v>0</v>
      </c>
      <c r="N4414" t="str">
        <f>IF(TB[[#This Row],[售价]]&lt;1000,"低价商品",IF(TB[[#This Row],[售价]]&lt;5000,"中价商品",IF(TB[[#This Row],[售价]]&lt;10000,"高价商品","超高价商品")))</f>
        <v>中价商品</v>
      </c>
    </row>
    <row r="4415" spans="1:14" x14ac:dyDescent="0.2">
      <c r="A4415">
        <v>473</v>
      </c>
      <c r="B4415">
        <v>46</v>
      </c>
      <c r="C4415" t="s">
        <v>32</v>
      </c>
      <c r="D4415" t="s">
        <v>200</v>
      </c>
      <c r="E4415" t="s">
        <v>25</v>
      </c>
      <c r="F4415">
        <v>7</v>
      </c>
      <c r="G4415" t="s">
        <v>13</v>
      </c>
      <c r="H4415" s="1">
        <v>46011.26666666667</v>
      </c>
      <c r="I4415" s="5">
        <f>INT(TB[[#This Row],[时间戳]])</f>
        <v>46011</v>
      </c>
      <c r="J4415" s="2">
        <f>HOUR(TB[[#This Row],[时间戳]])</f>
        <v>6</v>
      </c>
      <c r="K4415">
        <v>1748</v>
      </c>
      <c r="L4415">
        <v>3</v>
      </c>
      <c r="M4415">
        <f>TB[[#This Row],[售价]]*TB[[#This Row],[销量]]</f>
        <v>5244</v>
      </c>
      <c r="N4415" t="str">
        <f>IF(TB[[#This Row],[售价]]&lt;1000,"低价商品",IF(TB[[#This Row],[售价]]&lt;5000,"中价商品",IF(TB[[#This Row],[售价]]&lt;10000,"高价商品","超高价商品")))</f>
        <v>中价商品</v>
      </c>
    </row>
    <row r="4416" spans="1:14" x14ac:dyDescent="0.2">
      <c r="A4416">
        <v>463</v>
      </c>
      <c r="B4416">
        <v>88</v>
      </c>
      <c r="C4416" t="s">
        <v>10</v>
      </c>
      <c r="D4416" t="s">
        <v>68</v>
      </c>
      <c r="E4416" t="s">
        <v>22</v>
      </c>
      <c r="F4416">
        <v>1</v>
      </c>
      <c r="G4416" t="s">
        <v>13</v>
      </c>
      <c r="H4416" s="1">
        <v>46011.276388888888</v>
      </c>
      <c r="I4416" s="5">
        <f>INT(TB[[#This Row],[时间戳]])</f>
        <v>46011</v>
      </c>
      <c r="J4416" s="2">
        <f>HOUR(TB[[#This Row],[时间戳]])</f>
        <v>6</v>
      </c>
      <c r="K4416">
        <v>2737</v>
      </c>
      <c r="L4416">
        <v>3</v>
      </c>
      <c r="M4416">
        <f>TB[[#This Row],[售价]]*TB[[#This Row],[销量]]</f>
        <v>8211</v>
      </c>
      <c r="N4416" t="str">
        <f>IF(TB[[#This Row],[售价]]&lt;1000,"低价商品",IF(TB[[#This Row],[售价]]&lt;5000,"中价商品",IF(TB[[#This Row],[售价]]&lt;10000,"高价商品","超高价商品")))</f>
        <v>中价商品</v>
      </c>
    </row>
    <row r="4417" spans="1:14" x14ac:dyDescent="0.2">
      <c r="A4417">
        <v>554</v>
      </c>
      <c r="B4417">
        <v>195</v>
      </c>
      <c r="C4417" t="s">
        <v>14</v>
      </c>
      <c r="D4417" t="s">
        <v>144</v>
      </c>
      <c r="E4417" t="s">
        <v>19</v>
      </c>
      <c r="F4417">
        <v>3</v>
      </c>
      <c r="G4417" t="s">
        <v>13</v>
      </c>
      <c r="H4417" s="1">
        <v>46011.288888888892</v>
      </c>
      <c r="I4417" s="5">
        <f>INT(TB[[#This Row],[时间戳]])</f>
        <v>46011</v>
      </c>
      <c r="J4417" s="2">
        <f>HOUR(TB[[#This Row],[时间戳]])</f>
        <v>6</v>
      </c>
      <c r="K4417">
        <v>2659</v>
      </c>
      <c r="L4417">
        <v>3</v>
      </c>
      <c r="M4417">
        <f>TB[[#This Row],[售价]]*TB[[#This Row],[销量]]</f>
        <v>7977</v>
      </c>
      <c r="N4417" t="str">
        <f>IF(TB[[#This Row],[售价]]&lt;1000,"低价商品",IF(TB[[#This Row],[售价]]&lt;5000,"中价商品",IF(TB[[#This Row],[售价]]&lt;10000,"高价商品","超高价商品")))</f>
        <v>中价商品</v>
      </c>
    </row>
    <row r="4418" spans="1:14" x14ac:dyDescent="0.2">
      <c r="A4418">
        <v>78</v>
      </c>
      <c r="B4418">
        <v>200</v>
      </c>
      <c r="C4418" t="s">
        <v>20</v>
      </c>
      <c r="D4418" t="s">
        <v>259</v>
      </c>
      <c r="E4418" t="s">
        <v>16</v>
      </c>
      <c r="F4418">
        <v>6</v>
      </c>
      <c r="G4418" t="s">
        <v>13</v>
      </c>
      <c r="H4418" s="1">
        <v>46011.298611111109</v>
      </c>
      <c r="I4418" s="5">
        <f>INT(TB[[#This Row],[时间戳]])</f>
        <v>46011</v>
      </c>
      <c r="J4418" s="2">
        <f>HOUR(TB[[#This Row],[时间戳]])</f>
        <v>7</v>
      </c>
      <c r="K4418">
        <v>11100</v>
      </c>
      <c r="L4418">
        <v>3</v>
      </c>
      <c r="M4418">
        <f>TB[[#This Row],[售价]]*TB[[#This Row],[销量]]</f>
        <v>33300</v>
      </c>
      <c r="N4418" t="str">
        <f>IF(TB[[#This Row],[售价]]&lt;1000,"低价商品",IF(TB[[#This Row],[售价]]&lt;5000,"中价商品",IF(TB[[#This Row],[售价]]&lt;10000,"高价商品","超高价商品")))</f>
        <v>超高价商品</v>
      </c>
    </row>
    <row r="4419" spans="1:14" x14ac:dyDescent="0.2">
      <c r="A4419">
        <v>26</v>
      </c>
      <c r="B4419">
        <v>130</v>
      </c>
      <c r="C4419" t="s">
        <v>26</v>
      </c>
      <c r="D4419" t="s">
        <v>131</v>
      </c>
      <c r="E4419" t="s">
        <v>22</v>
      </c>
      <c r="F4419">
        <v>1</v>
      </c>
      <c r="G4419" t="s">
        <v>13</v>
      </c>
      <c r="H4419" s="1">
        <v>46011.299305555556</v>
      </c>
      <c r="I4419" s="5">
        <f>INT(TB[[#This Row],[时间戳]])</f>
        <v>46011</v>
      </c>
      <c r="J4419" s="2">
        <f>HOUR(TB[[#This Row],[时间戳]])</f>
        <v>7</v>
      </c>
      <c r="K4419">
        <v>4932</v>
      </c>
      <c r="L4419">
        <v>5</v>
      </c>
      <c r="M4419">
        <f>TB[[#This Row],[售价]]*TB[[#This Row],[销量]]</f>
        <v>24660</v>
      </c>
      <c r="N4419" t="str">
        <f>IF(TB[[#This Row],[售价]]&lt;1000,"低价商品",IF(TB[[#This Row],[售价]]&lt;5000,"中价商品",IF(TB[[#This Row],[售价]]&lt;10000,"高价商品","超高价商品")))</f>
        <v>中价商品</v>
      </c>
    </row>
    <row r="4420" spans="1:14" x14ac:dyDescent="0.2">
      <c r="A4420">
        <v>115</v>
      </c>
      <c r="B4420">
        <v>254</v>
      </c>
      <c r="C4420" t="s">
        <v>36</v>
      </c>
      <c r="D4420" t="s">
        <v>265</v>
      </c>
      <c r="E4420" t="s">
        <v>31</v>
      </c>
      <c r="F4420">
        <v>4</v>
      </c>
      <c r="G4420" t="s">
        <v>13</v>
      </c>
      <c r="H4420" s="1">
        <v>46011.306944444441</v>
      </c>
      <c r="I4420" s="5">
        <f>INT(TB[[#This Row],[时间戳]])</f>
        <v>46011</v>
      </c>
      <c r="J4420" s="2">
        <f>HOUR(TB[[#This Row],[时间戳]])</f>
        <v>7</v>
      </c>
      <c r="K4420">
        <v>860</v>
      </c>
      <c r="L4420">
        <v>5</v>
      </c>
      <c r="M4420">
        <f>TB[[#This Row],[售价]]*TB[[#This Row],[销量]]</f>
        <v>4300</v>
      </c>
      <c r="N4420" t="str">
        <f>IF(TB[[#This Row],[售价]]&lt;1000,"低价商品",IF(TB[[#This Row],[售价]]&lt;5000,"中价商品",IF(TB[[#This Row],[售价]]&lt;10000,"高价商品","超高价商品")))</f>
        <v>低价商品</v>
      </c>
    </row>
    <row r="4421" spans="1:14" x14ac:dyDescent="0.2">
      <c r="A4421">
        <v>71</v>
      </c>
      <c r="B4421">
        <v>243</v>
      </c>
      <c r="C4421" t="s">
        <v>26</v>
      </c>
      <c r="D4421" t="s">
        <v>270</v>
      </c>
      <c r="E4421" t="s">
        <v>16</v>
      </c>
      <c r="F4421">
        <v>6</v>
      </c>
      <c r="G4421" t="s">
        <v>13</v>
      </c>
      <c r="H4421" s="1">
        <v>46011.310416666667</v>
      </c>
      <c r="I4421" s="5">
        <f>INT(TB[[#This Row],[时间戳]])</f>
        <v>46011</v>
      </c>
      <c r="J4421" s="2">
        <f>HOUR(TB[[#This Row],[时间戳]])</f>
        <v>7</v>
      </c>
      <c r="K4421">
        <v>3908</v>
      </c>
      <c r="L4421">
        <v>5</v>
      </c>
      <c r="M4421">
        <f>TB[[#This Row],[售价]]*TB[[#This Row],[销量]]</f>
        <v>19540</v>
      </c>
      <c r="N4421" t="str">
        <f>IF(TB[[#This Row],[售价]]&lt;1000,"低价商品",IF(TB[[#This Row],[售价]]&lt;5000,"中价商品",IF(TB[[#This Row],[售价]]&lt;10000,"高价商品","超高价商品")))</f>
        <v>中价商品</v>
      </c>
    </row>
    <row r="4422" spans="1:14" x14ac:dyDescent="0.2">
      <c r="A4422">
        <v>251</v>
      </c>
      <c r="B4422">
        <v>209</v>
      </c>
      <c r="C4422" t="s">
        <v>36</v>
      </c>
      <c r="D4422" t="s">
        <v>377</v>
      </c>
      <c r="E4422" t="s">
        <v>12</v>
      </c>
      <c r="F4422">
        <v>2</v>
      </c>
      <c r="G4422" t="s">
        <v>13</v>
      </c>
      <c r="H4422" s="1">
        <v>46011.311805555553</v>
      </c>
      <c r="I4422" s="5">
        <f>INT(TB[[#This Row],[时间戳]])</f>
        <v>46011</v>
      </c>
      <c r="J4422" s="2">
        <f>HOUR(TB[[#This Row],[时间戳]])</f>
        <v>7</v>
      </c>
      <c r="K4422">
        <v>4135</v>
      </c>
      <c r="L4422">
        <v>3</v>
      </c>
      <c r="M4422">
        <f>TB[[#This Row],[售价]]*TB[[#This Row],[销量]]</f>
        <v>12405</v>
      </c>
      <c r="N4422" t="str">
        <f>IF(TB[[#This Row],[售价]]&lt;1000,"低价商品",IF(TB[[#This Row],[售价]]&lt;5000,"中价商品",IF(TB[[#This Row],[售价]]&lt;10000,"高价商品","超高价商品")))</f>
        <v>中价商品</v>
      </c>
    </row>
    <row r="4423" spans="1:14" x14ac:dyDescent="0.2">
      <c r="A4423">
        <v>301</v>
      </c>
      <c r="B4423">
        <v>68</v>
      </c>
      <c r="C4423" t="s">
        <v>32</v>
      </c>
      <c r="D4423" t="s">
        <v>342</v>
      </c>
      <c r="E4423" t="s">
        <v>39</v>
      </c>
      <c r="F4423">
        <v>5</v>
      </c>
      <c r="G4423" t="s">
        <v>13</v>
      </c>
      <c r="H4423" s="1">
        <v>46011.370138888888</v>
      </c>
      <c r="I4423" s="5">
        <f>INT(TB[[#This Row],[时间戳]])</f>
        <v>46011</v>
      </c>
      <c r="J4423" s="2">
        <f>HOUR(TB[[#This Row],[时间戳]])</f>
        <v>8</v>
      </c>
      <c r="K4423">
        <v>894</v>
      </c>
      <c r="L4423">
        <v>3</v>
      </c>
      <c r="M4423">
        <f>TB[[#This Row],[售价]]*TB[[#This Row],[销量]]</f>
        <v>2682</v>
      </c>
      <c r="N4423" t="str">
        <f>IF(TB[[#This Row],[售价]]&lt;1000,"低价商品",IF(TB[[#This Row],[售价]]&lt;5000,"中价商品",IF(TB[[#This Row],[售价]]&lt;10000,"高价商品","超高价商品")))</f>
        <v>低价商品</v>
      </c>
    </row>
    <row r="4424" spans="1:14" x14ac:dyDescent="0.2">
      <c r="A4424">
        <v>664</v>
      </c>
      <c r="B4424">
        <v>204</v>
      </c>
      <c r="C4424" t="s">
        <v>26</v>
      </c>
      <c r="D4424" t="s">
        <v>225</v>
      </c>
      <c r="E4424" t="s">
        <v>31</v>
      </c>
      <c r="F4424">
        <v>4</v>
      </c>
      <c r="G4424" t="s">
        <v>13</v>
      </c>
      <c r="H4424" s="1">
        <v>46011.386805555558</v>
      </c>
      <c r="I4424" s="5">
        <f>INT(TB[[#This Row],[时间戳]])</f>
        <v>46011</v>
      </c>
      <c r="J4424" s="2">
        <f>HOUR(TB[[#This Row],[时间戳]])</f>
        <v>9</v>
      </c>
      <c r="K4424">
        <v>410</v>
      </c>
      <c r="L4424">
        <v>2</v>
      </c>
      <c r="M4424">
        <f>TB[[#This Row],[售价]]*TB[[#This Row],[销量]]</f>
        <v>820</v>
      </c>
      <c r="N4424" t="str">
        <f>IF(TB[[#This Row],[售价]]&lt;1000,"低价商品",IF(TB[[#This Row],[售价]]&lt;5000,"中价商品",IF(TB[[#This Row],[售价]]&lt;10000,"高价商品","超高价商品")))</f>
        <v>低价商品</v>
      </c>
    </row>
    <row r="4425" spans="1:14" x14ac:dyDescent="0.2">
      <c r="A4425">
        <v>220</v>
      </c>
      <c r="B4425">
        <v>139</v>
      </c>
      <c r="C4425" t="s">
        <v>34</v>
      </c>
      <c r="D4425" t="s">
        <v>339</v>
      </c>
      <c r="E4425" t="s">
        <v>12</v>
      </c>
      <c r="F4425">
        <v>2</v>
      </c>
      <c r="G4425" t="s">
        <v>42</v>
      </c>
      <c r="H4425" s="1">
        <v>46011.410416666666</v>
      </c>
      <c r="I4425" s="5">
        <f>INT(TB[[#This Row],[时间戳]])</f>
        <v>46011</v>
      </c>
      <c r="J4425" s="2">
        <f>HOUR(TB[[#This Row],[时间戳]])</f>
        <v>9</v>
      </c>
      <c r="K4425">
        <v>4125</v>
      </c>
      <c r="L4425">
        <v>0</v>
      </c>
      <c r="M4425">
        <f>TB[[#This Row],[售价]]*TB[[#This Row],[销量]]</f>
        <v>0</v>
      </c>
      <c r="N4425" t="str">
        <f>IF(TB[[#This Row],[售价]]&lt;1000,"低价商品",IF(TB[[#This Row],[售价]]&lt;5000,"中价商品",IF(TB[[#This Row],[售价]]&lt;10000,"高价商品","超高价商品")))</f>
        <v>中价商品</v>
      </c>
    </row>
    <row r="4426" spans="1:14" x14ac:dyDescent="0.2">
      <c r="A4426">
        <v>279</v>
      </c>
      <c r="B4426">
        <v>157</v>
      </c>
      <c r="C4426" t="s">
        <v>10</v>
      </c>
      <c r="D4426" t="s">
        <v>278</v>
      </c>
      <c r="E4426" t="s">
        <v>19</v>
      </c>
      <c r="F4426">
        <v>3</v>
      </c>
      <c r="G4426" t="s">
        <v>13</v>
      </c>
      <c r="H4426" s="1">
        <v>46011.417361111111</v>
      </c>
      <c r="I4426" s="5">
        <f>INT(TB[[#This Row],[时间戳]])</f>
        <v>46011</v>
      </c>
      <c r="J4426" s="2">
        <f>HOUR(TB[[#This Row],[时间戳]])</f>
        <v>10</v>
      </c>
      <c r="K4426">
        <v>2046</v>
      </c>
      <c r="L4426">
        <v>5</v>
      </c>
      <c r="M4426">
        <f>TB[[#This Row],[售价]]*TB[[#This Row],[销量]]</f>
        <v>10230</v>
      </c>
      <c r="N4426" t="str">
        <f>IF(TB[[#This Row],[售价]]&lt;1000,"低价商品",IF(TB[[#This Row],[售价]]&lt;5000,"中价商品",IF(TB[[#This Row],[售价]]&lt;10000,"高价商品","超高价商品")))</f>
        <v>中价商品</v>
      </c>
    </row>
    <row r="4427" spans="1:14" x14ac:dyDescent="0.2">
      <c r="A4427">
        <v>385</v>
      </c>
      <c r="B4427">
        <v>12</v>
      </c>
      <c r="C4427" t="s">
        <v>44</v>
      </c>
      <c r="D4427" t="s">
        <v>416</v>
      </c>
      <c r="E4427" t="s">
        <v>25</v>
      </c>
      <c r="F4427">
        <v>7</v>
      </c>
      <c r="G4427" t="s">
        <v>13</v>
      </c>
      <c r="H4427" s="1">
        <v>46011.427083333336</v>
      </c>
      <c r="I4427" s="5">
        <f>INT(TB[[#This Row],[时间戳]])</f>
        <v>46011</v>
      </c>
      <c r="J4427" s="2">
        <f>HOUR(TB[[#This Row],[时间戳]])</f>
        <v>10</v>
      </c>
      <c r="K4427">
        <v>7605</v>
      </c>
      <c r="L4427">
        <v>3</v>
      </c>
      <c r="M4427">
        <f>TB[[#This Row],[售价]]*TB[[#This Row],[销量]]</f>
        <v>22815</v>
      </c>
      <c r="N4427" t="str">
        <f>IF(TB[[#This Row],[售价]]&lt;1000,"低价商品",IF(TB[[#This Row],[售价]]&lt;5000,"中价商品",IF(TB[[#This Row],[售价]]&lt;10000,"高价商品","超高价商品")))</f>
        <v>高价商品</v>
      </c>
    </row>
    <row r="4428" spans="1:14" x14ac:dyDescent="0.2">
      <c r="A4428">
        <v>657</v>
      </c>
      <c r="B4428">
        <v>181</v>
      </c>
      <c r="C4428" t="s">
        <v>26</v>
      </c>
      <c r="D4428" t="s">
        <v>417</v>
      </c>
      <c r="E4428" t="s">
        <v>25</v>
      </c>
      <c r="F4428">
        <v>7</v>
      </c>
      <c r="G4428" t="s">
        <v>13</v>
      </c>
      <c r="H4428" s="1">
        <v>46011.431944444441</v>
      </c>
      <c r="I4428" s="5">
        <f>INT(TB[[#This Row],[时间戳]])</f>
        <v>46011</v>
      </c>
      <c r="J4428" s="2">
        <f>HOUR(TB[[#This Row],[时间戳]])</f>
        <v>10</v>
      </c>
      <c r="K4428">
        <v>3350</v>
      </c>
      <c r="L4428">
        <v>3</v>
      </c>
      <c r="M4428">
        <f>TB[[#This Row],[售价]]*TB[[#This Row],[销量]]</f>
        <v>10050</v>
      </c>
      <c r="N4428" t="str">
        <f>IF(TB[[#This Row],[售价]]&lt;1000,"低价商品",IF(TB[[#This Row],[售价]]&lt;5000,"中价商品",IF(TB[[#This Row],[售价]]&lt;10000,"高价商品","超高价商品")))</f>
        <v>中价商品</v>
      </c>
    </row>
    <row r="4429" spans="1:14" x14ac:dyDescent="0.2">
      <c r="A4429">
        <v>482</v>
      </c>
      <c r="B4429">
        <v>210</v>
      </c>
      <c r="C4429" t="s">
        <v>32</v>
      </c>
      <c r="D4429" t="s">
        <v>275</v>
      </c>
      <c r="E4429" t="s">
        <v>22</v>
      </c>
      <c r="F4429">
        <v>1</v>
      </c>
      <c r="G4429" t="s">
        <v>42</v>
      </c>
      <c r="H4429" s="1">
        <v>46011.434027777781</v>
      </c>
      <c r="I4429" s="5">
        <f>INT(TB[[#This Row],[时间戳]])</f>
        <v>46011</v>
      </c>
      <c r="J4429" s="2">
        <f>HOUR(TB[[#This Row],[时间戳]])</f>
        <v>10</v>
      </c>
      <c r="K4429">
        <v>3435</v>
      </c>
      <c r="L4429">
        <v>0</v>
      </c>
      <c r="M4429">
        <f>TB[[#This Row],[售价]]*TB[[#This Row],[销量]]</f>
        <v>0</v>
      </c>
      <c r="N4429" t="str">
        <f>IF(TB[[#This Row],[售价]]&lt;1000,"低价商品",IF(TB[[#This Row],[售价]]&lt;5000,"中价商品",IF(TB[[#This Row],[售价]]&lt;10000,"高价商品","超高价商品")))</f>
        <v>中价商品</v>
      </c>
    </row>
    <row r="4430" spans="1:14" x14ac:dyDescent="0.2">
      <c r="A4430">
        <v>308</v>
      </c>
      <c r="B4430">
        <v>286</v>
      </c>
      <c r="C4430" t="s">
        <v>44</v>
      </c>
      <c r="D4430" t="s">
        <v>161</v>
      </c>
      <c r="E4430" t="s">
        <v>31</v>
      </c>
      <c r="F4430">
        <v>4</v>
      </c>
      <c r="G4430" t="s">
        <v>13</v>
      </c>
      <c r="H4430" s="1">
        <v>46011.4375</v>
      </c>
      <c r="I4430" s="5">
        <f>INT(TB[[#This Row],[时间戳]])</f>
        <v>46011</v>
      </c>
      <c r="J4430" s="2">
        <f>HOUR(TB[[#This Row],[时间戳]])</f>
        <v>10</v>
      </c>
      <c r="K4430">
        <v>344</v>
      </c>
      <c r="L4430">
        <v>3</v>
      </c>
      <c r="M4430">
        <f>TB[[#This Row],[售价]]*TB[[#This Row],[销量]]</f>
        <v>1032</v>
      </c>
      <c r="N4430" t="str">
        <f>IF(TB[[#This Row],[售价]]&lt;1000,"低价商品",IF(TB[[#This Row],[售价]]&lt;5000,"中价商品",IF(TB[[#This Row],[售价]]&lt;10000,"高价商品","超高价商品")))</f>
        <v>低价商品</v>
      </c>
    </row>
    <row r="4431" spans="1:14" x14ac:dyDescent="0.2">
      <c r="A4431">
        <v>354</v>
      </c>
      <c r="B4431">
        <v>184</v>
      </c>
      <c r="C4431" t="s">
        <v>26</v>
      </c>
      <c r="D4431" t="s">
        <v>92</v>
      </c>
      <c r="E4431" t="s">
        <v>19</v>
      </c>
      <c r="F4431">
        <v>3</v>
      </c>
      <c r="G4431" t="s">
        <v>13</v>
      </c>
      <c r="H4431" s="1">
        <v>46011.466666666667</v>
      </c>
      <c r="I4431" s="5">
        <f>INT(TB[[#This Row],[时间戳]])</f>
        <v>46011</v>
      </c>
      <c r="J4431" s="2">
        <f>HOUR(TB[[#This Row],[时间戳]])</f>
        <v>11</v>
      </c>
      <c r="K4431">
        <v>1843</v>
      </c>
      <c r="L4431">
        <v>3</v>
      </c>
      <c r="M4431">
        <f>TB[[#This Row],[售价]]*TB[[#This Row],[销量]]</f>
        <v>5529</v>
      </c>
      <c r="N4431" t="str">
        <f>IF(TB[[#This Row],[售价]]&lt;1000,"低价商品",IF(TB[[#This Row],[售价]]&lt;5000,"中价商品",IF(TB[[#This Row],[售价]]&lt;10000,"高价商品","超高价商品")))</f>
        <v>中价商品</v>
      </c>
    </row>
    <row r="4432" spans="1:14" x14ac:dyDescent="0.2">
      <c r="A4432">
        <v>392</v>
      </c>
      <c r="B4432">
        <v>19</v>
      </c>
      <c r="C4432" t="s">
        <v>34</v>
      </c>
      <c r="D4432" t="s">
        <v>307</v>
      </c>
      <c r="E4432" t="s">
        <v>22</v>
      </c>
      <c r="F4432">
        <v>1</v>
      </c>
      <c r="G4432" t="s">
        <v>13</v>
      </c>
      <c r="H4432" s="1">
        <v>46011.487500000003</v>
      </c>
      <c r="I4432" s="5">
        <f>INT(TB[[#This Row],[时间戳]])</f>
        <v>46011</v>
      </c>
      <c r="J4432" s="2">
        <f>HOUR(TB[[#This Row],[时间戳]])</f>
        <v>11</v>
      </c>
      <c r="K4432">
        <v>5862</v>
      </c>
      <c r="L4432">
        <v>5</v>
      </c>
      <c r="M4432">
        <f>TB[[#This Row],[售价]]*TB[[#This Row],[销量]]</f>
        <v>29310</v>
      </c>
      <c r="N4432" t="str">
        <f>IF(TB[[#This Row],[售价]]&lt;1000,"低价商品",IF(TB[[#This Row],[售价]]&lt;5000,"中价商品",IF(TB[[#This Row],[售价]]&lt;10000,"高价商品","超高价商品")))</f>
        <v>高价商品</v>
      </c>
    </row>
    <row r="4433" spans="1:14" x14ac:dyDescent="0.2">
      <c r="A4433">
        <v>684</v>
      </c>
      <c r="B4433">
        <v>57</v>
      </c>
      <c r="C4433" t="s">
        <v>14</v>
      </c>
      <c r="D4433" t="s">
        <v>178</v>
      </c>
      <c r="E4433" t="s">
        <v>12</v>
      </c>
      <c r="F4433">
        <v>2</v>
      </c>
      <c r="G4433" t="s">
        <v>13</v>
      </c>
      <c r="H4433" s="1">
        <v>46011.502083333333</v>
      </c>
      <c r="I4433" s="5">
        <f>INT(TB[[#This Row],[时间戳]])</f>
        <v>46011</v>
      </c>
      <c r="J4433" s="2">
        <f>HOUR(TB[[#This Row],[时间戳]])</f>
        <v>12</v>
      </c>
      <c r="K4433">
        <v>6007</v>
      </c>
      <c r="L4433">
        <v>5</v>
      </c>
      <c r="M4433">
        <f>TB[[#This Row],[售价]]*TB[[#This Row],[销量]]</f>
        <v>30035</v>
      </c>
      <c r="N4433" t="str">
        <f>IF(TB[[#This Row],[售价]]&lt;1000,"低价商品",IF(TB[[#This Row],[售价]]&lt;5000,"中价商品",IF(TB[[#This Row],[售价]]&lt;10000,"高价商品","超高价商品")))</f>
        <v>高价商品</v>
      </c>
    </row>
    <row r="4434" spans="1:14" x14ac:dyDescent="0.2">
      <c r="A4434">
        <v>175</v>
      </c>
      <c r="B4434">
        <v>221</v>
      </c>
      <c r="C4434" t="s">
        <v>46</v>
      </c>
      <c r="D4434" t="s">
        <v>315</v>
      </c>
      <c r="E4434" t="s">
        <v>12</v>
      </c>
      <c r="F4434">
        <v>2</v>
      </c>
      <c r="G4434" t="s">
        <v>13</v>
      </c>
      <c r="H4434" s="1">
        <v>46011.513888888891</v>
      </c>
      <c r="I4434" s="5">
        <f>INT(TB[[#This Row],[时间戳]])</f>
        <v>46011</v>
      </c>
      <c r="J4434" s="2">
        <f>HOUR(TB[[#This Row],[时间戳]])</f>
        <v>12</v>
      </c>
      <c r="K4434">
        <v>9311</v>
      </c>
      <c r="L4434">
        <v>5</v>
      </c>
      <c r="M4434">
        <f>TB[[#This Row],[售价]]*TB[[#This Row],[销量]]</f>
        <v>46555</v>
      </c>
      <c r="N4434" t="str">
        <f>IF(TB[[#This Row],[售价]]&lt;1000,"低价商品",IF(TB[[#This Row],[售价]]&lt;5000,"中价商品",IF(TB[[#This Row],[售价]]&lt;10000,"高价商品","超高价商品")))</f>
        <v>高价商品</v>
      </c>
    </row>
    <row r="4435" spans="1:14" x14ac:dyDescent="0.2">
      <c r="A4435">
        <v>549</v>
      </c>
      <c r="B4435">
        <v>212</v>
      </c>
      <c r="C4435" t="s">
        <v>36</v>
      </c>
      <c r="D4435" t="s">
        <v>55</v>
      </c>
      <c r="E4435" t="s">
        <v>39</v>
      </c>
      <c r="F4435">
        <v>5</v>
      </c>
      <c r="G4435" t="s">
        <v>42</v>
      </c>
      <c r="H4435" s="1">
        <v>46011.561111111114</v>
      </c>
      <c r="I4435" s="5">
        <f>INT(TB[[#This Row],[时间戳]])</f>
        <v>46011</v>
      </c>
      <c r="J4435" s="2">
        <f>HOUR(TB[[#This Row],[时间戳]])</f>
        <v>13</v>
      </c>
      <c r="K4435">
        <v>3020</v>
      </c>
      <c r="L4435">
        <v>0</v>
      </c>
      <c r="M4435">
        <f>TB[[#This Row],[售价]]*TB[[#This Row],[销量]]</f>
        <v>0</v>
      </c>
      <c r="N4435" t="str">
        <f>IF(TB[[#This Row],[售价]]&lt;1000,"低价商品",IF(TB[[#This Row],[售价]]&lt;5000,"中价商品",IF(TB[[#This Row],[售价]]&lt;10000,"高价商品","超高价商品")))</f>
        <v>中价商品</v>
      </c>
    </row>
    <row r="4436" spans="1:14" x14ac:dyDescent="0.2">
      <c r="A4436">
        <v>527</v>
      </c>
      <c r="B4436">
        <v>216</v>
      </c>
      <c r="C4436" t="s">
        <v>20</v>
      </c>
      <c r="D4436" t="s">
        <v>261</v>
      </c>
      <c r="E4436" t="s">
        <v>22</v>
      </c>
      <c r="F4436">
        <v>1</v>
      </c>
      <c r="G4436" t="s">
        <v>42</v>
      </c>
      <c r="H4436" s="1">
        <v>46011.5625</v>
      </c>
      <c r="I4436" s="5">
        <f>INT(TB[[#This Row],[时间戳]])</f>
        <v>46011</v>
      </c>
      <c r="J4436" s="2">
        <f>HOUR(TB[[#This Row],[时间戳]])</f>
        <v>13</v>
      </c>
      <c r="K4436">
        <v>3136</v>
      </c>
      <c r="L4436">
        <v>0</v>
      </c>
      <c r="M4436">
        <f>TB[[#This Row],[售价]]*TB[[#This Row],[销量]]</f>
        <v>0</v>
      </c>
      <c r="N4436" t="str">
        <f>IF(TB[[#This Row],[售价]]&lt;1000,"低价商品",IF(TB[[#This Row],[售价]]&lt;5000,"中价商品",IF(TB[[#This Row],[售价]]&lt;10000,"高价商品","超高价商品")))</f>
        <v>中价商品</v>
      </c>
    </row>
    <row r="4437" spans="1:14" x14ac:dyDescent="0.2">
      <c r="A4437">
        <v>61</v>
      </c>
      <c r="B4437">
        <v>5</v>
      </c>
      <c r="C4437" t="s">
        <v>44</v>
      </c>
      <c r="D4437" t="s">
        <v>163</v>
      </c>
      <c r="E4437" t="s">
        <v>12</v>
      </c>
      <c r="F4437">
        <v>2</v>
      </c>
      <c r="G4437" t="s">
        <v>13</v>
      </c>
      <c r="H4437" s="1">
        <v>46011.568749999999</v>
      </c>
      <c r="I4437" s="5">
        <f>INT(TB[[#This Row],[时间戳]])</f>
        <v>46011</v>
      </c>
      <c r="J4437" s="2">
        <f>HOUR(TB[[#This Row],[时间戳]])</f>
        <v>13</v>
      </c>
      <c r="K4437">
        <v>5988</v>
      </c>
      <c r="L4437">
        <v>3</v>
      </c>
      <c r="M4437">
        <f>TB[[#This Row],[售价]]*TB[[#This Row],[销量]]</f>
        <v>17964</v>
      </c>
      <c r="N4437" t="str">
        <f>IF(TB[[#This Row],[售价]]&lt;1000,"低价商品",IF(TB[[#This Row],[售价]]&lt;5000,"中价商品",IF(TB[[#This Row],[售价]]&lt;10000,"高价商品","超高价商品")))</f>
        <v>高价商品</v>
      </c>
    </row>
    <row r="4438" spans="1:14" x14ac:dyDescent="0.2">
      <c r="A4438">
        <v>468</v>
      </c>
      <c r="B4438">
        <v>133</v>
      </c>
      <c r="C4438" t="s">
        <v>36</v>
      </c>
      <c r="D4438" t="s">
        <v>210</v>
      </c>
      <c r="E4438" t="s">
        <v>31</v>
      </c>
      <c r="F4438">
        <v>4</v>
      </c>
      <c r="G4438" t="s">
        <v>13</v>
      </c>
      <c r="H4438" s="1">
        <v>46011.576388888891</v>
      </c>
      <c r="I4438" s="5">
        <f>INT(TB[[#This Row],[时间戳]])</f>
        <v>46011</v>
      </c>
      <c r="J4438" s="2">
        <f>HOUR(TB[[#This Row],[时间戳]])</f>
        <v>13</v>
      </c>
      <c r="K4438">
        <v>1143</v>
      </c>
      <c r="L4438">
        <v>2</v>
      </c>
      <c r="M4438">
        <f>TB[[#This Row],[售价]]*TB[[#This Row],[销量]]</f>
        <v>2286</v>
      </c>
      <c r="N4438" t="str">
        <f>IF(TB[[#This Row],[售价]]&lt;1000,"低价商品",IF(TB[[#This Row],[售价]]&lt;5000,"中价商品",IF(TB[[#This Row],[售价]]&lt;10000,"高价商品","超高价商品")))</f>
        <v>中价商品</v>
      </c>
    </row>
    <row r="4439" spans="1:14" x14ac:dyDescent="0.2">
      <c r="A4439">
        <v>674</v>
      </c>
      <c r="B4439">
        <v>286</v>
      </c>
      <c r="C4439" t="s">
        <v>32</v>
      </c>
      <c r="D4439" t="s">
        <v>326</v>
      </c>
      <c r="E4439" t="s">
        <v>19</v>
      </c>
      <c r="F4439">
        <v>3</v>
      </c>
      <c r="G4439" t="s">
        <v>13</v>
      </c>
      <c r="H4439" s="1">
        <v>46011.604166666664</v>
      </c>
      <c r="I4439" s="5">
        <f>INT(TB[[#This Row],[时间戳]])</f>
        <v>46011</v>
      </c>
      <c r="J4439" s="2">
        <f>HOUR(TB[[#This Row],[时间戳]])</f>
        <v>14</v>
      </c>
      <c r="K4439">
        <v>1754</v>
      </c>
      <c r="L4439">
        <v>2</v>
      </c>
      <c r="M4439">
        <f>TB[[#This Row],[售价]]*TB[[#This Row],[销量]]</f>
        <v>3508</v>
      </c>
      <c r="N4439" t="str">
        <f>IF(TB[[#This Row],[售价]]&lt;1000,"低价商品",IF(TB[[#This Row],[售价]]&lt;5000,"中价商品",IF(TB[[#This Row],[售价]]&lt;10000,"高价商品","超高价商品")))</f>
        <v>中价商品</v>
      </c>
    </row>
    <row r="4440" spans="1:14" x14ac:dyDescent="0.2">
      <c r="A4440">
        <v>34</v>
      </c>
      <c r="B4440">
        <v>252</v>
      </c>
      <c r="C4440" t="s">
        <v>14</v>
      </c>
      <c r="D4440" t="s">
        <v>249</v>
      </c>
      <c r="E4440" t="s">
        <v>25</v>
      </c>
      <c r="F4440">
        <v>7</v>
      </c>
      <c r="G4440" t="s">
        <v>13</v>
      </c>
      <c r="H4440" s="1">
        <v>46011.694444444445</v>
      </c>
      <c r="I4440" s="5">
        <f>INT(TB[[#This Row],[时间戳]])</f>
        <v>46011</v>
      </c>
      <c r="J4440" s="2">
        <f>HOUR(TB[[#This Row],[时间戳]])</f>
        <v>16</v>
      </c>
      <c r="K4440">
        <v>2314</v>
      </c>
      <c r="L4440">
        <v>3</v>
      </c>
      <c r="M4440">
        <f>TB[[#This Row],[售价]]*TB[[#This Row],[销量]]</f>
        <v>6942</v>
      </c>
      <c r="N4440" t="str">
        <f>IF(TB[[#This Row],[售价]]&lt;1000,"低价商品",IF(TB[[#This Row],[售价]]&lt;5000,"中价商品",IF(TB[[#This Row],[售价]]&lt;10000,"高价商品","超高价商品")))</f>
        <v>中价商品</v>
      </c>
    </row>
    <row r="4441" spans="1:14" x14ac:dyDescent="0.2">
      <c r="A4441">
        <v>88</v>
      </c>
      <c r="B4441">
        <v>224</v>
      </c>
      <c r="C4441" t="s">
        <v>46</v>
      </c>
      <c r="D4441" t="s">
        <v>341</v>
      </c>
      <c r="E4441" t="s">
        <v>31</v>
      </c>
      <c r="F4441">
        <v>4</v>
      </c>
      <c r="G4441" t="s">
        <v>13</v>
      </c>
      <c r="H4441" s="1">
        <v>46011.699305555558</v>
      </c>
      <c r="I4441" s="5">
        <f>INT(TB[[#This Row],[时间戳]])</f>
        <v>46011</v>
      </c>
      <c r="J4441" s="2">
        <f>HOUR(TB[[#This Row],[时间戳]])</f>
        <v>16</v>
      </c>
      <c r="K4441">
        <v>764</v>
      </c>
      <c r="L4441">
        <v>3</v>
      </c>
      <c r="M4441">
        <f>TB[[#This Row],[售价]]*TB[[#This Row],[销量]]</f>
        <v>2292</v>
      </c>
      <c r="N4441" t="str">
        <f>IF(TB[[#This Row],[售价]]&lt;1000,"低价商品",IF(TB[[#This Row],[售价]]&lt;5000,"中价商品",IF(TB[[#This Row],[售价]]&lt;10000,"高价商品","超高价商品")))</f>
        <v>低价商品</v>
      </c>
    </row>
    <row r="4442" spans="1:14" x14ac:dyDescent="0.2">
      <c r="A4442">
        <v>585</v>
      </c>
      <c r="B4442">
        <v>271</v>
      </c>
      <c r="C4442" t="s">
        <v>10</v>
      </c>
      <c r="D4442" t="s">
        <v>183</v>
      </c>
      <c r="E4442" t="s">
        <v>22</v>
      </c>
      <c r="F4442">
        <v>1</v>
      </c>
      <c r="G4442" t="s">
        <v>13</v>
      </c>
      <c r="H4442" s="1">
        <v>46011.737500000003</v>
      </c>
      <c r="I4442" s="5">
        <f>INT(TB[[#This Row],[时间戳]])</f>
        <v>46011</v>
      </c>
      <c r="J4442" s="2">
        <f>HOUR(TB[[#This Row],[时间戳]])</f>
        <v>17</v>
      </c>
      <c r="K4442">
        <v>3285</v>
      </c>
      <c r="L4442">
        <v>3</v>
      </c>
      <c r="M4442">
        <f>TB[[#This Row],[售价]]*TB[[#This Row],[销量]]</f>
        <v>9855</v>
      </c>
      <c r="N4442" t="str">
        <f>IF(TB[[#This Row],[售价]]&lt;1000,"低价商品",IF(TB[[#This Row],[售价]]&lt;5000,"中价商品",IF(TB[[#This Row],[售价]]&lt;10000,"高价商品","超高价商品")))</f>
        <v>中价商品</v>
      </c>
    </row>
    <row r="4443" spans="1:14" x14ac:dyDescent="0.2">
      <c r="A4443">
        <v>623</v>
      </c>
      <c r="B4443">
        <v>66</v>
      </c>
      <c r="C4443" t="s">
        <v>32</v>
      </c>
      <c r="D4443" t="s">
        <v>176</v>
      </c>
      <c r="E4443" t="s">
        <v>22</v>
      </c>
      <c r="F4443">
        <v>1</v>
      </c>
      <c r="G4443" t="s">
        <v>42</v>
      </c>
      <c r="H4443" s="1">
        <v>46011.770138888889</v>
      </c>
      <c r="I4443" s="5">
        <f>INT(TB[[#This Row],[时间戳]])</f>
        <v>46011</v>
      </c>
      <c r="J4443" s="2">
        <f>HOUR(TB[[#This Row],[时间戳]])</f>
        <v>18</v>
      </c>
      <c r="K4443">
        <v>7942</v>
      </c>
      <c r="L4443">
        <v>0</v>
      </c>
      <c r="M4443">
        <f>TB[[#This Row],[售价]]*TB[[#This Row],[销量]]</f>
        <v>0</v>
      </c>
      <c r="N4443" t="str">
        <f>IF(TB[[#This Row],[售价]]&lt;1000,"低价商品",IF(TB[[#This Row],[售价]]&lt;5000,"中价商品",IF(TB[[#This Row],[售价]]&lt;10000,"高价商品","超高价商品")))</f>
        <v>高价商品</v>
      </c>
    </row>
    <row r="4444" spans="1:14" x14ac:dyDescent="0.2">
      <c r="A4444">
        <v>286</v>
      </c>
      <c r="B4444">
        <v>277</v>
      </c>
      <c r="C4444" t="s">
        <v>34</v>
      </c>
      <c r="D4444" t="s">
        <v>175</v>
      </c>
      <c r="E4444" t="s">
        <v>22</v>
      </c>
      <c r="F4444">
        <v>1</v>
      </c>
      <c r="G4444" t="s">
        <v>42</v>
      </c>
      <c r="H4444" s="1">
        <v>46011.775000000001</v>
      </c>
      <c r="I4444" s="5">
        <f>INT(TB[[#This Row],[时间戳]])</f>
        <v>46011</v>
      </c>
      <c r="J4444" s="2">
        <f>HOUR(TB[[#This Row],[时间戳]])</f>
        <v>18</v>
      </c>
      <c r="K4444">
        <v>7729</v>
      </c>
      <c r="L4444">
        <v>0</v>
      </c>
      <c r="M4444">
        <f>TB[[#This Row],[售价]]*TB[[#This Row],[销量]]</f>
        <v>0</v>
      </c>
      <c r="N4444" t="str">
        <f>IF(TB[[#This Row],[售价]]&lt;1000,"低价商品",IF(TB[[#This Row],[售价]]&lt;5000,"中价商品",IF(TB[[#This Row],[售价]]&lt;10000,"高价商品","超高价商品")))</f>
        <v>高价商品</v>
      </c>
    </row>
    <row r="4445" spans="1:14" x14ac:dyDescent="0.2">
      <c r="A4445">
        <v>460</v>
      </c>
      <c r="B4445">
        <v>21</v>
      </c>
      <c r="C4445" t="s">
        <v>17</v>
      </c>
      <c r="D4445" t="s">
        <v>257</v>
      </c>
      <c r="E4445" t="s">
        <v>19</v>
      </c>
      <c r="F4445">
        <v>3</v>
      </c>
      <c r="G4445" t="s">
        <v>13</v>
      </c>
      <c r="H4445" s="1">
        <v>46011.784722222219</v>
      </c>
      <c r="I4445" s="5">
        <f>INT(TB[[#This Row],[时间戳]])</f>
        <v>46011</v>
      </c>
      <c r="J4445" s="2">
        <f>HOUR(TB[[#This Row],[时间戳]])</f>
        <v>18</v>
      </c>
      <c r="K4445">
        <v>3764</v>
      </c>
      <c r="L4445">
        <v>5</v>
      </c>
      <c r="M4445">
        <f>TB[[#This Row],[售价]]*TB[[#This Row],[销量]]</f>
        <v>18820</v>
      </c>
      <c r="N4445" t="str">
        <f>IF(TB[[#This Row],[售价]]&lt;1000,"低价商品",IF(TB[[#This Row],[售价]]&lt;5000,"中价商品",IF(TB[[#This Row],[售价]]&lt;10000,"高价商品","超高价商品")))</f>
        <v>中价商品</v>
      </c>
    </row>
    <row r="4446" spans="1:14" x14ac:dyDescent="0.2">
      <c r="A4446">
        <v>588</v>
      </c>
      <c r="B4446">
        <v>271</v>
      </c>
      <c r="C4446" t="s">
        <v>14</v>
      </c>
      <c r="D4446" t="s">
        <v>144</v>
      </c>
      <c r="E4446" t="s">
        <v>19</v>
      </c>
      <c r="F4446">
        <v>3</v>
      </c>
      <c r="G4446" t="s">
        <v>13</v>
      </c>
      <c r="H4446" s="1">
        <v>46011.794444444444</v>
      </c>
      <c r="I4446" s="5">
        <f>INT(TB[[#This Row],[时间戳]])</f>
        <v>46011</v>
      </c>
      <c r="J4446" s="2">
        <f>HOUR(TB[[#This Row],[时间戳]])</f>
        <v>19</v>
      </c>
      <c r="K4446">
        <v>5510</v>
      </c>
      <c r="L4446">
        <v>5</v>
      </c>
      <c r="M4446">
        <f>TB[[#This Row],[售价]]*TB[[#This Row],[销量]]</f>
        <v>27550</v>
      </c>
      <c r="N4446" t="str">
        <f>IF(TB[[#This Row],[售价]]&lt;1000,"低价商品",IF(TB[[#This Row],[售价]]&lt;5000,"中价商品",IF(TB[[#This Row],[售价]]&lt;10000,"高价商品","超高价商品")))</f>
        <v>高价商品</v>
      </c>
    </row>
    <row r="4447" spans="1:14" x14ac:dyDescent="0.2">
      <c r="A4447">
        <v>192</v>
      </c>
      <c r="B4447">
        <v>76</v>
      </c>
      <c r="C4447" t="s">
        <v>36</v>
      </c>
      <c r="D4447" t="s">
        <v>83</v>
      </c>
      <c r="E4447" t="s">
        <v>22</v>
      </c>
      <c r="F4447">
        <v>1</v>
      </c>
      <c r="G4447" t="s">
        <v>13</v>
      </c>
      <c r="H4447" s="1">
        <v>46011.864583333336</v>
      </c>
      <c r="I4447" s="5">
        <f>INT(TB[[#This Row],[时间戳]])</f>
        <v>46011</v>
      </c>
      <c r="J4447" s="2">
        <f>HOUR(TB[[#This Row],[时间戳]])</f>
        <v>20</v>
      </c>
      <c r="K4447">
        <v>4323</v>
      </c>
      <c r="L4447">
        <v>2</v>
      </c>
      <c r="M4447">
        <f>TB[[#This Row],[售价]]*TB[[#This Row],[销量]]</f>
        <v>8646</v>
      </c>
      <c r="N4447" t="str">
        <f>IF(TB[[#This Row],[售价]]&lt;1000,"低价商品",IF(TB[[#This Row],[售价]]&lt;5000,"中价商品",IF(TB[[#This Row],[售价]]&lt;10000,"高价商品","超高价商品")))</f>
        <v>中价商品</v>
      </c>
    </row>
    <row r="4448" spans="1:14" x14ac:dyDescent="0.2">
      <c r="A4448">
        <v>171</v>
      </c>
      <c r="B4448">
        <v>103</v>
      </c>
      <c r="C4448" t="s">
        <v>26</v>
      </c>
      <c r="D4448" t="s">
        <v>131</v>
      </c>
      <c r="E4448" t="s">
        <v>22</v>
      </c>
      <c r="F4448">
        <v>1</v>
      </c>
      <c r="G4448" t="s">
        <v>13</v>
      </c>
      <c r="H4448" s="1">
        <v>46011.868055555555</v>
      </c>
      <c r="I4448" s="5">
        <f>INT(TB[[#This Row],[时间戳]])</f>
        <v>46011</v>
      </c>
      <c r="J4448" s="2">
        <f>HOUR(TB[[#This Row],[时间戳]])</f>
        <v>20</v>
      </c>
      <c r="K4448">
        <v>6656</v>
      </c>
      <c r="L4448">
        <v>2</v>
      </c>
      <c r="M4448">
        <f>TB[[#This Row],[售价]]*TB[[#This Row],[销量]]</f>
        <v>13312</v>
      </c>
      <c r="N4448" t="str">
        <f>IF(TB[[#This Row],[售价]]&lt;1000,"低价商品",IF(TB[[#This Row],[售价]]&lt;5000,"中价商品",IF(TB[[#This Row],[售价]]&lt;10000,"高价商品","超高价商品")))</f>
        <v>高价商品</v>
      </c>
    </row>
    <row r="4449" spans="1:14" x14ac:dyDescent="0.2">
      <c r="A4449">
        <v>368</v>
      </c>
      <c r="B4449">
        <v>169</v>
      </c>
      <c r="C4449" t="s">
        <v>26</v>
      </c>
      <c r="D4449" t="s">
        <v>155</v>
      </c>
      <c r="E4449" t="s">
        <v>12</v>
      </c>
      <c r="F4449">
        <v>2</v>
      </c>
      <c r="G4449" t="s">
        <v>13</v>
      </c>
      <c r="H4449" s="1">
        <v>46011.897916666669</v>
      </c>
      <c r="I4449" s="5">
        <f>INT(TB[[#This Row],[时间戳]])</f>
        <v>46011</v>
      </c>
      <c r="J4449" s="2">
        <f>HOUR(TB[[#This Row],[时间戳]])</f>
        <v>21</v>
      </c>
      <c r="K4449">
        <v>12206</v>
      </c>
      <c r="L4449">
        <v>2</v>
      </c>
      <c r="M4449">
        <f>TB[[#This Row],[售价]]*TB[[#This Row],[销量]]</f>
        <v>24412</v>
      </c>
      <c r="N4449" t="str">
        <f>IF(TB[[#This Row],[售价]]&lt;1000,"低价商品",IF(TB[[#This Row],[售价]]&lt;5000,"中价商品",IF(TB[[#This Row],[售价]]&lt;10000,"高价商品","超高价商品")))</f>
        <v>超高价商品</v>
      </c>
    </row>
    <row r="4450" spans="1:14" x14ac:dyDescent="0.2">
      <c r="A4450">
        <v>63</v>
      </c>
      <c r="B4450">
        <v>11</v>
      </c>
      <c r="C4450" t="s">
        <v>32</v>
      </c>
      <c r="D4450" t="s">
        <v>286</v>
      </c>
      <c r="E4450" t="s">
        <v>22</v>
      </c>
      <c r="F4450">
        <v>1</v>
      </c>
      <c r="G4450" t="s">
        <v>13</v>
      </c>
      <c r="H4450" s="1">
        <v>46011.905555555553</v>
      </c>
      <c r="I4450" s="5">
        <f>INT(TB[[#This Row],[时间戳]])</f>
        <v>46011</v>
      </c>
      <c r="J4450" s="2">
        <f>HOUR(TB[[#This Row],[时间戳]])</f>
        <v>21</v>
      </c>
      <c r="K4450">
        <v>1000</v>
      </c>
      <c r="L4450">
        <v>2</v>
      </c>
      <c r="M4450">
        <f>TB[[#This Row],[售价]]*TB[[#This Row],[销量]]</f>
        <v>2000</v>
      </c>
      <c r="N4450" t="str">
        <f>IF(TB[[#This Row],[售价]]&lt;1000,"低价商品",IF(TB[[#This Row],[售价]]&lt;5000,"中价商品",IF(TB[[#This Row],[售价]]&lt;10000,"高价商品","超高价商品")))</f>
        <v>中价商品</v>
      </c>
    </row>
    <row r="4451" spans="1:14" x14ac:dyDescent="0.2">
      <c r="A4451">
        <v>255</v>
      </c>
      <c r="B4451">
        <v>150</v>
      </c>
      <c r="C4451" t="s">
        <v>20</v>
      </c>
      <c r="D4451" t="s">
        <v>259</v>
      </c>
      <c r="E4451" t="s">
        <v>16</v>
      </c>
      <c r="F4451">
        <v>6</v>
      </c>
      <c r="G4451" t="s">
        <v>13</v>
      </c>
      <c r="H4451" s="1">
        <v>46011.929166666669</v>
      </c>
      <c r="I4451" s="5">
        <f>INT(TB[[#This Row],[时间戳]])</f>
        <v>46011</v>
      </c>
      <c r="J4451" s="2">
        <f>HOUR(TB[[#This Row],[时间戳]])</f>
        <v>22</v>
      </c>
      <c r="K4451">
        <v>2377</v>
      </c>
      <c r="L4451">
        <v>2</v>
      </c>
      <c r="M4451">
        <f>TB[[#This Row],[售价]]*TB[[#This Row],[销量]]</f>
        <v>4754</v>
      </c>
      <c r="N4451" t="str">
        <f>IF(TB[[#This Row],[售价]]&lt;1000,"低价商品",IF(TB[[#This Row],[售价]]&lt;5000,"中价商品",IF(TB[[#This Row],[售价]]&lt;10000,"高价商品","超高价商品")))</f>
        <v>中价商品</v>
      </c>
    </row>
    <row r="4452" spans="1:14" x14ac:dyDescent="0.2">
      <c r="A4452">
        <v>114</v>
      </c>
      <c r="B4452">
        <v>3</v>
      </c>
      <c r="C4452" t="s">
        <v>32</v>
      </c>
      <c r="D4452" t="s">
        <v>63</v>
      </c>
      <c r="E4452" t="s">
        <v>12</v>
      </c>
      <c r="F4452">
        <v>2</v>
      </c>
      <c r="G4452" t="s">
        <v>13</v>
      </c>
      <c r="H4452" s="1">
        <v>46011.939583333333</v>
      </c>
      <c r="I4452" s="5">
        <f>INT(TB[[#This Row],[时间戳]])</f>
        <v>46011</v>
      </c>
      <c r="J4452" s="2">
        <f>HOUR(TB[[#This Row],[时间戳]])</f>
        <v>22</v>
      </c>
      <c r="K4452">
        <v>10639</v>
      </c>
      <c r="L4452">
        <v>5</v>
      </c>
      <c r="M4452">
        <f>TB[[#This Row],[售价]]*TB[[#This Row],[销量]]</f>
        <v>53195</v>
      </c>
      <c r="N4452" t="str">
        <f>IF(TB[[#This Row],[售价]]&lt;1000,"低价商品",IF(TB[[#This Row],[售价]]&lt;5000,"中价商品",IF(TB[[#This Row],[售价]]&lt;10000,"高价商品","超高价商品")))</f>
        <v>超高价商品</v>
      </c>
    </row>
    <row r="4453" spans="1:14" x14ac:dyDescent="0.2">
      <c r="A4453">
        <v>787</v>
      </c>
      <c r="B4453">
        <v>291</v>
      </c>
      <c r="C4453" t="s">
        <v>20</v>
      </c>
      <c r="D4453" t="s">
        <v>412</v>
      </c>
      <c r="E4453" t="s">
        <v>12</v>
      </c>
      <c r="F4453">
        <v>2</v>
      </c>
      <c r="G4453" t="s">
        <v>13</v>
      </c>
      <c r="H4453" s="1">
        <v>46011.955555555556</v>
      </c>
      <c r="I4453" s="5">
        <f>INT(TB[[#This Row],[时间戳]])</f>
        <v>46011</v>
      </c>
      <c r="J4453" s="2">
        <f>HOUR(TB[[#This Row],[时间戳]])</f>
        <v>22</v>
      </c>
      <c r="K4453">
        <v>4119</v>
      </c>
      <c r="L4453">
        <v>5</v>
      </c>
      <c r="M4453">
        <f>TB[[#This Row],[售价]]*TB[[#This Row],[销量]]</f>
        <v>20595</v>
      </c>
      <c r="N4453" t="str">
        <f>IF(TB[[#This Row],[售价]]&lt;1000,"低价商品",IF(TB[[#This Row],[售价]]&lt;5000,"中价商品",IF(TB[[#This Row],[售价]]&lt;10000,"高价商品","超高价商品")))</f>
        <v>中价商品</v>
      </c>
    </row>
    <row r="4454" spans="1:14" x14ac:dyDescent="0.2">
      <c r="A4454">
        <v>416</v>
      </c>
      <c r="B4454">
        <v>2</v>
      </c>
      <c r="C4454" t="s">
        <v>36</v>
      </c>
      <c r="D4454" t="s">
        <v>136</v>
      </c>
      <c r="E4454" t="s">
        <v>39</v>
      </c>
      <c r="F4454">
        <v>5</v>
      </c>
      <c r="G4454" t="s">
        <v>13</v>
      </c>
      <c r="H4454" s="1">
        <v>46011.988194444442</v>
      </c>
      <c r="I4454" s="5">
        <f>INT(TB[[#This Row],[时间戳]])</f>
        <v>46011</v>
      </c>
      <c r="J4454" s="2">
        <f>HOUR(TB[[#This Row],[时间戳]])</f>
        <v>23</v>
      </c>
      <c r="K4454">
        <v>1030</v>
      </c>
      <c r="L4454">
        <v>3</v>
      </c>
      <c r="M4454">
        <f>TB[[#This Row],[售价]]*TB[[#This Row],[销量]]</f>
        <v>3090</v>
      </c>
      <c r="N4454" t="str">
        <f>IF(TB[[#This Row],[售价]]&lt;1000,"低价商品",IF(TB[[#This Row],[售价]]&lt;5000,"中价商品",IF(TB[[#This Row],[售价]]&lt;10000,"高价商品","超高价商品")))</f>
        <v>中价商品</v>
      </c>
    </row>
    <row r="4455" spans="1:14" x14ac:dyDescent="0.2">
      <c r="A4455">
        <v>582</v>
      </c>
      <c r="B4455">
        <v>78</v>
      </c>
      <c r="C4455" t="s">
        <v>14</v>
      </c>
      <c r="D4455" t="s">
        <v>99</v>
      </c>
      <c r="E4455" t="s">
        <v>39</v>
      </c>
      <c r="F4455">
        <v>5</v>
      </c>
      <c r="G4455" t="s">
        <v>13</v>
      </c>
      <c r="H4455" s="1">
        <v>46012.018055555556</v>
      </c>
      <c r="I4455" s="5">
        <f>INT(TB[[#This Row],[时间戳]])</f>
        <v>46012</v>
      </c>
      <c r="J4455" s="2">
        <f>HOUR(TB[[#This Row],[时间戳]])</f>
        <v>0</v>
      </c>
      <c r="K4455">
        <v>990</v>
      </c>
      <c r="L4455">
        <v>4</v>
      </c>
      <c r="M4455">
        <f>TB[[#This Row],[售价]]*TB[[#This Row],[销量]]</f>
        <v>3960</v>
      </c>
      <c r="N4455" t="str">
        <f>IF(TB[[#This Row],[售价]]&lt;1000,"低价商品",IF(TB[[#This Row],[售价]]&lt;5000,"中价商品",IF(TB[[#This Row],[售价]]&lt;10000,"高价商品","超高价商品")))</f>
        <v>低价商品</v>
      </c>
    </row>
    <row r="4456" spans="1:14" x14ac:dyDescent="0.2">
      <c r="A4456">
        <v>468</v>
      </c>
      <c r="B4456">
        <v>298</v>
      </c>
      <c r="C4456" t="s">
        <v>44</v>
      </c>
      <c r="D4456" t="s">
        <v>415</v>
      </c>
      <c r="E4456" t="s">
        <v>39</v>
      </c>
      <c r="F4456">
        <v>5</v>
      </c>
      <c r="G4456" t="s">
        <v>42</v>
      </c>
      <c r="H4456" s="1">
        <v>46012.055555555555</v>
      </c>
      <c r="I4456" s="5">
        <f>INT(TB[[#This Row],[时间戳]])</f>
        <v>46012</v>
      </c>
      <c r="J4456" s="2">
        <f>HOUR(TB[[#This Row],[时间戳]])</f>
        <v>1</v>
      </c>
      <c r="K4456">
        <v>1633</v>
      </c>
      <c r="L4456">
        <v>0</v>
      </c>
      <c r="M4456">
        <f>TB[[#This Row],[售价]]*TB[[#This Row],[销量]]</f>
        <v>0</v>
      </c>
      <c r="N4456" t="str">
        <f>IF(TB[[#This Row],[售价]]&lt;1000,"低价商品",IF(TB[[#This Row],[售价]]&lt;5000,"中价商品",IF(TB[[#This Row],[售价]]&lt;10000,"高价商品","超高价商品")))</f>
        <v>中价商品</v>
      </c>
    </row>
    <row r="4457" spans="1:14" x14ac:dyDescent="0.2">
      <c r="A4457">
        <v>471</v>
      </c>
      <c r="B4457">
        <v>23</v>
      </c>
      <c r="C4457" t="s">
        <v>46</v>
      </c>
      <c r="D4457" t="s">
        <v>266</v>
      </c>
      <c r="E4457" t="s">
        <v>12</v>
      </c>
      <c r="F4457">
        <v>2</v>
      </c>
      <c r="G4457" t="s">
        <v>13</v>
      </c>
      <c r="H4457" s="1">
        <v>46012.056250000001</v>
      </c>
      <c r="I4457" s="5">
        <f>INT(TB[[#This Row],[时间戳]])</f>
        <v>46012</v>
      </c>
      <c r="J4457" s="2">
        <f>HOUR(TB[[#This Row],[时间戳]])</f>
        <v>1</v>
      </c>
      <c r="K4457">
        <v>12910</v>
      </c>
      <c r="L4457">
        <v>2</v>
      </c>
      <c r="M4457">
        <f>TB[[#This Row],[售价]]*TB[[#This Row],[销量]]</f>
        <v>25820</v>
      </c>
      <c r="N4457" t="str">
        <f>IF(TB[[#This Row],[售价]]&lt;1000,"低价商品",IF(TB[[#This Row],[售价]]&lt;5000,"中价商品",IF(TB[[#This Row],[售价]]&lt;10000,"高价商品","超高价商品")))</f>
        <v>超高价商品</v>
      </c>
    </row>
    <row r="4458" spans="1:14" x14ac:dyDescent="0.2">
      <c r="A4458">
        <v>308</v>
      </c>
      <c r="B4458">
        <v>279</v>
      </c>
      <c r="C4458" t="s">
        <v>20</v>
      </c>
      <c r="D4458" t="s">
        <v>88</v>
      </c>
      <c r="E4458" t="s">
        <v>19</v>
      </c>
      <c r="F4458">
        <v>3</v>
      </c>
      <c r="G4458" t="s">
        <v>13</v>
      </c>
      <c r="H4458" s="1">
        <v>46012.077777777777</v>
      </c>
      <c r="I4458" s="5">
        <f>INT(TB[[#This Row],[时间戳]])</f>
        <v>46012</v>
      </c>
      <c r="J4458" s="2">
        <f>HOUR(TB[[#This Row],[时间戳]])</f>
        <v>1</v>
      </c>
      <c r="K4458">
        <v>4484</v>
      </c>
      <c r="L4458">
        <v>2</v>
      </c>
      <c r="M4458">
        <f>TB[[#This Row],[售价]]*TB[[#This Row],[销量]]</f>
        <v>8968</v>
      </c>
      <c r="N4458" t="str">
        <f>IF(TB[[#This Row],[售价]]&lt;1000,"低价商品",IF(TB[[#This Row],[售价]]&lt;5000,"中价商品",IF(TB[[#This Row],[售价]]&lt;10000,"高价商品","超高价商品")))</f>
        <v>中价商品</v>
      </c>
    </row>
    <row r="4459" spans="1:14" x14ac:dyDescent="0.2">
      <c r="A4459">
        <v>265</v>
      </c>
      <c r="B4459">
        <v>199</v>
      </c>
      <c r="C4459" t="s">
        <v>17</v>
      </c>
      <c r="D4459" t="s">
        <v>226</v>
      </c>
      <c r="E4459" t="s">
        <v>16</v>
      </c>
      <c r="F4459">
        <v>6</v>
      </c>
      <c r="G4459" t="s">
        <v>13</v>
      </c>
      <c r="H4459" s="1">
        <v>46012.080555555556</v>
      </c>
      <c r="I4459" s="5">
        <f>INT(TB[[#This Row],[时间戳]])</f>
        <v>46012</v>
      </c>
      <c r="J4459" s="2">
        <f>HOUR(TB[[#This Row],[时间戳]])</f>
        <v>1</v>
      </c>
      <c r="K4459">
        <v>3426</v>
      </c>
      <c r="L4459">
        <v>5</v>
      </c>
      <c r="M4459">
        <f>TB[[#This Row],[售价]]*TB[[#This Row],[销量]]</f>
        <v>17130</v>
      </c>
      <c r="N4459" t="str">
        <f>IF(TB[[#This Row],[售价]]&lt;1000,"低价商品",IF(TB[[#This Row],[售价]]&lt;5000,"中价商品",IF(TB[[#This Row],[售价]]&lt;10000,"高价商品","超高价商品")))</f>
        <v>中价商品</v>
      </c>
    </row>
    <row r="4460" spans="1:14" x14ac:dyDescent="0.2">
      <c r="A4460">
        <v>612</v>
      </c>
      <c r="B4460">
        <v>264</v>
      </c>
      <c r="C4460" t="s">
        <v>10</v>
      </c>
      <c r="D4460" t="s">
        <v>130</v>
      </c>
      <c r="E4460" t="s">
        <v>16</v>
      </c>
      <c r="F4460">
        <v>6</v>
      </c>
      <c r="G4460" t="s">
        <v>13</v>
      </c>
      <c r="H4460" s="1">
        <v>46012.09097222222</v>
      </c>
      <c r="I4460" s="5">
        <f>INT(TB[[#This Row],[时间戳]])</f>
        <v>46012</v>
      </c>
      <c r="J4460" s="2">
        <f>HOUR(TB[[#This Row],[时间戳]])</f>
        <v>2</v>
      </c>
      <c r="K4460">
        <v>5833</v>
      </c>
      <c r="L4460">
        <v>5</v>
      </c>
      <c r="M4460">
        <f>TB[[#This Row],[售价]]*TB[[#This Row],[销量]]</f>
        <v>29165</v>
      </c>
      <c r="N4460" t="str">
        <f>IF(TB[[#This Row],[售价]]&lt;1000,"低价商品",IF(TB[[#This Row],[售价]]&lt;5000,"中价商品",IF(TB[[#This Row],[售价]]&lt;10000,"高价商品","超高价商品")))</f>
        <v>高价商品</v>
      </c>
    </row>
    <row r="4461" spans="1:14" x14ac:dyDescent="0.2">
      <c r="A4461">
        <v>445</v>
      </c>
      <c r="B4461">
        <v>61</v>
      </c>
      <c r="C4461" t="s">
        <v>32</v>
      </c>
      <c r="D4461" t="s">
        <v>170</v>
      </c>
      <c r="E4461" t="s">
        <v>31</v>
      </c>
      <c r="F4461">
        <v>4</v>
      </c>
      <c r="G4461" t="s">
        <v>13</v>
      </c>
      <c r="H4461" s="1">
        <v>46012.105555555558</v>
      </c>
      <c r="I4461" s="5">
        <f>INT(TB[[#This Row],[时间戳]])</f>
        <v>46012</v>
      </c>
      <c r="J4461" s="2">
        <f>HOUR(TB[[#This Row],[时间戳]])</f>
        <v>2</v>
      </c>
      <c r="K4461">
        <v>767</v>
      </c>
      <c r="L4461">
        <v>4</v>
      </c>
      <c r="M4461">
        <f>TB[[#This Row],[售价]]*TB[[#This Row],[销量]]</f>
        <v>3068</v>
      </c>
      <c r="N4461" t="str">
        <f>IF(TB[[#This Row],[售价]]&lt;1000,"低价商品",IF(TB[[#This Row],[售价]]&lt;5000,"中价商品",IF(TB[[#This Row],[售价]]&lt;10000,"高价商品","超高价商品")))</f>
        <v>低价商品</v>
      </c>
    </row>
    <row r="4462" spans="1:14" x14ac:dyDescent="0.2">
      <c r="A4462">
        <v>85</v>
      </c>
      <c r="B4462">
        <v>50</v>
      </c>
      <c r="C4462" t="s">
        <v>32</v>
      </c>
      <c r="D4462" t="s">
        <v>110</v>
      </c>
      <c r="E4462" t="s">
        <v>25</v>
      </c>
      <c r="F4462">
        <v>7</v>
      </c>
      <c r="G4462" t="s">
        <v>13</v>
      </c>
      <c r="H4462" s="1">
        <v>46012.114583333336</v>
      </c>
      <c r="I4462" s="5">
        <f>INT(TB[[#This Row],[时间戳]])</f>
        <v>46012</v>
      </c>
      <c r="J4462" s="2">
        <f>HOUR(TB[[#This Row],[时间戳]])</f>
        <v>2</v>
      </c>
      <c r="K4462">
        <v>2462</v>
      </c>
      <c r="L4462">
        <v>5</v>
      </c>
      <c r="M4462">
        <f>TB[[#This Row],[售价]]*TB[[#This Row],[销量]]</f>
        <v>12310</v>
      </c>
      <c r="N4462" t="str">
        <f>IF(TB[[#This Row],[售价]]&lt;1000,"低价商品",IF(TB[[#This Row],[售价]]&lt;5000,"中价商品",IF(TB[[#This Row],[售价]]&lt;10000,"高价商品","超高价商品")))</f>
        <v>中价商品</v>
      </c>
    </row>
    <row r="4463" spans="1:14" x14ac:dyDescent="0.2">
      <c r="A4463">
        <v>679</v>
      </c>
      <c r="B4463">
        <v>285</v>
      </c>
      <c r="C4463" t="s">
        <v>34</v>
      </c>
      <c r="D4463" t="s">
        <v>307</v>
      </c>
      <c r="E4463" t="s">
        <v>22</v>
      </c>
      <c r="F4463">
        <v>1</v>
      </c>
      <c r="G4463" t="s">
        <v>13</v>
      </c>
      <c r="H4463" s="1">
        <v>46012.128472222219</v>
      </c>
      <c r="I4463" s="5">
        <f>INT(TB[[#This Row],[时间戳]])</f>
        <v>46012</v>
      </c>
      <c r="J4463" s="2">
        <f>HOUR(TB[[#This Row],[时间戳]])</f>
        <v>3</v>
      </c>
      <c r="K4463">
        <v>5130</v>
      </c>
      <c r="L4463">
        <v>4</v>
      </c>
      <c r="M4463">
        <f>TB[[#This Row],[售价]]*TB[[#This Row],[销量]]</f>
        <v>20520</v>
      </c>
      <c r="N4463" t="str">
        <f>IF(TB[[#This Row],[售价]]&lt;1000,"低价商品",IF(TB[[#This Row],[售价]]&lt;5000,"中价商品",IF(TB[[#This Row],[售价]]&lt;10000,"高价商品","超高价商品")))</f>
        <v>高价商品</v>
      </c>
    </row>
    <row r="4464" spans="1:14" x14ac:dyDescent="0.2">
      <c r="A4464">
        <v>514</v>
      </c>
      <c r="B4464">
        <v>73</v>
      </c>
      <c r="C4464" t="s">
        <v>36</v>
      </c>
      <c r="D4464" t="s">
        <v>213</v>
      </c>
      <c r="E4464" t="s">
        <v>39</v>
      </c>
      <c r="F4464">
        <v>5</v>
      </c>
      <c r="G4464" t="s">
        <v>13</v>
      </c>
      <c r="H4464" s="1">
        <v>46012.232638888891</v>
      </c>
      <c r="I4464" s="5">
        <f>INT(TB[[#This Row],[时间戳]])</f>
        <v>46012</v>
      </c>
      <c r="J4464" s="2">
        <f>HOUR(TB[[#This Row],[时间戳]])</f>
        <v>5</v>
      </c>
      <c r="K4464">
        <v>3434</v>
      </c>
      <c r="L4464">
        <v>4</v>
      </c>
      <c r="M4464">
        <f>TB[[#This Row],[售价]]*TB[[#This Row],[销量]]</f>
        <v>13736</v>
      </c>
      <c r="N4464" t="str">
        <f>IF(TB[[#This Row],[售价]]&lt;1000,"低价商品",IF(TB[[#This Row],[售价]]&lt;5000,"中价商品",IF(TB[[#This Row],[售价]]&lt;10000,"高价商品","超高价商品")))</f>
        <v>中价商品</v>
      </c>
    </row>
    <row r="4465" spans="1:14" x14ac:dyDescent="0.2">
      <c r="A4465">
        <v>19</v>
      </c>
      <c r="B4465">
        <v>97</v>
      </c>
      <c r="C4465" t="s">
        <v>36</v>
      </c>
      <c r="D4465" t="s">
        <v>366</v>
      </c>
      <c r="E4465" t="s">
        <v>22</v>
      </c>
      <c r="F4465">
        <v>1</v>
      </c>
      <c r="G4465" t="s">
        <v>13</v>
      </c>
      <c r="H4465" s="1">
        <v>46012.23541666667</v>
      </c>
      <c r="I4465" s="5">
        <f>INT(TB[[#This Row],[时间戳]])</f>
        <v>46012</v>
      </c>
      <c r="J4465" s="2">
        <f>HOUR(TB[[#This Row],[时间戳]])</f>
        <v>5</v>
      </c>
      <c r="K4465">
        <v>7312</v>
      </c>
      <c r="L4465">
        <v>5</v>
      </c>
      <c r="M4465">
        <f>TB[[#This Row],[售价]]*TB[[#This Row],[销量]]</f>
        <v>36560</v>
      </c>
      <c r="N4465" t="str">
        <f>IF(TB[[#This Row],[售价]]&lt;1000,"低价商品",IF(TB[[#This Row],[售价]]&lt;5000,"中价商品",IF(TB[[#This Row],[售价]]&lt;10000,"高价商品","超高价商品")))</f>
        <v>高价商品</v>
      </c>
    </row>
    <row r="4466" spans="1:14" x14ac:dyDescent="0.2">
      <c r="A4466">
        <v>372</v>
      </c>
      <c r="B4466">
        <v>105</v>
      </c>
      <c r="C4466" t="s">
        <v>10</v>
      </c>
      <c r="D4466" t="s">
        <v>302</v>
      </c>
      <c r="E4466" t="s">
        <v>19</v>
      </c>
      <c r="F4466">
        <v>3</v>
      </c>
      <c r="G4466" t="s">
        <v>13</v>
      </c>
      <c r="H4466" s="1">
        <v>46012.256249999999</v>
      </c>
      <c r="I4466" s="5">
        <f>INT(TB[[#This Row],[时间戳]])</f>
        <v>46012</v>
      </c>
      <c r="J4466" s="2">
        <f>HOUR(TB[[#This Row],[时间戳]])</f>
        <v>6</v>
      </c>
      <c r="K4466">
        <v>3768</v>
      </c>
      <c r="L4466">
        <v>5</v>
      </c>
      <c r="M4466">
        <f>TB[[#This Row],[售价]]*TB[[#This Row],[销量]]</f>
        <v>18840</v>
      </c>
      <c r="N4466" t="str">
        <f>IF(TB[[#This Row],[售价]]&lt;1000,"低价商品",IF(TB[[#This Row],[售价]]&lt;5000,"中价商品",IF(TB[[#This Row],[售价]]&lt;10000,"高价商品","超高价商品")))</f>
        <v>中价商品</v>
      </c>
    </row>
    <row r="4467" spans="1:14" x14ac:dyDescent="0.2">
      <c r="A4467">
        <v>423</v>
      </c>
      <c r="B4467">
        <v>211</v>
      </c>
      <c r="C4467" t="s">
        <v>32</v>
      </c>
      <c r="D4467" t="s">
        <v>224</v>
      </c>
      <c r="E4467" t="s">
        <v>25</v>
      </c>
      <c r="F4467">
        <v>7</v>
      </c>
      <c r="G4467" t="s">
        <v>13</v>
      </c>
      <c r="H4467" s="1">
        <v>46012.265277777777</v>
      </c>
      <c r="I4467" s="5">
        <f>INT(TB[[#This Row],[时间戳]])</f>
        <v>46012</v>
      </c>
      <c r="J4467" s="2">
        <f>HOUR(TB[[#This Row],[时间戳]])</f>
        <v>6</v>
      </c>
      <c r="K4467">
        <v>4343</v>
      </c>
      <c r="L4467">
        <v>2</v>
      </c>
      <c r="M4467">
        <f>TB[[#This Row],[售价]]*TB[[#This Row],[销量]]</f>
        <v>8686</v>
      </c>
      <c r="N4467" t="str">
        <f>IF(TB[[#This Row],[售价]]&lt;1000,"低价商品",IF(TB[[#This Row],[售价]]&lt;5000,"中价商品",IF(TB[[#This Row],[售价]]&lt;10000,"高价商品","超高价商品")))</f>
        <v>中价商品</v>
      </c>
    </row>
    <row r="4468" spans="1:14" x14ac:dyDescent="0.2">
      <c r="A4468">
        <v>589</v>
      </c>
      <c r="B4468">
        <v>129</v>
      </c>
      <c r="C4468" t="s">
        <v>34</v>
      </c>
      <c r="D4468" t="s">
        <v>253</v>
      </c>
      <c r="E4468" t="s">
        <v>25</v>
      </c>
      <c r="F4468">
        <v>7</v>
      </c>
      <c r="G4468" t="s">
        <v>13</v>
      </c>
      <c r="H4468" s="1">
        <v>46012.268055555556</v>
      </c>
      <c r="I4468" s="5">
        <f>INT(TB[[#This Row],[时间戳]])</f>
        <v>46012</v>
      </c>
      <c r="J4468" s="2">
        <f>HOUR(TB[[#This Row],[时间戳]])</f>
        <v>6</v>
      </c>
      <c r="K4468">
        <v>1773</v>
      </c>
      <c r="L4468">
        <v>4</v>
      </c>
      <c r="M4468">
        <f>TB[[#This Row],[售价]]*TB[[#This Row],[销量]]</f>
        <v>7092</v>
      </c>
      <c r="N4468" t="str">
        <f>IF(TB[[#This Row],[售价]]&lt;1000,"低价商品",IF(TB[[#This Row],[售价]]&lt;5000,"中价商品",IF(TB[[#This Row],[售价]]&lt;10000,"高价商品","超高价商品")))</f>
        <v>中价商品</v>
      </c>
    </row>
    <row r="4469" spans="1:14" x14ac:dyDescent="0.2">
      <c r="A4469">
        <v>443</v>
      </c>
      <c r="B4469">
        <v>227</v>
      </c>
      <c r="C4469" t="s">
        <v>36</v>
      </c>
      <c r="D4469" t="s">
        <v>269</v>
      </c>
      <c r="E4469" t="s">
        <v>19</v>
      </c>
      <c r="F4469">
        <v>3</v>
      </c>
      <c r="G4469" t="s">
        <v>42</v>
      </c>
      <c r="H4469" s="1">
        <v>46012.270833333336</v>
      </c>
      <c r="I4469" s="5">
        <f>INT(TB[[#This Row],[时间戳]])</f>
        <v>46012</v>
      </c>
      <c r="J4469" s="2">
        <f>HOUR(TB[[#This Row],[时间戳]])</f>
        <v>6</v>
      </c>
      <c r="K4469">
        <v>3918</v>
      </c>
      <c r="L4469">
        <v>0</v>
      </c>
      <c r="M4469">
        <f>TB[[#This Row],[售价]]*TB[[#This Row],[销量]]</f>
        <v>0</v>
      </c>
      <c r="N4469" t="str">
        <f>IF(TB[[#This Row],[售价]]&lt;1000,"低价商品",IF(TB[[#This Row],[售价]]&lt;5000,"中价商品",IF(TB[[#This Row],[售价]]&lt;10000,"高价商品","超高价商品")))</f>
        <v>中价商品</v>
      </c>
    </row>
    <row r="4470" spans="1:14" x14ac:dyDescent="0.2">
      <c r="A4470">
        <v>60</v>
      </c>
      <c r="B4470">
        <v>282</v>
      </c>
      <c r="C4470" t="s">
        <v>10</v>
      </c>
      <c r="D4470" t="s">
        <v>302</v>
      </c>
      <c r="E4470" t="s">
        <v>19</v>
      </c>
      <c r="F4470">
        <v>3</v>
      </c>
      <c r="G4470" t="s">
        <v>13</v>
      </c>
      <c r="H4470" s="1">
        <v>46012.325694444444</v>
      </c>
      <c r="I4470" s="5">
        <f>INT(TB[[#This Row],[时间戳]])</f>
        <v>46012</v>
      </c>
      <c r="J4470" s="2">
        <f>HOUR(TB[[#This Row],[时间戳]])</f>
        <v>7</v>
      </c>
      <c r="K4470">
        <v>2880</v>
      </c>
      <c r="L4470">
        <v>5</v>
      </c>
      <c r="M4470">
        <f>TB[[#This Row],[售价]]*TB[[#This Row],[销量]]</f>
        <v>14400</v>
      </c>
      <c r="N4470" t="str">
        <f>IF(TB[[#This Row],[售价]]&lt;1000,"低价商品",IF(TB[[#This Row],[售价]]&lt;5000,"中价商品",IF(TB[[#This Row],[售价]]&lt;10000,"高价商品","超高价商品")))</f>
        <v>中价商品</v>
      </c>
    </row>
    <row r="4471" spans="1:14" x14ac:dyDescent="0.2">
      <c r="A4471">
        <v>724</v>
      </c>
      <c r="B4471">
        <v>277</v>
      </c>
      <c r="C4471" t="s">
        <v>10</v>
      </c>
      <c r="D4471" t="s">
        <v>41</v>
      </c>
      <c r="E4471" t="s">
        <v>22</v>
      </c>
      <c r="F4471">
        <v>1</v>
      </c>
      <c r="G4471" t="s">
        <v>13</v>
      </c>
      <c r="H4471" s="1">
        <v>46012.364583333336</v>
      </c>
      <c r="I4471" s="5">
        <f>INT(TB[[#This Row],[时间戳]])</f>
        <v>46012</v>
      </c>
      <c r="J4471" s="2">
        <f>HOUR(TB[[#This Row],[时间戳]])</f>
        <v>8</v>
      </c>
      <c r="K4471">
        <v>2066</v>
      </c>
      <c r="L4471">
        <v>4</v>
      </c>
      <c r="M4471">
        <f>TB[[#This Row],[售价]]*TB[[#This Row],[销量]]</f>
        <v>8264</v>
      </c>
      <c r="N4471" t="str">
        <f>IF(TB[[#This Row],[售价]]&lt;1000,"低价商品",IF(TB[[#This Row],[售价]]&lt;5000,"中价商品",IF(TB[[#This Row],[售价]]&lt;10000,"高价商品","超高价商品")))</f>
        <v>中价商品</v>
      </c>
    </row>
    <row r="4472" spans="1:14" x14ac:dyDescent="0.2">
      <c r="A4472">
        <v>142</v>
      </c>
      <c r="B4472">
        <v>114</v>
      </c>
      <c r="C4472" t="s">
        <v>20</v>
      </c>
      <c r="D4472" t="s">
        <v>120</v>
      </c>
      <c r="E4472" t="s">
        <v>22</v>
      </c>
      <c r="F4472">
        <v>1</v>
      </c>
      <c r="G4472" t="s">
        <v>13</v>
      </c>
      <c r="H4472" s="1">
        <v>46012.408333333333</v>
      </c>
      <c r="I4472" s="5">
        <f>INT(TB[[#This Row],[时间戳]])</f>
        <v>46012</v>
      </c>
      <c r="J4472" s="2">
        <f>HOUR(TB[[#This Row],[时间戳]])</f>
        <v>9</v>
      </c>
      <c r="K4472">
        <v>1902</v>
      </c>
      <c r="L4472">
        <v>5</v>
      </c>
      <c r="M4472">
        <f>TB[[#This Row],[售价]]*TB[[#This Row],[销量]]</f>
        <v>9510</v>
      </c>
      <c r="N4472" t="str">
        <f>IF(TB[[#This Row],[售价]]&lt;1000,"低价商品",IF(TB[[#This Row],[售价]]&lt;5000,"中价商品",IF(TB[[#This Row],[售价]]&lt;10000,"高价商品","超高价商品")))</f>
        <v>中价商品</v>
      </c>
    </row>
    <row r="4473" spans="1:14" x14ac:dyDescent="0.2">
      <c r="A4473">
        <v>2</v>
      </c>
      <c r="B4473">
        <v>77</v>
      </c>
      <c r="C4473" t="s">
        <v>46</v>
      </c>
      <c r="D4473" t="s">
        <v>111</v>
      </c>
      <c r="E4473" t="s">
        <v>16</v>
      </c>
      <c r="F4473">
        <v>6</v>
      </c>
      <c r="G4473" t="s">
        <v>13</v>
      </c>
      <c r="H4473" s="1">
        <v>46012.496527777781</v>
      </c>
      <c r="I4473" s="5">
        <f>INT(TB[[#This Row],[时间戳]])</f>
        <v>46012</v>
      </c>
      <c r="J4473" s="2">
        <f>HOUR(TB[[#This Row],[时间戳]])</f>
        <v>11</v>
      </c>
      <c r="K4473">
        <v>10438</v>
      </c>
      <c r="L4473">
        <v>5</v>
      </c>
      <c r="M4473">
        <f>TB[[#This Row],[售价]]*TB[[#This Row],[销量]]</f>
        <v>52190</v>
      </c>
      <c r="N4473" t="str">
        <f>IF(TB[[#This Row],[售价]]&lt;1000,"低价商品",IF(TB[[#This Row],[售价]]&lt;5000,"中价商品",IF(TB[[#This Row],[售价]]&lt;10000,"高价商品","超高价商品")))</f>
        <v>超高价商品</v>
      </c>
    </row>
    <row r="4474" spans="1:14" x14ac:dyDescent="0.2">
      <c r="A4474">
        <v>355</v>
      </c>
      <c r="B4474">
        <v>257</v>
      </c>
      <c r="C4474" t="s">
        <v>10</v>
      </c>
      <c r="D4474" t="s">
        <v>352</v>
      </c>
      <c r="E4474" t="s">
        <v>12</v>
      </c>
      <c r="F4474">
        <v>2</v>
      </c>
      <c r="G4474" t="s">
        <v>13</v>
      </c>
      <c r="H4474" s="1">
        <v>46012.500694444447</v>
      </c>
      <c r="I4474" s="5">
        <f>INT(TB[[#This Row],[时间戳]])</f>
        <v>46012</v>
      </c>
      <c r="J4474" s="2">
        <f>HOUR(TB[[#This Row],[时间戳]])</f>
        <v>12</v>
      </c>
      <c r="K4474">
        <v>10279</v>
      </c>
      <c r="L4474">
        <v>4</v>
      </c>
      <c r="M4474">
        <f>TB[[#This Row],[售价]]*TB[[#This Row],[销量]]</f>
        <v>41116</v>
      </c>
      <c r="N4474" t="str">
        <f>IF(TB[[#This Row],[售价]]&lt;1000,"低价商品",IF(TB[[#This Row],[售价]]&lt;5000,"中价商品",IF(TB[[#This Row],[售价]]&lt;10000,"高价商品","超高价商品")))</f>
        <v>超高价商品</v>
      </c>
    </row>
    <row r="4475" spans="1:14" x14ac:dyDescent="0.2">
      <c r="A4475">
        <v>333</v>
      </c>
      <c r="B4475">
        <v>70</v>
      </c>
      <c r="C4475" t="s">
        <v>36</v>
      </c>
      <c r="D4475" t="s">
        <v>162</v>
      </c>
      <c r="E4475" t="s">
        <v>25</v>
      </c>
      <c r="F4475">
        <v>7</v>
      </c>
      <c r="G4475" t="s">
        <v>13</v>
      </c>
      <c r="H4475" s="1">
        <v>46012.509027777778</v>
      </c>
      <c r="I4475" s="5">
        <f>INT(TB[[#This Row],[时间戳]])</f>
        <v>46012</v>
      </c>
      <c r="J4475" s="2">
        <f>HOUR(TB[[#This Row],[时间戳]])</f>
        <v>12</v>
      </c>
      <c r="K4475">
        <v>2127</v>
      </c>
      <c r="L4475">
        <v>4</v>
      </c>
      <c r="M4475">
        <f>TB[[#This Row],[售价]]*TB[[#This Row],[销量]]</f>
        <v>8508</v>
      </c>
      <c r="N4475" t="str">
        <f>IF(TB[[#This Row],[售价]]&lt;1000,"低价商品",IF(TB[[#This Row],[售价]]&lt;5000,"中价商品",IF(TB[[#This Row],[售价]]&lt;10000,"高价商品","超高价商品")))</f>
        <v>中价商品</v>
      </c>
    </row>
    <row r="4476" spans="1:14" x14ac:dyDescent="0.2">
      <c r="A4476">
        <v>198</v>
      </c>
      <c r="B4476">
        <v>211</v>
      </c>
      <c r="C4476" t="s">
        <v>34</v>
      </c>
      <c r="D4476" t="s">
        <v>232</v>
      </c>
      <c r="E4476" t="s">
        <v>22</v>
      </c>
      <c r="F4476">
        <v>1</v>
      </c>
      <c r="G4476" t="s">
        <v>13</v>
      </c>
      <c r="H4476" s="1">
        <v>46012.529166666667</v>
      </c>
      <c r="I4476" s="5">
        <f>INT(TB[[#This Row],[时间戳]])</f>
        <v>46012</v>
      </c>
      <c r="J4476" s="2">
        <f>HOUR(TB[[#This Row],[时间戳]])</f>
        <v>12</v>
      </c>
      <c r="K4476">
        <v>4746</v>
      </c>
      <c r="L4476">
        <v>4</v>
      </c>
      <c r="M4476">
        <f>TB[[#This Row],[售价]]*TB[[#This Row],[销量]]</f>
        <v>18984</v>
      </c>
      <c r="N4476" t="str">
        <f>IF(TB[[#This Row],[售价]]&lt;1000,"低价商品",IF(TB[[#This Row],[售价]]&lt;5000,"中价商品",IF(TB[[#This Row],[售价]]&lt;10000,"高价商品","超高价商品")))</f>
        <v>中价商品</v>
      </c>
    </row>
    <row r="4477" spans="1:14" x14ac:dyDescent="0.2">
      <c r="A4477">
        <v>466</v>
      </c>
      <c r="B4477">
        <v>9</v>
      </c>
      <c r="C4477" t="s">
        <v>32</v>
      </c>
      <c r="D4477" t="s">
        <v>342</v>
      </c>
      <c r="E4477" t="s">
        <v>39</v>
      </c>
      <c r="F4477">
        <v>5</v>
      </c>
      <c r="G4477" t="s">
        <v>13</v>
      </c>
      <c r="H4477" s="1">
        <v>46012.540972222225</v>
      </c>
      <c r="I4477" s="5">
        <f>INT(TB[[#This Row],[时间戳]])</f>
        <v>46012</v>
      </c>
      <c r="J4477" s="2">
        <f>HOUR(TB[[#This Row],[时间戳]])</f>
        <v>12</v>
      </c>
      <c r="K4477">
        <v>1957</v>
      </c>
      <c r="L4477">
        <v>4</v>
      </c>
      <c r="M4477">
        <f>TB[[#This Row],[售价]]*TB[[#This Row],[销量]]</f>
        <v>7828</v>
      </c>
      <c r="N4477" t="str">
        <f>IF(TB[[#This Row],[售价]]&lt;1000,"低价商品",IF(TB[[#This Row],[售价]]&lt;5000,"中价商品",IF(TB[[#This Row],[售价]]&lt;10000,"高价商品","超高价商品")))</f>
        <v>中价商品</v>
      </c>
    </row>
    <row r="4478" spans="1:14" x14ac:dyDescent="0.2">
      <c r="A4478">
        <v>635</v>
      </c>
      <c r="B4478">
        <v>49</v>
      </c>
      <c r="C4478" t="s">
        <v>14</v>
      </c>
      <c r="D4478" t="s">
        <v>144</v>
      </c>
      <c r="E4478" t="s">
        <v>19</v>
      </c>
      <c r="F4478">
        <v>3</v>
      </c>
      <c r="G4478" t="s">
        <v>42</v>
      </c>
      <c r="H4478" s="1">
        <v>46012.551388888889</v>
      </c>
      <c r="I4478" s="5">
        <f>INT(TB[[#This Row],[时间戳]])</f>
        <v>46012</v>
      </c>
      <c r="J4478" s="2">
        <f>HOUR(TB[[#This Row],[时间戳]])</f>
        <v>13</v>
      </c>
      <c r="K4478">
        <v>1518</v>
      </c>
      <c r="L4478">
        <v>0</v>
      </c>
      <c r="M4478">
        <f>TB[[#This Row],[售价]]*TB[[#This Row],[销量]]</f>
        <v>0</v>
      </c>
      <c r="N4478" t="str">
        <f>IF(TB[[#This Row],[售价]]&lt;1000,"低价商品",IF(TB[[#This Row],[售价]]&lt;5000,"中价商品",IF(TB[[#This Row],[售价]]&lt;10000,"高价商品","超高价商品")))</f>
        <v>中价商品</v>
      </c>
    </row>
    <row r="4479" spans="1:14" x14ac:dyDescent="0.2">
      <c r="A4479">
        <v>719</v>
      </c>
      <c r="B4479">
        <v>170</v>
      </c>
      <c r="C4479" t="s">
        <v>26</v>
      </c>
      <c r="D4479" t="s">
        <v>56</v>
      </c>
      <c r="E4479" t="s">
        <v>22</v>
      </c>
      <c r="F4479">
        <v>1</v>
      </c>
      <c r="G4479" t="s">
        <v>13</v>
      </c>
      <c r="H4479" s="1">
        <v>46012.559027777781</v>
      </c>
      <c r="I4479" s="5">
        <f>INT(TB[[#This Row],[时间戳]])</f>
        <v>46012</v>
      </c>
      <c r="J4479" s="2">
        <f>HOUR(TB[[#This Row],[时间戳]])</f>
        <v>13</v>
      </c>
      <c r="K4479">
        <v>7406</v>
      </c>
      <c r="L4479">
        <v>5</v>
      </c>
      <c r="M4479">
        <f>TB[[#This Row],[售价]]*TB[[#This Row],[销量]]</f>
        <v>37030</v>
      </c>
      <c r="N4479" t="str">
        <f>IF(TB[[#This Row],[售价]]&lt;1000,"低价商品",IF(TB[[#This Row],[售价]]&lt;5000,"中价商品",IF(TB[[#This Row],[售价]]&lt;10000,"高价商品","超高价商品")))</f>
        <v>高价商品</v>
      </c>
    </row>
    <row r="4480" spans="1:14" x14ac:dyDescent="0.2">
      <c r="A4480">
        <v>72</v>
      </c>
      <c r="B4480">
        <v>91</v>
      </c>
      <c r="C4480" t="s">
        <v>14</v>
      </c>
      <c r="D4480" t="s">
        <v>202</v>
      </c>
      <c r="E4480" t="s">
        <v>31</v>
      </c>
      <c r="F4480">
        <v>4</v>
      </c>
      <c r="G4480" t="s">
        <v>13</v>
      </c>
      <c r="H4480" s="1">
        <v>46012.575694444444</v>
      </c>
      <c r="I4480" s="5">
        <f>INT(TB[[#This Row],[时间戳]])</f>
        <v>46012</v>
      </c>
      <c r="J4480" s="2">
        <f>HOUR(TB[[#This Row],[时间戳]])</f>
        <v>13</v>
      </c>
      <c r="K4480">
        <v>350</v>
      </c>
      <c r="L4480">
        <v>5</v>
      </c>
      <c r="M4480">
        <f>TB[[#This Row],[售价]]*TB[[#This Row],[销量]]</f>
        <v>1750</v>
      </c>
      <c r="N4480" t="str">
        <f>IF(TB[[#This Row],[售价]]&lt;1000,"低价商品",IF(TB[[#This Row],[售价]]&lt;5000,"中价商品",IF(TB[[#This Row],[售价]]&lt;10000,"高价商品","超高价商品")))</f>
        <v>低价商品</v>
      </c>
    </row>
    <row r="4481" spans="1:14" x14ac:dyDescent="0.2">
      <c r="A4481">
        <v>294</v>
      </c>
      <c r="B4481">
        <v>204</v>
      </c>
      <c r="C4481" t="s">
        <v>46</v>
      </c>
      <c r="D4481" t="s">
        <v>332</v>
      </c>
      <c r="E4481" t="s">
        <v>19</v>
      </c>
      <c r="F4481">
        <v>3</v>
      </c>
      <c r="G4481" t="s">
        <v>13</v>
      </c>
      <c r="H4481" s="1">
        <v>46012.591666666667</v>
      </c>
      <c r="I4481" s="5">
        <f>INT(TB[[#This Row],[时间戳]])</f>
        <v>46012</v>
      </c>
      <c r="J4481" s="2">
        <f>HOUR(TB[[#This Row],[时间戳]])</f>
        <v>14</v>
      </c>
      <c r="K4481">
        <v>4158</v>
      </c>
      <c r="L4481">
        <v>5</v>
      </c>
      <c r="M4481">
        <f>TB[[#This Row],[售价]]*TB[[#This Row],[销量]]</f>
        <v>20790</v>
      </c>
      <c r="N4481" t="str">
        <f>IF(TB[[#This Row],[售价]]&lt;1000,"低价商品",IF(TB[[#This Row],[售价]]&lt;5000,"中价商品",IF(TB[[#This Row],[售价]]&lt;10000,"高价商品","超高价商品")))</f>
        <v>中价商品</v>
      </c>
    </row>
    <row r="4482" spans="1:14" x14ac:dyDescent="0.2">
      <c r="A4482">
        <v>617</v>
      </c>
      <c r="B4482">
        <v>89</v>
      </c>
      <c r="C4482" t="s">
        <v>10</v>
      </c>
      <c r="D4482" t="s">
        <v>283</v>
      </c>
      <c r="E4482" t="s">
        <v>25</v>
      </c>
      <c r="F4482">
        <v>7</v>
      </c>
      <c r="G4482" t="s">
        <v>42</v>
      </c>
      <c r="H4482" s="1">
        <v>46012.595138888886</v>
      </c>
      <c r="I4482" s="5">
        <f>INT(TB[[#This Row],[时间戳]])</f>
        <v>46012</v>
      </c>
      <c r="J4482" s="2">
        <f>HOUR(TB[[#This Row],[时间戳]])</f>
        <v>14</v>
      </c>
      <c r="K4482">
        <v>2253</v>
      </c>
      <c r="L4482">
        <v>0</v>
      </c>
      <c r="M4482">
        <f>TB[[#This Row],[售价]]*TB[[#This Row],[销量]]</f>
        <v>0</v>
      </c>
      <c r="N4482" t="str">
        <f>IF(TB[[#This Row],[售价]]&lt;1000,"低价商品",IF(TB[[#This Row],[售价]]&lt;5000,"中价商品",IF(TB[[#This Row],[售价]]&lt;10000,"高价商品","超高价商品")))</f>
        <v>中价商品</v>
      </c>
    </row>
    <row r="4483" spans="1:14" x14ac:dyDescent="0.2">
      <c r="A4483">
        <v>419</v>
      </c>
      <c r="B4483">
        <v>13</v>
      </c>
      <c r="C4483" t="s">
        <v>36</v>
      </c>
      <c r="D4483" t="s">
        <v>185</v>
      </c>
      <c r="E4483" t="s">
        <v>12</v>
      </c>
      <c r="F4483">
        <v>2</v>
      </c>
      <c r="G4483" t="s">
        <v>13</v>
      </c>
      <c r="H4483" s="1">
        <v>46012.606944444444</v>
      </c>
      <c r="I4483" s="5">
        <f>INT(TB[[#This Row],[时间戳]])</f>
        <v>46012</v>
      </c>
      <c r="J4483" s="2">
        <f>HOUR(TB[[#This Row],[时间戳]])</f>
        <v>14</v>
      </c>
      <c r="K4483">
        <v>7417</v>
      </c>
      <c r="L4483">
        <v>5</v>
      </c>
      <c r="M4483">
        <f>TB[[#This Row],[售价]]*TB[[#This Row],[销量]]</f>
        <v>37085</v>
      </c>
      <c r="N4483" t="str">
        <f>IF(TB[[#This Row],[售价]]&lt;1000,"低价商品",IF(TB[[#This Row],[售价]]&lt;5000,"中价商品",IF(TB[[#This Row],[售价]]&lt;10000,"高价商品","超高价商品")))</f>
        <v>高价商品</v>
      </c>
    </row>
    <row r="4484" spans="1:14" x14ac:dyDescent="0.2">
      <c r="A4484">
        <v>249</v>
      </c>
      <c r="B4484">
        <v>268</v>
      </c>
      <c r="C4484" t="s">
        <v>26</v>
      </c>
      <c r="D4484" t="s">
        <v>56</v>
      </c>
      <c r="E4484" t="s">
        <v>22</v>
      </c>
      <c r="F4484">
        <v>1</v>
      </c>
      <c r="G4484" t="s">
        <v>13</v>
      </c>
      <c r="H4484" s="1">
        <v>46012.621527777781</v>
      </c>
      <c r="I4484" s="5">
        <f>INT(TB[[#This Row],[时间戳]])</f>
        <v>46012</v>
      </c>
      <c r="J4484" s="2">
        <f>HOUR(TB[[#This Row],[时间戳]])</f>
        <v>14</v>
      </c>
      <c r="K4484">
        <v>1283</v>
      </c>
      <c r="L4484">
        <v>4</v>
      </c>
      <c r="M4484">
        <f>TB[[#This Row],[售价]]*TB[[#This Row],[销量]]</f>
        <v>5132</v>
      </c>
      <c r="N4484" t="str">
        <f>IF(TB[[#This Row],[售价]]&lt;1000,"低价商品",IF(TB[[#This Row],[售价]]&lt;5000,"中价商品",IF(TB[[#This Row],[售价]]&lt;10000,"高价商品","超高价商品")))</f>
        <v>中价商品</v>
      </c>
    </row>
    <row r="4485" spans="1:14" x14ac:dyDescent="0.2">
      <c r="A4485">
        <v>92</v>
      </c>
      <c r="B4485">
        <v>90</v>
      </c>
      <c r="C4485" t="s">
        <v>14</v>
      </c>
      <c r="D4485" t="s">
        <v>343</v>
      </c>
      <c r="E4485" t="s">
        <v>39</v>
      </c>
      <c r="F4485">
        <v>5</v>
      </c>
      <c r="G4485" t="s">
        <v>13</v>
      </c>
      <c r="H4485" s="1">
        <v>46012.636805555558</v>
      </c>
      <c r="I4485" s="5">
        <f>INT(TB[[#This Row],[时间戳]])</f>
        <v>46012</v>
      </c>
      <c r="J4485" s="2">
        <f>HOUR(TB[[#This Row],[时间戳]])</f>
        <v>15</v>
      </c>
      <c r="K4485">
        <v>1421</v>
      </c>
      <c r="L4485">
        <v>5</v>
      </c>
      <c r="M4485">
        <f>TB[[#This Row],[售价]]*TB[[#This Row],[销量]]</f>
        <v>7105</v>
      </c>
      <c r="N4485" t="str">
        <f>IF(TB[[#This Row],[售价]]&lt;1000,"低价商品",IF(TB[[#This Row],[售价]]&lt;5000,"中价商品",IF(TB[[#This Row],[售价]]&lt;10000,"高价商品","超高价商品")))</f>
        <v>中价商品</v>
      </c>
    </row>
    <row r="4486" spans="1:14" x14ac:dyDescent="0.2">
      <c r="A4486">
        <v>71</v>
      </c>
      <c r="B4486">
        <v>180</v>
      </c>
      <c r="C4486" t="s">
        <v>46</v>
      </c>
      <c r="D4486" t="s">
        <v>217</v>
      </c>
      <c r="E4486" t="s">
        <v>19</v>
      </c>
      <c r="F4486">
        <v>3</v>
      </c>
      <c r="G4486" t="s">
        <v>13</v>
      </c>
      <c r="H4486" s="1">
        <v>46012.64166666667</v>
      </c>
      <c r="I4486" s="5">
        <f>INT(TB[[#This Row],[时间戳]])</f>
        <v>46012</v>
      </c>
      <c r="J4486" s="2">
        <f>HOUR(TB[[#This Row],[时间戳]])</f>
        <v>15</v>
      </c>
      <c r="K4486">
        <v>3007</v>
      </c>
      <c r="L4486">
        <v>5</v>
      </c>
      <c r="M4486">
        <f>TB[[#This Row],[售价]]*TB[[#This Row],[销量]]</f>
        <v>15035</v>
      </c>
      <c r="N4486" t="str">
        <f>IF(TB[[#This Row],[售价]]&lt;1000,"低价商品",IF(TB[[#This Row],[售价]]&lt;5000,"中价商品",IF(TB[[#This Row],[售价]]&lt;10000,"高价商品","超高价商品")))</f>
        <v>中价商品</v>
      </c>
    </row>
    <row r="4487" spans="1:14" x14ac:dyDescent="0.2">
      <c r="A4487">
        <v>546</v>
      </c>
      <c r="B4487">
        <v>192</v>
      </c>
      <c r="C4487" t="s">
        <v>10</v>
      </c>
      <c r="D4487" t="s">
        <v>329</v>
      </c>
      <c r="E4487" t="s">
        <v>39</v>
      </c>
      <c r="F4487">
        <v>5</v>
      </c>
      <c r="G4487" t="s">
        <v>42</v>
      </c>
      <c r="H4487" s="1">
        <v>46012.666666666664</v>
      </c>
      <c r="I4487" s="5">
        <f>INT(TB[[#This Row],[时间戳]])</f>
        <v>46012</v>
      </c>
      <c r="J4487" s="2">
        <f>HOUR(TB[[#This Row],[时间戳]])</f>
        <v>16</v>
      </c>
      <c r="K4487">
        <v>1030</v>
      </c>
      <c r="L4487">
        <v>0</v>
      </c>
      <c r="M4487">
        <f>TB[[#This Row],[售价]]*TB[[#This Row],[销量]]</f>
        <v>0</v>
      </c>
      <c r="N4487" t="str">
        <f>IF(TB[[#This Row],[售价]]&lt;1000,"低价商品",IF(TB[[#This Row],[售价]]&lt;5000,"中价商品",IF(TB[[#This Row],[售价]]&lt;10000,"高价商品","超高价商品")))</f>
        <v>中价商品</v>
      </c>
    </row>
    <row r="4488" spans="1:14" x14ac:dyDescent="0.2">
      <c r="A4488">
        <v>770</v>
      </c>
      <c r="B4488">
        <v>167</v>
      </c>
      <c r="C4488" t="s">
        <v>17</v>
      </c>
      <c r="D4488" t="s">
        <v>126</v>
      </c>
      <c r="E4488" t="s">
        <v>39</v>
      </c>
      <c r="F4488">
        <v>5</v>
      </c>
      <c r="G4488" t="s">
        <v>13</v>
      </c>
      <c r="H4488" s="1">
        <v>46012.666666666664</v>
      </c>
      <c r="I4488" s="5">
        <f>INT(TB[[#This Row],[时间戳]])</f>
        <v>46012</v>
      </c>
      <c r="J4488" s="2">
        <f>HOUR(TB[[#This Row],[时间戳]])</f>
        <v>16</v>
      </c>
      <c r="K4488">
        <v>901</v>
      </c>
      <c r="L4488">
        <v>4</v>
      </c>
      <c r="M4488">
        <f>TB[[#This Row],[售价]]*TB[[#This Row],[销量]]</f>
        <v>3604</v>
      </c>
      <c r="N4488" t="str">
        <f>IF(TB[[#This Row],[售价]]&lt;1000,"低价商品",IF(TB[[#This Row],[售价]]&lt;5000,"中价商品",IF(TB[[#This Row],[售价]]&lt;10000,"高价商品","超高价商品")))</f>
        <v>低价商品</v>
      </c>
    </row>
    <row r="4489" spans="1:14" x14ac:dyDescent="0.2">
      <c r="A4489">
        <v>391</v>
      </c>
      <c r="B4489">
        <v>24</v>
      </c>
      <c r="C4489" t="s">
        <v>36</v>
      </c>
      <c r="D4489" t="s">
        <v>112</v>
      </c>
      <c r="E4489" t="s">
        <v>22</v>
      </c>
      <c r="F4489">
        <v>1</v>
      </c>
      <c r="G4489" t="s">
        <v>42</v>
      </c>
      <c r="H4489" s="1">
        <v>46012.675000000003</v>
      </c>
      <c r="I4489" s="5">
        <f>INT(TB[[#This Row],[时间戳]])</f>
        <v>46012</v>
      </c>
      <c r="J4489" s="2">
        <f>HOUR(TB[[#This Row],[时间戳]])</f>
        <v>16</v>
      </c>
      <c r="K4489">
        <v>3033</v>
      </c>
      <c r="L4489">
        <v>0</v>
      </c>
      <c r="M4489">
        <f>TB[[#This Row],[售价]]*TB[[#This Row],[销量]]</f>
        <v>0</v>
      </c>
      <c r="N4489" t="str">
        <f>IF(TB[[#This Row],[售价]]&lt;1000,"低价商品",IF(TB[[#This Row],[售价]]&lt;5000,"中价商品",IF(TB[[#This Row],[售价]]&lt;10000,"高价商品","超高价商品")))</f>
        <v>中价商品</v>
      </c>
    </row>
    <row r="4490" spans="1:14" x14ac:dyDescent="0.2">
      <c r="A4490">
        <v>451</v>
      </c>
      <c r="B4490">
        <v>215</v>
      </c>
      <c r="C4490" t="s">
        <v>26</v>
      </c>
      <c r="D4490" t="s">
        <v>182</v>
      </c>
      <c r="E4490" t="s">
        <v>31</v>
      </c>
      <c r="F4490">
        <v>4</v>
      </c>
      <c r="G4490" t="s">
        <v>13</v>
      </c>
      <c r="H4490" s="1">
        <v>46012.702777777777</v>
      </c>
      <c r="I4490" s="5">
        <f>INT(TB[[#This Row],[时间戳]])</f>
        <v>46012</v>
      </c>
      <c r="J4490" s="2">
        <f>HOUR(TB[[#This Row],[时间戳]])</f>
        <v>16</v>
      </c>
      <c r="K4490">
        <v>810</v>
      </c>
      <c r="L4490">
        <v>5</v>
      </c>
      <c r="M4490">
        <f>TB[[#This Row],[售价]]*TB[[#This Row],[销量]]</f>
        <v>4050</v>
      </c>
      <c r="N4490" t="str">
        <f>IF(TB[[#This Row],[售价]]&lt;1000,"低价商品",IF(TB[[#This Row],[售价]]&lt;5000,"中价商品",IF(TB[[#This Row],[售价]]&lt;10000,"高价商品","超高价商品")))</f>
        <v>低价商品</v>
      </c>
    </row>
    <row r="4491" spans="1:14" x14ac:dyDescent="0.2">
      <c r="A4491">
        <v>26</v>
      </c>
      <c r="B4491">
        <v>55</v>
      </c>
      <c r="C4491" t="s">
        <v>36</v>
      </c>
      <c r="D4491" t="s">
        <v>83</v>
      </c>
      <c r="E4491" t="s">
        <v>22</v>
      </c>
      <c r="F4491">
        <v>1</v>
      </c>
      <c r="G4491" t="s">
        <v>13</v>
      </c>
      <c r="H4491" s="1">
        <v>46012.718055555553</v>
      </c>
      <c r="I4491" s="5">
        <f>INT(TB[[#This Row],[时间戳]])</f>
        <v>46012</v>
      </c>
      <c r="J4491" s="2">
        <f>HOUR(TB[[#This Row],[时间戳]])</f>
        <v>17</v>
      </c>
      <c r="K4491">
        <v>2916</v>
      </c>
      <c r="L4491">
        <v>5</v>
      </c>
      <c r="M4491">
        <f>TB[[#This Row],[售价]]*TB[[#This Row],[销量]]</f>
        <v>14580</v>
      </c>
      <c r="N4491" t="str">
        <f>IF(TB[[#This Row],[售价]]&lt;1000,"低价商品",IF(TB[[#This Row],[售价]]&lt;5000,"中价商品",IF(TB[[#This Row],[售价]]&lt;10000,"高价商品","超高价商品")))</f>
        <v>中价商品</v>
      </c>
    </row>
    <row r="4492" spans="1:14" x14ac:dyDescent="0.2">
      <c r="A4492">
        <v>8</v>
      </c>
      <c r="B4492">
        <v>188</v>
      </c>
      <c r="C4492" t="s">
        <v>34</v>
      </c>
      <c r="D4492" t="s">
        <v>175</v>
      </c>
      <c r="E4492" t="s">
        <v>22</v>
      </c>
      <c r="F4492">
        <v>1</v>
      </c>
      <c r="G4492" t="s">
        <v>42</v>
      </c>
      <c r="H4492" s="1">
        <v>46012.723611111112</v>
      </c>
      <c r="I4492" s="5">
        <f>INT(TB[[#This Row],[时间戳]])</f>
        <v>46012</v>
      </c>
      <c r="J4492" s="2">
        <f>HOUR(TB[[#This Row],[时间戳]])</f>
        <v>17</v>
      </c>
      <c r="K4492">
        <v>5940</v>
      </c>
      <c r="L4492">
        <v>0</v>
      </c>
      <c r="M4492">
        <f>TB[[#This Row],[售价]]*TB[[#This Row],[销量]]</f>
        <v>0</v>
      </c>
      <c r="N4492" t="str">
        <f>IF(TB[[#This Row],[售价]]&lt;1000,"低价商品",IF(TB[[#This Row],[售价]]&lt;5000,"中价商品",IF(TB[[#This Row],[售价]]&lt;10000,"高价商品","超高价商品")))</f>
        <v>高价商品</v>
      </c>
    </row>
    <row r="4493" spans="1:14" x14ac:dyDescent="0.2">
      <c r="A4493">
        <v>317</v>
      </c>
      <c r="B4493">
        <v>252</v>
      </c>
      <c r="C4493" t="s">
        <v>32</v>
      </c>
      <c r="D4493" t="s">
        <v>193</v>
      </c>
      <c r="E4493" t="s">
        <v>22</v>
      </c>
      <c r="F4493">
        <v>1</v>
      </c>
      <c r="G4493" t="s">
        <v>13</v>
      </c>
      <c r="H4493" s="1">
        <v>46012.745138888888</v>
      </c>
      <c r="I4493" s="5">
        <f>INT(TB[[#This Row],[时间戳]])</f>
        <v>46012</v>
      </c>
      <c r="J4493" s="2">
        <f>HOUR(TB[[#This Row],[时间戳]])</f>
        <v>17</v>
      </c>
      <c r="K4493">
        <v>5257</v>
      </c>
      <c r="L4493">
        <v>4</v>
      </c>
      <c r="M4493">
        <f>TB[[#This Row],[售价]]*TB[[#This Row],[销量]]</f>
        <v>21028</v>
      </c>
      <c r="N4493" t="str">
        <f>IF(TB[[#This Row],[售价]]&lt;1000,"低价商品",IF(TB[[#This Row],[售价]]&lt;5000,"中价商品",IF(TB[[#This Row],[售价]]&lt;10000,"高价商品","超高价商品")))</f>
        <v>高价商品</v>
      </c>
    </row>
    <row r="4494" spans="1:14" x14ac:dyDescent="0.2">
      <c r="A4494">
        <v>572</v>
      </c>
      <c r="B4494">
        <v>216</v>
      </c>
      <c r="C4494" t="s">
        <v>32</v>
      </c>
      <c r="D4494" t="s">
        <v>224</v>
      </c>
      <c r="E4494" t="s">
        <v>25</v>
      </c>
      <c r="F4494">
        <v>7</v>
      </c>
      <c r="G4494" t="s">
        <v>13</v>
      </c>
      <c r="H4494" s="1">
        <v>46012.761111111111</v>
      </c>
      <c r="I4494" s="5">
        <f>INT(TB[[#This Row],[时间戳]])</f>
        <v>46012</v>
      </c>
      <c r="J4494" s="2">
        <f>HOUR(TB[[#This Row],[时间戳]])</f>
        <v>18</v>
      </c>
      <c r="K4494">
        <v>2651</v>
      </c>
      <c r="L4494">
        <v>2</v>
      </c>
      <c r="M4494">
        <f>TB[[#This Row],[售价]]*TB[[#This Row],[销量]]</f>
        <v>5302</v>
      </c>
      <c r="N4494" t="str">
        <f>IF(TB[[#This Row],[售价]]&lt;1000,"低价商品",IF(TB[[#This Row],[售价]]&lt;5000,"中价商品",IF(TB[[#This Row],[售价]]&lt;10000,"高价商品","超高价商品")))</f>
        <v>中价商品</v>
      </c>
    </row>
    <row r="4495" spans="1:14" x14ac:dyDescent="0.2">
      <c r="A4495">
        <v>174</v>
      </c>
      <c r="B4495">
        <v>84</v>
      </c>
      <c r="C4495" t="s">
        <v>17</v>
      </c>
      <c r="D4495" t="s">
        <v>255</v>
      </c>
      <c r="E4495" t="s">
        <v>31</v>
      </c>
      <c r="F4495">
        <v>4</v>
      </c>
      <c r="G4495" t="s">
        <v>13</v>
      </c>
      <c r="H4495" s="1">
        <v>46012.790277777778</v>
      </c>
      <c r="I4495" s="5">
        <f>INT(TB[[#This Row],[时间戳]])</f>
        <v>46012</v>
      </c>
      <c r="J4495" s="2">
        <f>HOUR(TB[[#This Row],[时间戳]])</f>
        <v>18</v>
      </c>
      <c r="K4495">
        <v>271</v>
      </c>
      <c r="L4495">
        <v>2</v>
      </c>
      <c r="M4495">
        <f>TB[[#This Row],[售价]]*TB[[#This Row],[销量]]</f>
        <v>542</v>
      </c>
      <c r="N4495" t="str">
        <f>IF(TB[[#This Row],[售价]]&lt;1000,"低价商品",IF(TB[[#This Row],[售价]]&lt;5000,"中价商品",IF(TB[[#This Row],[售价]]&lt;10000,"高价商品","超高价商品")))</f>
        <v>低价商品</v>
      </c>
    </row>
    <row r="4496" spans="1:14" x14ac:dyDescent="0.2">
      <c r="A4496">
        <v>470</v>
      </c>
      <c r="B4496">
        <v>94</v>
      </c>
      <c r="C4496" t="s">
        <v>14</v>
      </c>
      <c r="D4496" t="s">
        <v>144</v>
      </c>
      <c r="E4496" t="s">
        <v>19</v>
      </c>
      <c r="F4496">
        <v>3</v>
      </c>
      <c r="G4496" t="s">
        <v>13</v>
      </c>
      <c r="H4496" s="1">
        <v>46012.814583333333</v>
      </c>
      <c r="I4496" s="5">
        <f>INT(TB[[#This Row],[时间戳]])</f>
        <v>46012</v>
      </c>
      <c r="J4496" s="2">
        <f>HOUR(TB[[#This Row],[时间戳]])</f>
        <v>19</v>
      </c>
      <c r="K4496">
        <v>4290</v>
      </c>
      <c r="L4496">
        <v>4</v>
      </c>
      <c r="M4496">
        <f>TB[[#This Row],[售价]]*TB[[#This Row],[销量]]</f>
        <v>17160</v>
      </c>
      <c r="N4496" t="str">
        <f>IF(TB[[#This Row],[售价]]&lt;1000,"低价商品",IF(TB[[#This Row],[售价]]&lt;5000,"中价商品",IF(TB[[#This Row],[售价]]&lt;10000,"高价商品","超高价商品")))</f>
        <v>中价商品</v>
      </c>
    </row>
    <row r="4497" spans="1:14" x14ac:dyDescent="0.2">
      <c r="A4497">
        <v>402</v>
      </c>
      <c r="B4497">
        <v>215</v>
      </c>
      <c r="C4497" t="s">
        <v>10</v>
      </c>
      <c r="D4497" t="s">
        <v>363</v>
      </c>
      <c r="E4497" t="s">
        <v>25</v>
      </c>
      <c r="F4497">
        <v>7</v>
      </c>
      <c r="G4497" t="s">
        <v>13</v>
      </c>
      <c r="H4497" s="1">
        <v>46012.831944444442</v>
      </c>
      <c r="I4497" s="5">
        <f>INT(TB[[#This Row],[时间戳]])</f>
        <v>46012</v>
      </c>
      <c r="J4497" s="2">
        <f>HOUR(TB[[#This Row],[时间戳]])</f>
        <v>19</v>
      </c>
      <c r="K4497">
        <v>4760</v>
      </c>
      <c r="L4497">
        <v>2</v>
      </c>
      <c r="M4497">
        <f>TB[[#This Row],[售价]]*TB[[#This Row],[销量]]</f>
        <v>9520</v>
      </c>
      <c r="N4497" t="str">
        <f>IF(TB[[#This Row],[售价]]&lt;1000,"低价商品",IF(TB[[#This Row],[售价]]&lt;5000,"中价商品",IF(TB[[#This Row],[售价]]&lt;10000,"高价商品","超高价商品")))</f>
        <v>中价商品</v>
      </c>
    </row>
    <row r="4498" spans="1:14" x14ac:dyDescent="0.2">
      <c r="A4498">
        <v>410</v>
      </c>
      <c r="B4498">
        <v>79</v>
      </c>
      <c r="C4498" t="s">
        <v>34</v>
      </c>
      <c r="D4498" t="s">
        <v>232</v>
      </c>
      <c r="E4498" t="s">
        <v>22</v>
      </c>
      <c r="F4498">
        <v>1</v>
      </c>
      <c r="G4498" t="s">
        <v>13</v>
      </c>
      <c r="H4498" s="1">
        <v>46012.844444444447</v>
      </c>
      <c r="I4498" s="5">
        <f>INT(TB[[#This Row],[时间戳]])</f>
        <v>46012</v>
      </c>
      <c r="J4498" s="2">
        <f>HOUR(TB[[#This Row],[时间戳]])</f>
        <v>20</v>
      </c>
      <c r="K4498">
        <v>6761</v>
      </c>
      <c r="L4498">
        <v>2</v>
      </c>
      <c r="M4498">
        <f>TB[[#This Row],[售价]]*TB[[#This Row],[销量]]</f>
        <v>13522</v>
      </c>
      <c r="N4498" t="str">
        <f>IF(TB[[#This Row],[售价]]&lt;1000,"低价商品",IF(TB[[#This Row],[售价]]&lt;5000,"中价商品",IF(TB[[#This Row],[售价]]&lt;10000,"高价商品","超高价商品")))</f>
        <v>高价商品</v>
      </c>
    </row>
    <row r="4499" spans="1:14" x14ac:dyDescent="0.2">
      <c r="A4499">
        <v>453</v>
      </c>
      <c r="B4499">
        <v>210</v>
      </c>
      <c r="C4499" t="s">
        <v>14</v>
      </c>
      <c r="D4499" t="s">
        <v>178</v>
      </c>
      <c r="E4499" t="s">
        <v>12</v>
      </c>
      <c r="F4499">
        <v>2</v>
      </c>
      <c r="G4499" t="s">
        <v>13</v>
      </c>
      <c r="H4499" s="1">
        <v>46012.84652777778</v>
      </c>
      <c r="I4499" s="5">
        <f>INT(TB[[#This Row],[时间戳]])</f>
        <v>46012</v>
      </c>
      <c r="J4499" s="2">
        <f>HOUR(TB[[#This Row],[时间戳]])</f>
        <v>20</v>
      </c>
      <c r="K4499">
        <v>6071</v>
      </c>
      <c r="L4499">
        <v>5</v>
      </c>
      <c r="M4499">
        <f>TB[[#This Row],[售价]]*TB[[#This Row],[销量]]</f>
        <v>30355</v>
      </c>
      <c r="N4499" t="str">
        <f>IF(TB[[#This Row],[售价]]&lt;1000,"低价商品",IF(TB[[#This Row],[售价]]&lt;5000,"中价商品",IF(TB[[#This Row],[售价]]&lt;10000,"高价商品","超高价商品")))</f>
        <v>高价商品</v>
      </c>
    </row>
    <row r="4500" spans="1:14" x14ac:dyDescent="0.2">
      <c r="A4500">
        <v>639</v>
      </c>
      <c r="B4500">
        <v>151</v>
      </c>
      <c r="C4500" t="s">
        <v>20</v>
      </c>
      <c r="D4500" t="s">
        <v>85</v>
      </c>
      <c r="E4500" t="s">
        <v>31</v>
      </c>
      <c r="F4500">
        <v>4</v>
      </c>
      <c r="G4500" t="s">
        <v>13</v>
      </c>
      <c r="H4500" s="1">
        <v>46012.852083333331</v>
      </c>
      <c r="I4500" s="5">
        <f>INT(TB[[#This Row],[时间戳]])</f>
        <v>46012</v>
      </c>
      <c r="J4500" s="2">
        <f>HOUR(TB[[#This Row],[时间戳]])</f>
        <v>20</v>
      </c>
      <c r="K4500">
        <v>1193</v>
      </c>
      <c r="L4500">
        <v>2</v>
      </c>
      <c r="M4500">
        <f>TB[[#This Row],[售价]]*TB[[#This Row],[销量]]</f>
        <v>2386</v>
      </c>
      <c r="N4500" t="str">
        <f>IF(TB[[#This Row],[售价]]&lt;1000,"低价商品",IF(TB[[#This Row],[售价]]&lt;5000,"中价商品",IF(TB[[#This Row],[售价]]&lt;10000,"高价商品","超高价商品")))</f>
        <v>中价商品</v>
      </c>
    </row>
    <row r="4501" spans="1:14" x14ac:dyDescent="0.2">
      <c r="A4501">
        <v>164</v>
      </c>
      <c r="B4501">
        <v>297</v>
      </c>
      <c r="C4501" t="s">
        <v>14</v>
      </c>
      <c r="D4501" t="s">
        <v>15</v>
      </c>
      <c r="E4501" t="s">
        <v>16</v>
      </c>
      <c r="F4501">
        <v>6</v>
      </c>
      <c r="G4501" t="s">
        <v>13</v>
      </c>
      <c r="H4501" s="1">
        <v>46012.862500000003</v>
      </c>
      <c r="I4501" s="5">
        <f>INT(TB[[#This Row],[时间戳]])</f>
        <v>46012</v>
      </c>
      <c r="J4501" s="2">
        <f>HOUR(TB[[#This Row],[时间戳]])</f>
        <v>20</v>
      </c>
      <c r="K4501">
        <v>9793</v>
      </c>
      <c r="L4501">
        <v>4</v>
      </c>
      <c r="M4501">
        <f>TB[[#This Row],[售价]]*TB[[#This Row],[销量]]</f>
        <v>39172</v>
      </c>
      <c r="N4501" t="str">
        <f>IF(TB[[#This Row],[售价]]&lt;1000,"低价商品",IF(TB[[#This Row],[售价]]&lt;5000,"中价商品",IF(TB[[#This Row],[售价]]&lt;10000,"高价商品","超高价商品")))</f>
        <v>高价商品</v>
      </c>
    </row>
    <row r="4502" spans="1:14" x14ac:dyDescent="0.2">
      <c r="A4502">
        <v>16</v>
      </c>
      <c r="B4502">
        <v>19</v>
      </c>
      <c r="C4502" t="s">
        <v>32</v>
      </c>
      <c r="D4502" t="s">
        <v>224</v>
      </c>
      <c r="E4502" t="s">
        <v>25</v>
      </c>
      <c r="F4502">
        <v>7</v>
      </c>
      <c r="G4502" t="s">
        <v>13</v>
      </c>
      <c r="H4502" s="1">
        <v>46012.879166666666</v>
      </c>
      <c r="I4502" s="5">
        <f>INT(TB[[#This Row],[时间戳]])</f>
        <v>46012</v>
      </c>
      <c r="J4502" s="2">
        <f>HOUR(TB[[#This Row],[时间戳]])</f>
        <v>21</v>
      </c>
      <c r="K4502">
        <v>2119</v>
      </c>
      <c r="L4502">
        <v>4</v>
      </c>
      <c r="M4502">
        <f>TB[[#This Row],[售价]]*TB[[#This Row],[销量]]</f>
        <v>8476</v>
      </c>
      <c r="N4502" t="str">
        <f>IF(TB[[#This Row],[售价]]&lt;1000,"低价商品",IF(TB[[#This Row],[售价]]&lt;5000,"中价商品",IF(TB[[#This Row],[售价]]&lt;10000,"高价商品","超高价商品")))</f>
        <v>中价商品</v>
      </c>
    </row>
    <row r="4503" spans="1:14" x14ac:dyDescent="0.2">
      <c r="A4503">
        <v>513</v>
      </c>
      <c r="B4503">
        <v>290</v>
      </c>
      <c r="C4503" t="s">
        <v>20</v>
      </c>
      <c r="D4503" t="s">
        <v>147</v>
      </c>
      <c r="E4503" t="s">
        <v>22</v>
      </c>
      <c r="F4503">
        <v>1</v>
      </c>
      <c r="G4503" t="s">
        <v>42</v>
      </c>
      <c r="H4503" s="1">
        <v>46012.892361111109</v>
      </c>
      <c r="I4503" s="5">
        <f>INT(TB[[#This Row],[时间戳]])</f>
        <v>46012</v>
      </c>
      <c r="J4503" s="2">
        <f>HOUR(TB[[#This Row],[时间戳]])</f>
        <v>21</v>
      </c>
      <c r="K4503">
        <v>4236</v>
      </c>
      <c r="L4503">
        <v>0</v>
      </c>
      <c r="M4503">
        <f>TB[[#This Row],[售价]]*TB[[#This Row],[销量]]</f>
        <v>0</v>
      </c>
      <c r="N4503" t="str">
        <f>IF(TB[[#This Row],[售价]]&lt;1000,"低价商品",IF(TB[[#This Row],[售价]]&lt;5000,"中价商品",IF(TB[[#This Row],[售价]]&lt;10000,"高价商品","超高价商品")))</f>
        <v>中价商品</v>
      </c>
    </row>
    <row r="4504" spans="1:14" x14ac:dyDescent="0.2">
      <c r="A4504">
        <v>241</v>
      </c>
      <c r="B4504">
        <v>161</v>
      </c>
      <c r="C4504" t="s">
        <v>26</v>
      </c>
      <c r="D4504" t="s">
        <v>182</v>
      </c>
      <c r="E4504" t="s">
        <v>31</v>
      </c>
      <c r="F4504">
        <v>4</v>
      </c>
      <c r="G4504" t="s">
        <v>13</v>
      </c>
      <c r="H4504" s="1">
        <v>46012.898611111108</v>
      </c>
      <c r="I4504" s="5">
        <f>INT(TB[[#This Row],[时间戳]])</f>
        <v>46012</v>
      </c>
      <c r="J4504" s="2">
        <f>HOUR(TB[[#This Row],[时间戳]])</f>
        <v>21</v>
      </c>
      <c r="K4504">
        <v>993</v>
      </c>
      <c r="L4504">
        <v>2</v>
      </c>
      <c r="M4504">
        <f>TB[[#This Row],[售价]]*TB[[#This Row],[销量]]</f>
        <v>1986</v>
      </c>
      <c r="N4504" t="str">
        <f>IF(TB[[#This Row],[售价]]&lt;1000,"低价商品",IF(TB[[#This Row],[售价]]&lt;5000,"中价商品",IF(TB[[#This Row],[售价]]&lt;10000,"高价商品","超高价商品")))</f>
        <v>低价商品</v>
      </c>
    </row>
    <row r="4505" spans="1:14" x14ac:dyDescent="0.2">
      <c r="A4505">
        <v>315</v>
      </c>
      <c r="B4505">
        <v>215</v>
      </c>
      <c r="C4505" t="s">
        <v>36</v>
      </c>
      <c r="D4505" t="s">
        <v>386</v>
      </c>
      <c r="E4505" t="s">
        <v>22</v>
      </c>
      <c r="F4505">
        <v>1</v>
      </c>
      <c r="G4505" t="s">
        <v>13</v>
      </c>
      <c r="H4505" s="1">
        <v>46012.898611111108</v>
      </c>
      <c r="I4505" s="5">
        <f>INT(TB[[#This Row],[时间戳]])</f>
        <v>46012</v>
      </c>
      <c r="J4505" s="2">
        <f>HOUR(TB[[#This Row],[时间戳]])</f>
        <v>21</v>
      </c>
      <c r="K4505">
        <v>3134</v>
      </c>
      <c r="L4505">
        <v>5</v>
      </c>
      <c r="M4505">
        <f>TB[[#This Row],[售价]]*TB[[#This Row],[销量]]</f>
        <v>15670</v>
      </c>
      <c r="N4505" t="str">
        <f>IF(TB[[#This Row],[售价]]&lt;1000,"低价商品",IF(TB[[#This Row],[售价]]&lt;5000,"中价商品",IF(TB[[#This Row],[售价]]&lt;10000,"高价商品","超高价商品")))</f>
        <v>中价商品</v>
      </c>
    </row>
    <row r="4506" spans="1:14" x14ac:dyDescent="0.2">
      <c r="A4506">
        <v>155</v>
      </c>
      <c r="B4506">
        <v>45</v>
      </c>
      <c r="C4506" t="s">
        <v>26</v>
      </c>
      <c r="D4506" t="s">
        <v>225</v>
      </c>
      <c r="E4506" t="s">
        <v>31</v>
      </c>
      <c r="F4506">
        <v>4</v>
      </c>
      <c r="G4506" t="s">
        <v>13</v>
      </c>
      <c r="H4506" s="1">
        <v>46012.911805555559</v>
      </c>
      <c r="I4506" s="5">
        <f>INT(TB[[#This Row],[时间戳]])</f>
        <v>46012</v>
      </c>
      <c r="J4506" s="2">
        <f>HOUR(TB[[#This Row],[时间戳]])</f>
        <v>21</v>
      </c>
      <c r="K4506">
        <v>904</v>
      </c>
      <c r="L4506">
        <v>2</v>
      </c>
      <c r="M4506">
        <f>TB[[#This Row],[售价]]*TB[[#This Row],[销量]]</f>
        <v>1808</v>
      </c>
      <c r="N4506" t="str">
        <f>IF(TB[[#This Row],[售价]]&lt;1000,"低价商品",IF(TB[[#This Row],[售价]]&lt;5000,"中价商品",IF(TB[[#This Row],[售价]]&lt;10000,"高价商品","超高价商品")))</f>
        <v>低价商品</v>
      </c>
    </row>
    <row r="4507" spans="1:14" x14ac:dyDescent="0.2">
      <c r="A4507">
        <v>620</v>
      </c>
      <c r="B4507">
        <v>183</v>
      </c>
      <c r="C4507" t="s">
        <v>17</v>
      </c>
      <c r="D4507" t="s">
        <v>109</v>
      </c>
      <c r="E4507" t="s">
        <v>12</v>
      </c>
      <c r="F4507">
        <v>2</v>
      </c>
      <c r="G4507" t="s">
        <v>13</v>
      </c>
      <c r="H4507" s="1">
        <v>46012.917361111111</v>
      </c>
      <c r="I4507" s="5">
        <f>INT(TB[[#This Row],[时间戳]])</f>
        <v>46012</v>
      </c>
      <c r="J4507" s="2">
        <f>HOUR(TB[[#This Row],[时间戳]])</f>
        <v>22</v>
      </c>
      <c r="K4507">
        <v>9635</v>
      </c>
      <c r="L4507">
        <v>5</v>
      </c>
      <c r="M4507">
        <f>TB[[#This Row],[售价]]*TB[[#This Row],[销量]]</f>
        <v>48175</v>
      </c>
      <c r="N4507" t="str">
        <f>IF(TB[[#This Row],[售价]]&lt;1000,"低价商品",IF(TB[[#This Row],[售价]]&lt;5000,"中价商品",IF(TB[[#This Row],[售价]]&lt;10000,"高价商品","超高价商品")))</f>
        <v>高价商品</v>
      </c>
    </row>
    <row r="4508" spans="1:14" x14ac:dyDescent="0.2">
      <c r="A4508">
        <v>177</v>
      </c>
      <c r="B4508">
        <v>9</v>
      </c>
      <c r="C4508" t="s">
        <v>36</v>
      </c>
      <c r="D4508" t="s">
        <v>90</v>
      </c>
      <c r="E4508" t="s">
        <v>16</v>
      </c>
      <c r="F4508">
        <v>6</v>
      </c>
      <c r="G4508" t="s">
        <v>13</v>
      </c>
      <c r="H4508" s="1">
        <v>46012.942361111112</v>
      </c>
      <c r="I4508" s="5">
        <f>INT(TB[[#This Row],[时间戳]])</f>
        <v>46012</v>
      </c>
      <c r="J4508" s="2">
        <f>HOUR(TB[[#This Row],[时间戳]])</f>
        <v>22</v>
      </c>
      <c r="K4508">
        <v>4662</v>
      </c>
      <c r="L4508">
        <v>4</v>
      </c>
      <c r="M4508">
        <f>TB[[#This Row],[售价]]*TB[[#This Row],[销量]]</f>
        <v>18648</v>
      </c>
      <c r="N4508" t="str">
        <f>IF(TB[[#This Row],[售价]]&lt;1000,"低价商品",IF(TB[[#This Row],[售价]]&lt;5000,"中价商品",IF(TB[[#This Row],[售价]]&lt;10000,"高价商品","超高价商品")))</f>
        <v>中价商品</v>
      </c>
    </row>
    <row r="4509" spans="1:14" x14ac:dyDescent="0.2">
      <c r="A4509">
        <v>659</v>
      </c>
      <c r="B4509">
        <v>46</v>
      </c>
      <c r="C4509" t="s">
        <v>36</v>
      </c>
      <c r="D4509" t="s">
        <v>213</v>
      </c>
      <c r="E4509" t="s">
        <v>39</v>
      </c>
      <c r="F4509">
        <v>5</v>
      </c>
      <c r="G4509" t="s">
        <v>42</v>
      </c>
      <c r="H4509" s="1">
        <v>46012.942361111112</v>
      </c>
      <c r="I4509" s="5">
        <f>INT(TB[[#This Row],[时间戳]])</f>
        <v>46012</v>
      </c>
      <c r="J4509" s="2">
        <f>HOUR(TB[[#This Row],[时间戳]])</f>
        <v>22</v>
      </c>
      <c r="K4509">
        <v>2574</v>
      </c>
      <c r="L4509">
        <v>0</v>
      </c>
      <c r="M4509">
        <f>TB[[#This Row],[售价]]*TB[[#This Row],[销量]]</f>
        <v>0</v>
      </c>
      <c r="N4509" t="str">
        <f>IF(TB[[#This Row],[售价]]&lt;1000,"低价商品",IF(TB[[#This Row],[售价]]&lt;5000,"中价商品",IF(TB[[#This Row],[售价]]&lt;10000,"高价商品","超高价商品")))</f>
        <v>中价商品</v>
      </c>
    </row>
    <row r="4510" spans="1:14" x14ac:dyDescent="0.2">
      <c r="A4510">
        <v>728</v>
      </c>
      <c r="B4510">
        <v>253</v>
      </c>
      <c r="C4510" t="s">
        <v>14</v>
      </c>
      <c r="D4510" t="s">
        <v>223</v>
      </c>
      <c r="E4510" t="s">
        <v>22</v>
      </c>
      <c r="F4510">
        <v>1</v>
      </c>
      <c r="G4510" t="s">
        <v>13</v>
      </c>
      <c r="H4510" s="1">
        <v>46012.959027777775</v>
      </c>
      <c r="I4510" s="5">
        <f>INT(TB[[#This Row],[时间戳]])</f>
        <v>46012</v>
      </c>
      <c r="J4510" s="2">
        <f>HOUR(TB[[#This Row],[时间戳]])</f>
        <v>23</v>
      </c>
      <c r="K4510">
        <v>7141</v>
      </c>
      <c r="L4510">
        <v>5</v>
      </c>
      <c r="M4510">
        <f>TB[[#This Row],[售价]]*TB[[#This Row],[销量]]</f>
        <v>35705</v>
      </c>
      <c r="N4510" t="str">
        <f>IF(TB[[#This Row],[售价]]&lt;1000,"低价商品",IF(TB[[#This Row],[售价]]&lt;5000,"中价商品",IF(TB[[#This Row],[售价]]&lt;10000,"高价商品","超高价商品")))</f>
        <v>高价商品</v>
      </c>
    </row>
    <row r="4511" spans="1:14" x14ac:dyDescent="0.2">
      <c r="A4511">
        <v>544</v>
      </c>
      <c r="B4511">
        <v>76</v>
      </c>
      <c r="C4511" t="s">
        <v>20</v>
      </c>
      <c r="D4511" t="s">
        <v>206</v>
      </c>
      <c r="E4511" t="s">
        <v>19</v>
      </c>
      <c r="F4511">
        <v>3</v>
      </c>
      <c r="G4511" t="s">
        <v>13</v>
      </c>
      <c r="H4511" s="1">
        <v>46013.011111111111</v>
      </c>
      <c r="I4511" s="5">
        <f>INT(TB[[#This Row],[时间戳]])</f>
        <v>46013</v>
      </c>
      <c r="J4511" s="2">
        <f>HOUR(TB[[#This Row],[时间戳]])</f>
        <v>0</v>
      </c>
      <c r="K4511">
        <v>3181</v>
      </c>
      <c r="L4511">
        <v>5</v>
      </c>
      <c r="M4511">
        <f>TB[[#This Row],[售价]]*TB[[#This Row],[销量]]</f>
        <v>15905</v>
      </c>
      <c r="N4511" t="str">
        <f>IF(TB[[#This Row],[售价]]&lt;1000,"低价商品",IF(TB[[#This Row],[售价]]&lt;5000,"中价商品",IF(TB[[#This Row],[售价]]&lt;10000,"高价商品","超高价商品")))</f>
        <v>中价商品</v>
      </c>
    </row>
    <row r="4512" spans="1:14" x14ac:dyDescent="0.2">
      <c r="A4512">
        <v>440</v>
      </c>
      <c r="B4512">
        <v>120</v>
      </c>
      <c r="C4512" t="s">
        <v>10</v>
      </c>
      <c r="D4512" t="s">
        <v>373</v>
      </c>
      <c r="E4512" t="s">
        <v>25</v>
      </c>
      <c r="F4512">
        <v>7</v>
      </c>
      <c r="G4512" t="s">
        <v>13</v>
      </c>
      <c r="H4512" s="1">
        <v>46013.01458333333</v>
      </c>
      <c r="I4512" s="5">
        <f>INT(TB[[#This Row],[时间戳]])</f>
        <v>46013</v>
      </c>
      <c r="J4512" s="2">
        <f>HOUR(TB[[#This Row],[时间戳]])</f>
        <v>0</v>
      </c>
      <c r="K4512">
        <v>5224</v>
      </c>
      <c r="L4512">
        <v>5</v>
      </c>
      <c r="M4512">
        <f>TB[[#This Row],[售价]]*TB[[#This Row],[销量]]</f>
        <v>26120</v>
      </c>
      <c r="N4512" t="str">
        <f>IF(TB[[#This Row],[售价]]&lt;1000,"低价商品",IF(TB[[#This Row],[售价]]&lt;5000,"中价商品",IF(TB[[#This Row],[售价]]&lt;10000,"高价商品","超高价商品")))</f>
        <v>高价商品</v>
      </c>
    </row>
    <row r="4513" spans="1:14" x14ac:dyDescent="0.2">
      <c r="A4513">
        <v>601</v>
      </c>
      <c r="B4513">
        <v>148</v>
      </c>
      <c r="C4513" t="s">
        <v>34</v>
      </c>
      <c r="D4513" t="s">
        <v>374</v>
      </c>
      <c r="E4513" t="s">
        <v>25</v>
      </c>
      <c r="F4513">
        <v>7</v>
      </c>
      <c r="G4513" t="s">
        <v>13</v>
      </c>
      <c r="H4513" s="1">
        <v>46013.026388888888</v>
      </c>
      <c r="I4513" s="5">
        <f>INT(TB[[#This Row],[时间戳]])</f>
        <v>46013</v>
      </c>
      <c r="J4513" s="2">
        <f>HOUR(TB[[#This Row],[时间戳]])</f>
        <v>0</v>
      </c>
      <c r="K4513">
        <v>3927</v>
      </c>
      <c r="L4513">
        <v>5</v>
      </c>
      <c r="M4513">
        <f>TB[[#This Row],[售价]]*TB[[#This Row],[销量]]</f>
        <v>19635</v>
      </c>
      <c r="N4513" t="str">
        <f>IF(TB[[#This Row],[售价]]&lt;1000,"低价商品",IF(TB[[#This Row],[售价]]&lt;5000,"中价商品",IF(TB[[#This Row],[售价]]&lt;10000,"高价商品","超高价商品")))</f>
        <v>中价商品</v>
      </c>
    </row>
    <row r="4514" spans="1:14" x14ac:dyDescent="0.2">
      <c r="A4514">
        <v>541</v>
      </c>
      <c r="B4514">
        <v>265</v>
      </c>
      <c r="C4514" t="s">
        <v>26</v>
      </c>
      <c r="D4514" t="s">
        <v>225</v>
      </c>
      <c r="E4514" t="s">
        <v>31</v>
      </c>
      <c r="F4514">
        <v>4</v>
      </c>
      <c r="G4514" t="s">
        <v>13</v>
      </c>
      <c r="H4514" s="1">
        <v>46013.027777777781</v>
      </c>
      <c r="I4514" s="5">
        <f>INT(TB[[#This Row],[时间戳]])</f>
        <v>46013</v>
      </c>
      <c r="J4514" s="2">
        <f>HOUR(TB[[#This Row],[时间戳]])</f>
        <v>0</v>
      </c>
      <c r="K4514">
        <v>1131</v>
      </c>
      <c r="L4514">
        <v>5</v>
      </c>
      <c r="M4514">
        <f>TB[[#This Row],[售价]]*TB[[#This Row],[销量]]</f>
        <v>5655</v>
      </c>
      <c r="N4514" t="str">
        <f>IF(TB[[#This Row],[售价]]&lt;1000,"低价商品",IF(TB[[#This Row],[售价]]&lt;5000,"中价商品",IF(TB[[#This Row],[售价]]&lt;10000,"高价商品","超高价商品")))</f>
        <v>中价商品</v>
      </c>
    </row>
    <row r="4515" spans="1:14" x14ac:dyDescent="0.2">
      <c r="A4515">
        <v>24</v>
      </c>
      <c r="B4515">
        <v>208</v>
      </c>
      <c r="C4515" t="s">
        <v>17</v>
      </c>
      <c r="D4515" t="s">
        <v>50</v>
      </c>
      <c r="E4515" t="s">
        <v>22</v>
      </c>
      <c r="F4515">
        <v>1</v>
      </c>
      <c r="G4515" t="s">
        <v>13</v>
      </c>
      <c r="H4515" s="1">
        <v>46013.04583333333</v>
      </c>
      <c r="I4515" s="5">
        <f>INT(TB[[#This Row],[时间戳]])</f>
        <v>46013</v>
      </c>
      <c r="J4515" s="2">
        <f>HOUR(TB[[#This Row],[时间戳]])</f>
        <v>1</v>
      </c>
      <c r="K4515">
        <v>3371</v>
      </c>
      <c r="L4515">
        <v>5</v>
      </c>
      <c r="M4515">
        <f>TB[[#This Row],[售价]]*TB[[#This Row],[销量]]</f>
        <v>16855</v>
      </c>
      <c r="N4515" t="str">
        <f>IF(TB[[#This Row],[售价]]&lt;1000,"低价商品",IF(TB[[#This Row],[售价]]&lt;5000,"中价商品",IF(TB[[#This Row],[售价]]&lt;10000,"高价商品","超高价商品")))</f>
        <v>中价商品</v>
      </c>
    </row>
    <row r="4516" spans="1:14" x14ac:dyDescent="0.2">
      <c r="A4516">
        <v>101</v>
      </c>
      <c r="B4516">
        <v>52</v>
      </c>
      <c r="C4516" t="s">
        <v>10</v>
      </c>
      <c r="D4516" t="s">
        <v>247</v>
      </c>
      <c r="E4516" t="s">
        <v>31</v>
      </c>
      <c r="F4516">
        <v>4</v>
      </c>
      <c r="G4516" t="s">
        <v>13</v>
      </c>
      <c r="H4516" s="1">
        <v>46013.061111111114</v>
      </c>
      <c r="I4516" s="5">
        <f>INT(TB[[#This Row],[时间戳]])</f>
        <v>46013</v>
      </c>
      <c r="J4516" s="2">
        <f>HOUR(TB[[#This Row],[时间戳]])</f>
        <v>1</v>
      </c>
      <c r="K4516">
        <v>811</v>
      </c>
      <c r="L4516">
        <v>5</v>
      </c>
      <c r="M4516">
        <f>TB[[#This Row],[售价]]*TB[[#This Row],[销量]]</f>
        <v>4055</v>
      </c>
      <c r="N4516" t="str">
        <f>IF(TB[[#This Row],[售价]]&lt;1000,"低价商品",IF(TB[[#This Row],[售价]]&lt;5000,"中价商品",IF(TB[[#This Row],[售价]]&lt;10000,"高价商品","超高价商品")))</f>
        <v>低价商品</v>
      </c>
    </row>
    <row r="4517" spans="1:14" x14ac:dyDescent="0.2">
      <c r="A4517">
        <v>380</v>
      </c>
      <c r="B4517">
        <v>160</v>
      </c>
      <c r="C4517" t="s">
        <v>14</v>
      </c>
      <c r="D4517" t="s">
        <v>43</v>
      </c>
      <c r="E4517" t="s">
        <v>31</v>
      </c>
      <c r="F4517">
        <v>4</v>
      </c>
      <c r="G4517" t="s">
        <v>13</v>
      </c>
      <c r="H4517" s="1">
        <v>46013.070138888892</v>
      </c>
      <c r="I4517" s="5">
        <f>INT(TB[[#This Row],[时间戳]])</f>
        <v>46013</v>
      </c>
      <c r="J4517" s="2">
        <f>HOUR(TB[[#This Row],[时间戳]])</f>
        <v>1</v>
      </c>
      <c r="K4517">
        <v>50</v>
      </c>
      <c r="L4517">
        <v>5</v>
      </c>
      <c r="M4517">
        <f>TB[[#This Row],[售价]]*TB[[#This Row],[销量]]</f>
        <v>250</v>
      </c>
      <c r="N4517" t="str">
        <f>IF(TB[[#This Row],[售价]]&lt;1000,"低价商品",IF(TB[[#This Row],[售价]]&lt;5000,"中价商品",IF(TB[[#This Row],[售价]]&lt;10000,"高价商品","超高价商品")))</f>
        <v>低价商品</v>
      </c>
    </row>
    <row r="4518" spans="1:14" x14ac:dyDescent="0.2">
      <c r="A4518">
        <v>744</v>
      </c>
      <c r="B4518">
        <v>96</v>
      </c>
      <c r="C4518" t="s">
        <v>36</v>
      </c>
      <c r="D4518" t="s">
        <v>406</v>
      </c>
      <c r="E4518" t="s">
        <v>16</v>
      </c>
      <c r="F4518">
        <v>6</v>
      </c>
      <c r="G4518" t="s">
        <v>13</v>
      </c>
      <c r="H4518" s="1">
        <v>46013.084027777775</v>
      </c>
      <c r="I4518" s="5">
        <f>INT(TB[[#This Row],[时间戳]])</f>
        <v>46013</v>
      </c>
      <c r="J4518" s="2">
        <f>HOUR(TB[[#This Row],[时间戳]])</f>
        <v>2</v>
      </c>
      <c r="K4518">
        <v>5348</v>
      </c>
      <c r="L4518">
        <v>5</v>
      </c>
      <c r="M4518">
        <f>TB[[#This Row],[售价]]*TB[[#This Row],[销量]]</f>
        <v>26740</v>
      </c>
      <c r="N4518" t="str">
        <f>IF(TB[[#This Row],[售价]]&lt;1000,"低价商品",IF(TB[[#This Row],[售价]]&lt;5000,"中价商品",IF(TB[[#This Row],[售价]]&lt;10000,"高价商品","超高价商品")))</f>
        <v>高价商品</v>
      </c>
    </row>
    <row r="4519" spans="1:14" x14ac:dyDescent="0.2">
      <c r="A4519">
        <v>412</v>
      </c>
      <c r="B4519">
        <v>27</v>
      </c>
      <c r="C4519" t="s">
        <v>14</v>
      </c>
      <c r="D4519" t="s">
        <v>297</v>
      </c>
      <c r="E4519" t="s">
        <v>25</v>
      </c>
      <c r="F4519">
        <v>7</v>
      </c>
      <c r="G4519" t="s">
        <v>42</v>
      </c>
      <c r="H4519" s="1">
        <v>46013.125694444447</v>
      </c>
      <c r="I4519" s="5">
        <f>INT(TB[[#This Row],[时间戳]])</f>
        <v>46013</v>
      </c>
      <c r="J4519" s="2">
        <f>HOUR(TB[[#This Row],[时间戳]])</f>
        <v>3</v>
      </c>
      <c r="K4519">
        <v>3339</v>
      </c>
      <c r="L4519">
        <v>0</v>
      </c>
      <c r="M4519">
        <f>TB[[#This Row],[售价]]*TB[[#This Row],[销量]]</f>
        <v>0</v>
      </c>
      <c r="N4519" t="str">
        <f>IF(TB[[#This Row],[售价]]&lt;1000,"低价商品",IF(TB[[#This Row],[售价]]&lt;5000,"中价商品",IF(TB[[#This Row],[售价]]&lt;10000,"高价商品","超高价商品")))</f>
        <v>中价商品</v>
      </c>
    </row>
    <row r="4520" spans="1:14" x14ac:dyDescent="0.2">
      <c r="A4520">
        <v>5</v>
      </c>
      <c r="B4520">
        <v>123</v>
      </c>
      <c r="C4520" t="s">
        <v>20</v>
      </c>
      <c r="D4520" t="s">
        <v>23</v>
      </c>
      <c r="E4520" t="s">
        <v>12</v>
      </c>
      <c r="F4520">
        <v>2</v>
      </c>
      <c r="G4520" t="s">
        <v>13</v>
      </c>
      <c r="H4520" s="1">
        <v>46013.129861111112</v>
      </c>
      <c r="I4520" s="5">
        <f>INT(TB[[#This Row],[时间戳]])</f>
        <v>46013</v>
      </c>
      <c r="J4520" s="2">
        <f>HOUR(TB[[#This Row],[时间戳]])</f>
        <v>3</v>
      </c>
      <c r="K4520">
        <v>9206</v>
      </c>
      <c r="L4520">
        <v>2</v>
      </c>
      <c r="M4520">
        <f>TB[[#This Row],[售价]]*TB[[#This Row],[销量]]</f>
        <v>18412</v>
      </c>
      <c r="N4520" t="str">
        <f>IF(TB[[#This Row],[售价]]&lt;1000,"低价商品",IF(TB[[#This Row],[售价]]&lt;5000,"中价商品",IF(TB[[#This Row],[售价]]&lt;10000,"高价商品","超高价商品")))</f>
        <v>高价商品</v>
      </c>
    </row>
    <row r="4521" spans="1:14" x14ac:dyDescent="0.2">
      <c r="A4521">
        <v>748</v>
      </c>
      <c r="B4521">
        <v>259</v>
      </c>
      <c r="C4521" t="s">
        <v>14</v>
      </c>
      <c r="D4521" t="s">
        <v>223</v>
      </c>
      <c r="E4521" t="s">
        <v>22</v>
      </c>
      <c r="F4521">
        <v>1</v>
      </c>
      <c r="G4521" t="s">
        <v>42</v>
      </c>
      <c r="H4521" s="1">
        <v>46013.129861111112</v>
      </c>
      <c r="I4521" s="5">
        <f>INT(TB[[#This Row],[时间戳]])</f>
        <v>46013</v>
      </c>
      <c r="J4521" s="2">
        <f>HOUR(TB[[#This Row],[时间戳]])</f>
        <v>3</v>
      </c>
      <c r="K4521">
        <v>4940</v>
      </c>
      <c r="L4521">
        <v>0</v>
      </c>
      <c r="M4521">
        <f>TB[[#This Row],[售价]]*TB[[#This Row],[销量]]</f>
        <v>0</v>
      </c>
      <c r="N4521" t="str">
        <f>IF(TB[[#This Row],[售价]]&lt;1000,"低价商品",IF(TB[[#This Row],[售价]]&lt;5000,"中价商品",IF(TB[[#This Row],[售价]]&lt;10000,"高价商品","超高价商品")))</f>
        <v>中价商品</v>
      </c>
    </row>
    <row r="4522" spans="1:14" x14ac:dyDescent="0.2">
      <c r="A4522">
        <v>168</v>
      </c>
      <c r="B4522">
        <v>32</v>
      </c>
      <c r="C4522" t="s">
        <v>10</v>
      </c>
      <c r="D4522" t="s">
        <v>298</v>
      </c>
      <c r="E4522" t="s">
        <v>12</v>
      </c>
      <c r="F4522">
        <v>2</v>
      </c>
      <c r="G4522" t="s">
        <v>13</v>
      </c>
      <c r="H4522" s="1">
        <v>46013.166666666664</v>
      </c>
      <c r="I4522" s="5">
        <f>INT(TB[[#This Row],[时间戳]])</f>
        <v>46013</v>
      </c>
      <c r="J4522" s="2">
        <f>HOUR(TB[[#This Row],[时间戳]])</f>
        <v>4</v>
      </c>
      <c r="K4522">
        <v>10135</v>
      </c>
      <c r="L4522">
        <v>5</v>
      </c>
      <c r="M4522">
        <f>TB[[#This Row],[售价]]*TB[[#This Row],[销量]]</f>
        <v>50675</v>
      </c>
      <c r="N4522" t="str">
        <f>IF(TB[[#This Row],[售价]]&lt;1000,"低价商品",IF(TB[[#This Row],[售价]]&lt;5000,"中价商品",IF(TB[[#This Row],[售价]]&lt;10000,"高价商品","超高价商品")))</f>
        <v>超高价商品</v>
      </c>
    </row>
    <row r="4523" spans="1:14" x14ac:dyDescent="0.2">
      <c r="A4523">
        <v>564</v>
      </c>
      <c r="B4523">
        <v>26</v>
      </c>
      <c r="C4523" t="s">
        <v>46</v>
      </c>
      <c r="D4523" t="s">
        <v>127</v>
      </c>
      <c r="E4523" t="s">
        <v>12</v>
      </c>
      <c r="F4523">
        <v>2</v>
      </c>
      <c r="G4523" t="s">
        <v>13</v>
      </c>
      <c r="H4523" s="1">
        <v>46013.182638888888</v>
      </c>
      <c r="I4523" s="5">
        <f>INT(TB[[#This Row],[时间戳]])</f>
        <v>46013</v>
      </c>
      <c r="J4523" s="2">
        <f>HOUR(TB[[#This Row],[时间戳]])</f>
        <v>4</v>
      </c>
      <c r="K4523">
        <v>7156</v>
      </c>
      <c r="L4523">
        <v>5</v>
      </c>
      <c r="M4523">
        <f>TB[[#This Row],[售价]]*TB[[#This Row],[销量]]</f>
        <v>35780</v>
      </c>
      <c r="N4523" t="str">
        <f>IF(TB[[#This Row],[售价]]&lt;1000,"低价商品",IF(TB[[#This Row],[售价]]&lt;5000,"中价商品",IF(TB[[#This Row],[售价]]&lt;10000,"高价商品","超高价商品")))</f>
        <v>高价商品</v>
      </c>
    </row>
    <row r="4524" spans="1:14" x14ac:dyDescent="0.2">
      <c r="A4524">
        <v>14</v>
      </c>
      <c r="B4524">
        <v>108</v>
      </c>
      <c r="C4524" t="s">
        <v>36</v>
      </c>
      <c r="D4524" t="s">
        <v>173</v>
      </c>
      <c r="E4524" t="s">
        <v>19</v>
      </c>
      <c r="F4524">
        <v>3</v>
      </c>
      <c r="G4524" t="s">
        <v>42</v>
      </c>
      <c r="H4524" s="1">
        <v>46013.222916666666</v>
      </c>
      <c r="I4524" s="5">
        <f>INT(TB[[#This Row],[时间戳]])</f>
        <v>46013</v>
      </c>
      <c r="J4524" s="2">
        <f>HOUR(TB[[#This Row],[时间戳]])</f>
        <v>5</v>
      </c>
      <c r="K4524">
        <v>2001</v>
      </c>
      <c r="L4524">
        <v>0</v>
      </c>
      <c r="M4524">
        <f>TB[[#This Row],[售价]]*TB[[#This Row],[销量]]</f>
        <v>0</v>
      </c>
      <c r="N4524" t="str">
        <f>IF(TB[[#This Row],[售价]]&lt;1000,"低价商品",IF(TB[[#This Row],[售价]]&lt;5000,"中价商品",IF(TB[[#This Row],[售价]]&lt;10000,"高价商品","超高价商品")))</f>
        <v>中价商品</v>
      </c>
    </row>
    <row r="4525" spans="1:14" x14ac:dyDescent="0.2">
      <c r="A4525">
        <v>110</v>
      </c>
      <c r="B4525">
        <v>255</v>
      </c>
      <c r="C4525" t="s">
        <v>14</v>
      </c>
      <c r="D4525" t="s">
        <v>190</v>
      </c>
      <c r="E4525" t="s">
        <v>12</v>
      </c>
      <c r="F4525">
        <v>2</v>
      </c>
      <c r="G4525" t="s">
        <v>13</v>
      </c>
      <c r="H4525" s="1">
        <v>46013.239583333336</v>
      </c>
      <c r="I4525" s="5">
        <f>INT(TB[[#This Row],[时间戳]])</f>
        <v>46013</v>
      </c>
      <c r="J4525" s="2">
        <f>HOUR(TB[[#This Row],[时间戳]])</f>
        <v>5</v>
      </c>
      <c r="K4525">
        <v>8922</v>
      </c>
      <c r="L4525">
        <v>2</v>
      </c>
      <c r="M4525">
        <f>TB[[#This Row],[售价]]*TB[[#This Row],[销量]]</f>
        <v>17844</v>
      </c>
      <c r="N4525" t="str">
        <f>IF(TB[[#This Row],[售价]]&lt;1000,"低价商品",IF(TB[[#This Row],[售价]]&lt;5000,"中价商品",IF(TB[[#This Row],[售价]]&lt;10000,"高价商品","超高价商品")))</f>
        <v>高价商品</v>
      </c>
    </row>
    <row r="4526" spans="1:14" x14ac:dyDescent="0.2">
      <c r="A4526">
        <v>781</v>
      </c>
      <c r="B4526">
        <v>285</v>
      </c>
      <c r="C4526" t="s">
        <v>46</v>
      </c>
      <c r="D4526" t="s">
        <v>246</v>
      </c>
      <c r="E4526" t="s">
        <v>39</v>
      </c>
      <c r="F4526">
        <v>5</v>
      </c>
      <c r="G4526" t="s">
        <v>13</v>
      </c>
      <c r="H4526" s="1">
        <v>46013.270138888889</v>
      </c>
      <c r="I4526" s="5">
        <f>INT(TB[[#This Row],[时间戳]])</f>
        <v>46013</v>
      </c>
      <c r="J4526" s="2">
        <f>HOUR(TB[[#This Row],[时间戳]])</f>
        <v>6</v>
      </c>
      <c r="K4526">
        <v>3711</v>
      </c>
      <c r="L4526">
        <v>2</v>
      </c>
      <c r="M4526">
        <f>TB[[#This Row],[售价]]*TB[[#This Row],[销量]]</f>
        <v>7422</v>
      </c>
      <c r="N4526" t="str">
        <f>IF(TB[[#This Row],[售价]]&lt;1000,"低价商品",IF(TB[[#This Row],[售价]]&lt;5000,"中价商品",IF(TB[[#This Row],[售价]]&lt;10000,"高价商品","超高价商品")))</f>
        <v>中价商品</v>
      </c>
    </row>
    <row r="4527" spans="1:14" x14ac:dyDescent="0.2">
      <c r="A4527">
        <v>776</v>
      </c>
      <c r="B4527">
        <v>199</v>
      </c>
      <c r="C4527" t="s">
        <v>14</v>
      </c>
      <c r="D4527" t="s">
        <v>385</v>
      </c>
      <c r="E4527" t="s">
        <v>12</v>
      </c>
      <c r="F4527">
        <v>2</v>
      </c>
      <c r="G4527" t="s">
        <v>13</v>
      </c>
      <c r="H4527" s="1">
        <v>46013.280555555553</v>
      </c>
      <c r="I4527" s="5">
        <f>INT(TB[[#This Row],[时间戳]])</f>
        <v>46013</v>
      </c>
      <c r="J4527" s="2">
        <f>HOUR(TB[[#This Row],[时间戳]])</f>
        <v>6</v>
      </c>
      <c r="K4527">
        <v>10621</v>
      </c>
      <c r="L4527">
        <v>5</v>
      </c>
      <c r="M4527">
        <f>TB[[#This Row],[售价]]*TB[[#This Row],[销量]]</f>
        <v>53105</v>
      </c>
      <c r="N4527" t="str">
        <f>IF(TB[[#This Row],[售价]]&lt;1000,"低价商品",IF(TB[[#This Row],[售价]]&lt;5000,"中价商品",IF(TB[[#This Row],[售价]]&lt;10000,"高价商品","超高价商品")))</f>
        <v>超高价商品</v>
      </c>
    </row>
    <row r="4528" spans="1:14" x14ac:dyDescent="0.2">
      <c r="A4528">
        <v>770</v>
      </c>
      <c r="B4528">
        <v>27</v>
      </c>
      <c r="C4528" t="s">
        <v>34</v>
      </c>
      <c r="D4528" t="s">
        <v>125</v>
      </c>
      <c r="E4528" t="s">
        <v>31</v>
      </c>
      <c r="F4528">
        <v>4</v>
      </c>
      <c r="G4528" t="s">
        <v>13</v>
      </c>
      <c r="H4528" s="1">
        <v>46013.306250000001</v>
      </c>
      <c r="I4528" s="5">
        <f>INT(TB[[#This Row],[时间戳]])</f>
        <v>46013</v>
      </c>
      <c r="J4528" s="2">
        <f>HOUR(TB[[#This Row],[时间戳]])</f>
        <v>7</v>
      </c>
      <c r="K4528">
        <v>557</v>
      </c>
      <c r="L4528">
        <v>5</v>
      </c>
      <c r="M4528">
        <f>TB[[#This Row],[售价]]*TB[[#This Row],[销量]]</f>
        <v>2785</v>
      </c>
      <c r="N4528" t="str">
        <f>IF(TB[[#This Row],[售价]]&lt;1000,"低价商品",IF(TB[[#This Row],[售价]]&lt;5000,"中价商品",IF(TB[[#This Row],[售价]]&lt;10000,"高价商品","超高价商品")))</f>
        <v>低价商品</v>
      </c>
    </row>
    <row r="4529" spans="1:14" x14ac:dyDescent="0.2">
      <c r="A4529">
        <v>664</v>
      </c>
      <c r="B4529">
        <v>146</v>
      </c>
      <c r="C4529" t="s">
        <v>14</v>
      </c>
      <c r="D4529" t="s">
        <v>52</v>
      </c>
      <c r="E4529" t="s">
        <v>31</v>
      </c>
      <c r="F4529">
        <v>4</v>
      </c>
      <c r="G4529" t="s">
        <v>42</v>
      </c>
      <c r="H4529" s="1">
        <v>46013.351388888892</v>
      </c>
      <c r="I4529" s="5">
        <f>INT(TB[[#This Row],[时间戳]])</f>
        <v>46013</v>
      </c>
      <c r="J4529" s="2">
        <f>HOUR(TB[[#This Row],[时间戳]])</f>
        <v>8</v>
      </c>
      <c r="K4529">
        <v>1021</v>
      </c>
      <c r="L4529">
        <v>0</v>
      </c>
      <c r="M4529">
        <f>TB[[#This Row],[售价]]*TB[[#This Row],[销量]]</f>
        <v>0</v>
      </c>
      <c r="N4529" t="str">
        <f>IF(TB[[#This Row],[售价]]&lt;1000,"低价商品",IF(TB[[#This Row],[售价]]&lt;5000,"中价商品",IF(TB[[#This Row],[售价]]&lt;10000,"高价商品","超高价商品")))</f>
        <v>中价商品</v>
      </c>
    </row>
    <row r="4530" spans="1:14" x14ac:dyDescent="0.2">
      <c r="A4530">
        <v>374</v>
      </c>
      <c r="B4530">
        <v>5</v>
      </c>
      <c r="C4530" t="s">
        <v>20</v>
      </c>
      <c r="D4530" t="s">
        <v>85</v>
      </c>
      <c r="E4530" t="s">
        <v>31</v>
      </c>
      <c r="F4530">
        <v>4</v>
      </c>
      <c r="G4530" t="s">
        <v>13</v>
      </c>
      <c r="H4530" s="1">
        <v>46013.366666666669</v>
      </c>
      <c r="I4530" s="5">
        <f>INT(TB[[#This Row],[时间戳]])</f>
        <v>46013</v>
      </c>
      <c r="J4530" s="2">
        <f>HOUR(TB[[#This Row],[时间戳]])</f>
        <v>8</v>
      </c>
      <c r="K4530">
        <v>1390</v>
      </c>
      <c r="L4530">
        <v>5</v>
      </c>
      <c r="M4530">
        <f>TB[[#This Row],[售价]]*TB[[#This Row],[销量]]</f>
        <v>6950</v>
      </c>
      <c r="N4530" t="str">
        <f>IF(TB[[#This Row],[售价]]&lt;1000,"低价商品",IF(TB[[#This Row],[售价]]&lt;5000,"中价商品",IF(TB[[#This Row],[售价]]&lt;10000,"高价商品","超高价商品")))</f>
        <v>中价商品</v>
      </c>
    </row>
    <row r="4531" spans="1:14" x14ac:dyDescent="0.2">
      <c r="A4531">
        <v>449</v>
      </c>
      <c r="B4531">
        <v>175</v>
      </c>
      <c r="C4531" t="s">
        <v>14</v>
      </c>
      <c r="D4531" t="s">
        <v>384</v>
      </c>
      <c r="E4531" t="s">
        <v>39</v>
      </c>
      <c r="F4531">
        <v>5</v>
      </c>
      <c r="G4531" t="s">
        <v>42</v>
      </c>
      <c r="H4531" s="1">
        <v>46013.370138888888</v>
      </c>
      <c r="I4531" s="5">
        <f>INT(TB[[#This Row],[时间戳]])</f>
        <v>46013</v>
      </c>
      <c r="J4531" s="2">
        <f>HOUR(TB[[#This Row],[时间戳]])</f>
        <v>8</v>
      </c>
      <c r="K4531">
        <v>3236</v>
      </c>
      <c r="L4531">
        <v>0</v>
      </c>
      <c r="M4531">
        <f>TB[[#This Row],[售价]]*TB[[#This Row],[销量]]</f>
        <v>0</v>
      </c>
      <c r="N4531" t="str">
        <f>IF(TB[[#This Row],[售价]]&lt;1000,"低价商品",IF(TB[[#This Row],[售价]]&lt;5000,"中价商品",IF(TB[[#This Row],[售价]]&lt;10000,"高价商品","超高价商品")))</f>
        <v>中价商品</v>
      </c>
    </row>
    <row r="4532" spans="1:14" x14ac:dyDescent="0.2">
      <c r="A4532">
        <v>724</v>
      </c>
      <c r="B4532">
        <v>62</v>
      </c>
      <c r="C4532" t="s">
        <v>20</v>
      </c>
      <c r="D4532" t="s">
        <v>120</v>
      </c>
      <c r="E4532" t="s">
        <v>22</v>
      </c>
      <c r="F4532">
        <v>1</v>
      </c>
      <c r="G4532" t="s">
        <v>42</v>
      </c>
      <c r="H4532" s="1">
        <v>46013.376388888886</v>
      </c>
      <c r="I4532" s="5">
        <f>INT(TB[[#This Row],[时间戳]])</f>
        <v>46013</v>
      </c>
      <c r="J4532" s="2">
        <f>HOUR(TB[[#This Row],[时间戳]])</f>
        <v>9</v>
      </c>
      <c r="K4532">
        <v>2802</v>
      </c>
      <c r="L4532">
        <v>0</v>
      </c>
      <c r="M4532">
        <f>TB[[#This Row],[售价]]*TB[[#This Row],[销量]]</f>
        <v>0</v>
      </c>
      <c r="N4532" t="str">
        <f>IF(TB[[#This Row],[售价]]&lt;1000,"低价商品",IF(TB[[#This Row],[售价]]&lt;5000,"中价商品",IF(TB[[#This Row],[售价]]&lt;10000,"高价商品","超高价商品")))</f>
        <v>中价商品</v>
      </c>
    </row>
    <row r="4533" spans="1:14" x14ac:dyDescent="0.2">
      <c r="A4533">
        <v>542</v>
      </c>
      <c r="B4533">
        <v>228</v>
      </c>
      <c r="C4533" t="s">
        <v>26</v>
      </c>
      <c r="D4533" t="s">
        <v>56</v>
      </c>
      <c r="E4533" t="s">
        <v>22</v>
      </c>
      <c r="F4533">
        <v>1</v>
      </c>
      <c r="G4533" t="s">
        <v>13</v>
      </c>
      <c r="H4533" s="1">
        <v>46013.380555555559</v>
      </c>
      <c r="I4533" s="5">
        <f>INT(TB[[#This Row],[时间戳]])</f>
        <v>46013</v>
      </c>
      <c r="J4533" s="2">
        <f>HOUR(TB[[#This Row],[时间戳]])</f>
        <v>9</v>
      </c>
      <c r="K4533">
        <v>1226</v>
      </c>
      <c r="L4533">
        <v>5</v>
      </c>
      <c r="M4533">
        <f>TB[[#This Row],[售价]]*TB[[#This Row],[销量]]</f>
        <v>6130</v>
      </c>
      <c r="N4533" t="str">
        <f>IF(TB[[#This Row],[售价]]&lt;1000,"低价商品",IF(TB[[#This Row],[售价]]&lt;5000,"中价商品",IF(TB[[#This Row],[售价]]&lt;10000,"高价商品","超高价商品")))</f>
        <v>中价商品</v>
      </c>
    </row>
    <row r="4534" spans="1:14" x14ac:dyDescent="0.2">
      <c r="A4534">
        <v>141</v>
      </c>
      <c r="B4534">
        <v>240</v>
      </c>
      <c r="C4534" t="s">
        <v>10</v>
      </c>
      <c r="D4534" t="s">
        <v>351</v>
      </c>
      <c r="E4534" t="s">
        <v>31</v>
      </c>
      <c r="F4534">
        <v>4</v>
      </c>
      <c r="G4534" t="s">
        <v>13</v>
      </c>
      <c r="H4534" s="1">
        <v>46013.385416666664</v>
      </c>
      <c r="I4534" s="5">
        <f>INT(TB[[#This Row],[时间戳]])</f>
        <v>46013</v>
      </c>
      <c r="J4534" s="2">
        <f>HOUR(TB[[#This Row],[时间戳]])</f>
        <v>9</v>
      </c>
      <c r="K4534">
        <v>1301</v>
      </c>
      <c r="L4534">
        <v>5</v>
      </c>
      <c r="M4534">
        <f>TB[[#This Row],[售价]]*TB[[#This Row],[销量]]</f>
        <v>6505</v>
      </c>
      <c r="N4534" t="str">
        <f>IF(TB[[#This Row],[售价]]&lt;1000,"低价商品",IF(TB[[#This Row],[售价]]&lt;5000,"中价商品",IF(TB[[#This Row],[售价]]&lt;10000,"高价商品","超高价商品")))</f>
        <v>中价商品</v>
      </c>
    </row>
    <row r="4535" spans="1:14" x14ac:dyDescent="0.2">
      <c r="A4535">
        <v>480</v>
      </c>
      <c r="B4535">
        <v>58</v>
      </c>
      <c r="C4535" t="s">
        <v>10</v>
      </c>
      <c r="D4535" t="s">
        <v>197</v>
      </c>
      <c r="E4535" t="s">
        <v>39</v>
      </c>
      <c r="F4535">
        <v>5</v>
      </c>
      <c r="G4535" t="s">
        <v>13</v>
      </c>
      <c r="H4535" s="1">
        <v>46013.392361111109</v>
      </c>
      <c r="I4535" s="5">
        <f>INT(TB[[#This Row],[时间戳]])</f>
        <v>46013</v>
      </c>
      <c r="J4535" s="2">
        <f>HOUR(TB[[#This Row],[时间戳]])</f>
        <v>9</v>
      </c>
      <c r="K4535">
        <v>3441</v>
      </c>
      <c r="L4535">
        <v>5</v>
      </c>
      <c r="M4535">
        <f>TB[[#This Row],[售价]]*TB[[#This Row],[销量]]</f>
        <v>17205</v>
      </c>
      <c r="N4535" t="str">
        <f>IF(TB[[#This Row],[售价]]&lt;1000,"低价商品",IF(TB[[#This Row],[售价]]&lt;5000,"中价商品",IF(TB[[#This Row],[售价]]&lt;10000,"高价商品","超高价商品")))</f>
        <v>中价商品</v>
      </c>
    </row>
    <row r="4536" spans="1:14" x14ac:dyDescent="0.2">
      <c r="A4536">
        <v>566</v>
      </c>
      <c r="B4536">
        <v>263</v>
      </c>
      <c r="C4536" t="s">
        <v>17</v>
      </c>
      <c r="D4536" t="s">
        <v>370</v>
      </c>
      <c r="E4536" t="s">
        <v>31</v>
      </c>
      <c r="F4536">
        <v>4</v>
      </c>
      <c r="G4536" t="s">
        <v>13</v>
      </c>
      <c r="H4536" s="1">
        <v>46013.406944444447</v>
      </c>
      <c r="I4536" s="5">
        <f>INT(TB[[#This Row],[时间戳]])</f>
        <v>46013</v>
      </c>
      <c r="J4536" s="2">
        <f>HOUR(TB[[#This Row],[时间戳]])</f>
        <v>9</v>
      </c>
      <c r="K4536">
        <v>754</v>
      </c>
      <c r="L4536">
        <v>5</v>
      </c>
      <c r="M4536">
        <f>TB[[#This Row],[售价]]*TB[[#This Row],[销量]]</f>
        <v>3770</v>
      </c>
      <c r="N4536" t="str">
        <f>IF(TB[[#This Row],[售价]]&lt;1000,"低价商品",IF(TB[[#This Row],[售价]]&lt;5000,"中价商品",IF(TB[[#This Row],[售价]]&lt;10000,"高价商品","超高价商品")))</f>
        <v>低价商品</v>
      </c>
    </row>
    <row r="4537" spans="1:14" x14ac:dyDescent="0.2">
      <c r="A4537">
        <v>159</v>
      </c>
      <c r="B4537">
        <v>67</v>
      </c>
      <c r="C4537" t="s">
        <v>46</v>
      </c>
      <c r="D4537" t="s">
        <v>371</v>
      </c>
      <c r="E4537" t="s">
        <v>16</v>
      </c>
      <c r="F4537">
        <v>6</v>
      </c>
      <c r="G4537" t="s">
        <v>13</v>
      </c>
      <c r="H4537" s="1">
        <v>46013.423611111109</v>
      </c>
      <c r="I4537" s="5">
        <f>INT(TB[[#This Row],[时间戳]])</f>
        <v>46013</v>
      </c>
      <c r="J4537" s="2">
        <f>HOUR(TB[[#This Row],[时间戳]])</f>
        <v>10</v>
      </c>
      <c r="K4537">
        <v>4017</v>
      </c>
      <c r="L4537">
        <v>5</v>
      </c>
      <c r="M4537">
        <f>TB[[#This Row],[售价]]*TB[[#This Row],[销量]]</f>
        <v>20085</v>
      </c>
      <c r="N4537" t="str">
        <f>IF(TB[[#This Row],[售价]]&lt;1000,"低价商品",IF(TB[[#This Row],[售价]]&lt;5000,"中价商品",IF(TB[[#This Row],[售价]]&lt;10000,"高价商品","超高价商品")))</f>
        <v>中价商品</v>
      </c>
    </row>
    <row r="4538" spans="1:14" x14ac:dyDescent="0.2">
      <c r="A4538">
        <v>649</v>
      </c>
      <c r="B4538">
        <v>197</v>
      </c>
      <c r="C4538" t="s">
        <v>46</v>
      </c>
      <c r="D4538" t="s">
        <v>141</v>
      </c>
      <c r="E4538" t="s">
        <v>22</v>
      </c>
      <c r="F4538">
        <v>1</v>
      </c>
      <c r="G4538" t="s">
        <v>13</v>
      </c>
      <c r="H4538" s="1">
        <v>46013.434027777781</v>
      </c>
      <c r="I4538" s="5">
        <f>INT(TB[[#This Row],[时间戳]])</f>
        <v>46013</v>
      </c>
      <c r="J4538" s="2">
        <f>HOUR(TB[[#This Row],[时间戳]])</f>
        <v>10</v>
      </c>
      <c r="K4538">
        <v>2807</v>
      </c>
      <c r="L4538">
        <v>5</v>
      </c>
      <c r="M4538">
        <f>TB[[#This Row],[售价]]*TB[[#This Row],[销量]]</f>
        <v>14035</v>
      </c>
      <c r="N4538" t="str">
        <f>IF(TB[[#This Row],[售价]]&lt;1000,"低价商品",IF(TB[[#This Row],[售价]]&lt;5000,"中价商品",IF(TB[[#This Row],[售价]]&lt;10000,"高价商品","超高价商品")))</f>
        <v>中价商品</v>
      </c>
    </row>
    <row r="4539" spans="1:14" x14ac:dyDescent="0.2">
      <c r="A4539">
        <v>549</v>
      </c>
      <c r="B4539">
        <v>102</v>
      </c>
      <c r="C4539" t="s">
        <v>44</v>
      </c>
      <c r="D4539" t="s">
        <v>397</v>
      </c>
      <c r="E4539" t="s">
        <v>25</v>
      </c>
      <c r="F4539">
        <v>7</v>
      </c>
      <c r="G4539" t="s">
        <v>13</v>
      </c>
      <c r="H4539" s="1">
        <v>46013.451388888891</v>
      </c>
      <c r="I4539" s="5">
        <f>INT(TB[[#This Row],[时间戳]])</f>
        <v>46013</v>
      </c>
      <c r="J4539" s="2">
        <f>HOUR(TB[[#This Row],[时间戳]])</f>
        <v>10</v>
      </c>
      <c r="K4539">
        <v>3604</v>
      </c>
      <c r="L4539">
        <v>5</v>
      </c>
      <c r="M4539">
        <f>TB[[#This Row],[售价]]*TB[[#This Row],[销量]]</f>
        <v>18020</v>
      </c>
      <c r="N4539" t="str">
        <f>IF(TB[[#This Row],[售价]]&lt;1000,"低价商品",IF(TB[[#This Row],[售价]]&lt;5000,"中价商品",IF(TB[[#This Row],[售价]]&lt;10000,"高价商品","超高价商品")))</f>
        <v>中价商品</v>
      </c>
    </row>
    <row r="4540" spans="1:14" x14ac:dyDescent="0.2">
      <c r="A4540">
        <v>459</v>
      </c>
      <c r="B4540">
        <v>215</v>
      </c>
      <c r="C4540" t="s">
        <v>32</v>
      </c>
      <c r="D4540" t="s">
        <v>138</v>
      </c>
      <c r="E4540" t="s">
        <v>12</v>
      </c>
      <c r="F4540">
        <v>2</v>
      </c>
      <c r="G4540" t="s">
        <v>13</v>
      </c>
      <c r="H4540" s="1">
        <v>46013.452777777777</v>
      </c>
      <c r="I4540" s="5">
        <f>INT(TB[[#This Row],[时间戳]])</f>
        <v>46013</v>
      </c>
      <c r="J4540" s="2">
        <f>HOUR(TB[[#This Row],[时间戳]])</f>
        <v>10</v>
      </c>
      <c r="K4540">
        <v>11921</v>
      </c>
      <c r="L4540">
        <v>5</v>
      </c>
      <c r="M4540">
        <f>TB[[#This Row],[售价]]*TB[[#This Row],[销量]]</f>
        <v>59605</v>
      </c>
      <c r="N4540" t="str">
        <f>IF(TB[[#This Row],[售价]]&lt;1000,"低价商品",IF(TB[[#This Row],[售价]]&lt;5000,"中价商品",IF(TB[[#This Row],[售价]]&lt;10000,"高价商品","超高价商品")))</f>
        <v>超高价商品</v>
      </c>
    </row>
    <row r="4541" spans="1:14" x14ac:dyDescent="0.2">
      <c r="A4541">
        <v>294</v>
      </c>
      <c r="B4541">
        <v>281</v>
      </c>
      <c r="C4541" t="s">
        <v>10</v>
      </c>
      <c r="D4541" t="s">
        <v>116</v>
      </c>
      <c r="E4541" t="s">
        <v>31</v>
      </c>
      <c r="F4541">
        <v>4</v>
      </c>
      <c r="G4541" t="s">
        <v>13</v>
      </c>
      <c r="H4541" s="1">
        <v>46013.454861111109</v>
      </c>
      <c r="I4541" s="5">
        <f>INT(TB[[#This Row],[时间戳]])</f>
        <v>46013</v>
      </c>
      <c r="J4541" s="2">
        <f>HOUR(TB[[#This Row],[时间戳]])</f>
        <v>10</v>
      </c>
      <c r="K4541">
        <v>1050</v>
      </c>
      <c r="L4541">
        <v>2</v>
      </c>
      <c r="M4541">
        <f>TB[[#This Row],[售价]]*TB[[#This Row],[销量]]</f>
        <v>2100</v>
      </c>
      <c r="N4541" t="str">
        <f>IF(TB[[#This Row],[售价]]&lt;1000,"低价商品",IF(TB[[#This Row],[售价]]&lt;5000,"中价商品",IF(TB[[#This Row],[售价]]&lt;10000,"高价商品","超高价商品")))</f>
        <v>中价商品</v>
      </c>
    </row>
    <row r="4542" spans="1:14" x14ac:dyDescent="0.2">
      <c r="A4542">
        <v>361</v>
      </c>
      <c r="B4542">
        <v>239</v>
      </c>
      <c r="C4542" t="s">
        <v>20</v>
      </c>
      <c r="D4542" t="s">
        <v>263</v>
      </c>
      <c r="E4542" t="s">
        <v>39</v>
      </c>
      <c r="F4542">
        <v>5</v>
      </c>
      <c r="G4542" t="s">
        <v>13</v>
      </c>
      <c r="H4542" s="1">
        <v>46013.458333333336</v>
      </c>
      <c r="I4542" s="5">
        <f>INT(TB[[#This Row],[时间戳]])</f>
        <v>46013</v>
      </c>
      <c r="J4542" s="2">
        <f>HOUR(TB[[#This Row],[时间戳]])</f>
        <v>11</v>
      </c>
      <c r="K4542">
        <v>1005</v>
      </c>
      <c r="L4542">
        <v>5</v>
      </c>
      <c r="M4542">
        <f>TB[[#This Row],[售价]]*TB[[#This Row],[销量]]</f>
        <v>5025</v>
      </c>
      <c r="N4542" t="str">
        <f>IF(TB[[#This Row],[售价]]&lt;1000,"低价商品",IF(TB[[#This Row],[售价]]&lt;5000,"中价商品",IF(TB[[#This Row],[售价]]&lt;10000,"高价商品","超高价商品")))</f>
        <v>中价商品</v>
      </c>
    </row>
    <row r="4543" spans="1:14" x14ac:dyDescent="0.2">
      <c r="A4543">
        <v>667</v>
      </c>
      <c r="B4543">
        <v>132</v>
      </c>
      <c r="C4543" t="s">
        <v>10</v>
      </c>
      <c r="D4543" t="s">
        <v>330</v>
      </c>
      <c r="E4543" t="s">
        <v>19</v>
      </c>
      <c r="F4543">
        <v>3</v>
      </c>
      <c r="G4543" t="s">
        <v>13</v>
      </c>
      <c r="H4543" s="1">
        <v>46013.47152777778</v>
      </c>
      <c r="I4543" s="5">
        <f>INT(TB[[#This Row],[时间戳]])</f>
        <v>46013</v>
      </c>
      <c r="J4543" s="2">
        <f>HOUR(TB[[#This Row],[时间戳]])</f>
        <v>11</v>
      </c>
      <c r="K4543">
        <v>5416</v>
      </c>
      <c r="L4543">
        <v>5</v>
      </c>
      <c r="M4543">
        <f>TB[[#This Row],[售价]]*TB[[#This Row],[销量]]</f>
        <v>27080</v>
      </c>
      <c r="N4543" t="str">
        <f>IF(TB[[#This Row],[售价]]&lt;1000,"低价商品",IF(TB[[#This Row],[售价]]&lt;5000,"中价商品",IF(TB[[#This Row],[售价]]&lt;10000,"高价商品","超高价商品")))</f>
        <v>高价商品</v>
      </c>
    </row>
    <row r="4544" spans="1:14" x14ac:dyDescent="0.2">
      <c r="A4544">
        <v>219</v>
      </c>
      <c r="B4544">
        <v>203</v>
      </c>
      <c r="C4544" t="s">
        <v>32</v>
      </c>
      <c r="D4544" t="s">
        <v>275</v>
      </c>
      <c r="E4544" t="s">
        <v>22</v>
      </c>
      <c r="F4544">
        <v>1</v>
      </c>
      <c r="G4544" t="s">
        <v>13</v>
      </c>
      <c r="H4544" s="1">
        <v>46013.475694444445</v>
      </c>
      <c r="I4544" s="5">
        <f>INT(TB[[#This Row],[时间戳]])</f>
        <v>46013</v>
      </c>
      <c r="J4544" s="2">
        <f>HOUR(TB[[#This Row],[时间戳]])</f>
        <v>11</v>
      </c>
      <c r="K4544">
        <v>6431</v>
      </c>
      <c r="L4544">
        <v>2</v>
      </c>
      <c r="M4544">
        <f>TB[[#This Row],[售价]]*TB[[#This Row],[销量]]</f>
        <v>12862</v>
      </c>
      <c r="N4544" t="str">
        <f>IF(TB[[#This Row],[售价]]&lt;1000,"低价商品",IF(TB[[#This Row],[售价]]&lt;5000,"中价商品",IF(TB[[#This Row],[售价]]&lt;10000,"高价商品","超高价商品")))</f>
        <v>高价商品</v>
      </c>
    </row>
    <row r="4545" spans="1:14" x14ac:dyDescent="0.2">
      <c r="A4545">
        <v>600</v>
      </c>
      <c r="B4545">
        <v>20</v>
      </c>
      <c r="C4545" t="s">
        <v>14</v>
      </c>
      <c r="D4545" t="s">
        <v>207</v>
      </c>
      <c r="E4545" t="s">
        <v>25</v>
      </c>
      <c r="F4545">
        <v>7</v>
      </c>
      <c r="G4545" t="s">
        <v>13</v>
      </c>
      <c r="H4545" s="1">
        <v>46013.481944444444</v>
      </c>
      <c r="I4545" s="5">
        <f>INT(TB[[#This Row],[时间戳]])</f>
        <v>46013</v>
      </c>
      <c r="J4545" s="2">
        <f>HOUR(TB[[#This Row],[时间戳]])</f>
        <v>11</v>
      </c>
      <c r="K4545">
        <v>2908</v>
      </c>
      <c r="L4545">
        <v>5</v>
      </c>
      <c r="M4545">
        <f>TB[[#This Row],[售价]]*TB[[#This Row],[销量]]</f>
        <v>14540</v>
      </c>
      <c r="N4545" t="str">
        <f>IF(TB[[#This Row],[售价]]&lt;1000,"低价商品",IF(TB[[#This Row],[售价]]&lt;5000,"中价商品",IF(TB[[#This Row],[售价]]&lt;10000,"高价商品","超高价商品")))</f>
        <v>中价商品</v>
      </c>
    </row>
    <row r="4546" spans="1:14" x14ac:dyDescent="0.2">
      <c r="A4546">
        <v>782</v>
      </c>
      <c r="B4546">
        <v>196</v>
      </c>
      <c r="C4546" t="s">
        <v>46</v>
      </c>
      <c r="D4546" t="s">
        <v>121</v>
      </c>
      <c r="E4546" t="s">
        <v>25</v>
      </c>
      <c r="F4546">
        <v>7</v>
      </c>
      <c r="G4546" t="s">
        <v>13</v>
      </c>
      <c r="H4546" s="1">
        <v>46013.491666666669</v>
      </c>
      <c r="I4546" s="5">
        <f>INT(TB[[#This Row],[时间戳]])</f>
        <v>46013</v>
      </c>
      <c r="J4546" s="2">
        <f>HOUR(TB[[#This Row],[时间戳]])</f>
        <v>11</v>
      </c>
      <c r="K4546">
        <v>7962</v>
      </c>
      <c r="L4546">
        <v>5</v>
      </c>
      <c r="M4546">
        <f>TB[[#This Row],[售价]]*TB[[#This Row],[销量]]</f>
        <v>39810</v>
      </c>
      <c r="N4546" t="str">
        <f>IF(TB[[#This Row],[售价]]&lt;1000,"低价商品",IF(TB[[#This Row],[售价]]&lt;5000,"中价商品",IF(TB[[#This Row],[售价]]&lt;10000,"高价商品","超高价商品")))</f>
        <v>高价商品</v>
      </c>
    </row>
    <row r="4547" spans="1:14" x14ac:dyDescent="0.2">
      <c r="A4547">
        <v>408</v>
      </c>
      <c r="B4547">
        <v>242</v>
      </c>
      <c r="C4547" t="s">
        <v>44</v>
      </c>
      <c r="D4547" t="s">
        <v>132</v>
      </c>
      <c r="E4547" t="s">
        <v>22</v>
      </c>
      <c r="F4547">
        <v>1</v>
      </c>
      <c r="G4547" t="s">
        <v>13</v>
      </c>
      <c r="H4547" s="1">
        <v>46013.522222222222</v>
      </c>
      <c r="I4547" s="5">
        <f>INT(TB[[#This Row],[时间戳]])</f>
        <v>46013</v>
      </c>
      <c r="J4547" s="2">
        <f>HOUR(TB[[#This Row],[时间戳]])</f>
        <v>12</v>
      </c>
      <c r="K4547">
        <v>5497</v>
      </c>
      <c r="L4547">
        <v>5</v>
      </c>
      <c r="M4547">
        <f>TB[[#This Row],[售价]]*TB[[#This Row],[销量]]</f>
        <v>27485</v>
      </c>
      <c r="N4547" t="str">
        <f>IF(TB[[#This Row],[售价]]&lt;1000,"低价商品",IF(TB[[#This Row],[售价]]&lt;5000,"中价商品",IF(TB[[#This Row],[售价]]&lt;10000,"高价商品","超高价商品")))</f>
        <v>高价商品</v>
      </c>
    </row>
    <row r="4548" spans="1:14" x14ac:dyDescent="0.2">
      <c r="A4548">
        <v>68</v>
      </c>
      <c r="B4548">
        <v>224</v>
      </c>
      <c r="C4548" t="s">
        <v>44</v>
      </c>
      <c r="D4548" t="s">
        <v>158</v>
      </c>
      <c r="E4548" t="s">
        <v>31</v>
      </c>
      <c r="F4548">
        <v>4</v>
      </c>
      <c r="G4548" t="s">
        <v>13</v>
      </c>
      <c r="H4548" s="1">
        <v>46013.522222222222</v>
      </c>
      <c r="I4548" s="5">
        <f>INT(TB[[#This Row],[时间戳]])</f>
        <v>46013</v>
      </c>
      <c r="J4548" s="2">
        <f>HOUR(TB[[#This Row],[时间戳]])</f>
        <v>12</v>
      </c>
      <c r="K4548">
        <v>89</v>
      </c>
      <c r="L4548">
        <v>5</v>
      </c>
      <c r="M4548">
        <f>TB[[#This Row],[售价]]*TB[[#This Row],[销量]]</f>
        <v>445</v>
      </c>
      <c r="N4548" t="str">
        <f>IF(TB[[#This Row],[售价]]&lt;1000,"低价商品",IF(TB[[#This Row],[售价]]&lt;5000,"中价商品",IF(TB[[#This Row],[售价]]&lt;10000,"高价商品","超高价商品")))</f>
        <v>低价商品</v>
      </c>
    </row>
    <row r="4549" spans="1:14" x14ac:dyDescent="0.2">
      <c r="A4549">
        <v>592</v>
      </c>
      <c r="B4549">
        <v>187</v>
      </c>
      <c r="C4549" t="s">
        <v>14</v>
      </c>
      <c r="D4549" t="s">
        <v>43</v>
      </c>
      <c r="E4549" t="s">
        <v>31</v>
      </c>
      <c r="F4549">
        <v>4</v>
      </c>
      <c r="G4549" t="s">
        <v>13</v>
      </c>
      <c r="H4549" s="1">
        <v>46013.541666666664</v>
      </c>
      <c r="I4549" s="5">
        <f>INT(TB[[#This Row],[时间戳]])</f>
        <v>46013</v>
      </c>
      <c r="J4549" s="2">
        <f>HOUR(TB[[#This Row],[时间戳]])</f>
        <v>13</v>
      </c>
      <c r="K4549">
        <v>1472</v>
      </c>
      <c r="L4549">
        <v>5</v>
      </c>
      <c r="M4549">
        <f>TB[[#This Row],[售价]]*TB[[#This Row],[销量]]</f>
        <v>7360</v>
      </c>
      <c r="N4549" t="str">
        <f>IF(TB[[#This Row],[售价]]&lt;1000,"低价商品",IF(TB[[#This Row],[售价]]&lt;5000,"中价商品",IF(TB[[#This Row],[售价]]&lt;10000,"高价商品","超高价商品")))</f>
        <v>中价商品</v>
      </c>
    </row>
    <row r="4550" spans="1:14" x14ac:dyDescent="0.2">
      <c r="A4550">
        <v>330</v>
      </c>
      <c r="B4550">
        <v>29</v>
      </c>
      <c r="C4550" t="s">
        <v>26</v>
      </c>
      <c r="D4550" t="s">
        <v>131</v>
      </c>
      <c r="E4550" t="s">
        <v>22</v>
      </c>
      <c r="F4550">
        <v>1</v>
      </c>
      <c r="G4550" t="s">
        <v>13</v>
      </c>
      <c r="H4550" s="1">
        <v>46013.561805555553</v>
      </c>
      <c r="I4550" s="5">
        <f>INT(TB[[#This Row],[时间戳]])</f>
        <v>46013</v>
      </c>
      <c r="J4550" s="2">
        <f>HOUR(TB[[#This Row],[时间戳]])</f>
        <v>13</v>
      </c>
      <c r="K4550">
        <v>6892</v>
      </c>
      <c r="L4550">
        <v>5</v>
      </c>
      <c r="M4550">
        <f>TB[[#This Row],[售价]]*TB[[#This Row],[销量]]</f>
        <v>34460</v>
      </c>
      <c r="N4550" t="str">
        <f>IF(TB[[#This Row],[售价]]&lt;1000,"低价商品",IF(TB[[#This Row],[售价]]&lt;5000,"中价商品",IF(TB[[#This Row],[售价]]&lt;10000,"高价商品","超高价商品")))</f>
        <v>高价商品</v>
      </c>
    </row>
    <row r="4551" spans="1:14" x14ac:dyDescent="0.2">
      <c r="A4551">
        <v>398</v>
      </c>
      <c r="B4551">
        <v>38</v>
      </c>
      <c r="C4551" t="s">
        <v>36</v>
      </c>
      <c r="D4551" t="s">
        <v>153</v>
      </c>
      <c r="E4551" t="s">
        <v>31</v>
      </c>
      <c r="F4551">
        <v>4</v>
      </c>
      <c r="G4551" t="s">
        <v>13</v>
      </c>
      <c r="H4551" s="1">
        <v>46013.591666666667</v>
      </c>
      <c r="I4551" s="5">
        <f>INT(TB[[#This Row],[时间戳]])</f>
        <v>46013</v>
      </c>
      <c r="J4551" s="2">
        <f>HOUR(TB[[#This Row],[时间戳]])</f>
        <v>14</v>
      </c>
      <c r="K4551">
        <v>294</v>
      </c>
      <c r="L4551">
        <v>5</v>
      </c>
      <c r="M4551">
        <f>TB[[#This Row],[售价]]*TB[[#This Row],[销量]]</f>
        <v>1470</v>
      </c>
      <c r="N4551" t="str">
        <f>IF(TB[[#This Row],[售价]]&lt;1000,"低价商品",IF(TB[[#This Row],[售价]]&lt;5000,"中价商品",IF(TB[[#This Row],[售价]]&lt;10000,"高价商品","超高价商品")))</f>
        <v>低价商品</v>
      </c>
    </row>
    <row r="4552" spans="1:14" x14ac:dyDescent="0.2">
      <c r="A4552">
        <v>203</v>
      </c>
      <c r="B4552">
        <v>187</v>
      </c>
      <c r="C4552" t="s">
        <v>10</v>
      </c>
      <c r="D4552" t="s">
        <v>298</v>
      </c>
      <c r="E4552" t="s">
        <v>12</v>
      </c>
      <c r="F4552">
        <v>2</v>
      </c>
      <c r="G4552" t="s">
        <v>13</v>
      </c>
      <c r="H4552" s="1">
        <v>46013.640972222223</v>
      </c>
      <c r="I4552" s="5">
        <f>INT(TB[[#This Row],[时间戳]])</f>
        <v>46013</v>
      </c>
      <c r="J4552" s="2">
        <f>HOUR(TB[[#This Row],[时间戳]])</f>
        <v>15</v>
      </c>
      <c r="K4552">
        <v>4117</v>
      </c>
      <c r="L4552">
        <v>2</v>
      </c>
      <c r="M4552">
        <f>TB[[#This Row],[售价]]*TB[[#This Row],[销量]]</f>
        <v>8234</v>
      </c>
      <c r="N4552" t="str">
        <f>IF(TB[[#This Row],[售价]]&lt;1000,"低价商品",IF(TB[[#This Row],[售价]]&lt;5000,"中价商品",IF(TB[[#This Row],[售价]]&lt;10000,"高价商品","超高价商品")))</f>
        <v>中价商品</v>
      </c>
    </row>
    <row r="4553" spans="1:14" x14ac:dyDescent="0.2">
      <c r="A4553">
        <v>161</v>
      </c>
      <c r="B4553">
        <v>145</v>
      </c>
      <c r="C4553" t="s">
        <v>20</v>
      </c>
      <c r="D4553" t="s">
        <v>383</v>
      </c>
      <c r="E4553" t="s">
        <v>12</v>
      </c>
      <c r="F4553">
        <v>2</v>
      </c>
      <c r="G4553" t="s">
        <v>13</v>
      </c>
      <c r="H4553" s="1">
        <v>46013.64166666667</v>
      </c>
      <c r="I4553" s="5">
        <f>INT(TB[[#This Row],[时间戳]])</f>
        <v>46013</v>
      </c>
      <c r="J4553" s="2">
        <f>HOUR(TB[[#This Row],[时间戳]])</f>
        <v>15</v>
      </c>
      <c r="K4553">
        <v>4892</v>
      </c>
      <c r="L4553">
        <v>5</v>
      </c>
      <c r="M4553">
        <f>TB[[#This Row],[售价]]*TB[[#This Row],[销量]]</f>
        <v>24460</v>
      </c>
      <c r="N4553" t="str">
        <f>IF(TB[[#This Row],[售价]]&lt;1000,"低价商品",IF(TB[[#This Row],[售价]]&lt;5000,"中价商品",IF(TB[[#This Row],[售价]]&lt;10000,"高价商品","超高价商品")))</f>
        <v>中价商品</v>
      </c>
    </row>
    <row r="4554" spans="1:14" x14ac:dyDescent="0.2">
      <c r="A4554">
        <v>552</v>
      </c>
      <c r="B4554">
        <v>114</v>
      </c>
      <c r="C4554" t="s">
        <v>14</v>
      </c>
      <c r="D4554" t="s">
        <v>29</v>
      </c>
      <c r="E4554" t="s">
        <v>22</v>
      </c>
      <c r="F4554">
        <v>1</v>
      </c>
      <c r="G4554" t="s">
        <v>13</v>
      </c>
      <c r="H4554" s="1">
        <v>46013.644444444442</v>
      </c>
      <c r="I4554" s="5">
        <f>INT(TB[[#This Row],[时间戳]])</f>
        <v>46013</v>
      </c>
      <c r="J4554" s="2">
        <f>HOUR(TB[[#This Row],[时间戳]])</f>
        <v>15</v>
      </c>
      <c r="K4554">
        <v>7859</v>
      </c>
      <c r="L4554">
        <v>5</v>
      </c>
      <c r="M4554">
        <f>TB[[#This Row],[售价]]*TB[[#This Row],[销量]]</f>
        <v>39295</v>
      </c>
      <c r="N4554" t="str">
        <f>IF(TB[[#This Row],[售价]]&lt;1000,"低价商品",IF(TB[[#This Row],[售价]]&lt;5000,"中价商品",IF(TB[[#This Row],[售价]]&lt;10000,"高价商品","超高价商品")))</f>
        <v>高价商品</v>
      </c>
    </row>
    <row r="4555" spans="1:14" x14ac:dyDescent="0.2">
      <c r="A4555">
        <v>300</v>
      </c>
      <c r="B4555">
        <v>258</v>
      </c>
      <c r="C4555" t="s">
        <v>36</v>
      </c>
      <c r="D4555" t="s">
        <v>114</v>
      </c>
      <c r="E4555" t="s">
        <v>25</v>
      </c>
      <c r="F4555">
        <v>7</v>
      </c>
      <c r="G4555" t="s">
        <v>13</v>
      </c>
      <c r="H4555" s="1">
        <v>46013.68472222222</v>
      </c>
      <c r="I4555" s="5">
        <f>INT(TB[[#This Row],[时间戳]])</f>
        <v>46013</v>
      </c>
      <c r="J4555" s="2">
        <f>HOUR(TB[[#This Row],[时间戳]])</f>
        <v>16</v>
      </c>
      <c r="K4555">
        <v>6104</v>
      </c>
      <c r="L4555">
        <v>5</v>
      </c>
      <c r="M4555">
        <f>TB[[#This Row],[售价]]*TB[[#This Row],[销量]]</f>
        <v>30520</v>
      </c>
      <c r="N4555" t="str">
        <f>IF(TB[[#This Row],[售价]]&lt;1000,"低价商品",IF(TB[[#This Row],[售价]]&lt;5000,"中价商品",IF(TB[[#This Row],[售价]]&lt;10000,"高价商品","超高价商品")))</f>
        <v>高价商品</v>
      </c>
    </row>
    <row r="4556" spans="1:14" x14ac:dyDescent="0.2">
      <c r="A4556">
        <v>309</v>
      </c>
      <c r="B4556">
        <v>55</v>
      </c>
      <c r="C4556" t="s">
        <v>10</v>
      </c>
      <c r="D4556" t="s">
        <v>134</v>
      </c>
      <c r="E4556" t="s">
        <v>22</v>
      </c>
      <c r="F4556">
        <v>1</v>
      </c>
      <c r="G4556" t="s">
        <v>13</v>
      </c>
      <c r="H4556" s="1">
        <v>46013.695833333331</v>
      </c>
      <c r="I4556" s="5">
        <f>INT(TB[[#This Row],[时间戳]])</f>
        <v>46013</v>
      </c>
      <c r="J4556" s="2">
        <f>HOUR(TB[[#This Row],[时间戳]])</f>
        <v>16</v>
      </c>
      <c r="K4556">
        <v>1452</v>
      </c>
      <c r="L4556">
        <v>5</v>
      </c>
      <c r="M4556">
        <f>TB[[#This Row],[售价]]*TB[[#This Row],[销量]]</f>
        <v>7260</v>
      </c>
      <c r="N4556" t="str">
        <f>IF(TB[[#This Row],[售价]]&lt;1000,"低价商品",IF(TB[[#This Row],[售价]]&lt;5000,"中价商品",IF(TB[[#This Row],[售价]]&lt;10000,"高价商品","超高价商品")))</f>
        <v>中价商品</v>
      </c>
    </row>
    <row r="4557" spans="1:14" x14ac:dyDescent="0.2">
      <c r="A4557">
        <v>16</v>
      </c>
      <c r="B4557">
        <v>162</v>
      </c>
      <c r="C4557" t="s">
        <v>46</v>
      </c>
      <c r="D4557" t="s">
        <v>80</v>
      </c>
      <c r="E4557" t="s">
        <v>22</v>
      </c>
      <c r="F4557">
        <v>1</v>
      </c>
      <c r="G4557" t="s">
        <v>13</v>
      </c>
      <c r="H4557" s="1">
        <v>46013.711111111108</v>
      </c>
      <c r="I4557" s="5">
        <f>INT(TB[[#This Row],[时间戳]])</f>
        <v>46013</v>
      </c>
      <c r="J4557" s="2">
        <f>HOUR(TB[[#This Row],[时间戳]])</f>
        <v>17</v>
      </c>
      <c r="K4557">
        <v>7067</v>
      </c>
      <c r="L4557">
        <v>2</v>
      </c>
      <c r="M4557">
        <f>TB[[#This Row],[售价]]*TB[[#This Row],[销量]]</f>
        <v>14134</v>
      </c>
      <c r="N4557" t="str">
        <f>IF(TB[[#This Row],[售价]]&lt;1000,"低价商品",IF(TB[[#This Row],[售价]]&lt;5000,"中价商品",IF(TB[[#This Row],[售价]]&lt;10000,"高价商品","超高价商品")))</f>
        <v>高价商品</v>
      </c>
    </row>
    <row r="4558" spans="1:14" x14ac:dyDescent="0.2">
      <c r="A4558">
        <v>378</v>
      </c>
      <c r="B4558">
        <v>37</v>
      </c>
      <c r="C4558" t="s">
        <v>26</v>
      </c>
      <c r="D4558" t="s">
        <v>300</v>
      </c>
      <c r="E4558" t="s">
        <v>19</v>
      </c>
      <c r="F4558">
        <v>3</v>
      </c>
      <c r="G4558" t="s">
        <v>42</v>
      </c>
      <c r="H4558" s="1">
        <v>46013.731249999997</v>
      </c>
      <c r="I4558" s="5">
        <f>INT(TB[[#This Row],[时间戳]])</f>
        <v>46013</v>
      </c>
      <c r="J4558" s="2">
        <f>HOUR(TB[[#This Row],[时间戳]])</f>
        <v>17</v>
      </c>
      <c r="K4558">
        <v>3195</v>
      </c>
      <c r="L4558">
        <v>0</v>
      </c>
      <c r="M4558">
        <f>TB[[#This Row],[售价]]*TB[[#This Row],[销量]]</f>
        <v>0</v>
      </c>
      <c r="N4558" t="str">
        <f>IF(TB[[#This Row],[售价]]&lt;1000,"低价商品",IF(TB[[#This Row],[售价]]&lt;5000,"中价商品",IF(TB[[#This Row],[售价]]&lt;10000,"高价商品","超高价商品")))</f>
        <v>中价商品</v>
      </c>
    </row>
    <row r="4559" spans="1:14" x14ac:dyDescent="0.2">
      <c r="A4559">
        <v>398</v>
      </c>
      <c r="B4559">
        <v>149</v>
      </c>
      <c r="C4559" t="s">
        <v>34</v>
      </c>
      <c r="D4559" t="s">
        <v>125</v>
      </c>
      <c r="E4559" t="s">
        <v>31</v>
      </c>
      <c r="F4559">
        <v>4</v>
      </c>
      <c r="G4559" t="s">
        <v>13</v>
      </c>
      <c r="H4559" s="1">
        <v>46013.752083333333</v>
      </c>
      <c r="I4559" s="5">
        <f>INT(TB[[#This Row],[时间戳]])</f>
        <v>46013</v>
      </c>
      <c r="J4559" s="2">
        <f>HOUR(TB[[#This Row],[时间戳]])</f>
        <v>18</v>
      </c>
      <c r="K4559">
        <v>865</v>
      </c>
      <c r="L4559">
        <v>5</v>
      </c>
      <c r="M4559">
        <f>TB[[#This Row],[售价]]*TB[[#This Row],[销量]]</f>
        <v>4325</v>
      </c>
      <c r="N4559" t="str">
        <f>IF(TB[[#This Row],[售价]]&lt;1000,"低价商品",IF(TB[[#This Row],[售价]]&lt;5000,"中价商品",IF(TB[[#This Row],[售价]]&lt;10000,"高价商品","超高价商品")))</f>
        <v>低价商品</v>
      </c>
    </row>
    <row r="4560" spans="1:14" x14ac:dyDescent="0.2">
      <c r="A4560">
        <v>684</v>
      </c>
      <c r="B4560">
        <v>169</v>
      </c>
      <c r="C4560" t="s">
        <v>32</v>
      </c>
      <c r="D4560" t="s">
        <v>38</v>
      </c>
      <c r="E4560" t="s">
        <v>39</v>
      </c>
      <c r="F4560">
        <v>5</v>
      </c>
      <c r="G4560" t="s">
        <v>42</v>
      </c>
      <c r="H4560" s="1">
        <v>46013.801388888889</v>
      </c>
      <c r="I4560" s="5">
        <f>INT(TB[[#This Row],[时间戳]])</f>
        <v>46013</v>
      </c>
      <c r="J4560" s="2">
        <f>HOUR(TB[[#This Row],[时间戳]])</f>
        <v>19</v>
      </c>
      <c r="K4560">
        <v>2620</v>
      </c>
      <c r="L4560">
        <v>0</v>
      </c>
      <c r="M4560">
        <f>TB[[#This Row],[售价]]*TB[[#This Row],[销量]]</f>
        <v>0</v>
      </c>
      <c r="N4560" t="str">
        <f>IF(TB[[#This Row],[售价]]&lt;1000,"低价商品",IF(TB[[#This Row],[售价]]&lt;5000,"中价商品",IF(TB[[#This Row],[售价]]&lt;10000,"高价商品","超高价商品")))</f>
        <v>中价商品</v>
      </c>
    </row>
    <row r="4561" spans="1:14" x14ac:dyDescent="0.2">
      <c r="A4561">
        <v>96</v>
      </c>
      <c r="B4561">
        <v>2</v>
      </c>
      <c r="C4561" t="s">
        <v>20</v>
      </c>
      <c r="D4561" t="s">
        <v>78</v>
      </c>
      <c r="E4561" t="s">
        <v>22</v>
      </c>
      <c r="F4561">
        <v>1</v>
      </c>
      <c r="G4561" t="s">
        <v>13</v>
      </c>
      <c r="H4561" s="1">
        <v>46013.908333333333</v>
      </c>
      <c r="I4561" s="5">
        <f>INT(TB[[#This Row],[时间戳]])</f>
        <v>46013</v>
      </c>
      <c r="J4561" s="2">
        <f>HOUR(TB[[#This Row],[时间戳]])</f>
        <v>21</v>
      </c>
      <c r="K4561">
        <v>2864</v>
      </c>
      <c r="L4561">
        <v>5</v>
      </c>
      <c r="M4561">
        <f>TB[[#This Row],[售价]]*TB[[#This Row],[销量]]</f>
        <v>14320</v>
      </c>
      <c r="N4561" t="str">
        <f>IF(TB[[#This Row],[售价]]&lt;1000,"低价商品",IF(TB[[#This Row],[售价]]&lt;5000,"中价商品",IF(TB[[#This Row],[售价]]&lt;10000,"高价商品","超高价商品")))</f>
        <v>中价商品</v>
      </c>
    </row>
    <row r="4562" spans="1:14" x14ac:dyDescent="0.2">
      <c r="A4562">
        <v>511</v>
      </c>
      <c r="B4562">
        <v>216</v>
      </c>
      <c r="C4562" t="s">
        <v>14</v>
      </c>
      <c r="D4562" t="s">
        <v>228</v>
      </c>
      <c r="E4562" t="s">
        <v>31</v>
      </c>
      <c r="F4562">
        <v>4</v>
      </c>
      <c r="G4562" t="s">
        <v>13</v>
      </c>
      <c r="H4562" s="1">
        <v>46013.931250000001</v>
      </c>
      <c r="I4562" s="5">
        <f>INT(TB[[#This Row],[时间戳]])</f>
        <v>46013</v>
      </c>
      <c r="J4562" s="2">
        <f>HOUR(TB[[#This Row],[时间戳]])</f>
        <v>22</v>
      </c>
      <c r="K4562">
        <v>525</v>
      </c>
      <c r="L4562">
        <v>5</v>
      </c>
      <c r="M4562">
        <f>TB[[#This Row],[售价]]*TB[[#This Row],[销量]]</f>
        <v>2625</v>
      </c>
      <c r="N4562" t="str">
        <f>IF(TB[[#This Row],[售价]]&lt;1000,"低价商品",IF(TB[[#This Row],[售价]]&lt;5000,"中价商品",IF(TB[[#This Row],[售价]]&lt;10000,"高价商品","超高价商品")))</f>
        <v>低价商品</v>
      </c>
    </row>
    <row r="4563" spans="1:14" x14ac:dyDescent="0.2">
      <c r="A4563">
        <v>518</v>
      </c>
      <c r="B4563">
        <v>300</v>
      </c>
      <c r="C4563" t="s">
        <v>26</v>
      </c>
      <c r="D4563" t="s">
        <v>171</v>
      </c>
      <c r="E4563" t="s">
        <v>12</v>
      </c>
      <c r="F4563">
        <v>2</v>
      </c>
      <c r="G4563" t="s">
        <v>13</v>
      </c>
      <c r="H4563" s="1">
        <v>46013.9375</v>
      </c>
      <c r="I4563" s="5">
        <f>INT(TB[[#This Row],[时间戳]])</f>
        <v>46013</v>
      </c>
      <c r="J4563" s="2">
        <f>HOUR(TB[[#This Row],[时间戳]])</f>
        <v>22</v>
      </c>
      <c r="K4563">
        <v>8445</v>
      </c>
      <c r="L4563">
        <v>5</v>
      </c>
      <c r="M4563">
        <f>TB[[#This Row],[售价]]*TB[[#This Row],[销量]]</f>
        <v>42225</v>
      </c>
      <c r="N4563" t="str">
        <f>IF(TB[[#This Row],[售价]]&lt;1000,"低价商品",IF(TB[[#This Row],[售价]]&lt;5000,"中价商品",IF(TB[[#This Row],[售价]]&lt;10000,"高价商品","超高价商品")))</f>
        <v>高价商品</v>
      </c>
    </row>
    <row r="4564" spans="1:14" x14ac:dyDescent="0.2">
      <c r="A4564">
        <v>253</v>
      </c>
      <c r="B4564">
        <v>283</v>
      </c>
      <c r="C4564" t="s">
        <v>34</v>
      </c>
      <c r="D4564" t="s">
        <v>402</v>
      </c>
      <c r="E4564" t="s">
        <v>16</v>
      </c>
      <c r="F4564">
        <v>6</v>
      </c>
      <c r="G4564" t="s">
        <v>13</v>
      </c>
      <c r="H4564" s="1">
        <v>46013.976388888892</v>
      </c>
      <c r="I4564" s="5">
        <f>INT(TB[[#This Row],[时间戳]])</f>
        <v>46013</v>
      </c>
      <c r="J4564" s="2">
        <f>HOUR(TB[[#This Row],[时间戳]])</f>
        <v>23</v>
      </c>
      <c r="K4564">
        <v>8816</v>
      </c>
      <c r="L4564">
        <v>5</v>
      </c>
      <c r="M4564">
        <f>TB[[#This Row],[售价]]*TB[[#This Row],[销量]]</f>
        <v>44080</v>
      </c>
      <c r="N4564" t="str">
        <f>IF(TB[[#This Row],[售价]]&lt;1000,"低价商品",IF(TB[[#This Row],[售价]]&lt;5000,"中价商品",IF(TB[[#This Row],[售价]]&lt;10000,"高价商品","超高价商品")))</f>
        <v>高价商品</v>
      </c>
    </row>
    <row r="4565" spans="1:14" x14ac:dyDescent="0.2">
      <c r="A4565">
        <v>560</v>
      </c>
      <c r="B4565">
        <v>40</v>
      </c>
      <c r="C4565" t="s">
        <v>14</v>
      </c>
      <c r="D4565" t="s">
        <v>49</v>
      </c>
      <c r="E4565" t="s">
        <v>22</v>
      </c>
      <c r="F4565">
        <v>1</v>
      </c>
      <c r="G4565" t="s">
        <v>13</v>
      </c>
      <c r="H4565" s="1">
        <v>46013.977777777778</v>
      </c>
      <c r="I4565" s="5">
        <f>INT(TB[[#This Row],[时间戳]])</f>
        <v>46013</v>
      </c>
      <c r="J4565" s="2">
        <f>HOUR(TB[[#This Row],[时间戳]])</f>
        <v>23</v>
      </c>
      <c r="K4565">
        <v>3724</v>
      </c>
      <c r="L4565">
        <v>5</v>
      </c>
      <c r="M4565">
        <f>TB[[#This Row],[售价]]*TB[[#This Row],[销量]]</f>
        <v>18620</v>
      </c>
      <c r="N4565" t="str">
        <f>IF(TB[[#This Row],[售价]]&lt;1000,"低价商品",IF(TB[[#This Row],[售价]]&lt;5000,"中价商品",IF(TB[[#This Row],[售价]]&lt;10000,"高价商品","超高价商品")))</f>
        <v>中价商品</v>
      </c>
    </row>
    <row r="4566" spans="1:14" x14ac:dyDescent="0.2">
      <c r="A4566">
        <v>138</v>
      </c>
      <c r="B4566">
        <v>120</v>
      </c>
      <c r="C4566" t="s">
        <v>34</v>
      </c>
      <c r="D4566" t="s">
        <v>196</v>
      </c>
      <c r="E4566" t="s">
        <v>16</v>
      </c>
      <c r="F4566">
        <v>6</v>
      </c>
      <c r="G4566" t="s">
        <v>13</v>
      </c>
      <c r="H4566" s="1">
        <v>46013.982638888891</v>
      </c>
      <c r="I4566" s="5">
        <f>INT(TB[[#This Row],[时间戳]])</f>
        <v>46013</v>
      </c>
      <c r="J4566" s="2">
        <f>HOUR(TB[[#This Row],[时间戳]])</f>
        <v>23</v>
      </c>
      <c r="K4566">
        <v>9409</v>
      </c>
      <c r="L4566">
        <v>5</v>
      </c>
      <c r="M4566">
        <f>TB[[#This Row],[售价]]*TB[[#This Row],[销量]]</f>
        <v>47045</v>
      </c>
      <c r="N4566" t="str">
        <f>IF(TB[[#This Row],[售价]]&lt;1000,"低价商品",IF(TB[[#This Row],[售价]]&lt;5000,"中价商品",IF(TB[[#This Row],[售价]]&lt;10000,"高价商品","超高价商品")))</f>
        <v>高价商品</v>
      </c>
    </row>
    <row r="4567" spans="1:14" x14ac:dyDescent="0.2">
      <c r="A4567">
        <v>519</v>
      </c>
      <c r="B4567">
        <v>51</v>
      </c>
      <c r="C4567" t="s">
        <v>46</v>
      </c>
      <c r="D4567" t="s">
        <v>316</v>
      </c>
      <c r="E4567" t="s">
        <v>25</v>
      </c>
      <c r="F4567">
        <v>7</v>
      </c>
      <c r="G4567" t="s">
        <v>13</v>
      </c>
      <c r="H4567" s="1">
        <v>46014.024305555555</v>
      </c>
      <c r="I4567" s="5">
        <f>INT(TB[[#This Row],[时间戳]])</f>
        <v>46014</v>
      </c>
      <c r="J4567" s="2">
        <f>HOUR(TB[[#This Row],[时间戳]])</f>
        <v>0</v>
      </c>
      <c r="K4567">
        <v>6341</v>
      </c>
      <c r="L4567">
        <v>5</v>
      </c>
      <c r="M4567">
        <f>TB[[#This Row],[售价]]*TB[[#This Row],[销量]]</f>
        <v>31705</v>
      </c>
      <c r="N4567" t="str">
        <f>IF(TB[[#This Row],[售价]]&lt;1000,"低价商品",IF(TB[[#This Row],[售价]]&lt;5000,"中价商品",IF(TB[[#This Row],[售价]]&lt;10000,"高价商品","超高价商品")))</f>
        <v>高价商品</v>
      </c>
    </row>
    <row r="4568" spans="1:14" x14ac:dyDescent="0.2">
      <c r="A4568">
        <v>386</v>
      </c>
      <c r="B4568">
        <v>24</v>
      </c>
      <c r="C4568" t="s">
        <v>36</v>
      </c>
      <c r="D4568" t="s">
        <v>310</v>
      </c>
      <c r="E4568" t="s">
        <v>39</v>
      </c>
      <c r="F4568">
        <v>5</v>
      </c>
      <c r="G4568" t="s">
        <v>13</v>
      </c>
      <c r="H4568" s="1">
        <v>46014.029861111114</v>
      </c>
      <c r="I4568" s="5">
        <f>INT(TB[[#This Row],[时间戳]])</f>
        <v>46014</v>
      </c>
      <c r="J4568" s="2">
        <f>HOUR(TB[[#This Row],[时间戳]])</f>
        <v>0</v>
      </c>
      <c r="K4568">
        <v>2183</v>
      </c>
      <c r="L4568">
        <v>5</v>
      </c>
      <c r="M4568">
        <f>TB[[#This Row],[售价]]*TB[[#This Row],[销量]]</f>
        <v>10915</v>
      </c>
      <c r="N4568" t="str">
        <f>IF(TB[[#This Row],[售价]]&lt;1000,"低价商品",IF(TB[[#This Row],[售价]]&lt;5000,"中价商品",IF(TB[[#This Row],[售价]]&lt;10000,"高价商品","超高价商品")))</f>
        <v>中价商品</v>
      </c>
    </row>
    <row r="4569" spans="1:14" x14ac:dyDescent="0.2">
      <c r="A4569">
        <v>233</v>
      </c>
      <c r="B4569">
        <v>197</v>
      </c>
      <c r="C4569" t="s">
        <v>44</v>
      </c>
      <c r="D4569" t="s">
        <v>76</v>
      </c>
      <c r="E4569" t="s">
        <v>31</v>
      </c>
      <c r="F4569">
        <v>4</v>
      </c>
      <c r="G4569" t="s">
        <v>13</v>
      </c>
      <c r="H4569" s="1">
        <v>46014.034722222219</v>
      </c>
      <c r="I4569" s="5">
        <f>INT(TB[[#This Row],[时间戳]])</f>
        <v>46014</v>
      </c>
      <c r="J4569" s="2">
        <f>HOUR(TB[[#This Row],[时间戳]])</f>
        <v>0</v>
      </c>
      <c r="K4569">
        <v>1500</v>
      </c>
      <c r="L4569">
        <v>3</v>
      </c>
      <c r="M4569">
        <f>TB[[#This Row],[售价]]*TB[[#This Row],[销量]]</f>
        <v>4500</v>
      </c>
      <c r="N4569" t="str">
        <f>IF(TB[[#This Row],[售价]]&lt;1000,"低价商品",IF(TB[[#This Row],[售价]]&lt;5000,"中价商品",IF(TB[[#This Row],[售价]]&lt;10000,"高价商品","超高价商品")))</f>
        <v>中价商品</v>
      </c>
    </row>
    <row r="4570" spans="1:14" x14ac:dyDescent="0.2">
      <c r="A4570">
        <v>446</v>
      </c>
      <c r="B4570">
        <v>190</v>
      </c>
      <c r="C4570" t="s">
        <v>36</v>
      </c>
      <c r="D4570" t="s">
        <v>112</v>
      </c>
      <c r="E4570" t="s">
        <v>22</v>
      </c>
      <c r="F4570">
        <v>1</v>
      </c>
      <c r="G4570" t="s">
        <v>13</v>
      </c>
      <c r="H4570" s="1">
        <v>46014.036805555559</v>
      </c>
      <c r="I4570" s="5">
        <f>INT(TB[[#This Row],[时间戳]])</f>
        <v>46014</v>
      </c>
      <c r="J4570" s="2">
        <f>HOUR(TB[[#This Row],[时间戳]])</f>
        <v>0</v>
      </c>
      <c r="K4570">
        <v>1032</v>
      </c>
      <c r="L4570">
        <v>5</v>
      </c>
      <c r="M4570">
        <f>TB[[#This Row],[售价]]*TB[[#This Row],[销量]]</f>
        <v>5160</v>
      </c>
      <c r="N4570" t="str">
        <f>IF(TB[[#This Row],[售价]]&lt;1000,"低价商品",IF(TB[[#This Row],[售价]]&lt;5000,"中价商品",IF(TB[[#This Row],[售价]]&lt;10000,"高价商品","超高价商品")))</f>
        <v>中价商品</v>
      </c>
    </row>
    <row r="4571" spans="1:14" x14ac:dyDescent="0.2">
      <c r="A4571">
        <v>480</v>
      </c>
      <c r="B4571">
        <v>73</v>
      </c>
      <c r="C4571" t="s">
        <v>17</v>
      </c>
      <c r="D4571" t="s">
        <v>177</v>
      </c>
      <c r="E4571" t="s">
        <v>22</v>
      </c>
      <c r="F4571">
        <v>1</v>
      </c>
      <c r="G4571" t="s">
        <v>13</v>
      </c>
      <c r="H4571" s="1">
        <v>46014.072916666664</v>
      </c>
      <c r="I4571" s="5">
        <f>INT(TB[[#This Row],[时间戳]])</f>
        <v>46014</v>
      </c>
      <c r="J4571" s="2">
        <f>HOUR(TB[[#This Row],[时间戳]])</f>
        <v>1</v>
      </c>
      <c r="K4571">
        <v>7264</v>
      </c>
      <c r="L4571">
        <v>3</v>
      </c>
      <c r="M4571">
        <f>TB[[#This Row],[售价]]*TB[[#This Row],[销量]]</f>
        <v>21792</v>
      </c>
      <c r="N4571" t="str">
        <f>IF(TB[[#This Row],[售价]]&lt;1000,"低价商品",IF(TB[[#This Row],[售价]]&lt;5000,"中价商品",IF(TB[[#This Row],[售价]]&lt;10000,"高价商品","超高价商品")))</f>
        <v>高价商品</v>
      </c>
    </row>
    <row r="4572" spans="1:14" x14ac:dyDescent="0.2">
      <c r="A4572">
        <v>105</v>
      </c>
      <c r="B4572">
        <v>14</v>
      </c>
      <c r="C4572" t="s">
        <v>14</v>
      </c>
      <c r="D4572" t="s">
        <v>106</v>
      </c>
      <c r="E4572" t="s">
        <v>22</v>
      </c>
      <c r="F4572">
        <v>1</v>
      </c>
      <c r="G4572" t="s">
        <v>13</v>
      </c>
      <c r="H4572" s="1">
        <v>46014.086111111108</v>
      </c>
      <c r="I4572" s="5">
        <f>INT(TB[[#This Row],[时间戳]])</f>
        <v>46014</v>
      </c>
      <c r="J4572" s="2">
        <f>HOUR(TB[[#This Row],[时间戳]])</f>
        <v>2</v>
      </c>
      <c r="K4572">
        <v>1283</v>
      </c>
      <c r="L4572">
        <v>5</v>
      </c>
      <c r="M4572">
        <f>TB[[#This Row],[售价]]*TB[[#This Row],[销量]]</f>
        <v>6415</v>
      </c>
      <c r="N4572" t="str">
        <f>IF(TB[[#This Row],[售价]]&lt;1000,"低价商品",IF(TB[[#This Row],[售价]]&lt;5000,"中价商品",IF(TB[[#This Row],[售价]]&lt;10000,"高价商品","超高价商品")))</f>
        <v>中价商品</v>
      </c>
    </row>
    <row r="4573" spans="1:14" x14ac:dyDescent="0.2">
      <c r="A4573">
        <v>475</v>
      </c>
      <c r="B4573">
        <v>63</v>
      </c>
      <c r="C4573" t="s">
        <v>10</v>
      </c>
      <c r="D4573" t="s">
        <v>352</v>
      </c>
      <c r="E4573" t="s">
        <v>12</v>
      </c>
      <c r="F4573">
        <v>2</v>
      </c>
      <c r="G4573" t="s">
        <v>13</v>
      </c>
      <c r="H4573" s="1">
        <v>46014.106944444444</v>
      </c>
      <c r="I4573" s="5">
        <f>INT(TB[[#This Row],[时间戳]])</f>
        <v>46014</v>
      </c>
      <c r="J4573" s="2">
        <f>HOUR(TB[[#This Row],[时间戳]])</f>
        <v>2</v>
      </c>
      <c r="K4573">
        <v>11451</v>
      </c>
      <c r="L4573">
        <v>5</v>
      </c>
      <c r="M4573">
        <f>TB[[#This Row],[售价]]*TB[[#This Row],[销量]]</f>
        <v>57255</v>
      </c>
      <c r="N4573" t="str">
        <f>IF(TB[[#This Row],[售价]]&lt;1000,"低价商品",IF(TB[[#This Row],[售价]]&lt;5000,"中价商品",IF(TB[[#This Row],[售价]]&lt;10000,"高价商品","超高价商品")))</f>
        <v>超高价商品</v>
      </c>
    </row>
    <row r="4574" spans="1:14" x14ac:dyDescent="0.2">
      <c r="A4574">
        <v>493</v>
      </c>
      <c r="B4574">
        <v>273</v>
      </c>
      <c r="C4574" t="s">
        <v>36</v>
      </c>
      <c r="D4574" t="s">
        <v>146</v>
      </c>
      <c r="E4574" t="s">
        <v>22</v>
      </c>
      <c r="F4574">
        <v>1</v>
      </c>
      <c r="G4574" t="s">
        <v>13</v>
      </c>
      <c r="H4574" s="1">
        <v>46014.111805555556</v>
      </c>
      <c r="I4574" s="5">
        <f>INT(TB[[#This Row],[时间戳]])</f>
        <v>46014</v>
      </c>
      <c r="J4574" s="2">
        <f>HOUR(TB[[#This Row],[时间戳]])</f>
        <v>2</v>
      </c>
      <c r="K4574">
        <v>3958</v>
      </c>
      <c r="L4574">
        <v>3</v>
      </c>
      <c r="M4574">
        <f>TB[[#This Row],[售价]]*TB[[#This Row],[销量]]</f>
        <v>11874</v>
      </c>
      <c r="N4574" t="str">
        <f>IF(TB[[#This Row],[售价]]&lt;1000,"低价商品",IF(TB[[#This Row],[售价]]&lt;5000,"中价商品",IF(TB[[#This Row],[售价]]&lt;10000,"高价商品","超高价商品")))</f>
        <v>中价商品</v>
      </c>
    </row>
    <row r="4575" spans="1:14" x14ac:dyDescent="0.2">
      <c r="A4575">
        <v>101</v>
      </c>
      <c r="B4575">
        <v>250</v>
      </c>
      <c r="C4575" t="s">
        <v>10</v>
      </c>
      <c r="D4575" t="s">
        <v>330</v>
      </c>
      <c r="E4575" t="s">
        <v>19</v>
      </c>
      <c r="F4575">
        <v>3</v>
      </c>
      <c r="G4575" t="s">
        <v>13</v>
      </c>
      <c r="H4575" s="1">
        <v>46014.137499999997</v>
      </c>
      <c r="I4575" s="5">
        <f>INT(TB[[#This Row],[时间戳]])</f>
        <v>46014</v>
      </c>
      <c r="J4575" s="2">
        <f>HOUR(TB[[#This Row],[时间戳]])</f>
        <v>3</v>
      </c>
      <c r="K4575">
        <v>3429</v>
      </c>
      <c r="L4575">
        <v>5</v>
      </c>
      <c r="M4575">
        <f>TB[[#This Row],[售价]]*TB[[#This Row],[销量]]</f>
        <v>17145</v>
      </c>
      <c r="N4575" t="str">
        <f>IF(TB[[#This Row],[售价]]&lt;1000,"低价商品",IF(TB[[#This Row],[售价]]&lt;5000,"中价商品",IF(TB[[#This Row],[售价]]&lt;10000,"高价商品","超高价商品")))</f>
        <v>中价商品</v>
      </c>
    </row>
    <row r="4576" spans="1:14" x14ac:dyDescent="0.2">
      <c r="A4576">
        <v>17</v>
      </c>
      <c r="B4576">
        <v>96</v>
      </c>
      <c r="C4576" t="s">
        <v>32</v>
      </c>
      <c r="D4576" t="s">
        <v>313</v>
      </c>
      <c r="E4576" t="s">
        <v>39</v>
      </c>
      <c r="F4576">
        <v>5</v>
      </c>
      <c r="G4576" t="s">
        <v>13</v>
      </c>
      <c r="H4576" s="1">
        <v>46014.163888888892</v>
      </c>
      <c r="I4576" s="5">
        <f>INT(TB[[#This Row],[时间戳]])</f>
        <v>46014</v>
      </c>
      <c r="J4576" s="2">
        <f>HOUR(TB[[#This Row],[时间戳]])</f>
        <v>3</v>
      </c>
      <c r="K4576">
        <v>2059</v>
      </c>
      <c r="L4576">
        <v>5</v>
      </c>
      <c r="M4576">
        <f>TB[[#This Row],[售价]]*TB[[#This Row],[销量]]</f>
        <v>10295</v>
      </c>
      <c r="N4576" t="str">
        <f>IF(TB[[#This Row],[售价]]&lt;1000,"低价商品",IF(TB[[#This Row],[售价]]&lt;5000,"中价商品",IF(TB[[#This Row],[售价]]&lt;10000,"高价商品","超高价商品")))</f>
        <v>中价商品</v>
      </c>
    </row>
    <row r="4577" spans="1:14" x14ac:dyDescent="0.2">
      <c r="A4577">
        <v>516</v>
      </c>
      <c r="B4577">
        <v>167</v>
      </c>
      <c r="C4577" t="s">
        <v>14</v>
      </c>
      <c r="D4577" t="s">
        <v>145</v>
      </c>
      <c r="E4577" t="s">
        <v>22</v>
      </c>
      <c r="F4577">
        <v>1</v>
      </c>
      <c r="G4577" t="s">
        <v>42</v>
      </c>
      <c r="H4577" s="1">
        <v>46014.17083333333</v>
      </c>
      <c r="I4577" s="5">
        <f>INT(TB[[#This Row],[时间戳]])</f>
        <v>46014</v>
      </c>
      <c r="J4577" s="2">
        <f>HOUR(TB[[#This Row],[时间戳]])</f>
        <v>4</v>
      </c>
      <c r="K4577">
        <v>4574</v>
      </c>
      <c r="L4577">
        <v>0</v>
      </c>
      <c r="M4577">
        <f>TB[[#This Row],[售价]]*TB[[#This Row],[销量]]</f>
        <v>0</v>
      </c>
      <c r="N4577" t="str">
        <f>IF(TB[[#This Row],[售价]]&lt;1000,"低价商品",IF(TB[[#This Row],[售价]]&lt;5000,"中价商品",IF(TB[[#This Row],[售价]]&lt;10000,"高价商品","超高价商品")))</f>
        <v>中价商品</v>
      </c>
    </row>
    <row r="4578" spans="1:14" x14ac:dyDescent="0.2">
      <c r="A4578">
        <v>52</v>
      </c>
      <c r="B4578">
        <v>83</v>
      </c>
      <c r="C4578" t="s">
        <v>26</v>
      </c>
      <c r="D4578" t="s">
        <v>122</v>
      </c>
      <c r="E4578" t="s">
        <v>31</v>
      </c>
      <c r="F4578">
        <v>4</v>
      </c>
      <c r="G4578" t="s">
        <v>13</v>
      </c>
      <c r="H4578" s="1">
        <v>46014.180555555555</v>
      </c>
      <c r="I4578" s="5">
        <f>INT(TB[[#This Row],[时间戳]])</f>
        <v>46014</v>
      </c>
      <c r="J4578" s="2">
        <f>HOUR(TB[[#This Row],[时间戳]])</f>
        <v>4</v>
      </c>
      <c r="K4578">
        <v>1500</v>
      </c>
      <c r="L4578">
        <v>5</v>
      </c>
      <c r="M4578">
        <f>TB[[#This Row],[售价]]*TB[[#This Row],[销量]]</f>
        <v>7500</v>
      </c>
      <c r="N4578" t="str">
        <f>IF(TB[[#This Row],[售价]]&lt;1000,"低价商品",IF(TB[[#This Row],[售价]]&lt;5000,"中价商品",IF(TB[[#This Row],[售价]]&lt;10000,"高价商品","超高价商品")))</f>
        <v>中价商品</v>
      </c>
    </row>
    <row r="4579" spans="1:14" x14ac:dyDescent="0.2">
      <c r="A4579">
        <v>702</v>
      </c>
      <c r="B4579">
        <v>271</v>
      </c>
      <c r="C4579" t="s">
        <v>36</v>
      </c>
      <c r="D4579" t="s">
        <v>269</v>
      </c>
      <c r="E4579" t="s">
        <v>19</v>
      </c>
      <c r="F4579">
        <v>3</v>
      </c>
      <c r="G4579" t="s">
        <v>42</v>
      </c>
      <c r="H4579" s="1">
        <v>46014.18472222222</v>
      </c>
      <c r="I4579" s="5">
        <f>INT(TB[[#This Row],[时间戳]])</f>
        <v>46014</v>
      </c>
      <c r="J4579" s="2">
        <f>HOUR(TB[[#This Row],[时间戳]])</f>
        <v>4</v>
      </c>
      <c r="K4579">
        <v>2885</v>
      </c>
      <c r="L4579">
        <v>0</v>
      </c>
      <c r="M4579">
        <f>TB[[#This Row],[售价]]*TB[[#This Row],[销量]]</f>
        <v>0</v>
      </c>
      <c r="N4579" t="str">
        <f>IF(TB[[#This Row],[售价]]&lt;1000,"低价商品",IF(TB[[#This Row],[售价]]&lt;5000,"中价商品",IF(TB[[#This Row],[售价]]&lt;10000,"高价商品","超高价商品")))</f>
        <v>中价商品</v>
      </c>
    </row>
    <row r="4580" spans="1:14" x14ac:dyDescent="0.2">
      <c r="A4580">
        <v>569</v>
      </c>
      <c r="B4580">
        <v>265</v>
      </c>
      <c r="C4580" t="s">
        <v>44</v>
      </c>
      <c r="D4580" t="s">
        <v>195</v>
      </c>
      <c r="E4580" t="s">
        <v>22</v>
      </c>
      <c r="F4580">
        <v>1</v>
      </c>
      <c r="G4580" t="s">
        <v>13</v>
      </c>
      <c r="H4580" s="1">
        <v>46014.254166666666</v>
      </c>
      <c r="I4580" s="5">
        <f>INT(TB[[#This Row],[时间戳]])</f>
        <v>46014</v>
      </c>
      <c r="J4580" s="2">
        <f>HOUR(TB[[#This Row],[时间戳]])</f>
        <v>6</v>
      </c>
      <c r="K4580">
        <v>4174</v>
      </c>
      <c r="L4580">
        <v>5</v>
      </c>
      <c r="M4580">
        <f>TB[[#This Row],[售价]]*TB[[#This Row],[销量]]</f>
        <v>20870</v>
      </c>
      <c r="N4580" t="str">
        <f>IF(TB[[#This Row],[售价]]&lt;1000,"低价商品",IF(TB[[#This Row],[售价]]&lt;5000,"中价商品",IF(TB[[#This Row],[售价]]&lt;10000,"高价商品","超高价商品")))</f>
        <v>中价商品</v>
      </c>
    </row>
    <row r="4581" spans="1:14" x14ac:dyDescent="0.2">
      <c r="A4581">
        <v>439</v>
      </c>
      <c r="B4581">
        <v>129</v>
      </c>
      <c r="C4581" t="s">
        <v>44</v>
      </c>
      <c r="D4581" t="s">
        <v>254</v>
      </c>
      <c r="E4581" t="s">
        <v>25</v>
      </c>
      <c r="F4581">
        <v>7</v>
      </c>
      <c r="G4581" t="s">
        <v>13</v>
      </c>
      <c r="H4581" s="1">
        <v>46014.272916666669</v>
      </c>
      <c r="I4581" s="5">
        <f>INT(TB[[#This Row],[时间戳]])</f>
        <v>46014</v>
      </c>
      <c r="J4581" s="2">
        <f>HOUR(TB[[#This Row],[时间戳]])</f>
        <v>6</v>
      </c>
      <c r="K4581">
        <v>3782</v>
      </c>
      <c r="L4581">
        <v>5</v>
      </c>
      <c r="M4581">
        <f>TB[[#This Row],[售价]]*TB[[#This Row],[销量]]</f>
        <v>18910</v>
      </c>
      <c r="N4581" t="str">
        <f>IF(TB[[#This Row],[售价]]&lt;1000,"低价商品",IF(TB[[#This Row],[售价]]&lt;5000,"中价商品",IF(TB[[#This Row],[售价]]&lt;10000,"高价商品","超高价商品")))</f>
        <v>中价商品</v>
      </c>
    </row>
    <row r="4582" spans="1:14" x14ac:dyDescent="0.2">
      <c r="A4582">
        <v>700</v>
      </c>
      <c r="B4582">
        <v>106</v>
      </c>
      <c r="C4582" t="s">
        <v>44</v>
      </c>
      <c r="D4582" t="s">
        <v>169</v>
      </c>
      <c r="E4582" t="s">
        <v>31</v>
      </c>
      <c r="F4582">
        <v>4</v>
      </c>
      <c r="G4582" t="s">
        <v>13</v>
      </c>
      <c r="H4582" s="1">
        <v>46014.323611111111</v>
      </c>
      <c r="I4582" s="5">
        <f>INT(TB[[#This Row],[时间戳]])</f>
        <v>46014</v>
      </c>
      <c r="J4582" s="2">
        <f>HOUR(TB[[#This Row],[时间戳]])</f>
        <v>7</v>
      </c>
      <c r="K4582">
        <v>133</v>
      </c>
      <c r="L4582">
        <v>5</v>
      </c>
      <c r="M4582">
        <f>TB[[#This Row],[售价]]*TB[[#This Row],[销量]]</f>
        <v>665</v>
      </c>
      <c r="N4582" t="str">
        <f>IF(TB[[#This Row],[售价]]&lt;1000,"低价商品",IF(TB[[#This Row],[售价]]&lt;5000,"中价商品",IF(TB[[#This Row],[售价]]&lt;10000,"高价商品","超高价商品")))</f>
        <v>低价商品</v>
      </c>
    </row>
    <row r="4583" spans="1:14" x14ac:dyDescent="0.2">
      <c r="A4583">
        <v>212</v>
      </c>
      <c r="B4583">
        <v>174</v>
      </c>
      <c r="C4583" t="s">
        <v>14</v>
      </c>
      <c r="D4583" t="s">
        <v>223</v>
      </c>
      <c r="E4583" t="s">
        <v>22</v>
      </c>
      <c r="F4583">
        <v>1</v>
      </c>
      <c r="G4583" t="s">
        <v>13</v>
      </c>
      <c r="H4583" s="1">
        <v>46014.329861111109</v>
      </c>
      <c r="I4583" s="5">
        <f>INT(TB[[#This Row],[时间戳]])</f>
        <v>46014</v>
      </c>
      <c r="J4583" s="2">
        <f>HOUR(TB[[#This Row],[时间戳]])</f>
        <v>7</v>
      </c>
      <c r="K4583">
        <v>2222</v>
      </c>
      <c r="L4583">
        <v>5</v>
      </c>
      <c r="M4583">
        <f>TB[[#This Row],[售价]]*TB[[#This Row],[销量]]</f>
        <v>11110</v>
      </c>
      <c r="N4583" t="str">
        <f>IF(TB[[#This Row],[售价]]&lt;1000,"低价商品",IF(TB[[#This Row],[售价]]&lt;5000,"中价商品",IF(TB[[#This Row],[售价]]&lt;10000,"高价商品","超高价商品")))</f>
        <v>中价商品</v>
      </c>
    </row>
    <row r="4584" spans="1:14" x14ac:dyDescent="0.2">
      <c r="A4584">
        <v>488</v>
      </c>
      <c r="B4584">
        <v>214</v>
      </c>
      <c r="C4584" t="s">
        <v>20</v>
      </c>
      <c r="D4584" t="s">
        <v>97</v>
      </c>
      <c r="E4584" t="s">
        <v>19</v>
      </c>
      <c r="F4584">
        <v>3</v>
      </c>
      <c r="G4584" t="s">
        <v>42</v>
      </c>
      <c r="H4584" s="1">
        <v>46014.357638888891</v>
      </c>
      <c r="I4584" s="5">
        <f>INT(TB[[#This Row],[时间戳]])</f>
        <v>46014</v>
      </c>
      <c r="J4584" s="2">
        <f>HOUR(TB[[#This Row],[时间戳]])</f>
        <v>8</v>
      </c>
      <c r="K4584">
        <v>3377</v>
      </c>
      <c r="L4584">
        <v>0</v>
      </c>
      <c r="M4584">
        <f>TB[[#This Row],[售价]]*TB[[#This Row],[销量]]</f>
        <v>0</v>
      </c>
      <c r="N4584" t="str">
        <f>IF(TB[[#This Row],[售价]]&lt;1000,"低价商品",IF(TB[[#This Row],[售价]]&lt;5000,"中价商品",IF(TB[[#This Row],[售价]]&lt;10000,"高价商品","超高价商品")))</f>
        <v>中价商品</v>
      </c>
    </row>
    <row r="4585" spans="1:14" x14ac:dyDescent="0.2">
      <c r="A4585">
        <v>224</v>
      </c>
      <c r="B4585">
        <v>271</v>
      </c>
      <c r="C4585" t="s">
        <v>46</v>
      </c>
      <c r="D4585" t="s">
        <v>157</v>
      </c>
      <c r="E4585" t="s">
        <v>12</v>
      </c>
      <c r="F4585">
        <v>2</v>
      </c>
      <c r="G4585" t="s">
        <v>42</v>
      </c>
      <c r="H4585" s="1">
        <v>46014.384722222225</v>
      </c>
      <c r="I4585" s="5">
        <f>INT(TB[[#This Row],[时间戳]])</f>
        <v>46014</v>
      </c>
      <c r="J4585" s="2">
        <f>HOUR(TB[[#This Row],[时间戳]])</f>
        <v>9</v>
      </c>
      <c r="K4585">
        <v>6249</v>
      </c>
      <c r="L4585">
        <v>0</v>
      </c>
      <c r="M4585">
        <f>TB[[#This Row],[售价]]*TB[[#This Row],[销量]]</f>
        <v>0</v>
      </c>
      <c r="N4585" t="str">
        <f>IF(TB[[#This Row],[售价]]&lt;1000,"低价商品",IF(TB[[#This Row],[售价]]&lt;5000,"中价商品",IF(TB[[#This Row],[售价]]&lt;10000,"高价商品","超高价商品")))</f>
        <v>高价商品</v>
      </c>
    </row>
    <row r="4586" spans="1:14" x14ac:dyDescent="0.2">
      <c r="A4586">
        <v>622</v>
      </c>
      <c r="B4586">
        <v>27</v>
      </c>
      <c r="C4586" t="s">
        <v>20</v>
      </c>
      <c r="D4586" t="s">
        <v>353</v>
      </c>
      <c r="E4586" t="s">
        <v>25</v>
      </c>
      <c r="F4586">
        <v>7</v>
      </c>
      <c r="G4586" t="s">
        <v>13</v>
      </c>
      <c r="H4586" s="1">
        <v>46014.40625</v>
      </c>
      <c r="I4586" s="5">
        <f>INT(TB[[#This Row],[时间戳]])</f>
        <v>46014</v>
      </c>
      <c r="J4586" s="2">
        <f>HOUR(TB[[#This Row],[时间戳]])</f>
        <v>9</v>
      </c>
      <c r="K4586">
        <v>5201</v>
      </c>
      <c r="L4586">
        <v>5</v>
      </c>
      <c r="M4586">
        <f>TB[[#This Row],[售价]]*TB[[#This Row],[销量]]</f>
        <v>26005</v>
      </c>
      <c r="N4586" t="str">
        <f>IF(TB[[#This Row],[售价]]&lt;1000,"低价商品",IF(TB[[#This Row],[售价]]&lt;5000,"中价商品",IF(TB[[#This Row],[售价]]&lt;10000,"高价商品","超高价商品")))</f>
        <v>高价商品</v>
      </c>
    </row>
    <row r="4587" spans="1:14" x14ac:dyDescent="0.2">
      <c r="A4587">
        <v>530</v>
      </c>
      <c r="B4587">
        <v>268</v>
      </c>
      <c r="C4587" t="s">
        <v>10</v>
      </c>
      <c r="D4587" t="s">
        <v>241</v>
      </c>
      <c r="E4587" t="s">
        <v>12</v>
      </c>
      <c r="F4587">
        <v>2</v>
      </c>
      <c r="G4587" t="s">
        <v>13</v>
      </c>
      <c r="H4587" s="1">
        <v>46014.468055555553</v>
      </c>
      <c r="I4587" s="5">
        <f>INT(TB[[#This Row],[时间戳]])</f>
        <v>46014</v>
      </c>
      <c r="J4587" s="2">
        <f>HOUR(TB[[#This Row],[时间戳]])</f>
        <v>11</v>
      </c>
      <c r="K4587">
        <v>10802</v>
      </c>
      <c r="L4587">
        <v>3</v>
      </c>
      <c r="M4587">
        <f>TB[[#This Row],[售价]]*TB[[#This Row],[销量]]</f>
        <v>32406</v>
      </c>
      <c r="N4587" t="str">
        <f>IF(TB[[#This Row],[售价]]&lt;1000,"低价商品",IF(TB[[#This Row],[售价]]&lt;5000,"中价商品",IF(TB[[#This Row],[售价]]&lt;10000,"高价商品","超高价商品")))</f>
        <v>超高价商品</v>
      </c>
    </row>
    <row r="4588" spans="1:14" x14ac:dyDescent="0.2">
      <c r="A4588">
        <v>59</v>
      </c>
      <c r="B4588">
        <v>172</v>
      </c>
      <c r="C4588" t="s">
        <v>32</v>
      </c>
      <c r="D4588" t="s">
        <v>275</v>
      </c>
      <c r="E4588" t="s">
        <v>22</v>
      </c>
      <c r="F4588">
        <v>1</v>
      </c>
      <c r="G4588" t="s">
        <v>13</v>
      </c>
      <c r="H4588" s="1">
        <v>46014.477777777778</v>
      </c>
      <c r="I4588" s="5">
        <f>INT(TB[[#This Row],[时间戳]])</f>
        <v>46014</v>
      </c>
      <c r="J4588" s="2">
        <f>HOUR(TB[[#This Row],[时间戳]])</f>
        <v>11</v>
      </c>
      <c r="K4588">
        <v>4324</v>
      </c>
      <c r="L4588">
        <v>3</v>
      </c>
      <c r="M4588">
        <f>TB[[#This Row],[售价]]*TB[[#This Row],[销量]]</f>
        <v>12972</v>
      </c>
      <c r="N4588" t="str">
        <f>IF(TB[[#This Row],[售价]]&lt;1000,"低价商品",IF(TB[[#This Row],[售价]]&lt;5000,"中价商品",IF(TB[[#This Row],[售价]]&lt;10000,"高价商品","超高价商品")))</f>
        <v>中价商品</v>
      </c>
    </row>
    <row r="4589" spans="1:14" x14ac:dyDescent="0.2">
      <c r="A4589">
        <v>7</v>
      </c>
      <c r="B4589">
        <v>178</v>
      </c>
      <c r="C4589" t="s">
        <v>32</v>
      </c>
      <c r="D4589" t="s">
        <v>107</v>
      </c>
      <c r="E4589" t="s">
        <v>31</v>
      </c>
      <c r="F4589">
        <v>4</v>
      </c>
      <c r="G4589" t="s">
        <v>42</v>
      </c>
      <c r="H4589" s="1">
        <v>46014.479861111111</v>
      </c>
      <c r="I4589" s="5">
        <f>INT(TB[[#This Row],[时间戳]])</f>
        <v>46014</v>
      </c>
      <c r="J4589" s="2">
        <f>HOUR(TB[[#This Row],[时间戳]])</f>
        <v>11</v>
      </c>
      <c r="K4589">
        <v>1006</v>
      </c>
      <c r="L4589">
        <v>0</v>
      </c>
      <c r="M4589">
        <f>TB[[#This Row],[售价]]*TB[[#This Row],[销量]]</f>
        <v>0</v>
      </c>
      <c r="N4589" t="str">
        <f>IF(TB[[#This Row],[售价]]&lt;1000,"低价商品",IF(TB[[#This Row],[售价]]&lt;5000,"中价商品",IF(TB[[#This Row],[售价]]&lt;10000,"高价商品","超高价商品")))</f>
        <v>中价商品</v>
      </c>
    </row>
    <row r="4590" spans="1:14" x14ac:dyDescent="0.2">
      <c r="A4590">
        <v>791</v>
      </c>
      <c r="B4590">
        <v>75</v>
      </c>
      <c r="C4590" t="s">
        <v>20</v>
      </c>
      <c r="D4590" t="s">
        <v>399</v>
      </c>
      <c r="E4590" t="s">
        <v>31</v>
      </c>
      <c r="F4590">
        <v>4</v>
      </c>
      <c r="G4590" t="s">
        <v>42</v>
      </c>
      <c r="H4590" s="1">
        <v>46014.500694444447</v>
      </c>
      <c r="I4590" s="5">
        <f>INT(TB[[#This Row],[时间戳]])</f>
        <v>46014</v>
      </c>
      <c r="J4590" s="2">
        <f>HOUR(TB[[#This Row],[时间戳]])</f>
        <v>12</v>
      </c>
      <c r="K4590">
        <v>253</v>
      </c>
      <c r="L4590">
        <v>0</v>
      </c>
      <c r="M4590">
        <f>TB[[#This Row],[售价]]*TB[[#This Row],[销量]]</f>
        <v>0</v>
      </c>
      <c r="N4590" t="str">
        <f>IF(TB[[#This Row],[售价]]&lt;1000,"低价商品",IF(TB[[#This Row],[售价]]&lt;5000,"中价商品",IF(TB[[#This Row],[售价]]&lt;10000,"高价商品","超高价商品")))</f>
        <v>低价商品</v>
      </c>
    </row>
    <row r="4591" spans="1:14" x14ac:dyDescent="0.2">
      <c r="A4591">
        <v>761</v>
      </c>
      <c r="B4591">
        <v>43</v>
      </c>
      <c r="C4591" t="s">
        <v>46</v>
      </c>
      <c r="D4591" t="s">
        <v>246</v>
      </c>
      <c r="E4591" t="s">
        <v>39</v>
      </c>
      <c r="F4591">
        <v>5</v>
      </c>
      <c r="G4591" t="s">
        <v>13</v>
      </c>
      <c r="H4591" s="1">
        <v>46014.525000000001</v>
      </c>
      <c r="I4591" s="5">
        <f>INT(TB[[#This Row],[时间戳]])</f>
        <v>46014</v>
      </c>
      <c r="J4591" s="2">
        <f>HOUR(TB[[#This Row],[时间戳]])</f>
        <v>12</v>
      </c>
      <c r="K4591">
        <v>2644</v>
      </c>
      <c r="L4591">
        <v>5</v>
      </c>
      <c r="M4591">
        <f>TB[[#This Row],[售价]]*TB[[#This Row],[销量]]</f>
        <v>13220</v>
      </c>
      <c r="N4591" t="str">
        <f>IF(TB[[#This Row],[售价]]&lt;1000,"低价商品",IF(TB[[#This Row],[售价]]&lt;5000,"中价商品",IF(TB[[#This Row],[售价]]&lt;10000,"高价商品","超高价商品")))</f>
        <v>中价商品</v>
      </c>
    </row>
    <row r="4592" spans="1:14" x14ac:dyDescent="0.2">
      <c r="A4592">
        <v>264</v>
      </c>
      <c r="B4592">
        <v>5</v>
      </c>
      <c r="C4592" t="s">
        <v>44</v>
      </c>
      <c r="D4592" t="s">
        <v>268</v>
      </c>
      <c r="E4592" t="s">
        <v>16</v>
      </c>
      <c r="F4592">
        <v>6</v>
      </c>
      <c r="G4592" t="s">
        <v>42</v>
      </c>
      <c r="H4592" s="1">
        <v>46014.540277777778</v>
      </c>
      <c r="I4592" s="5">
        <f>INT(TB[[#This Row],[时间戳]])</f>
        <v>46014</v>
      </c>
      <c r="J4592" s="2">
        <f>HOUR(TB[[#This Row],[时间戳]])</f>
        <v>12</v>
      </c>
      <c r="K4592">
        <v>7468</v>
      </c>
      <c r="L4592">
        <v>0</v>
      </c>
      <c r="M4592">
        <f>TB[[#This Row],[售价]]*TB[[#This Row],[销量]]</f>
        <v>0</v>
      </c>
      <c r="N4592" t="str">
        <f>IF(TB[[#This Row],[售价]]&lt;1000,"低价商品",IF(TB[[#This Row],[售价]]&lt;5000,"中价商品",IF(TB[[#This Row],[售价]]&lt;10000,"高价商品","超高价商品")))</f>
        <v>高价商品</v>
      </c>
    </row>
    <row r="4593" spans="1:14" x14ac:dyDescent="0.2">
      <c r="A4593">
        <v>462</v>
      </c>
      <c r="B4593">
        <v>30</v>
      </c>
      <c r="C4593" t="s">
        <v>34</v>
      </c>
      <c r="D4593" t="s">
        <v>311</v>
      </c>
      <c r="E4593" t="s">
        <v>19</v>
      </c>
      <c r="F4593">
        <v>3</v>
      </c>
      <c r="G4593" t="s">
        <v>13</v>
      </c>
      <c r="H4593" s="1">
        <v>46014.544444444444</v>
      </c>
      <c r="I4593" s="5">
        <f>INT(TB[[#This Row],[时间戳]])</f>
        <v>46014</v>
      </c>
      <c r="J4593" s="2">
        <f>HOUR(TB[[#This Row],[时间戳]])</f>
        <v>13</v>
      </c>
      <c r="K4593">
        <v>3972</v>
      </c>
      <c r="L4593">
        <v>5</v>
      </c>
      <c r="M4593">
        <f>TB[[#This Row],[售价]]*TB[[#This Row],[销量]]</f>
        <v>19860</v>
      </c>
      <c r="N4593" t="str">
        <f>IF(TB[[#This Row],[售价]]&lt;1000,"低价商品",IF(TB[[#This Row],[售价]]&lt;5000,"中价商品",IF(TB[[#This Row],[售价]]&lt;10000,"高价商品","超高价商品")))</f>
        <v>中价商品</v>
      </c>
    </row>
    <row r="4594" spans="1:14" x14ac:dyDescent="0.2">
      <c r="A4594">
        <v>475</v>
      </c>
      <c r="B4594">
        <v>256</v>
      </c>
      <c r="C4594" t="s">
        <v>20</v>
      </c>
      <c r="D4594" t="s">
        <v>21</v>
      </c>
      <c r="E4594" t="s">
        <v>22</v>
      </c>
      <c r="F4594">
        <v>1</v>
      </c>
      <c r="G4594" t="s">
        <v>13</v>
      </c>
      <c r="H4594" s="1">
        <v>46014.557638888888</v>
      </c>
      <c r="I4594" s="5">
        <f>INT(TB[[#This Row],[时间戳]])</f>
        <v>46014</v>
      </c>
      <c r="J4594" s="2">
        <f>HOUR(TB[[#This Row],[时间戳]])</f>
        <v>13</v>
      </c>
      <c r="K4594">
        <v>7077</v>
      </c>
      <c r="L4594">
        <v>5</v>
      </c>
      <c r="M4594">
        <f>TB[[#This Row],[售价]]*TB[[#This Row],[销量]]</f>
        <v>35385</v>
      </c>
      <c r="N4594" t="str">
        <f>IF(TB[[#This Row],[售价]]&lt;1000,"低价商品",IF(TB[[#This Row],[售价]]&lt;5000,"中价商品",IF(TB[[#This Row],[售价]]&lt;10000,"高价商品","超高价商品")))</f>
        <v>高价商品</v>
      </c>
    </row>
    <row r="4595" spans="1:14" x14ac:dyDescent="0.2">
      <c r="A4595">
        <v>447</v>
      </c>
      <c r="B4595">
        <v>40</v>
      </c>
      <c r="C4595" t="s">
        <v>36</v>
      </c>
      <c r="D4595" t="s">
        <v>153</v>
      </c>
      <c r="E4595" t="s">
        <v>31</v>
      </c>
      <c r="F4595">
        <v>4</v>
      </c>
      <c r="G4595" t="s">
        <v>13</v>
      </c>
      <c r="H4595" s="1">
        <v>46014.564583333333</v>
      </c>
      <c r="I4595" s="5">
        <f>INT(TB[[#This Row],[时间戳]])</f>
        <v>46014</v>
      </c>
      <c r="J4595" s="2">
        <f>HOUR(TB[[#This Row],[时间戳]])</f>
        <v>13</v>
      </c>
      <c r="K4595">
        <v>720</v>
      </c>
      <c r="L4595">
        <v>5</v>
      </c>
      <c r="M4595">
        <f>TB[[#This Row],[售价]]*TB[[#This Row],[销量]]</f>
        <v>3600</v>
      </c>
      <c r="N4595" t="str">
        <f>IF(TB[[#This Row],[售价]]&lt;1000,"低价商品",IF(TB[[#This Row],[售价]]&lt;5000,"中价商品",IF(TB[[#This Row],[售价]]&lt;10000,"高价商品","超高价商品")))</f>
        <v>低价商品</v>
      </c>
    </row>
    <row r="4596" spans="1:14" x14ac:dyDescent="0.2">
      <c r="A4596">
        <v>151</v>
      </c>
      <c r="B4596">
        <v>93</v>
      </c>
      <c r="C4596" t="s">
        <v>20</v>
      </c>
      <c r="D4596" t="s">
        <v>88</v>
      </c>
      <c r="E4596" t="s">
        <v>19</v>
      </c>
      <c r="F4596">
        <v>3</v>
      </c>
      <c r="G4596" t="s">
        <v>13</v>
      </c>
      <c r="H4596" s="1">
        <v>46014.574999999997</v>
      </c>
      <c r="I4596" s="5">
        <f>INT(TB[[#This Row],[时间戳]])</f>
        <v>46014</v>
      </c>
      <c r="J4596" s="2">
        <f>HOUR(TB[[#This Row],[时间戳]])</f>
        <v>13</v>
      </c>
      <c r="K4596">
        <v>1649</v>
      </c>
      <c r="L4596">
        <v>3</v>
      </c>
      <c r="M4596">
        <f>TB[[#This Row],[售价]]*TB[[#This Row],[销量]]</f>
        <v>4947</v>
      </c>
      <c r="N4596" t="str">
        <f>IF(TB[[#This Row],[售价]]&lt;1000,"低价商品",IF(TB[[#This Row],[售价]]&lt;5000,"中价商品",IF(TB[[#This Row],[售价]]&lt;10000,"高价商品","超高价商品")))</f>
        <v>中价商品</v>
      </c>
    </row>
    <row r="4597" spans="1:14" x14ac:dyDescent="0.2">
      <c r="A4597">
        <v>467</v>
      </c>
      <c r="B4597">
        <v>106</v>
      </c>
      <c r="C4597" t="s">
        <v>17</v>
      </c>
      <c r="D4597" t="s">
        <v>403</v>
      </c>
      <c r="E4597" t="s">
        <v>19</v>
      </c>
      <c r="F4597">
        <v>3</v>
      </c>
      <c r="G4597" t="s">
        <v>13</v>
      </c>
      <c r="H4597" s="1">
        <v>46014.59375</v>
      </c>
      <c r="I4597" s="5">
        <f>INT(TB[[#This Row],[时间戳]])</f>
        <v>46014</v>
      </c>
      <c r="J4597" s="2">
        <f>HOUR(TB[[#This Row],[时间戳]])</f>
        <v>14</v>
      </c>
      <c r="K4597">
        <v>5313</v>
      </c>
      <c r="L4597">
        <v>5</v>
      </c>
      <c r="M4597">
        <f>TB[[#This Row],[售价]]*TB[[#This Row],[销量]]</f>
        <v>26565</v>
      </c>
      <c r="N4597" t="str">
        <f>IF(TB[[#This Row],[售价]]&lt;1000,"低价商品",IF(TB[[#This Row],[售价]]&lt;5000,"中价商品",IF(TB[[#This Row],[售价]]&lt;10000,"高价商品","超高价商品")))</f>
        <v>高价商品</v>
      </c>
    </row>
    <row r="4598" spans="1:14" x14ac:dyDescent="0.2">
      <c r="A4598">
        <v>659</v>
      </c>
      <c r="B4598">
        <v>76</v>
      </c>
      <c r="C4598" t="s">
        <v>26</v>
      </c>
      <c r="D4598" t="s">
        <v>182</v>
      </c>
      <c r="E4598" t="s">
        <v>31</v>
      </c>
      <c r="F4598">
        <v>4</v>
      </c>
      <c r="G4598" t="s">
        <v>42</v>
      </c>
      <c r="H4598" s="1">
        <v>46014.618750000001</v>
      </c>
      <c r="I4598" s="5">
        <f>INT(TB[[#This Row],[时间戳]])</f>
        <v>46014</v>
      </c>
      <c r="J4598" s="2">
        <f>HOUR(TB[[#This Row],[时间戳]])</f>
        <v>14</v>
      </c>
      <c r="K4598">
        <v>249</v>
      </c>
      <c r="L4598">
        <v>0</v>
      </c>
      <c r="M4598">
        <f>TB[[#This Row],[售价]]*TB[[#This Row],[销量]]</f>
        <v>0</v>
      </c>
      <c r="N4598" t="str">
        <f>IF(TB[[#This Row],[售价]]&lt;1000,"低价商品",IF(TB[[#This Row],[售价]]&lt;5000,"中价商品",IF(TB[[#This Row],[售价]]&lt;10000,"高价商品","超高价商品")))</f>
        <v>低价商品</v>
      </c>
    </row>
    <row r="4599" spans="1:14" x14ac:dyDescent="0.2">
      <c r="A4599">
        <v>476</v>
      </c>
      <c r="B4599">
        <v>190</v>
      </c>
      <c r="C4599" t="s">
        <v>14</v>
      </c>
      <c r="D4599" t="s">
        <v>89</v>
      </c>
      <c r="E4599" t="s">
        <v>22</v>
      </c>
      <c r="F4599">
        <v>1</v>
      </c>
      <c r="G4599" t="s">
        <v>13</v>
      </c>
      <c r="H4599" s="1">
        <v>46014.623611111114</v>
      </c>
      <c r="I4599" s="5">
        <f>INT(TB[[#This Row],[时间戳]])</f>
        <v>46014</v>
      </c>
      <c r="J4599" s="2">
        <f>HOUR(TB[[#This Row],[时间戳]])</f>
        <v>14</v>
      </c>
      <c r="K4599">
        <v>4801</v>
      </c>
      <c r="L4599">
        <v>5</v>
      </c>
      <c r="M4599">
        <f>TB[[#This Row],[售价]]*TB[[#This Row],[销量]]</f>
        <v>24005</v>
      </c>
      <c r="N4599" t="str">
        <f>IF(TB[[#This Row],[售价]]&lt;1000,"低价商品",IF(TB[[#This Row],[售价]]&lt;5000,"中价商品",IF(TB[[#This Row],[售价]]&lt;10000,"高价商品","超高价商品")))</f>
        <v>中价商品</v>
      </c>
    </row>
    <row r="4600" spans="1:14" x14ac:dyDescent="0.2">
      <c r="A4600">
        <v>124</v>
      </c>
      <c r="B4600">
        <v>252</v>
      </c>
      <c r="C4600" t="s">
        <v>17</v>
      </c>
      <c r="D4600" t="s">
        <v>292</v>
      </c>
      <c r="E4600" t="s">
        <v>25</v>
      </c>
      <c r="F4600">
        <v>7</v>
      </c>
      <c r="G4600" t="s">
        <v>13</v>
      </c>
      <c r="H4600" s="1">
        <v>46014.633333333331</v>
      </c>
      <c r="I4600" s="5">
        <f>INT(TB[[#This Row],[时间戳]])</f>
        <v>46014</v>
      </c>
      <c r="J4600" s="2">
        <f>HOUR(TB[[#This Row],[时间戳]])</f>
        <v>15</v>
      </c>
      <c r="K4600">
        <v>6885</v>
      </c>
      <c r="L4600">
        <v>5</v>
      </c>
      <c r="M4600">
        <f>TB[[#This Row],[售价]]*TB[[#This Row],[销量]]</f>
        <v>34425</v>
      </c>
      <c r="N4600" t="str">
        <f>IF(TB[[#This Row],[售价]]&lt;1000,"低价商品",IF(TB[[#This Row],[售价]]&lt;5000,"中价商品",IF(TB[[#This Row],[售价]]&lt;10000,"高价商品","超高价商品")))</f>
        <v>高价商品</v>
      </c>
    </row>
    <row r="4601" spans="1:14" x14ac:dyDescent="0.2">
      <c r="A4601">
        <v>799</v>
      </c>
      <c r="B4601">
        <v>151</v>
      </c>
      <c r="C4601" t="s">
        <v>26</v>
      </c>
      <c r="D4601" t="s">
        <v>407</v>
      </c>
      <c r="E4601" t="s">
        <v>39</v>
      </c>
      <c r="F4601">
        <v>5</v>
      </c>
      <c r="G4601" t="s">
        <v>13</v>
      </c>
      <c r="H4601" s="1">
        <v>46014.638888888891</v>
      </c>
      <c r="I4601" s="5">
        <f>INT(TB[[#This Row],[时间戳]])</f>
        <v>46014</v>
      </c>
      <c r="J4601" s="2">
        <f>HOUR(TB[[#This Row],[时间戳]])</f>
        <v>15</v>
      </c>
      <c r="K4601">
        <v>1252</v>
      </c>
      <c r="L4601">
        <v>5</v>
      </c>
      <c r="M4601">
        <f>TB[[#This Row],[售价]]*TB[[#This Row],[销量]]</f>
        <v>6260</v>
      </c>
      <c r="N4601" t="str">
        <f>IF(TB[[#This Row],[售价]]&lt;1000,"低价商品",IF(TB[[#This Row],[售价]]&lt;5000,"中价商品",IF(TB[[#This Row],[售价]]&lt;10000,"高价商品","超高价商品")))</f>
        <v>中价商品</v>
      </c>
    </row>
    <row r="4602" spans="1:14" x14ac:dyDescent="0.2">
      <c r="A4602">
        <v>117</v>
      </c>
      <c r="B4602">
        <v>148</v>
      </c>
      <c r="C4602" t="s">
        <v>20</v>
      </c>
      <c r="D4602" t="s">
        <v>85</v>
      </c>
      <c r="E4602" t="s">
        <v>31</v>
      </c>
      <c r="F4602">
        <v>4</v>
      </c>
      <c r="G4602" t="s">
        <v>13</v>
      </c>
      <c r="H4602" s="1">
        <v>46014.643055555556</v>
      </c>
      <c r="I4602" s="5">
        <f>INT(TB[[#This Row],[时间戳]])</f>
        <v>46014</v>
      </c>
      <c r="J4602" s="2">
        <f>HOUR(TB[[#This Row],[时间戳]])</f>
        <v>15</v>
      </c>
      <c r="K4602">
        <v>487</v>
      </c>
      <c r="L4602">
        <v>5</v>
      </c>
      <c r="M4602">
        <f>TB[[#This Row],[售价]]*TB[[#This Row],[销量]]</f>
        <v>2435</v>
      </c>
      <c r="N4602" t="str">
        <f>IF(TB[[#This Row],[售价]]&lt;1000,"低价商品",IF(TB[[#This Row],[售价]]&lt;5000,"中价商品",IF(TB[[#This Row],[售价]]&lt;10000,"高价商品","超高价商品")))</f>
        <v>低价商品</v>
      </c>
    </row>
    <row r="4603" spans="1:14" x14ac:dyDescent="0.2">
      <c r="A4603">
        <v>567</v>
      </c>
      <c r="B4603">
        <v>120</v>
      </c>
      <c r="C4603" t="s">
        <v>17</v>
      </c>
      <c r="D4603" t="s">
        <v>50</v>
      </c>
      <c r="E4603" t="s">
        <v>22</v>
      </c>
      <c r="F4603">
        <v>1</v>
      </c>
      <c r="G4603" t="s">
        <v>13</v>
      </c>
      <c r="H4603" s="1">
        <v>46014.671527777777</v>
      </c>
      <c r="I4603" s="5">
        <f>INT(TB[[#This Row],[时间戳]])</f>
        <v>46014</v>
      </c>
      <c r="J4603" s="2">
        <f>HOUR(TB[[#This Row],[时间戳]])</f>
        <v>16</v>
      </c>
      <c r="K4603">
        <v>3279</v>
      </c>
      <c r="L4603">
        <v>3</v>
      </c>
      <c r="M4603">
        <f>TB[[#This Row],[售价]]*TB[[#This Row],[销量]]</f>
        <v>9837</v>
      </c>
      <c r="N4603" t="str">
        <f>IF(TB[[#This Row],[售价]]&lt;1000,"低价商品",IF(TB[[#This Row],[售价]]&lt;5000,"中价商品",IF(TB[[#This Row],[售价]]&lt;10000,"高价商品","超高价商品")))</f>
        <v>中价商品</v>
      </c>
    </row>
    <row r="4604" spans="1:14" x14ac:dyDescent="0.2">
      <c r="A4604">
        <v>436</v>
      </c>
      <c r="B4604">
        <v>297</v>
      </c>
      <c r="C4604" t="s">
        <v>26</v>
      </c>
      <c r="D4604" t="s">
        <v>271</v>
      </c>
      <c r="E4604" t="s">
        <v>25</v>
      </c>
      <c r="F4604">
        <v>7</v>
      </c>
      <c r="G4604" t="s">
        <v>42</v>
      </c>
      <c r="H4604" s="1">
        <v>46014.715277777781</v>
      </c>
      <c r="I4604" s="5">
        <f>INT(TB[[#This Row],[时间戳]])</f>
        <v>46014</v>
      </c>
      <c r="J4604" s="2">
        <f>HOUR(TB[[#This Row],[时间戳]])</f>
        <v>17</v>
      </c>
      <c r="K4604">
        <v>1756</v>
      </c>
      <c r="L4604">
        <v>0</v>
      </c>
      <c r="M4604">
        <f>TB[[#This Row],[售价]]*TB[[#This Row],[销量]]</f>
        <v>0</v>
      </c>
      <c r="N4604" t="str">
        <f>IF(TB[[#This Row],[售价]]&lt;1000,"低价商品",IF(TB[[#This Row],[售价]]&lt;5000,"中价商品",IF(TB[[#This Row],[售价]]&lt;10000,"高价商品","超高价商品")))</f>
        <v>中价商品</v>
      </c>
    </row>
    <row r="4605" spans="1:14" x14ac:dyDescent="0.2">
      <c r="A4605">
        <v>192</v>
      </c>
      <c r="B4605">
        <v>16</v>
      </c>
      <c r="C4605" t="s">
        <v>46</v>
      </c>
      <c r="D4605" t="s">
        <v>341</v>
      </c>
      <c r="E4605" t="s">
        <v>31</v>
      </c>
      <c r="F4605">
        <v>4</v>
      </c>
      <c r="G4605" t="s">
        <v>13</v>
      </c>
      <c r="H4605" s="1">
        <v>46014.724305555559</v>
      </c>
      <c r="I4605" s="5">
        <f>INT(TB[[#This Row],[时间戳]])</f>
        <v>46014</v>
      </c>
      <c r="J4605" s="2">
        <f>HOUR(TB[[#This Row],[时间戳]])</f>
        <v>17</v>
      </c>
      <c r="K4605">
        <v>50</v>
      </c>
      <c r="L4605">
        <v>5</v>
      </c>
      <c r="M4605">
        <f>TB[[#This Row],[售价]]*TB[[#This Row],[销量]]</f>
        <v>250</v>
      </c>
      <c r="N4605" t="str">
        <f>IF(TB[[#This Row],[售价]]&lt;1000,"低价商品",IF(TB[[#This Row],[售价]]&lt;5000,"中价商品",IF(TB[[#This Row],[售价]]&lt;10000,"高价商品","超高价商品")))</f>
        <v>低价商品</v>
      </c>
    </row>
    <row r="4606" spans="1:14" x14ac:dyDescent="0.2">
      <c r="A4606">
        <v>563</v>
      </c>
      <c r="B4606">
        <v>8</v>
      </c>
      <c r="C4606" t="s">
        <v>17</v>
      </c>
      <c r="D4606" t="s">
        <v>354</v>
      </c>
      <c r="E4606" t="s">
        <v>16</v>
      </c>
      <c r="F4606">
        <v>6</v>
      </c>
      <c r="G4606" t="s">
        <v>13</v>
      </c>
      <c r="H4606" s="1">
        <v>46014.75</v>
      </c>
      <c r="I4606" s="5">
        <f>INT(TB[[#This Row],[时间戳]])</f>
        <v>46014</v>
      </c>
      <c r="J4606" s="2">
        <f>HOUR(TB[[#This Row],[时间戳]])</f>
        <v>18</v>
      </c>
      <c r="K4606">
        <v>5134</v>
      </c>
      <c r="L4606">
        <v>5</v>
      </c>
      <c r="M4606">
        <f>TB[[#This Row],[售价]]*TB[[#This Row],[销量]]</f>
        <v>25670</v>
      </c>
      <c r="N4606" t="str">
        <f>IF(TB[[#This Row],[售价]]&lt;1000,"低价商品",IF(TB[[#This Row],[售价]]&lt;5000,"中价商品",IF(TB[[#This Row],[售价]]&lt;10000,"高价商品","超高价商品")))</f>
        <v>高价商品</v>
      </c>
    </row>
    <row r="4607" spans="1:14" x14ac:dyDescent="0.2">
      <c r="A4607">
        <v>276</v>
      </c>
      <c r="B4607">
        <v>254</v>
      </c>
      <c r="C4607" t="s">
        <v>26</v>
      </c>
      <c r="D4607" t="s">
        <v>245</v>
      </c>
      <c r="E4607" t="s">
        <v>39</v>
      </c>
      <c r="F4607">
        <v>5</v>
      </c>
      <c r="G4607" t="s">
        <v>13</v>
      </c>
      <c r="H4607" s="1">
        <v>46014.791666666664</v>
      </c>
      <c r="I4607" s="5">
        <f>INT(TB[[#This Row],[时间戳]])</f>
        <v>46014</v>
      </c>
      <c r="J4607" s="2">
        <f>HOUR(TB[[#This Row],[时间戳]])</f>
        <v>19</v>
      </c>
      <c r="K4607">
        <v>1127</v>
      </c>
      <c r="L4607">
        <v>3</v>
      </c>
      <c r="M4607">
        <f>TB[[#This Row],[售价]]*TB[[#This Row],[销量]]</f>
        <v>3381</v>
      </c>
      <c r="N4607" t="str">
        <f>IF(TB[[#This Row],[售价]]&lt;1000,"低价商品",IF(TB[[#This Row],[售价]]&lt;5000,"中价商品",IF(TB[[#This Row],[售价]]&lt;10000,"高价商品","超高价商品")))</f>
        <v>中价商品</v>
      </c>
    </row>
    <row r="4608" spans="1:14" x14ac:dyDescent="0.2">
      <c r="A4608">
        <v>26</v>
      </c>
      <c r="B4608">
        <v>37</v>
      </c>
      <c r="C4608" t="s">
        <v>17</v>
      </c>
      <c r="D4608" t="s">
        <v>255</v>
      </c>
      <c r="E4608" t="s">
        <v>31</v>
      </c>
      <c r="F4608">
        <v>4</v>
      </c>
      <c r="G4608" t="s">
        <v>13</v>
      </c>
      <c r="H4608" s="1">
        <v>46014.825694444444</v>
      </c>
      <c r="I4608" s="5">
        <f>INT(TB[[#This Row],[时间戳]])</f>
        <v>46014</v>
      </c>
      <c r="J4608" s="2">
        <f>HOUR(TB[[#This Row],[时间戳]])</f>
        <v>19</v>
      </c>
      <c r="K4608">
        <v>50</v>
      </c>
      <c r="L4608">
        <v>5</v>
      </c>
      <c r="M4608">
        <f>TB[[#This Row],[售价]]*TB[[#This Row],[销量]]</f>
        <v>250</v>
      </c>
      <c r="N4608" t="str">
        <f>IF(TB[[#This Row],[售价]]&lt;1000,"低价商品",IF(TB[[#This Row],[售价]]&lt;5000,"中价商品",IF(TB[[#This Row],[售价]]&lt;10000,"高价商品","超高价商品")))</f>
        <v>低价商品</v>
      </c>
    </row>
    <row r="4609" spans="1:14" x14ac:dyDescent="0.2">
      <c r="A4609">
        <v>83</v>
      </c>
      <c r="B4609">
        <v>205</v>
      </c>
      <c r="C4609" t="s">
        <v>10</v>
      </c>
      <c r="D4609" t="s">
        <v>41</v>
      </c>
      <c r="E4609" t="s">
        <v>22</v>
      </c>
      <c r="F4609">
        <v>1</v>
      </c>
      <c r="G4609" t="s">
        <v>13</v>
      </c>
      <c r="H4609" s="1">
        <v>46014.829861111109</v>
      </c>
      <c r="I4609" s="5">
        <f>INT(TB[[#This Row],[时间戳]])</f>
        <v>46014</v>
      </c>
      <c r="J4609" s="2">
        <f>HOUR(TB[[#This Row],[时间戳]])</f>
        <v>19</v>
      </c>
      <c r="K4609">
        <v>4728</v>
      </c>
      <c r="L4609">
        <v>5</v>
      </c>
      <c r="M4609">
        <f>TB[[#This Row],[售价]]*TB[[#This Row],[销量]]</f>
        <v>23640</v>
      </c>
      <c r="N4609" t="str">
        <f>IF(TB[[#This Row],[售价]]&lt;1000,"低价商品",IF(TB[[#This Row],[售价]]&lt;5000,"中价商品",IF(TB[[#This Row],[售价]]&lt;10000,"高价商品","超高价商品")))</f>
        <v>中价商品</v>
      </c>
    </row>
    <row r="4610" spans="1:14" x14ac:dyDescent="0.2">
      <c r="A4610">
        <v>702</v>
      </c>
      <c r="B4610">
        <v>6</v>
      </c>
      <c r="C4610" t="s">
        <v>10</v>
      </c>
      <c r="D4610" t="s">
        <v>241</v>
      </c>
      <c r="E4610" t="s">
        <v>12</v>
      </c>
      <c r="F4610">
        <v>2</v>
      </c>
      <c r="G4610" t="s">
        <v>13</v>
      </c>
      <c r="H4610" s="1">
        <v>46014.887499999997</v>
      </c>
      <c r="I4610" s="5">
        <f>INT(TB[[#This Row],[时间戳]])</f>
        <v>46014</v>
      </c>
      <c r="J4610" s="2">
        <f>HOUR(TB[[#This Row],[时间戳]])</f>
        <v>21</v>
      </c>
      <c r="K4610">
        <v>7206</v>
      </c>
      <c r="L4610">
        <v>3</v>
      </c>
      <c r="M4610">
        <f>TB[[#This Row],[售价]]*TB[[#This Row],[销量]]</f>
        <v>21618</v>
      </c>
      <c r="N4610" t="str">
        <f>IF(TB[[#This Row],[售价]]&lt;1000,"低价商品",IF(TB[[#This Row],[售价]]&lt;5000,"中价商品",IF(TB[[#This Row],[售价]]&lt;10000,"高价商品","超高价商品")))</f>
        <v>高价商品</v>
      </c>
    </row>
    <row r="4611" spans="1:14" x14ac:dyDescent="0.2">
      <c r="A4611">
        <v>214</v>
      </c>
      <c r="B4611">
        <v>95</v>
      </c>
      <c r="C4611" t="s">
        <v>46</v>
      </c>
      <c r="D4611" t="s">
        <v>341</v>
      </c>
      <c r="E4611" t="s">
        <v>31</v>
      </c>
      <c r="F4611">
        <v>4</v>
      </c>
      <c r="G4611" t="s">
        <v>13</v>
      </c>
      <c r="H4611" s="1">
        <v>46014.895833333336</v>
      </c>
      <c r="I4611" s="5">
        <f>INT(TB[[#This Row],[时间戳]])</f>
        <v>46014</v>
      </c>
      <c r="J4611" s="2">
        <f>HOUR(TB[[#This Row],[时间戳]])</f>
        <v>21</v>
      </c>
      <c r="K4611">
        <v>66</v>
      </c>
      <c r="L4611">
        <v>5</v>
      </c>
      <c r="M4611">
        <f>TB[[#This Row],[售价]]*TB[[#This Row],[销量]]</f>
        <v>330</v>
      </c>
      <c r="N4611" t="str">
        <f>IF(TB[[#This Row],[售价]]&lt;1000,"低价商品",IF(TB[[#This Row],[售价]]&lt;5000,"中价商品",IF(TB[[#This Row],[售价]]&lt;10000,"高价商品","超高价商品")))</f>
        <v>低价商品</v>
      </c>
    </row>
    <row r="4612" spans="1:14" x14ac:dyDescent="0.2">
      <c r="A4612">
        <v>287</v>
      </c>
      <c r="B4612">
        <v>193</v>
      </c>
      <c r="C4612" t="s">
        <v>26</v>
      </c>
      <c r="D4612" t="s">
        <v>92</v>
      </c>
      <c r="E4612" t="s">
        <v>19</v>
      </c>
      <c r="F4612">
        <v>3</v>
      </c>
      <c r="G4612" t="s">
        <v>13</v>
      </c>
      <c r="H4612" s="1">
        <v>46014.90347222222</v>
      </c>
      <c r="I4612" s="5">
        <f>INT(TB[[#This Row],[时间戳]])</f>
        <v>46014</v>
      </c>
      <c r="J4612" s="2">
        <f>HOUR(TB[[#This Row],[时间戳]])</f>
        <v>21</v>
      </c>
      <c r="K4612">
        <v>4919</v>
      </c>
      <c r="L4612">
        <v>5</v>
      </c>
      <c r="M4612">
        <f>TB[[#This Row],[售价]]*TB[[#This Row],[销量]]</f>
        <v>24595</v>
      </c>
      <c r="N4612" t="str">
        <f>IF(TB[[#This Row],[售价]]&lt;1000,"低价商品",IF(TB[[#This Row],[售价]]&lt;5000,"中价商品",IF(TB[[#This Row],[售价]]&lt;10000,"高价商品","超高价商品")))</f>
        <v>中价商品</v>
      </c>
    </row>
    <row r="4613" spans="1:14" x14ac:dyDescent="0.2">
      <c r="A4613">
        <v>164</v>
      </c>
      <c r="B4613">
        <v>289</v>
      </c>
      <c r="C4613" t="s">
        <v>14</v>
      </c>
      <c r="D4613" t="s">
        <v>106</v>
      </c>
      <c r="E4613" t="s">
        <v>22</v>
      </c>
      <c r="F4613">
        <v>1</v>
      </c>
      <c r="G4613" t="s">
        <v>13</v>
      </c>
      <c r="H4613" s="1">
        <v>46014.904861111114</v>
      </c>
      <c r="I4613" s="5">
        <f>INT(TB[[#This Row],[时间戳]])</f>
        <v>46014</v>
      </c>
      <c r="J4613" s="2">
        <f>HOUR(TB[[#This Row],[时间戳]])</f>
        <v>21</v>
      </c>
      <c r="K4613">
        <v>5645</v>
      </c>
      <c r="L4613">
        <v>5</v>
      </c>
      <c r="M4613">
        <f>TB[[#This Row],[售价]]*TB[[#This Row],[销量]]</f>
        <v>28225</v>
      </c>
      <c r="N4613" t="str">
        <f>IF(TB[[#This Row],[售价]]&lt;1000,"低价商品",IF(TB[[#This Row],[售价]]&lt;5000,"中价商品",IF(TB[[#This Row],[售价]]&lt;10000,"高价商品","超高价商品")))</f>
        <v>高价商品</v>
      </c>
    </row>
    <row r="4614" spans="1:14" x14ac:dyDescent="0.2">
      <c r="A4614">
        <v>248</v>
      </c>
      <c r="B4614">
        <v>285</v>
      </c>
      <c r="C4614" t="s">
        <v>44</v>
      </c>
      <c r="D4614" t="s">
        <v>268</v>
      </c>
      <c r="E4614" t="s">
        <v>16</v>
      </c>
      <c r="F4614">
        <v>6</v>
      </c>
      <c r="G4614" t="s">
        <v>42</v>
      </c>
      <c r="H4614" s="1">
        <v>46014.916666666664</v>
      </c>
      <c r="I4614" s="5">
        <f>INT(TB[[#This Row],[时间戳]])</f>
        <v>46014</v>
      </c>
      <c r="J4614" s="2">
        <f>HOUR(TB[[#This Row],[时间戳]])</f>
        <v>22</v>
      </c>
      <c r="K4614">
        <v>6765</v>
      </c>
      <c r="L4614">
        <v>0</v>
      </c>
      <c r="M4614">
        <f>TB[[#This Row],[售价]]*TB[[#This Row],[销量]]</f>
        <v>0</v>
      </c>
      <c r="N4614" t="str">
        <f>IF(TB[[#This Row],[售价]]&lt;1000,"低价商品",IF(TB[[#This Row],[售价]]&lt;5000,"中价商品",IF(TB[[#This Row],[售价]]&lt;10000,"高价商品","超高价商品")))</f>
        <v>高价商品</v>
      </c>
    </row>
    <row r="4615" spans="1:14" x14ac:dyDescent="0.2">
      <c r="A4615">
        <v>34</v>
      </c>
      <c r="B4615">
        <v>204</v>
      </c>
      <c r="C4615" t="s">
        <v>32</v>
      </c>
      <c r="D4615" t="s">
        <v>313</v>
      </c>
      <c r="E4615" t="s">
        <v>39</v>
      </c>
      <c r="F4615">
        <v>5</v>
      </c>
      <c r="G4615" t="s">
        <v>13</v>
      </c>
      <c r="H4615" s="1">
        <v>46014.919444444444</v>
      </c>
      <c r="I4615" s="5">
        <f>INT(TB[[#This Row],[时间戳]])</f>
        <v>46014</v>
      </c>
      <c r="J4615" s="2">
        <f>HOUR(TB[[#This Row],[时间戳]])</f>
        <v>22</v>
      </c>
      <c r="K4615">
        <v>897</v>
      </c>
      <c r="L4615">
        <v>3</v>
      </c>
      <c r="M4615">
        <f>TB[[#This Row],[售价]]*TB[[#This Row],[销量]]</f>
        <v>2691</v>
      </c>
      <c r="N4615" t="str">
        <f>IF(TB[[#This Row],[售价]]&lt;1000,"低价商品",IF(TB[[#This Row],[售价]]&lt;5000,"中价商品",IF(TB[[#This Row],[售价]]&lt;10000,"高价商品","超高价商品")))</f>
        <v>低价商品</v>
      </c>
    </row>
    <row r="4616" spans="1:14" x14ac:dyDescent="0.2">
      <c r="A4616">
        <v>161</v>
      </c>
      <c r="B4616">
        <v>180</v>
      </c>
      <c r="C4616" t="s">
        <v>36</v>
      </c>
      <c r="D4616" t="s">
        <v>136</v>
      </c>
      <c r="E4616" t="s">
        <v>39</v>
      </c>
      <c r="F4616">
        <v>5</v>
      </c>
      <c r="G4616" t="s">
        <v>13</v>
      </c>
      <c r="H4616" s="1">
        <v>46014.924305555556</v>
      </c>
      <c r="I4616" s="5">
        <f>INT(TB[[#This Row],[时间戳]])</f>
        <v>46014</v>
      </c>
      <c r="J4616" s="2">
        <f>HOUR(TB[[#This Row],[时间戳]])</f>
        <v>22</v>
      </c>
      <c r="K4616">
        <v>3863</v>
      </c>
      <c r="L4616">
        <v>5</v>
      </c>
      <c r="M4616">
        <f>TB[[#This Row],[售价]]*TB[[#This Row],[销量]]</f>
        <v>19315</v>
      </c>
      <c r="N4616" t="str">
        <f>IF(TB[[#This Row],[售价]]&lt;1000,"低价商品",IF(TB[[#This Row],[售价]]&lt;5000,"中价商品",IF(TB[[#This Row],[售价]]&lt;10000,"高价商品","超高价商品")))</f>
        <v>中价商品</v>
      </c>
    </row>
    <row r="4617" spans="1:14" x14ac:dyDescent="0.2">
      <c r="A4617">
        <v>333</v>
      </c>
      <c r="B4617">
        <v>56</v>
      </c>
      <c r="C4617" t="s">
        <v>46</v>
      </c>
      <c r="D4617" t="s">
        <v>129</v>
      </c>
      <c r="E4617" t="s">
        <v>31</v>
      </c>
      <c r="F4617">
        <v>4</v>
      </c>
      <c r="G4617" t="s">
        <v>13</v>
      </c>
      <c r="H4617" s="1">
        <v>46014.931250000001</v>
      </c>
      <c r="I4617" s="5">
        <f>INT(TB[[#This Row],[时间戳]])</f>
        <v>46014</v>
      </c>
      <c r="J4617" s="2">
        <f>HOUR(TB[[#This Row],[时间戳]])</f>
        <v>22</v>
      </c>
      <c r="K4617">
        <v>1484</v>
      </c>
      <c r="L4617">
        <v>5</v>
      </c>
      <c r="M4617">
        <f>TB[[#This Row],[售价]]*TB[[#This Row],[销量]]</f>
        <v>7420</v>
      </c>
      <c r="N4617" t="str">
        <f>IF(TB[[#This Row],[售价]]&lt;1000,"低价商品",IF(TB[[#This Row],[售价]]&lt;5000,"中价商品",IF(TB[[#This Row],[售价]]&lt;10000,"高价商品","超高价商品")))</f>
        <v>中价商品</v>
      </c>
    </row>
    <row r="4618" spans="1:14" x14ac:dyDescent="0.2">
      <c r="A4618">
        <v>231</v>
      </c>
      <c r="B4618">
        <v>66</v>
      </c>
      <c r="C4618" t="s">
        <v>32</v>
      </c>
      <c r="D4618" t="s">
        <v>215</v>
      </c>
      <c r="E4618" t="s">
        <v>31</v>
      </c>
      <c r="F4618">
        <v>4</v>
      </c>
      <c r="G4618" t="s">
        <v>13</v>
      </c>
      <c r="H4618" s="1">
        <v>46014.961805555555</v>
      </c>
      <c r="I4618" s="5">
        <f>INT(TB[[#This Row],[时间戳]])</f>
        <v>46014</v>
      </c>
      <c r="J4618" s="2">
        <f>HOUR(TB[[#This Row],[时间戳]])</f>
        <v>23</v>
      </c>
      <c r="K4618">
        <v>1500</v>
      </c>
      <c r="L4618">
        <v>3</v>
      </c>
      <c r="M4618">
        <f>TB[[#This Row],[售价]]*TB[[#This Row],[销量]]</f>
        <v>4500</v>
      </c>
      <c r="N4618" t="str">
        <f>IF(TB[[#This Row],[售价]]&lt;1000,"低价商品",IF(TB[[#This Row],[售价]]&lt;5000,"中价商品",IF(TB[[#This Row],[售价]]&lt;10000,"高价商品","超高价商品")))</f>
        <v>中价商品</v>
      </c>
    </row>
    <row r="4619" spans="1:14" x14ac:dyDescent="0.2">
      <c r="A4619">
        <v>185</v>
      </c>
      <c r="B4619">
        <v>277</v>
      </c>
      <c r="C4619" t="s">
        <v>26</v>
      </c>
      <c r="D4619" t="s">
        <v>122</v>
      </c>
      <c r="E4619" t="s">
        <v>31</v>
      </c>
      <c r="F4619">
        <v>4</v>
      </c>
      <c r="G4619" t="s">
        <v>13</v>
      </c>
      <c r="H4619" s="1">
        <v>46015</v>
      </c>
      <c r="I4619" s="5">
        <f>INT(TB[[#This Row],[时间戳]])</f>
        <v>46015</v>
      </c>
      <c r="J4619" s="2">
        <f>HOUR(TB[[#This Row],[时间戳]])</f>
        <v>0</v>
      </c>
      <c r="K4619">
        <v>1154</v>
      </c>
      <c r="L4619">
        <v>5</v>
      </c>
      <c r="M4619">
        <f>TB[[#This Row],[售价]]*TB[[#This Row],[销量]]</f>
        <v>5770</v>
      </c>
      <c r="N4619" t="str">
        <f>IF(TB[[#This Row],[售价]]&lt;1000,"低价商品",IF(TB[[#This Row],[售价]]&lt;5000,"中价商品",IF(TB[[#This Row],[售价]]&lt;10000,"高价商品","超高价商品")))</f>
        <v>中价商品</v>
      </c>
    </row>
    <row r="4620" spans="1:14" x14ac:dyDescent="0.2">
      <c r="A4620">
        <v>397</v>
      </c>
      <c r="B4620">
        <v>114</v>
      </c>
      <c r="C4620" t="s">
        <v>46</v>
      </c>
      <c r="D4620" t="s">
        <v>159</v>
      </c>
      <c r="E4620" t="s">
        <v>16</v>
      </c>
      <c r="F4620">
        <v>6</v>
      </c>
      <c r="G4620" t="s">
        <v>13</v>
      </c>
      <c r="H4620" s="1">
        <v>46015.006944444445</v>
      </c>
      <c r="I4620" s="5">
        <f>INT(TB[[#This Row],[时间戳]])</f>
        <v>46015</v>
      </c>
      <c r="J4620" s="2">
        <f>HOUR(TB[[#This Row],[时间戳]])</f>
        <v>0</v>
      </c>
      <c r="K4620">
        <v>3306</v>
      </c>
      <c r="L4620">
        <v>5</v>
      </c>
      <c r="M4620">
        <f>TB[[#This Row],[售价]]*TB[[#This Row],[销量]]</f>
        <v>16530</v>
      </c>
      <c r="N4620" t="str">
        <f>IF(TB[[#This Row],[售价]]&lt;1000,"低价商品",IF(TB[[#This Row],[售价]]&lt;5000,"中价商品",IF(TB[[#This Row],[售价]]&lt;10000,"高价商品","超高价商品")))</f>
        <v>中价商品</v>
      </c>
    </row>
    <row r="4621" spans="1:14" x14ac:dyDescent="0.2">
      <c r="A4621">
        <v>791</v>
      </c>
      <c r="B4621">
        <v>289</v>
      </c>
      <c r="C4621" t="s">
        <v>10</v>
      </c>
      <c r="D4621" t="s">
        <v>244</v>
      </c>
      <c r="E4621" t="s">
        <v>19</v>
      </c>
      <c r="F4621">
        <v>3</v>
      </c>
      <c r="G4621" t="s">
        <v>13</v>
      </c>
      <c r="H4621" s="1">
        <v>46015.043055555558</v>
      </c>
      <c r="I4621" s="5">
        <f>INT(TB[[#This Row],[时间戳]])</f>
        <v>46015</v>
      </c>
      <c r="J4621" s="2">
        <f>HOUR(TB[[#This Row],[时间戳]])</f>
        <v>1</v>
      </c>
      <c r="K4621">
        <v>4484</v>
      </c>
      <c r="L4621">
        <v>5</v>
      </c>
      <c r="M4621">
        <f>TB[[#This Row],[售价]]*TB[[#This Row],[销量]]</f>
        <v>22420</v>
      </c>
      <c r="N4621" t="str">
        <f>IF(TB[[#This Row],[售价]]&lt;1000,"低价商品",IF(TB[[#This Row],[售价]]&lt;5000,"中价商品",IF(TB[[#This Row],[售价]]&lt;10000,"高价商品","超高价商品")))</f>
        <v>中价商品</v>
      </c>
    </row>
    <row r="4622" spans="1:14" x14ac:dyDescent="0.2">
      <c r="A4622">
        <v>736</v>
      </c>
      <c r="B4622">
        <v>215</v>
      </c>
      <c r="C4622" t="s">
        <v>26</v>
      </c>
      <c r="D4622" t="s">
        <v>122</v>
      </c>
      <c r="E4622" t="s">
        <v>31</v>
      </c>
      <c r="F4622">
        <v>4</v>
      </c>
      <c r="G4622" t="s">
        <v>42</v>
      </c>
      <c r="H4622" s="1">
        <v>46015.078472222223</v>
      </c>
      <c r="I4622" s="5">
        <f>INT(TB[[#This Row],[时间戳]])</f>
        <v>46015</v>
      </c>
      <c r="J4622" s="2">
        <f>HOUR(TB[[#This Row],[时间戳]])</f>
        <v>1</v>
      </c>
      <c r="K4622">
        <v>759</v>
      </c>
      <c r="L4622">
        <v>0</v>
      </c>
      <c r="M4622">
        <f>TB[[#This Row],[售价]]*TB[[#This Row],[销量]]</f>
        <v>0</v>
      </c>
      <c r="N4622" t="str">
        <f>IF(TB[[#This Row],[售价]]&lt;1000,"低价商品",IF(TB[[#This Row],[售价]]&lt;5000,"中价商品",IF(TB[[#This Row],[售价]]&lt;10000,"高价商品","超高价商品")))</f>
        <v>低价商品</v>
      </c>
    </row>
    <row r="4623" spans="1:14" x14ac:dyDescent="0.2">
      <c r="A4623">
        <v>465</v>
      </c>
      <c r="B4623">
        <v>86</v>
      </c>
      <c r="C4623" t="s">
        <v>34</v>
      </c>
      <c r="D4623" t="s">
        <v>308</v>
      </c>
      <c r="E4623" t="s">
        <v>25</v>
      </c>
      <c r="F4623">
        <v>7</v>
      </c>
      <c r="G4623" t="s">
        <v>13</v>
      </c>
      <c r="H4623" s="1">
        <v>46015.105555555558</v>
      </c>
      <c r="I4623" s="5">
        <f>INT(TB[[#This Row],[时间戳]])</f>
        <v>46015</v>
      </c>
      <c r="J4623" s="2">
        <f>HOUR(TB[[#This Row],[时间戳]])</f>
        <v>2</v>
      </c>
      <c r="K4623">
        <v>5209</v>
      </c>
      <c r="L4623">
        <v>5</v>
      </c>
      <c r="M4623">
        <f>TB[[#This Row],[售价]]*TB[[#This Row],[销量]]</f>
        <v>26045</v>
      </c>
      <c r="N4623" t="str">
        <f>IF(TB[[#This Row],[售价]]&lt;1000,"低价商品",IF(TB[[#This Row],[售价]]&lt;5000,"中价商品",IF(TB[[#This Row],[售价]]&lt;10000,"高价商品","超高价商品")))</f>
        <v>高价商品</v>
      </c>
    </row>
    <row r="4624" spans="1:14" x14ac:dyDescent="0.2">
      <c r="A4624">
        <v>211</v>
      </c>
      <c r="B4624">
        <v>251</v>
      </c>
      <c r="C4624" t="s">
        <v>36</v>
      </c>
      <c r="D4624" t="s">
        <v>377</v>
      </c>
      <c r="E4624" t="s">
        <v>12</v>
      </c>
      <c r="F4624">
        <v>2</v>
      </c>
      <c r="G4624" t="s">
        <v>13</v>
      </c>
      <c r="H4624" s="1">
        <v>46015.10833333333</v>
      </c>
      <c r="I4624" s="5">
        <f>INT(TB[[#This Row],[时间戳]])</f>
        <v>46015</v>
      </c>
      <c r="J4624" s="2">
        <f>HOUR(TB[[#This Row],[时间戳]])</f>
        <v>2</v>
      </c>
      <c r="K4624">
        <v>13188</v>
      </c>
      <c r="L4624">
        <v>5</v>
      </c>
      <c r="M4624">
        <f>TB[[#This Row],[售价]]*TB[[#This Row],[销量]]</f>
        <v>65940</v>
      </c>
      <c r="N4624" t="str">
        <f>IF(TB[[#This Row],[售价]]&lt;1000,"低价商品",IF(TB[[#This Row],[售价]]&lt;5000,"中价商品",IF(TB[[#This Row],[售价]]&lt;10000,"高价商品","超高价商品")))</f>
        <v>超高价商品</v>
      </c>
    </row>
    <row r="4625" spans="1:14" x14ac:dyDescent="0.2">
      <c r="A4625">
        <v>24</v>
      </c>
      <c r="B4625">
        <v>232</v>
      </c>
      <c r="C4625" t="s">
        <v>46</v>
      </c>
      <c r="D4625" t="s">
        <v>303</v>
      </c>
      <c r="E4625" t="s">
        <v>19</v>
      </c>
      <c r="F4625">
        <v>3</v>
      </c>
      <c r="G4625" t="s">
        <v>13</v>
      </c>
      <c r="H4625" s="1">
        <v>46015.129861111112</v>
      </c>
      <c r="I4625" s="5">
        <f>INT(TB[[#This Row],[时间戳]])</f>
        <v>46015</v>
      </c>
      <c r="J4625" s="2">
        <f>HOUR(TB[[#This Row],[时间戳]])</f>
        <v>3</v>
      </c>
      <c r="K4625">
        <v>3788</v>
      </c>
      <c r="L4625">
        <v>5</v>
      </c>
      <c r="M4625">
        <f>TB[[#This Row],[售价]]*TB[[#This Row],[销量]]</f>
        <v>18940</v>
      </c>
      <c r="N4625" t="str">
        <f>IF(TB[[#This Row],[售价]]&lt;1000,"低价商品",IF(TB[[#This Row],[售价]]&lt;5000,"中价商品",IF(TB[[#This Row],[售价]]&lt;10000,"高价商品","超高价商品")))</f>
        <v>中价商品</v>
      </c>
    </row>
    <row r="4626" spans="1:14" x14ac:dyDescent="0.2">
      <c r="A4626">
        <v>309</v>
      </c>
      <c r="B4626">
        <v>2</v>
      </c>
      <c r="C4626" t="s">
        <v>20</v>
      </c>
      <c r="D4626" t="s">
        <v>259</v>
      </c>
      <c r="E4626" t="s">
        <v>16</v>
      </c>
      <c r="F4626">
        <v>6</v>
      </c>
      <c r="G4626" t="s">
        <v>42</v>
      </c>
      <c r="H4626" s="1">
        <v>46015.183333333334</v>
      </c>
      <c r="I4626" s="5">
        <f>INT(TB[[#This Row],[时间戳]])</f>
        <v>46015</v>
      </c>
      <c r="J4626" s="2">
        <f>HOUR(TB[[#This Row],[时间戳]])</f>
        <v>4</v>
      </c>
      <c r="K4626">
        <v>2067</v>
      </c>
      <c r="L4626">
        <v>0</v>
      </c>
      <c r="M4626">
        <f>TB[[#This Row],[售价]]*TB[[#This Row],[销量]]</f>
        <v>0</v>
      </c>
      <c r="N4626" t="str">
        <f>IF(TB[[#This Row],[售价]]&lt;1000,"低价商品",IF(TB[[#This Row],[售价]]&lt;5000,"中价商品",IF(TB[[#This Row],[售价]]&lt;10000,"高价商品","超高价商品")))</f>
        <v>中价商品</v>
      </c>
    </row>
    <row r="4627" spans="1:14" x14ac:dyDescent="0.2">
      <c r="A4627">
        <v>772</v>
      </c>
      <c r="B4627">
        <v>212</v>
      </c>
      <c r="C4627" t="s">
        <v>44</v>
      </c>
      <c r="D4627" t="s">
        <v>158</v>
      </c>
      <c r="E4627" t="s">
        <v>31</v>
      </c>
      <c r="F4627">
        <v>4</v>
      </c>
      <c r="G4627" t="s">
        <v>42</v>
      </c>
      <c r="H4627" s="1">
        <v>46015.20416666667</v>
      </c>
      <c r="I4627" s="5">
        <f>INT(TB[[#This Row],[时间戳]])</f>
        <v>46015</v>
      </c>
      <c r="J4627" s="2">
        <f>HOUR(TB[[#This Row],[时间戳]])</f>
        <v>4</v>
      </c>
      <c r="K4627">
        <v>1090</v>
      </c>
      <c r="L4627">
        <v>0</v>
      </c>
      <c r="M4627">
        <f>TB[[#This Row],[售价]]*TB[[#This Row],[销量]]</f>
        <v>0</v>
      </c>
      <c r="N4627" t="str">
        <f>IF(TB[[#This Row],[售价]]&lt;1000,"低价商品",IF(TB[[#This Row],[售价]]&lt;5000,"中价商品",IF(TB[[#This Row],[售价]]&lt;10000,"高价商品","超高价商品")))</f>
        <v>中价商品</v>
      </c>
    </row>
    <row r="4628" spans="1:14" x14ac:dyDescent="0.2">
      <c r="A4628">
        <v>559</v>
      </c>
      <c r="B4628">
        <v>6</v>
      </c>
      <c r="C4628" t="s">
        <v>26</v>
      </c>
      <c r="D4628" t="s">
        <v>131</v>
      </c>
      <c r="E4628" t="s">
        <v>22</v>
      </c>
      <c r="F4628">
        <v>1</v>
      </c>
      <c r="G4628" t="s">
        <v>13</v>
      </c>
      <c r="H4628" s="1">
        <v>46015.211805555555</v>
      </c>
      <c r="I4628" s="5">
        <f>INT(TB[[#This Row],[时间戳]])</f>
        <v>46015</v>
      </c>
      <c r="J4628" s="2">
        <f>HOUR(TB[[#This Row],[时间戳]])</f>
        <v>5</v>
      </c>
      <c r="K4628">
        <v>7745</v>
      </c>
      <c r="L4628">
        <v>3</v>
      </c>
      <c r="M4628">
        <f>TB[[#This Row],[售价]]*TB[[#This Row],[销量]]</f>
        <v>23235</v>
      </c>
      <c r="N4628" t="str">
        <f>IF(TB[[#This Row],[售价]]&lt;1000,"低价商品",IF(TB[[#This Row],[售价]]&lt;5000,"中价商品",IF(TB[[#This Row],[售价]]&lt;10000,"高价商品","超高价商品")))</f>
        <v>高价商品</v>
      </c>
    </row>
    <row r="4629" spans="1:14" x14ac:dyDescent="0.2">
      <c r="A4629">
        <v>48</v>
      </c>
      <c r="B4629">
        <v>85</v>
      </c>
      <c r="C4629" t="s">
        <v>26</v>
      </c>
      <c r="D4629" t="s">
        <v>160</v>
      </c>
      <c r="E4629" t="s">
        <v>19</v>
      </c>
      <c r="F4629">
        <v>3</v>
      </c>
      <c r="G4629" t="s">
        <v>13</v>
      </c>
      <c r="H4629" s="1">
        <v>46015.224305555559</v>
      </c>
      <c r="I4629" s="5">
        <f>INT(TB[[#This Row],[时间戳]])</f>
        <v>46015</v>
      </c>
      <c r="J4629" s="2">
        <f>HOUR(TB[[#This Row],[时间戳]])</f>
        <v>5</v>
      </c>
      <c r="K4629">
        <v>2435</v>
      </c>
      <c r="L4629">
        <v>5</v>
      </c>
      <c r="M4629">
        <f>TB[[#This Row],[售价]]*TB[[#This Row],[销量]]</f>
        <v>12175</v>
      </c>
      <c r="N4629" t="str">
        <f>IF(TB[[#This Row],[售价]]&lt;1000,"低价商品",IF(TB[[#This Row],[售价]]&lt;5000,"中价商品",IF(TB[[#This Row],[售价]]&lt;10000,"高价商品","超高价商品")))</f>
        <v>中价商品</v>
      </c>
    </row>
    <row r="4630" spans="1:14" x14ac:dyDescent="0.2">
      <c r="A4630">
        <v>796</v>
      </c>
      <c r="B4630">
        <v>154</v>
      </c>
      <c r="C4630" t="s">
        <v>14</v>
      </c>
      <c r="D4630" t="s">
        <v>228</v>
      </c>
      <c r="E4630" t="s">
        <v>31</v>
      </c>
      <c r="F4630">
        <v>4</v>
      </c>
      <c r="G4630" t="s">
        <v>13</v>
      </c>
      <c r="H4630" s="1">
        <v>46015.243750000001</v>
      </c>
      <c r="I4630" s="5">
        <f>INT(TB[[#This Row],[时间戳]])</f>
        <v>46015</v>
      </c>
      <c r="J4630" s="2">
        <f>HOUR(TB[[#This Row],[时间戳]])</f>
        <v>5</v>
      </c>
      <c r="K4630">
        <v>626</v>
      </c>
      <c r="L4630">
        <v>5</v>
      </c>
      <c r="M4630">
        <f>TB[[#This Row],[售价]]*TB[[#This Row],[销量]]</f>
        <v>3130</v>
      </c>
      <c r="N4630" t="str">
        <f>IF(TB[[#This Row],[售价]]&lt;1000,"低价商品",IF(TB[[#This Row],[售价]]&lt;5000,"中价商品",IF(TB[[#This Row],[售价]]&lt;10000,"高价商品","超高价商品")))</f>
        <v>低价商品</v>
      </c>
    </row>
    <row r="4631" spans="1:14" x14ac:dyDescent="0.2">
      <c r="A4631">
        <v>266</v>
      </c>
      <c r="B4631">
        <v>278</v>
      </c>
      <c r="C4631" t="s">
        <v>10</v>
      </c>
      <c r="D4631" t="s">
        <v>241</v>
      </c>
      <c r="E4631" t="s">
        <v>12</v>
      </c>
      <c r="F4631">
        <v>2</v>
      </c>
      <c r="G4631" t="s">
        <v>13</v>
      </c>
      <c r="H4631" s="1">
        <v>46015.256944444445</v>
      </c>
      <c r="I4631" s="5">
        <f>INT(TB[[#This Row],[时间戳]])</f>
        <v>46015</v>
      </c>
      <c r="J4631" s="2">
        <f>HOUR(TB[[#This Row],[时间戳]])</f>
        <v>6</v>
      </c>
      <c r="K4631">
        <v>8019</v>
      </c>
      <c r="L4631">
        <v>5</v>
      </c>
      <c r="M4631">
        <f>TB[[#This Row],[售价]]*TB[[#This Row],[销量]]</f>
        <v>40095</v>
      </c>
      <c r="N4631" t="str">
        <f>IF(TB[[#This Row],[售价]]&lt;1000,"低价商品",IF(TB[[#This Row],[售价]]&lt;5000,"中价商品",IF(TB[[#This Row],[售价]]&lt;10000,"高价商品","超高价商品")))</f>
        <v>高价商品</v>
      </c>
    </row>
    <row r="4632" spans="1:14" x14ac:dyDescent="0.2">
      <c r="A4632">
        <v>178</v>
      </c>
      <c r="B4632">
        <v>81</v>
      </c>
      <c r="C4632" t="s">
        <v>46</v>
      </c>
      <c r="D4632" t="s">
        <v>341</v>
      </c>
      <c r="E4632" t="s">
        <v>31</v>
      </c>
      <c r="F4632">
        <v>4</v>
      </c>
      <c r="G4632" t="s">
        <v>13</v>
      </c>
      <c r="H4632" s="1">
        <v>46015.259027777778</v>
      </c>
      <c r="I4632" s="5">
        <f>INT(TB[[#This Row],[时间戳]])</f>
        <v>46015</v>
      </c>
      <c r="J4632" s="2">
        <f>HOUR(TB[[#This Row],[时间戳]])</f>
        <v>6</v>
      </c>
      <c r="K4632">
        <v>1039</v>
      </c>
      <c r="L4632">
        <v>3</v>
      </c>
      <c r="M4632">
        <f>TB[[#This Row],[售价]]*TB[[#This Row],[销量]]</f>
        <v>3117</v>
      </c>
      <c r="N4632" t="str">
        <f>IF(TB[[#This Row],[售价]]&lt;1000,"低价商品",IF(TB[[#This Row],[售价]]&lt;5000,"中价商品",IF(TB[[#This Row],[售价]]&lt;10000,"高价商品","超高价商品")))</f>
        <v>中价商品</v>
      </c>
    </row>
    <row r="4633" spans="1:14" x14ac:dyDescent="0.2">
      <c r="A4633">
        <v>178</v>
      </c>
      <c r="B4633">
        <v>4</v>
      </c>
      <c r="C4633" t="s">
        <v>32</v>
      </c>
      <c r="D4633" t="s">
        <v>118</v>
      </c>
      <c r="E4633" t="s">
        <v>19</v>
      </c>
      <c r="F4633">
        <v>3</v>
      </c>
      <c r="G4633" t="s">
        <v>13</v>
      </c>
      <c r="H4633" s="1">
        <v>46015.265972222223</v>
      </c>
      <c r="I4633" s="5">
        <f>INT(TB[[#This Row],[时间戳]])</f>
        <v>46015</v>
      </c>
      <c r="J4633" s="2">
        <f>HOUR(TB[[#This Row],[时间戳]])</f>
        <v>6</v>
      </c>
      <c r="K4633">
        <v>4252</v>
      </c>
      <c r="L4633">
        <v>3</v>
      </c>
      <c r="M4633">
        <f>TB[[#This Row],[售价]]*TB[[#This Row],[销量]]</f>
        <v>12756</v>
      </c>
      <c r="N4633" t="str">
        <f>IF(TB[[#This Row],[售价]]&lt;1000,"低价商品",IF(TB[[#This Row],[售价]]&lt;5000,"中价商品",IF(TB[[#This Row],[售价]]&lt;10000,"高价商品","超高价商品")))</f>
        <v>中价商品</v>
      </c>
    </row>
    <row r="4634" spans="1:14" x14ac:dyDescent="0.2">
      <c r="A4634">
        <v>42</v>
      </c>
      <c r="B4634">
        <v>79</v>
      </c>
      <c r="C4634" t="s">
        <v>34</v>
      </c>
      <c r="D4634" t="s">
        <v>307</v>
      </c>
      <c r="E4634" t="s">
        <v>22</v>
      </c>
      <c r="F4634">
        <v>1</v>
      </c>
      <c r="G4634" t="s">
        <v>13</v>
      </c>
      <c r="H4634" s="1">
        <v>46015.29583333333</v>
      </c>
      <c r="I4634" s="5">
        <f>INT(TB[[#This Row],[时间戳]])</f>
        <v>46015</v>
      </c>
      <c r="J4634" s="2">
        <f>HOUR(TB[[#This Row],[时间戳]])</f>
        <v>7</v>
      </c>
      <c r="K4634">
        <v>2299</v>
      </c>
      <c r="L4634">
        <v>5</v>
      </c>
      <c r="M4634">
        <f>TB[[#This Row],[售价]]*TB[[#This Row],[销量]]</f>
        <v>11495</v>
      </c>
      <c r="N4634" t="str">
        <f>IF(TB[[#This Row],[售价]]&lt;1000,"低价商品",IF(TB[[#This Row],[售价]]&lt;5000,"中价商品",IF(TB[[#This Row],[售价]]&lt;10000,"高价商品","超高价商品")))</f>
        <v>中价商品</v>
      </c>
    </row>
    <row r="4635" spans="1:14" x14ac:dyDescent="0.2">
      <c r="A4635">
        <v>61</v>
      </c>
      <c r="B4635">
        <v>59</v>
      </c>
      <c r="C4635" t="s">
        <v>34</v>
      </c>
      <c r="D4635" t="s">
        <v>389</v>
      </c>
      <c r="E4635" t="s">
        <v>39</v>
      </c>
      <c r="F4635">
        <v>5</v>
      </c>
      <c r="G4635" t="s">
        <v>13</v>
      </c>
      <c r="H4635" s="1">
        <v>46015.331944444442</v>
      </c>
      <c r="I4635" s="5">
        <f>INT(TB[[#This Row],[时间戳]])</f>
        <v>46015</v>
      </c>
      <c r="J4635" s="2">
        <f>HOUR(TB[[#This Row],[时间戳]])</f>
        <v>7</v>
      </c>
      <c r="K4635">
        <v>2465</v>
      </c>
      <c r="L4635">
        <v>3</v>
      </c>
      <c r="M4635">
        <f>TB[[#This Row],[售价]]*TB[[#This Row],[销量]]</f>
        <v>7395</v>
      </c>
      <c r="N4635" t="str">
        <f>IF(TB[[#This Row],[售价]]&lt;1000,"低价商品",IF(TB[[#This Row],[售价]]&lt;5000,"中价商品",IF(TB[[#This Row],[售价]]&lt;10000,"高价商品","超高价商品")))</f>
        <v>中价商品</v>
      </c>
    </row>
    <row r="4636" spans="1:14" x14ac:dyDescent="0.2">
      <c r="A4636">
        <v>736</v>
      </c>
      <c r="B4636">
        <v>18</v>
      </c>
      <c r="C4636" t="s">
        <v>36</v>
      </c>
      <c r="D4636" t="s">
        <v>304</v>
      </c>
      <c r="E4636" t="s">
        <v>16</v>
      </c>
      <c r="F4636">
        <v>6</v>
      </c>
      <c r="G4636" t="s">
        <v>13</v>
      </c>
      <c r="H4636" s="1">
        <v>46015.334722222222</v>
      </c>
      <c r="I4636" s="5">
        <f>INT(TB[[#This Row],[时间戳]])</f>
        <v>46015</v>
      </c>
      <c r="J4636" s="2">
        <f>HOUR(TB[[#This Row],[时间戳]])</f>
        <v>8</v>
      </c>
      <c r="K4636">
        <v>5678</v>
      </c>
      <c r="L4636">
        <v>3</v>
      </c>
      <c r="M4636">
        <f>TB[[#This Row],[售价]]*TB[[#This Row],[销量]]</f>
        <v>17034</v>
      </c>
      <c r="N4636" t="str">
        <f>IF(TB[[#This Row],[售价]]&lt;1000,"低价商品",IF(TB[[#This Row],[售价]]&lt;5000,"中价商品",IF(TB[[#This Row],[售价]]&lt;10000,"高价商品","超高价商品")))</f>
        <v>高价商品</v>
      </c>
    </row>
    <row r="4637" spans="1:14" x14ac:dyDescent="0.2">
      <c r="A4637">
        <v>568</v>
      </c>
      <c r="B4637">
        <v>287</v>
      </c>
      <c r="C4637" t="s">
        <v>46</v>
      </c>
      <c r="D4637" t="s">
        <v>77</v>
      </c>
      <c r="E4637" t="s">
        <v>19</v>
      </c>
      <c r="F4637">
        <v>3</v>
      </c>
      <c r="G4637" t="s">
        <v>13</v>
      </c>
      <c r="H4637" s="1">
        <v>46015.390972222223</v>
      </c>
      <c r="I4637" s="5">
        <f>INT(TB[[#This Row],[时间戳]])</f>
        <v>46015</v>
      </c>
      <c r="J4637" s="2">
        <f>HOUR(TB[[#This Row],[时间戳]])</f>
        <v>9</v>
      </c>
      <c r="K4637">
        <v>3358</v>
      </c>
      <c r="L4637">
        <v>5</v>
      </c>
      <c r="M4637">
        <f>TB[[#This Row],[售价]]*TB[[#This Row],[销量]]</f>
        <v>16790</v>
      </c>
      <c r="N4637" t="str">
        <f>IF(TB[[#This Row],[售价]]&lt;1000,"低价商品",IF(TB[[#This Row],[售价]]&lt;5000,"中价商品",IF(TB[[#This Row],[售价]]&lt;10000,"高价商品","超高价商品")))</f>
        <v>中价商品</v>
      </c>
    </row>
    <row r="4638" spans="1:14" x14ac:dyDescent="0.2">
      <c r="A4638">
        <v>199</v>
      </c>
      <c r="B4638">
        <v>126</v>
      </c>
      <c r="C4638" t="s">
        <v>32</v>
      </c>
      <c r="D4638" t="s">
        <v>215</v>
      </c>
      <c r="E4638" t="s">
        <v>31</v>
      </c>
      <c r="F4638">
        <v>4</v>
      </c>
      <c r="G4638" t="s">
        <v>13</v>
      </c>
      <c r="H4638" s="1">
        <v>46015.397916666669</v>
      </c>
      <c r="I4638" s="5">
        <f>INT(TB[[#This Row],[时间戳]])</f>
        <v>46015</v>
      </c>
      <c r="J4638" s="2">
        <f>HOUR(TB[[#This Row],[时间戳]])</f>
        <v>9</v>
      </c>
      <c r="K4638">
        <v>788</v>
      </c>
      <c r="L4638">
        <v>5</v>
      </c>
      <c r="M4638">
        <f>TB[[#This Row],[售价]]*TB[[#This Row],[销量]]</f>
        <v>3940</v>
      </c>
      <c r="N4638" t="str">
        <f>IF(TB[[#This Row],[售价]]&lt;1000,"低价商品",IF(TB[[#This Row],[售价]]&lt;5000,"中价商品",IF(TB[[#This Row],[售价]]&lt;10000,"高价商品","超高价商品")))</f>
        <v>低价商品</v>
      </c>
    </row>
    <row r="4639" spans="1:14" x14ac:dyDescent="0.2">
      <c r="A4639">
        <v>404</v>
      </c>
      <c r="B4639">
        <v>84</v>
      </c>
      <c r="C4639" t="s">
        <v>36</v>
      </c>
      <c r="D4639" t="s">
        <v>310</v>
      </c>
      <c r="E4639" t="s">
        <v>39</v>
      </c>
      <c r="F4639">
        <v>5</v>
      </c>
      <c r="G4639" t="s">
        <v>13</v>
      </c>
      <c r="H4639" s="1">
        <v>46015.418055555558</v>
      </c>
      <c r="I4639" s="5">
        <f>INT(TB[[#This Row],[时间戳]])</f>
        <v>46015</v>
      </c>
      <c r="J4639" s="2">
        <f>HOUR(TB[[#This Row],[时间戳]])</f>
        <v>10</v>
      </c>
      <c r="K4639">
        <v>1472</v>
      </c>
      <c r="L4639">
        <v>5</v>
      </c>
      <c r="M4639">
        <f>TB[[#This Row],[售价]]*TB[[#This Row],[销量]]</f>
        <v>7360</v>
      </c>
      <c r="N4639" t="str">
        <f>IF(TB[[#This Row],[售价]]&lt;1000,"低价商品",IF(TB[[#This Row],[售价]]&lt;5000,"中价商品",IF(TB[[#This Row],[售价]]&lt;10000,"高价商品","超高价商品")))</f>
        <v>中价商品</v>
      </c>
    </row>
    <row r="4640" spans="1:14" x14ac:dyDescent="0.2">
      <c r="A4640">
        <v>551</v>
      </c>
      <c r="B4640">
        <v>14</v>
      </c>
      <c r="C4640" t="s">
        <v>26</v>
      </c>
      <c r="D4640" t="s">
        <v>131</v>
      </c>
      <c r="E4640" t="s">
        <v>22</v>
      </c>
      <c r="F4640">
        <v>1</v>
      </c>
      <c r="G4640" t="s">
        <v>13</v>
      </c>
      <c r="H4640" s="1">
        <v>46015.443749999999</v>
      </c>
      <c r="I4640" s="5">
        <f>INT(TB[[#This Row],[时间戳]])</f>
        <v>46015</v>
      </c>
      <c r="J4640" s="2">
        <f>HOUR(TB[[#This Row],[时间戳]])</f>
        <v>10</v>
      </c>
      <c r="K4640">
        <v>5868</v>
      </c>
      <c r="L4640">
        <v>3</v>
      </c>
      <c r="M4640">
        <f>TB[[#This Row],[售价]]*TB[[#This Row],[销量]]</f>
        <v>17604</v>
      </c>
      <c r="N4640" t="str">
        <f>IF(TB[[#This Row],[售价]]&lt;1000,"低价商品",IF(TB[[#This Row],[售价]]&lt;5000,"中价商品",IF(TB[[#This Row],[售价]]&lt;10000,"高价商品","超高价商品")))</f>
        <v>高价商品</v>
      </c>
    </row>
    <row r="4641" spans="1:14" x14ac:dyDescent="0.2">
      <c r="A4641">
        <v>237</v>
      </c>
      <c r="B4641">
        <v>63</v>
      </c>
      <c r="C4641" t="s">
        <v>20</v>
      </c>
      <c r="D4641" t="s">
        <v>334</v>
      </c>
      <c r="E4641" t="s">
        <v>22</v>
      </c>
      <c r="F4641">
        <v>1</v>
      </c>
      <c r="G4641" t="s">
        <v>13</v>
      </c>
      <c r="H4641" s="1">
        <v>46015.474305555559</v>
      </c>
      <c r="I4641" s="5">
        <f>INT(TB[[#This Row],[时间戳]])</f>
        <v>46015</v>
      </c>
      <c r="J4641" s="2">
        <f>HOUR(TB[[#This Row],[时间戳]])</f>
        <v>11</v>
      </c>
      <c r="K4641">
        <v>3929</v>
      </c>
      <c r="L4641">
        <v>5</v>
      </c>
      <c r="M4641">
        <f>TB[[#This Row],[售价]]*TB[[#This Row],[销量]]</f>
        <v>19645</v>
      </c>
      <c r="N4641" t="str">
        <f>IF(TB[[#This Row],[售价]]&lt;1000,"低价商品",IF(TB[[#This Row],[售价]]&lt;5000,"中价商品",IF(TB[[#This Row],[售价]]&lt;10000,"高价商品","超高价商品")))</f>
        <v>中价商品</v>
      </c>
    </row>
    <row r="4642" spans="1:14" x14ac:dyDescent="0.2">
      <c r="A4642">
        <v>166</v>
      </c>
      <c r="B4642">
        <v>297</v>
      </c>
      <c r="C4642" t="s">
        <v>36</v>
      </c>
      <c r="D4642" t="s">
        <v>37</v>
      </c>
      <c r="E4642" t="s">
        <v>31</v>
      </c>
      <c r="F4642">
        <v>4</v>
      </c>
      <c r="G4642" t="s">
        <v>13</v>
      </c>
      <c r="H4642" s="1">
        <v>46015.52847222222</v>
      </c>
      <c r="I4642" s="5">
        <f>INT(TB[[#This Row],[时间戳]])</f>
        <v>46015</v>
      </c>
      <c r="J4642" s="2">
        <f>HOUR(TB[[#This Row],[时间戳]])</f>
        <v>12</v>
      </c>
      <c r="K4642">
        <v>245</v>
      </c>
      <c r="L4642">
        <v>3</v>
      </c>
      <c r="M4642">
        <f>TB[[#This Row],[售价]]*TB[[#This Row],[销量]]</f>
        <v>735</v>
      </c>
      <c r="N4642" t="str">
        <f>IF(TB[[#This Row],[售价]]&lt;1000,"低价商品",IF(TB[[#This Row],[售价]]&lt;5000,"中价商品",IF(TB[[#This Row],[售价]]&lt;10000,"高价商品","超高价商品")))</f>
        <v>低价商品</v>
      </c>
    </row>
    <row r="4643" spans="1:14" x14ac:dyDescent="0.2">
      <c r="A4643">
        <v>403</v>
      </c>
      <c r="B4643">
        <v>161</v>
      </c>
      <c r="C4643" t="s">
        <v>34</v>
      </c>
      <c r="D4643" t="s">
        <v>174</v>
      </c>
      <c r="E4643" t="s">
        <v>12</v>
      </c>
      <c r="F4643">
        <v>2</v>
      </c>
      <c r="G4643" t="s">
        <v>13</v>
      </c>
      <c r="H4643" s="1">
        <v>46015.534722222219</v>
      </c>
      <c r="I4643" s="5">
        <f>INT(TB[[#This Row],[时间戳]])</f>
        <v>46015</v>
      </c>
      <c r="J4643" s="2">
        <f>HOUR(TB[[#This Row],[时间戳]])</f>
        <v>12</v>
      </c>
      <c r="K4643">
        <v>4969</v>
      </c>
      <c r="L4643">
        <v>5</v>
      </c>
      <c r="M4643">
        <f>TB[[#This Row],[售价]]*TB[[#This Row],[销量]]</f>
        <v>24845</v>
      </c>
      <c r="N4643" t="str">
        <f>IF(TB[[#This Row],[售价]]&lt;1000,"低价商品",IF(TB[[#This Row],[售价]]&lt;5000,"中价商品",IF(TB[[#This Row],[售价]]&lt;10000,"高价商品","超高价商品")))</f>
        <v>中价商品</v>
      </c>
    </row>
    <row r="4644" spans="1:14" x14ac:dyDescent="0.2">
      <c r="A4644">
        <v>58</v>
      </c>
      <c r="B4644">
        <v>61</v>
      </c>
      <c r="C4644" t="s">
        <v>46</v>
      </c>
      <c r="D4644" t="s">
        <v>341</v>
      </c>
      <c r="E4644" t="s">
        <v>31</v>
      </c>
      <c r="F4644">
        <v>4</v>
      </c>
      <c r="G4644" t="s">
        <v>13</v>
      </c>
      <c r="H4644" s="1">
        <v>46015.570833333331</v>
      </c>
      <c r="I4644" s="5">
        <f>INT(TB[[#This Row],[时间戳]])</f>
        <v>46015</v>
      </c>
      <c r="J4644" s="2">
        <f>HOUR(TB[[#This Row],[时间戳]])</f>
        <v>13</v>
      </c>
      <c r="K4644">
        <v>1409</v>
      </c>
      <c r="L4644">
        <v>3</v>
      </c>
      <c r="M4644">
        <f>TB[[#This Row],[售价]]*TB[[#This Row],[销量]]</f>
        <v>4227</v>
      </c>
      <c r="N4644" t="str">
        <f>IF(TB[[#This Row],[售价]]&lt;1000,"低价商品",IF(TB[[#This Row],[售价]]&lt;5000,"中价商品",IF(TB[[#This Row],[售价]]&lt;10000,"高价商品","超高价商品")))</f>
        <v>中价商品</v>
      </c>
    </row>
    <row r="4645" spans="1:14" x14ac:dyDescent="0.2">
      <c r="A4645">
        <v>203</v>
      </c>
      <c r="B4645">
        <v>39</v>
      </c>
      <c r="C4645" t="s">
        <v>44</v>
      </c>
      <c r="D4645" t="s">
        <v>169</v>
      </c>
      <c r="E4645" t="s">
        <v>31</v>
      </c>
      <c r="F4645">
        <v>4</v>
      </c>
      <c r="G4645" t="s">
        <v>13</v>
      </c>
      <c r="H4645" s="1">
        <v>46015.573611111111</v>
      </c>
      <c r="I4645" s="5">
        <f>INT(TB[[#This Row],[时间戳]])</f>
        <v>46015</v>
      </c>
      <c r="J4645" s="2">
        <f>HOUR(TB[[#This Row],[时间戳]])</f>
        <v>13</v>
      </c>
      <c r="K4645">
        <v>266</v>
      </c>
      <c r="L4645">
        <v>3</v>
      </c>
      <c r="M4645">
        <f>TB[[#This Row],[售价]]*TB[[#This Row],[销量]]</f>
        <v>798</v>
      </c>
      <c r="N4645" t="str">
        <f>IF(TB[[#This Row],[售价]]&lt;1000,"低价商品",IF(TB[[#This Row],[售价]]&lt;5000,"中价商品",IF(TB[[#This Row],[售价]]&lt;10000,"高价商品","超高价商品")))</f>
        <v>低价商品</v>
      </c>
    </row>
    <row r="4646" spans="1:14" x14ac:dyDescent="0.2">
      <c r="A4646">
        <v>381</v>
      </c>
      <c r="B4646">
        <v>143</v>
      </c>
      <c r="C4646" t="s">
        <v>36</v>
      </c>
      <c r="D4646" t="s">
        <v>54</v>
      </c>
      <c r="E4646" t="s">
        <v>12</v>
      </c>
      <c r="F4646">
        <v>2</v>
      </c>
      <c r="G4646" t="s">
        <v>42</v>
      </c>
      <c r="H4646" s="1">
        <v>46015.595833333333</v>
      </c>
      <c r="I4646" s="5">
        <f>INT(TB[[#This Row],[时间戳]])</f>
        <v>46015</v>
      </c>
      <c r="J4646" s="2">
        <f>HOUR(TB[[#This Row],[时间戳]])</f>
        <v>14</v>
      </c>
      <c r="K4646">
        <v>11917</v>
      </c>
      <c r="L4646">
        <v>0</v>
      </c>
      <c r="M4646">
        <f>TB[[#This Row],[售价]]*TB[[#This Row],[销量]]</f>
        <v>0</v>
      </c>
      <c r="N4646" t="str">
        <f>IF(TB[[#This Row],[售价]]&lt;1000,"低价商品",IF(TB[[#This Row],[售价]]&lt;5000,"中价商品",IF(TB[[#This Row],[售价]]&lt;10000,"高价商品","超高价商品")))</f>
        <v>超高价商品</v>
      </c>
    </row>
    <row r="4647" spans="1:14" x14ac:dyDescent="0.2">
      <c r="A4647">
        <v>187</v>
      </c>
      <c r="B4647">
        <v>138</v>
      </c>
      <c r="C4647" t="s">
        <v>10</v>
      </c>
      <c r="D4647" t="s">
        <v>256</v>
      </c>
      <c r="E4647" t="s">
        <v>19</v>
      </c>
      <c r="F4647">
        <v>3</v>
      </c>
      <c r="G4647" t="s">
        <v>42</v>
      </c>
      <c r="H4647" s="1">
        <v>46015.620833333334</v>
      </c>
      <c r="I4647" s="5">
        <f>INT(TB[[#This Row],[时间戳]])</f>
        <v>46015</v>
      </c>
      <c r="J4647" s="2">
        <f>HOUR(TB[[#This Row],[时间戳]])</f>
        <v>14</v>
      </c>
      <c r="K4647">
        <v>2644</v>
      </c>
      <c r="L4647">
        <v>0</v>
      </c>
      <c r="M4647">
        <f>TB[[#This Row],[售价]]*TB[[#This Row],[销量]]</f>
        <v>0</v>
      </c>
      <c r="N4647" t="str">
        <f>IF(TB[[#This Row],[售价]]&lt;1000,"低价商品",IF(TB[[#This Row],[售价]]&lt;5000,"中价商品",IF(TB[[#This Row],[售价]]&lt;10000,"高价商品","超高价商品")))</f>
        <v>中价商品</v>
      </c>
    </row>
    <row r="4648" spans="1:14" x14ac:dyDescent="0.2">
      <c r="A4648">
        <v>459</v>
      </c>
      <c r="B4648">
        <v>176</v>
      </c>
      <c r="C4648" t="s">
        <v>46</v>
      </c>
      <c r="D4648" t="s">
        <v>350</v>
      </c>
      <c r="E4648" t="s">
        <v>25</v>
      </c>
      <c r="F4648">
        <v>7</v>
      </c>
      <c r="G4648" t="s">
        <v>13</v>
      </c>
      <c r="H4648" s="1">
        <v>46015.64166666667</v>
      </c>
      <c r="I4648" s="5">
        <f>INT(TB[[#This Row],[时间戳]])</f>
        <v>46015</v>
      </c>
      <c r="J4648" s="2">
        <f>HOUR(TB[[#This Row],[时间戳]])</f>
        <v>15</v>
      </c>
      <c r="K4648">
        <v>6597</v>
      </c>
      <c r="L4648">
        <v>3</v>
      </c>
      <c r="M4648">
        <f>TB[[#This Row],[售价]]*TB[[#This Row],[销量]]</f>
        <v>19791</v>
      </c>
      <c r="N4648" t="str">
        <f>IF(TB[[#This Row],[售价]]&lt;1000,"低价商品",IF(TB[[#This Row],[售价]]&lt;5000,"中价商品",IF(TB[[#This Row],[售价]]&lt;10000,"高价商品","超高价商品")))</f>
        <v>高价商品</v>
      </c>
    </row>
    <row r="4649" spans="1:14" x14ac:dyDescent="0.2">
      <c r="A4649">
        <v>186</v>
      </c>
      <c r="B4649">
        <v>203</v>
      </c>
      <c r="C4649" t="s">
        <v>46</v>
      </c>
      <c r="D4649" t="s">
        <v>117</v>
      </c>
      <c r="E4649" t="s">
        <v>39</v>
      </c>
      <c r="F4649">
        <v>5</v>
      </c>
      <c r="G4649" t="s">
        <v>13</v>
      </c>
      <c r="H4649" s="1">
        <v>46015.647222222222</v>
      </c>
      <c r="I4649" s="5">
        <f>INT(TB[[#This Row],[时间戳]])</f>
        <v>46015</v>
      </c>
      <c r="J4649" s="2">
        <f>HOUR(TB[[#This Row],[时间戳]])</f>
        <v>15</v>
      </c>
      <c r="K4649">
        <v>3198</v>
      </c>
      <c r="L4649">
        <v>3</v>
      </c>
      <c r="M4649">
        <f>TB[[#This Row],[售价]]*TB[[#This Row],[销量]]</f>
        <v>9594</v>
      </c>
      <c r="N4649" t="str">
        <f>IF(TB[[#This Row],[售价]]&lt;1000,"低价商品",IF(TB[[#This Row],[售价]]&lt;5000,"中价商品",IF(TB[[#This Row],[售价]]&lt;10000,"高价商品","超高价商品")))</f>
        <v>中价商品</v>
      </c>
    </row>
    <row r="4650" spans="1:14" x14ac:dyDescent="0.2">
      <c r="A4650">
        <v>494</v>
      </c>
      <c r="B4650">
        <v>191</v>
      </c>
      <c r="C4650" t="s">
        <v>32</v>
      </c>
      <c r="D4650" t="s">
        <v>411</v>
      </c>
      <c r="E4650" t="s">
        <v>39</v>
      </c>
      <c r="F4650">
        <v>5</v>
      </c>
      <c r="G4650" t="s">
        <v>13</v>
      </c>
      <c r="H4650" s="1">
        <v>46015.685416666667</v>
      </c>
      <c r="I4650" s="5">
        <f>INT(TB[[#This Row],[时间戳]])</f>
        <v>46015</v>
      </c>
      <c r="J4650" s="2">
        <f>HOUR(TB[[#This Row],[时间戳]])</f>
        <v>16</v>
      </c>
      <c r="K4650">
        <v>2466</v>
      </c>
      <c r="L4650">
        <v>3</v>
      </c>
      <c r="M4650">
        <f>TB[[#This Row],[售价]]*TB[[#This Row],[销量]]</f>
        <v>7398</v>
      </c>
      <c r="N4650" t="str">
        <f>IF(TB[[#This Row],[售价]]&lt;1000,"低价商品",IF(TB[[#This Row],[售价]]&lt;5000,"中价商品",IF(TB[[#This Row],[售价]]&lt;10000,"高价商品","超高价商品")))</f>
        <v>中价商品</v>
      </c>
    </row>
    <row r="4651" spans="1:14" x14ac:dyDescent="0.2">
      <c r="A4651">
        <v>434</v>
      </c>
      <c r="B4651">
        <v>141</v>
      </c>
      <c r="C4651" t="s">
        <v>17</v>
      </c>
      <c r="D4651" t="s">
        <v>61</v>
      </c>
      <c r="E4651" t="s">
        <v>31</v>
      </c>
      <c r="F4651">
        <v>4</v>
      </c>
      <c r="G4651" t="s">
        <v>13</v>
      </c>
      <c r="H4651" s="1">
        <v>46015.688888888886</v>
      </c>
      <c r="I4651" s="5">
        <f>INT(TB[[#This Row],[时间戳]])</f>
        <v>46015</v>
      </c>
      <c r="J4651" s="2">
        <f>HOUR(TB[[#This Row],[时间戳]])</f>
        <v>16</v>
      </c>
      <c r="K4651">
        <v>694</v>
      </c>
      <c r="L4651">
        <v>3</v>
      </c>
      <c r="M4651">
        <f>TB[[#This Row],[售价]]*TB[[#This Row],[销量]]</f>
        <v>2082</v>
      </c>
      <c r="N4651" t="str">
        <f>IF(TB[[#This Row],[售价]]&lt;1000,"低价商品",IF(TB[[#This Row],[售价]]&lt;5000,"中价商品",IF(TB[[#This Row],[售价]]&lt;10000,"高价商品","超高价商品")))</f>
        <v>低价商品</v>
      </c>
    </row>
    <row r="4652" spans="1:14" x14ac:dyDescent="0.2">
      <c r="A4652">
        <v>521</v>
      </c>
      <c r="B4652">
        <v>205</v>
      </c>
      <c r="C4652" t="s">
        <v>26</v>
      </c>
      <c r="D4652" t="s">
        <v>409</v>
      </c>
      <c r="E4652" t="s">
        <v>12</v>
      </c>
      <c r="F4652">
        <v>2</v>
      </c>
      <c r="G4652" t="s">
        <v>13</v>
      </c>
      <c r="H4652" s="1">
        <v>46015.689583333333</v>
      </c>
      <c r="I4652" s="5">
        <f>INT(TB[[#This Row],[时间戳]])</f>
        <v>46015</v>
      </c>
      <c r="J4652" s="2">
        <f>HOUR(TB[[#This Row],[时间戳]])</f>
        <v>16</v>
      </c>
      <c r="K4652">
        <v>11720</v>
      </c>
      <c r="L4652">
        <v>5</v>
      </c>
      <c r="M4652">
        <f>TB[[#This Row],[售价]]*TB[[#This Row],[销量]]</f>
        <v>58600</v>
      </c>
      <c r="N4652" t="str">
        <f>IF(TB[[#This Row],[售价]]&lt;1000,"低价商品",IF(TB[[#This Row],[售价]]&lt;5000,"中价商品",IF(TB[[#This Row],[售价]]&lt;10000,"高价商品","超高价商品")))</f>
        <v>超高价商品</v>
      </c>
    </row>
    <row r="4653" spans="1:14" x14ac:dyDescent="0.2">
      <c r="A4653">
        <v>719</v>
      </c>
      <c r="B4653">
        <v>14</v>
      </c>
      <c r="C4653" t="s">
        <v>14</v>
      </c>
      <c r="D4653" t="s">
        <v>384</v>
      </c>
      <c r="E4653" t="s">
        <v>39</v>
      </c>
      <c r="F4653">
        <v>5</v>
      </c>
      <c r="G4653" t="s">
        <v>13</v>
      </c>
      <c r="H4653" s="1">
        <v>46015.713194444441</v>
      </c>
      <c r="I4653" s="5">
        <f>INT(TB[[#This Row],[时间戳]])</f>
        <v>46015</v>
      </c>
      <c r="J4653" s="2">
        <f>HOUR(TB[[#This Row],[时间戳]])</f>
        <v>17</v>
      </c>
      <c r="K4653">
        <v>1827</v>
      </c>
      <c r="L4653">
        <v>3</v>
      </c>
      <c r="M4653">
        <f>TB[[#This Row],[售价]]*TB[[#This Row],[销量]]</f>
        <v>5481</v>
      </c>
      <c r="N4653" t="str">
        <f>IF(TB[[#This Row],[售价]]&lt;1000,"低价商品",IF(TB[[#This Row],[售价]]&lt;5000,"中价商品",IF(TB[[#This Row],[售价]]&lt;10000,"高价商品","超高价商品")))</f>
        <v>中价商品</v>
      </c>
    </row>
    <row r="4654" spans="1:14" x14ac:dyDescent="0.2">
      <c r="A4654">
        <v>785</v>
      </c>
      <c r="B4654">
        <v>118</v>
      </c>
      <c r="C4654" t="s">
        <v>14</v>
      </c>
      <c r="D4654" t="s">
        <v>106</v>
      </c>
      <c r="E4654" t="s">
        <v>22</v>
      </c>
      <c r="F4654">
        <v>1</v>
      </c>
      <c r="G4654" t="s">
        <v>13</v>
      </c>
      <c r="H4654" s="1">
        <v>46015.724999999999</v>
      </c>
      <c r="I4654" s="5">
        <f>INT(TB[[#This Row],[时间戳]])</f>
        <v>46015</v>
      </c>
      <c r="J4654" s="2">
        <f>HOUR(TB[[#This Row],[时间戳]])</f>
        <v>17</v>
      </c>
      <c r="K4654">
        <v>6102</v>
      </c>
      <c r="L4654">
        <v>3</v>
      </c>
      <c r="M4654">
        <f>TB[[#This Row],[售价]]*TB[[#This Row],[销量]]</f>
        <v>18306</v>
      </c>
      <c r="N4654" t="str">
        <f>IF(TB[[#This Row],[售价]]&lt;1000,"低价商品",IF(TB[[#This Row],[售价]]&lt;5000,"中价商品",IF(TB[[#This Row],[售价]]&lt;10000,"高价商品","超高价商品")))</f>
        <v>高价商品</v>
      </c>
    </row>
    <row r="4655" spans="1:14" x14ac:dyDescent="0.2">
      <c r="A4655">
        <v>163</v>
      </c>
      <c r="B4655">
        <v>273</v>
      </c>
      <c r="C4655" t="s">
        <v>46</v>
      </c>
      <c r="D4655" t="s">
        <v>141</v>
      </c>
      <c r="E4655" t="s">
        <v>22</v>
      </c>
      <c r="F4655">
        <v>1</v>
      </c>
      <c r="G4655" t="s">
        <v>13</v>
      </c>
      <c r="H4655" s="1">
        <v>46015.759722222225</v>
      </c>
      <c r="I4655" s="5">
        <f>INT(TB[[#This Row],[时间戳]])</f>
        <v>46015</v>
      </c>
      <c r="J4655" s="2">
        <f>HOUR(TB[[#This Row],[时间戳]])</f>
        <v>18</v>
      </c>
      <c r="K4655">
        <v>1018</v>
      </c>
      <c r="L4655">
        <v>3</v>
      </c>
      <c r="M4655">
        <f>TB[[#This Row],[售价]]*TB[[#This Row],[销量]]</f>
        <v>3054</v>
      </c>
      <c r="N4655" t="str">
        <f>IF(TB[[#This Row],[售价]]&lt;1000,"低价商品",IF(TB[[#This Row],[售价]]&lt;5000,"中价商品",IF(TB[[#This Row],[售价]]&lt;10000,"高价商品","超高价商品")))</f>
        <v>中价商品</v>
      </c>
    </row>
    <row r="4656" spans="1:14" x14ac:dyDescent="0.2">
      <c r="A4656">
        <v>63</v>
      </c>
      <c r="B4656">
        <v>98</v>
      </c>
      <c r="C4656" t="s">
        <v>26</v>
      </c>
      <c r="D4656" t="s">
        <v>166</v>
      </c>
      <c r="E4656" t="s">
        <v>39</v>
      </c>
      <c r="F4656">
        <v>5</v>
      </c>
      <c r="G4656" t="s">
        <v>13</v>
      </c>
      <c r="H4656" s="1">
        <v>46015.768750000003</v>
      </c>
      <c r="I4656" s="5">
        <f>INT(TB[[#This Row],[时间戳]])</f>
        <v>46015</v>
      </c>
      <c r="J4656" s="2">
        <f>HOUR(TB[[#This Row],[时间戳]])</f>
        <v>18</v>
      </c>
      <c r="K4656">
        <v>1861</v>
      </c>
      <c r="L4656">
        <v>5</v>
      </c>
      <c r="M4656">
        <f>TB[[#This Row],[售价]]*TB[[#This Row],[销量]]</f>
        <v>9305</v>
      </c>
      <c r="N4656" t="str">
        <f>IF(TB[[#This Row],[售价]]&lt;1000,"低价商品",IF(TB[[#This Row],[售价]]&lt;5000,"中价商品",IF(TB[[#This Row],[售价]]&lt;10000,"高价商品","超高价商品")))</f>
        <v>中价商品</v>
      </c>
    </row>
    <row r="4657" spans="1:14" x14ac:dyDescent="0.2">
      <c r="A4657">
        <v>363</v>
      </c>
      <c r="B4657">
        <v>118</v>
      </c>
      <c r="C4657" t="s">
        <v>14</v>
      </c>
      <c r="D4657" t="s">
        <v>205</v>
      </c>
      <c r="E4657" t="s">
        <v>16</v>
      </c>
      <c r="F4657">
        <v>6</v>
      </c>
      <c r="G4657" t="s">
        <v>42</v>
      </c>
      <c r="H4657" s="1">
        <v>46015.771527777775</v>
      </c>
      <c r="I4657" s="5">
        <f>INT(TB[[#This Row],[时间戳]])</f>
        <v>46015</v>
      </c>
      <c r="J4657" s="2">
        <f>HOUR(TB[[#This Row],[时间戳]])</f>
        <v>18</v>
      </c>
      <c r="K4657">
        <v>4884</v>
      </c>
      <c r="L4657">
        <v>0</v>
      </c>
      <c r="M4657">
        <f>TB[[#This Row],[售价]]*TB[[#This Row],[销量]]</f>
        <v>0</v>
      </c>
      <c r="N4657" t="str">
        <f>IF(TB[[#This Row],[售价]]&lt;1000,"低价商品",IF(TB[[#This Row],[售价]]&lt;5000,"中价商品",IF(TB[[#This Row],[售价]]&lt;10000,"高价商品","超高价商品")))</f>
        <v>中价商品</v>
      </c>
    </row>
    <row r="4658" spans="1:14" x14ac:dyDescent="0.2">
      <c r="A4658">
        <v>97</v>
      </c>
      <c r="B4658">
        <v>139</v>
      </c>
      <c r="C4658" t="s">
        <v>10</v>
      </c>
      <c r="D4658" t="s">
        <v>96</v>
      </c>
      <c r="E4658" t="s">
        <v>22</v>
      </c>
      <c r="F4658">
        <v>1</v>
      </c>
      <c r="G4658" t="s">
        <v>13</v>
      </c>
      <c r="H4658" s="1">
        <v>46015.804861111108</v>
      </c>
      <c r="I4658" s="5">
        <f>INT(TB[[#This Row],[时间戳]])</f>
        <v>46015</v>
      </c>
      <c r="J4658" s="2">
        <f>HOUR(TB[[#This Row],[时间戳]])</f>
        <v>19</v>
      </c>
      <c r="K4658">
        <v>3699</v>
      </c>
      <c r="L4658">
        <v>5</v>
      </c>
      <c r="M4658">
        <f>TB[[#This Row],[售价]]*TB[[#This Row],[销量]]</f>
        <v>18495</v>
      </c>
      <c r="N4658" t="str">
        <f>IF(TB[[#This Row],[售价]]&lt;1000,"低价商品",IF(TB[[#This Row],[售价]]&lt;5000,"中价商品",IF(TB[[#This Row],[售价]]&lt;10000,"高价商品","超高价商品")))</f>
        <v>中价商品</v>
      </c>
    </row>
    <row r="4659" spans="1:14" x14ac:dyDescent="0.2">
      <c r="A4659">
        <v>596</v>
      </c>
      <c r="B4659">
        <v>54</v>
      </c>
      <c r="C4659" t="s">
        <v>26</v>
      </c>
      <c r="D4659" t="s">
        <v>300</v>
      </c>
      <c r="E4659" t="s">
        <v>19</v>
      </c>
      <c r="F4659">
        <v>3</v>
      </c>
      <c r="G4659" t="s">
        <v>13</v>
      </c>
      <c r="H4659" s="1">
        <v>46015.819444444445</v>
      </c>
      <c r="I4659" s="5">
        <f>INT(TB[[#This Row],[时间戳]])</f>
        <v>46015</v>
      </c>
      <c r="J4659" s="2">
        <f>HOUR(TB[[#This Row],[时间戳]])</f>
        <v>19</v>
      </c>
      <c r="K4659">
        <v>3387</v>
      </c>
      <c r="L4659">
        <v>5</v>
      </c>
      <c r="M4659">
        <f>TB[[#This Row],[售价]]*TB[[#This Row],[销量]]</f>
        <v>16935</v>
      </c>
      <c r="N4659" t="str">
        <f>IF(TB[[#This Row],[售价]]&lt;1000,"低价商品",IF(TB[[#This Row],[售价]]&lt;5000,"中价商品",IF(TB[[#This Row],[售价]]&lt;10000,"高价商品","超高价商品")))</f>
        <v>中价商品</v>
      </c>
    </row>
    <row r="4660" spans="1:14" x14ac:dyDescent="0.2">
      <c r="A4660">
        <v>453</v>
      </c>
      <c r="B4660">
        <v>249</v>
      </c>
      <c r="C4660" t="s">
        <v>10</v>
      </c>
      <c r="D4660" t="s">
        <v>189</v>
      </c>
      <c r="E4660" t="s">
        <v>22</v>
      </c>
      <c r="F4660">
        <v>1</v>
      </c>
      <c r="G4660" t="s">
        <v>13</v>
      </c>
      <c r="H4660" s="1">
        <v>46015.823611111111</v>
      </c>
      <c r="I4660" s="5">
        <f>INT(TB[[#This Row],[时间戳]])</f>
        <v>46015</v>
      </c>
      <c r="J4660" s="2">
        <f>HOUR(TB[[#This Row],[时间戳]])</f>
        <v>19</v>
      </c>
      <c r="K4660">
        <v>3374</v>
      </c>
      <c r="L4660">
        <v>5</v>
      </c>
      <c r="M4660">
        <f>TB[[#This Row],[售价]]*TB[[#This Row],[销量]]</f>
        <v>16870</v>
      </c>
      <c r="N4660" t="str">
        <f>IF(TB[[#This Row],[售价]]&lt;1000,"低价商品",IF(TB[[#This Row],[售价]]&lt;5000,"中价商品",IF(TB[[#This Row],[售价]]&lt;10000,"高价商品","超高价商品")))</f>
        <v>中价商品</v>
      </c>
    </row>
    <row r="4661" spans="1:14" x14ac:dyDescent="0.2">
      <c r="A4661">
        <v>478</v>
      </c>
      <c r="B4661">
        <v>65</v>
      </c>
      <c r="C4661" t="s">
        <v>26</v>
      </c>
      <c r="D4661" t="s">
        <v>227</v>
      </c>
      <c r="E4661" t="s">
        <v>12</v>
      </c>
      <c r="F4661">
        <v>2</v>
      </c>
      <c r="G4661" t="s">
        <v>42</v>
      </c>
      <c r="H4661" s="1">
        <v>46015.847222222219</v>
      </c>
      <c r="I4661" s="5">
        <f>INT(TB[[#This Row],[时间戳]])</f>
        <v>46015</v>
      </c>
      <c r="J4661" s="2">
        <f>HOUR(TB[[#This Row],[时间戳]])</f>
        <v>20</v>
      </c>
      <c r="K4661">
        <v>13723</v>
      </c>
      <c r="L4661">
        <v>0</v>
      </c>
      <c r="M4661">
        <f>TB[[#This Row],[售价]]*TB[[#This Row],[销量]]</f>
        <v>0</v>
      </c>
      <c r="N4661" t="str">
        <f>IF(TB[[#This Row],[售价]]&lt;1000,"低价商品",IF(TB[[#This Row],[售价]]&lt;5000,"中价商品",IF(TB[[#This Row],[售价]]&lt;10000,"高价商品","超高价商品")))</f>
        <v>超高价商品</v>
      </c>
    </row>
    <row r="4662" spans="1:14" x14ac:dyDescent="0.2">
      <c r="A4662">
        <v>158</v>
      </c>
      <c r="B4662">
        <v>48</v>
      </c>
      <c r="C4662" t="s">
        <v>36</v>
      </c>
      <c r="D4662" t="s">
        <v>153</v>
      </c>
      <c r="E4662" t="s">
        <v>31</v>
      </c>
      <c r="F4662">
        <v>4</v>
      </c>
      <c r="G4662" t="s">
        <v>13</v>
      </c>
      <c r="H4662" s="1">
        <v>46015.86041666667</v>
      </c>
      <c r="I4662" s="5">
        <f>INT(TB[[#This Row],[时间戳]])</f>
        <v>46015</v>
      </c>
      <c r="J4662" s="2">
        <f>HOUR(TB[[#This Row],[时间戳]])</f>
        <v>20</v>
      </c>
      <c r="K4662">
        <v>970</v>
      </c>
      <c r="L4662">
        <v>3</v>
      </c>
      <c r="M4662">
        <f>TB[[#This Row],[售价]]*TB[[#This Row],[销量]]</f>
        <v>2910</v>
      </c>
      <c r="N4662" t="str">
        <f>IF(TB[[#This Row],[售价]]&lt;1000,"低价商品",IF(TB[[#This Row],[售价]]&lt;5000,"中价商品",IF(TB[[#This Row],[售价]]&lt;10000,"高价商品","超高价商品")))</f>
        <v>低价商品</v>
      </c>
    </row>
    <row r="4663" spans="1:14" x14ac:dyDescent="0.2">
      <c r="A4663">
        <v>644</v>
      </c>
      <c r="B4663">
        <v>165</v>
      </c>
      <c r="C4663" t="s">
        <v>32</v>
      </c>
      <c r="D4663" t="s">
        <v>107</v>
      </c>
      <c r="E4663" t="s">
        <v>31</v>
      </c>
      <c r="F4663">
        <v>4</v>
      </c>
      <c r="G4663" t="s">
        <v>13</v>
      </c>
      <c r="H4663" s="1">
        <v>46015.877083333333</v>
      </c>
      <c r="I4663" s="5">
        <f>INT(TB[[#This Row],[时间戳]])</f>
        <v>46015</v>
      </c>
      <c r="J4663" s="2">
        <f>HOUR(TB[[#This Row],[时间戳]])</f>
        <v>21</v>
      </c>
      <c r="K4663">
        <v>1156</v>
      </c>
      <c r="L4663">
        <v>5</v>
      </c>
      <c r="M4663">
        <f>TB[[#This Row],[售价]]*TB[[#This Row],[销量]]</f>
        <v>5780</v>
      </c>
      <c r="N4663" t="str">
        <f>IF(TB[[#This Row],[售价]]&lt;1000,"低价商品",IF(TB[[#This Row],[售价]]&lt;5000,"中价商品",IF(TB[[#This Row],[售价]]&lt;10000,"高价商品","超高价商品")))</f>
        <v>中价商品</v>
      </c>
    </row>
    <row r="4664" spans="1:14" x14ac:dyDescent="0.2">
      <c r="A4664">
        <v>185</v>
      </c>
      <c r="B4664">
        <v>4</v>
      </c>
      <c r="C4664" t="s">
        <v>14</v>
      </c>
      <c r="D4664" t="s">
        <v>29</v>
      </c>
      <c r="E4664" t="s">
        <v>22</v>
      </c>
      <c r="F4664">
        <v>1</v>
      </c>
      <c r="G4664" t="s">
        <v>13</v>
      </c>
      <c r="H4664" s="1">
        <v>46015.888888888891</v>
      </c>
      <c r="I4664" s="5">
        <f>INT(TB[[#This Row],[时间戳]])</f>
        <v>46015</v>
      </c>
      <c r="J4664" s="2">
        <f>HOUR(TB[[#This Row],[时间戳]])</f>
        <v>21</v>
      </c>
      <c r="K4664">
        <v>6813</v>
      </c>
      <c r="L4664">
        <v>5</v>
      </c>
      <c r="M4664">
        <f>TB[[#This Row],[售价]]*TB[[#This Row],[销量]]</f>
        <v>34065</v>
      </c>
      <c r="N4664" t="str">
        <f>IF(TB[[#This Row],[售价]]&lt;1000,"低价商品",IF(TB[[#This Row],[售价]]&lt;5000,"中价商品",IF(TB[[#This Row],[售价]]&lt;10000,"高价商品","超高价商品")))</f>
        <v>高价商品</v>
      </c>
    </row>
    <row r="4665" spans="1:14" x14ac:dyDescent="0.2">
      <c r="A4665">
        <v>505</v>
      </c>
      <c r="B4665">
        <v>22</v>
      </c>
      <c r="C4665" t="s">
        <v>20</v>
      </c>
      <c r="D4665" t="s">
        <v>259</v>
      </c>
      <c r="E4665" t="s">
        <v>16</v>
      </c>
      <c r="F4665">
        <v>6</v>
      </c>
      <c r="G4665" t="s">
        <v>13</v>
      </c>
      <c r="H4665" s="1">
        <v>46015.92083333333</v>
      </c>
      <c r="I4665" s="5">
        <f>INT(TB[[#This Row],[时间戳]])</f>
        <v>46015</v>
      </c>
      <c r="J4665" s="2">
        <f>HOUR(TB[[#This Row],[时间戳]])</f>
        <v>22</v>
      </c>
      <c r="K4665">
        <v>7151</v>
      </c>
      <c r="L4665">
        <v>5</v>
      </c>
      <c r="M4665">
        <f>TB[[#This Row],[售价]]*TB[[#This Row],[销量]]</f>
        <v>35755</v>
      </c>
      <c r="N4665" t="str">
        <f>IF(TB[[#This Row],[售价]]&lt;1000,"低价商品",IF(TB[[#This Row],[售价]]&lt;5000,"中价商品",IF(TB[[#This Row],[售价]]&lt;10000,"高价商品","超高价商品")))</f>
        <v>高价商品</v>
      </c>
    </row>
    <row r="4666" spans="1:14" x14ac:dyDescent="0.2">
      <c r="A4666">
        <v>204</v>
      </c>
      <c r="B4666">
        <v>107</v>
      </c>
      <c r="C4666" t="s">
        <v>17</v>
      </c>
      <c r="D4666" t="s">
        <v>93</v>
      </c>
      <c r="E4666" t="s">
        <v>12</v>
      </c>
      <c r="F4666">
        <v>2</v>
      </c>
      <c r="G4666" t="s">
        <v>13</v>
      </c>
      <c r="H4666" s="1">
        <v>46015.953472222223</v>
      </c>
      <c r="I4666" s="5">
        <f>INT(TB[[#This Row],[时间戳]])</f>
        <v>46015</v>
      </c>
      <c r="J4666" s="2">
        <f>HOUR(TB[[#This Row],[时间戳]])</f>
        <v>22</v>
      </c>
      <c r="K4666">
        <v>11120</v>
      </c>
      <c r="L4666">
        <v>5</v>
      </c>
      <c r="M4666">
        <f>TB[[#This Row],[售价]]*TB[[#This Row],[销量]]</f>
        <v>55600</v>
      </c>
      <c r="N4666" t="str">
        <f>IF(TB[[#This Row],[售价]]&lt;1000,"低价商品",IF(TB[[#This Row],[售价]]&lt;5000,"中价商品",IF(TB[[#This Row],[售价]]&lt;10000,"高价商品","超高价商品")))</f>
        <v>超高价商品</v>
      </c>
    </row>
    <row r="4667" spans="1:14" x14ac:dyDescent="0.2">
      <c r="A4667">
        <v>604</v>
      </c>
      <c r="B4667">
        <v>286</v>
      </c>
      <c r="C4667" t="s">
        <v>26</v>
      </c>
      <c r="D4667" t="s">
        <v>48</v>
      </c>
      <c r="E4667" t="s">
        <v>31</v>
      </c>
      <c r="F4667">
        <v>4</v>
      </c>
      <c r="G4667" t="s">
        <v>13</v>
      </c>
      <c r="H4667" s="1">
        <v>46015.976388888892</v>
      </c>
      <c r="I4667" s="5">
        <f>INT(TB[[#This Row],[时间戳]])</f>
        <v>46015</v>
      </c>
      <c r="J4667" s="2">
        <f>HOUR(TB[[#This Row],[时间戳]])</f>
        <v>23</v>
      </c>
      <c r="K4667">
        <v>717</v>
      </c>
      <c r="L4667">
        <v>5</v>
      </c>
      <c r="M4667">
        <f>TB[[#This Row],[售价]]*TB[[#This Row],[销量]]</f>
        <v>3585</v>
      </c>
      <c r="N4667" t="str">
        <f>IF(TB[[#This Row],[售价]]&lt;1000,"低价商品",IF(TB[[#This Row],[售价]]&lt;5000,"中价商品",IF(TB[[#This Row],[售价]]&lt;10000,"高价商品","超高价商品")))</f>
        <v>低价商品</v>
      </c>
    </row>
    <row r="4668" spans="1:14" x14ac:dyDescent="0.2">
      <c r="A4668">
        <v>633</v>
      </c>
      <c r="B4668">
        <v>30</v>
      </c>
      <c r="C4668" t="s">
        <v>14</v>
      </c>
      <c r="D4668" t="s">
        <v>305</v>
      </c>
      <c r="E4668" t="s">
        <v>25</v>
      </c>
      <c r="F4668">
        <v>7</v>
      </c>
      <c r="G4668" t="s">
        <v>13</v>
      </c>
      <c r="H4668" s="1">
        <v>46015.978472222225</v>
      </c>
      <c r="I4668" s="5">
        <f>INT(TB[[#This Row],[时间戳]])</f>
        <v>46015</v>
      </c>
      <c r="J4668" s="2">
        <f>HOUR(TB[[#This Row],[时间戳]])</f>
        <v>23</v>
      </c>
      <c r="K4668">
        <v>5003</v>
      </c>
      <c r="L4668">
        <v>5</v>
      </c>
      <c r="M4668">
        <f>TB[[#This Row],[售价]]*TB[[#This Row],[销量]]</f>
        <v>25015</v>
      </c>
      <c r="N4668" t="str">
        <f>IF(TB[[#This Row],[售价]]&lt;1000,"低价商品",IF(TB[[#This Row],[售价]]&lt;5000,"中价商品",IF(TB[[#This Row],[售价]]&lt;10000,"高价商品","超高价商品")))</f>
        <v>高价商品</v>
      </c>
    </row>
    <row r="4669" spans="1:14" x14ac:dyDescent="0.2">
      <c r="A4669">
        <v>556</v>
      </c>
      <c r="B4669">
        <v>149</v>
      </c>
      <c r="C4669" t="s">
        <v>44</v>
      </c>
      <c r="D4669" t="s">
        <v>236</v>
      </c>
      <c r="E4669" t="s">
        <v>12</v>
      </c>
      <c r="F4669">
        <v>2</v>
      </c>
      <c r="G4669" t="s">
        <v>13</v>
      </c>
      <c r="H4669" s="1">
        <v>46016.011805555558</v>
      </c>
      <c r="I4669" s="5">
        <f>INT(TB[[#This Row],[时间戳]])</f>
        <v>46016</v>
      </c>
      <c r="J4669" s="2">
        <f>HOUR(TB[[#This Row],[时间戳]])</f>
        <v>0</v>
      </c>
      <c r="K4669">
        <v>6692</v>
      </c>
      <c r="L4669">
        <v>5</v>
      </c>
      <c r="M4669">
        <f>TB[[#This Row],[售价]]*TB[[#This Row],[销量]]</f>
        <v>33460</v>
      </c>
      <c r="N4669" t="str">
        <f>IF(TB[[#This Row],[售价]]&lt;1000,"低价商品",IF(TB[[#This Row],[售价]]&lt;5000,"中价商品",IF(TB[[#This Row],[售价]]&lt;10000,"高价商品","超高价商品")))</f>
        <v>高价商品</v>
      </c>
    </row>
    <row r="4670" spans="1:14" x14ac:dyDescent="0.2">
      <c r="A4670">
        <v>342</v>
      </c>
      <c r="B4670">
        <v>258</v>
      </c>
      <c r="C4670" t="s">
        <v>10</v>
      </c>
      <c r="D4670" t="s">
        <v>278</v>
      </c>
      <c r="E4670" t="s">
        <v>19</v>
      </c>
      <c r="F4670">
        <v>3</v>
      </c>
      <c r="G4670" t="s">
        <v>42</v>
      </c>
      <c r="H4670" s="1">
        <v>46016.032638888886</v>
      </c>
      <c r="I4670" s="5">
        <f>INT(TB[[#This Row],[时间戳]])</f>
        <v>46016</v>
      </c>
      <c r="J4670" s="2">
        <f>HOUR(TB[[#This Row],[时间戳]])</f>
        <v>0</v>
      </c>
      <c r="K4670">
        <v>4989</v>
      </c>
      <c r="L4670">
        <v>0</v>
      </c>
      <c r="M4670">
        <f>TB[[#This Row],[售价]]*TB[[#This Row],[销量]]</f>
        <v>0</v>
      </c>
      <c r="N4670" t="str">
        <f>IF(TB[[#This Row],[售价]]&lt;1000,"低价商品",IF(TB[[#This Row],[售价]]&lt;5000,"中价商品",IF(TB[[#This Row],[售价]]&lt;10000,"高价商品","超高价商品")))</f>
        <v>中价商品</v>
      </c>
    </row>
    <row r="4671" spans="1:14" x14ac:dyDescent="0.2">
      <c r="A4671">
        <v>197</v>
      </c>
      <c r="B4671">
        <v>278</v>
      </c>
      <c r="C4671" t="s">
        <v>20</v>
      </c>
      <c r="D4671" t="s">
        <v>21</v>
      </c>
      <c r="E4671" t="s">
        <v>22</v>
      </c>
      <c r="F4671">
        <v>1</v>
      </c>
      <c r="G4671" t="s">
        <v>13</v>
      </c>
      <c r="H4671" s="1">
        <v>46016.054166666669</v>
      </c>
      <c r="I4671" s="5">
        <f>INT(TB[[#This Row],[时间戳]])</f>
        <v>46016</v>
      </c>
      <c r="J4671" s="2">
        <f>HOUR(TB[[#This Row],[时间戳]])</f>
        <v>1</v>
      </c>
      <c r="K4671">
        <v>7418</v>
      </c>
      <c r="L4671">
        <v>5</v>
      </c>
      <c r="M4671">
        <f>TB[[#This Row],[售价]]*TB[[#This Row],[销量]]</f>
        <v>37090</v>
      </c>
      <c r="N4671" t="str">
        <f>IF(TB[[#This Row],[售价]]&lt;1000,"低价商品",IF(TB[[#This Row],[售价]]&lt;5000,"中价商品",IF(TB[[#This Row],[售价]]&lt;10000,"高价商品","超高价商品")))</f>
        <v>高价商品</v>
      </c>
    </row>
    <row r="4672" spans="1:14" x14ac:dyDescent="0.2">
      <c r="A4672">
        <v>728</v>
      </c>
      <c r="B4672">
        <v>245</v>
      </c>
      <c r="C4672" t="s">
        <v>34</v>
      </c>
      <c r="D4672" t="s">
        <v>311</v>
      </c>
      <c r="E4672" t="s">
        <v>19</v>
      </c>
      <c r="F4672">
        <v>3</v>
      </c>
      <c r="G4672" t="s">
        <v>13</v>
      </c>
      <c r="H4672" s="1">
        <v>46016.0625</v>
      </c>
      <c r="I4672" s="5">
        <f>INT(TB[[#This Row],[时间戳]])</f>
        <v>46016</v>
      </c>
      <c r="J4672" s="2">
        <f>HOUR(TB[[#This Row],[时间戳]])</f>
        <v>1</v>
      </c>
      <c r="K4672">
        <v>3103</v>
      </c>
      <c r="L4672">
        <v>3</v>
      </c>
      <c r="M4672">
        <f>TB[[#This Row],[售价]]*TB[[#This Row],[销量]]</f>
        <v>9309</v>
      </c>
      <c r="N4672" t="str">
        <f>IF(TB[[#This Row],[售价]]&lt;1000,"低价商品",IF(TB[[#This Row],[售价]]&lt;5000,"中价商品",IF(TB[[#This Row],[售价]]&lt;10000,"高价商品","超高价商品")))</f>
        <v>中价商品</v>
      </c>
    </row>
    <row r="4673" spans="1:14" x14ac:dyDescent="0.2">
      <c r="A4673">
        <v>758</v>
      </c>
      <c r="B4673">
        <v>261</v>
      </c>
      <c r="C4673" t="s">
        <v>26</v>
      </c>
      <c r="D4673" t="s">
        <v>407</v>
      </c>
      <c r="E4673" t="s">
        <v>39</v>
      </c>
      <c r="F4673">
        <v>5</v>
      </c>
      <c r="G4673" t="s">
        <v>13</v>
      </c>
      <c r="H4673" s="1">
        <v>46016.101388888892</v>
      </c>
      <c r="I4673" s="5">
        <f>INT(TB[[#This Row],[时间戳]])</f>
        <v>46016</v>
      </c>
      <c r="J4673" s="2">
        <f>HOUR(TB[[#This Row],[时间戳]])</f>
        <v>2</v>
      </c>
      <c r="K4673">
        <v>1359</v>
      </c>
      <c r="L4673">
        <v>5</v>
      </c>
      <c r="M4673">
        <f>TB[[#This Row],[售价]]*TB[[#This Row],[销量]]</f>
        <v>6795</v>
      </c>
      <c r="N4673" t="str">
        <f>IF(TB[[#This Row],[售价]]&lt;1000,"低价商品",IF(TB[[#This Row],[售价]]&lt;5000,"中价商品",IF(TB[[#This Row],[售价]]&lt;10000,"高价商品","超高价商品")))</f>
        <v>中价商品</v>
      </c>
    </row>
    <row r="4674" spans="1:14" x14ac:dyDescent="0.2">
      <c r="A4674">
        <v>675</v>
      </c>
      <c r="B4674">
        <v>300</v>
      </c>
      <c r="C4674" t="s">
        <v>44</v>
      </c>
      <c r="D4674" t="s">
        <v>338</v>
      </c>
      <c r="E4674" t="s">
        <v>16</v>
      </c>
      <c r="F4674">
        <v>6</v>
      </c>
      <c r="G4674" t="s">
        <v>13</v>
      </c>
      <c r="H4674" s="1">
        <v>46016.125694444447</v>
      </c>
      <c r="I4674" s="5">
        <f>INT(TB[[#This Row],[时间戳]])</f>
        <v>46016</v>
      </c>
      <c r="J4674" s="2">
        <f>HOUR(TB[[#This Row],[时间戳]])</f>
        <v>3</v>
      </c>
      <c r="K4674">
        <v>6363</v>
      </c>
      <c r="L4674">
        <v>5</v>
      </c>
      <c r="M4674">
        <f>TB[[#This Row],[售价]]*TB[[#This Row],[销量]]</f>
        <v>31815</v>
      </c>
      <c r="N4674" t="str">
        <f>IF(TB[[#This Row],[售价]]&lt;1000,"低价商品",IF(TB[[#This Row],[售价]]&lt;5000,"中价商品",IF(TB[[#This Row],[售价]]&lt;10000,"高价商品","超高价商品")))</f>
        <v>高价商品</v>
      </c>
    </row>
    <row r="4675" spans="1:14" x14ac:dyDescent="0.2">
      <c r="A4675">
        <v>222</v>
      </c>
      <c r="B4675">
        <v>164</v>
      </c>
      <c r="C4675" t="s">
        <v>34</v>
      </c>
      <c r="D4675" t="s">
        <v>248</v>
      </c>
      <c r="E4675" t="s">
        <v>22</v>
      </c>
      <c r="F4675">
        <v>1</v>
      </c>
      <c r="G4675" t="s">
        <v>13</v>
      </c>
      <c r="H4675" s="1">
        <v>46016.12777777778</v>
      </c>
      <c r="I4675" s="5">
        <f>INT(TB[[#This Row],[时间戳]])</f>
        <v>46016</v>
      </c>
      <c r="J4675" s="2">
        <f>HOUR(TB[[#This Row],[时间戳]])</f>
        <v>3</v>
      </c>
      <c r="K4675">
        <v>7266</v>
      </c>
      <c r="L4675">
        <v>5</v>
      </c>
      <c r="M4675">
        <f>TB[[#This Row],[售价]]*TB[[#This Row],[销量]]</f>
        <v>36330</v>
      </c>
      <c r="N4675" t="str">
        <f>IF(TB[[#This Row],[售价]]&lt;1000,"低价商品",IF(TB[[#This Row],[售价]]&lt;5000,"中价商品",IF(TB[[#This Row],[售价]]&lt;10000,"高价商品","超高价商品")))</f>
        <v>高价商品</v>
      </c>
    </row>
    <row r="4676" spans="1:14" x14ac:dyDescent="0.2">
      <c r="A4676">
        <v>173</v>
      </c>
      <c r="B4676">
        <v>285</v>
      </c>
      <c r="C4676" t="s">
        <v>46</v>
      </c>
      <c r="D4676" t="s">
        <v>211</v>
      </c>
      <c r="E4676" t="s">
        <v>31</v>
      </c>
      <c r="F4676">
        <v>4</v>
      </c>
      <c r="G4676" t="s">
        <v>13</v>
      </c>
      <c r="H4676" s="1">
        <v>46016.137499999997</v>
      </c>
      <c r="I4676" s="5">
        <f>INT(TB[[#This Row],[时间戳]])</f>
        <v>46016</v>
      </c>
      <c r="J4676" s="2">
        <f>HOUR(TB[[#This Row],[时间戳]])</f>
        <v>3</v>
      </c>
      <c r="K4676">
        <v>655</v>
      </c>
      <c r="L4676">
        <v>5</v>
      </c>
      <c r="M4676">
        <f>TB[[#This Row],[售价]]*TB[[#This Row],[销量]]</f>
        <v>3275</v>
      </c>
      <c r="N4676" t="str">
        <f>IF(TB[[#This Row],[售价]]&lt;1000,"低价商品",IF(TB[[#This Row],[售价]]&lt;5000,"中价商品",IF(TB[[#This Row],[售价]]&lt;10000,"高价商品","超高价商品")))</f>
        <v>低价商品</v>
      </c>
    </row>
    <row r="4677" spans="1:14" x14ac:dyDescent="0.2">
      <c r="A4677">
        <v>9</v>
      </c>
      <c r="B4677">
        <v>55</v>
      </c>
      <c r="C4677" t="s">
        <v>26</v>
      </c>
      <c r="D4677" t="s">
        <v>219</v>
      </c>
      <c r="E4677" t="s">
        <v>22</v>
      </c>
      <c r="F4677">
        <v>1</v>
      </c>
      <c r="G4677" t="s">
        <v>13</v>
      </c>
      <c r="H4677" s="1">
        <v>46016.177083333336</v>
      </c>
      <c r="I4677" s="5">
        <f>INT(TB[[#This Row],[时间戳]])</f>
        <v>46016</v>
      </c>
      <c r="J4677" s="2">
        <f>HOUR(TB[[#This Row],[时间戳]])</f>
        <v>4</v>
      </c>
      <c r="K4677">
        <v>2190</v>
      </c>
      <c r="L4677">
        <v>3</v>
      </c>
      <c r="M4677">
        <f>TB[[#This Row],[售价]]*TB[[#This Row],[销量]]</f>
        <v>6570</v>
      </c>
      <c r="N4677" t="str">
        <f>IF(TB[[#This Row],[售价]]&lt;1000,"低价商品",IF(TB[[#This Row],[售价]]&lt;5000,"中价商品",IF(TB[[#This Row],[售价]]&lt;10000,"高价商品","超高价商品")))</f>
        <v>中价商品</v>
      </c>
    </row>
    <row r="4678" spans="1:14" x14ac:dyDescent="0.2">
      <c r="A4678">
        <v>680</v>
      </c>
      <c r="B4678">
        <v>208</v>
      </c>
      <c r="C4678" t="s">
        <v>34</v>
      </c>
      <c r="D4678" t="s">
        <v>105</v>
      </c>
      <c r="E4678" t="s">
        <v>12</v>
      </c>
      <c r="F4678">
        <v>2</v>
      </c>
      <c r="G4678" t="s">
        <v>13</v>
      </c>
      <c r="H4678" s="1">
        <v>46016.178472222222</v>
      </c>
      <c r="I4678" s="5">
        <f>INT(TB[[#This Row],[时间戳]])</f>
        <v>46016</v>
      </c>
      <c r="J4678" s="2">
        <f>HOUR(TB[[#This Row],[时间戳]])</f>
        <v>4</v>
      </c>
      <c r="K4678">
        <v>12630</v>
      </c>
      <c r="L4678">
        <v>5</v>
      </c>
      <c r="M4678">
        <f>TB[[#This Row],[售价]]*TB[[#This Row],[销量]]</f>
        <v>63150</v>
      </c>
      <c r="N4678" t="str">
        <f>IF(TB[[#This Row],[售价]]&lt;1000,"低价商品",IF(TB[[#This Row],[售价]]&lt;5000,"中价商品",IF(TB[[#This Row],[售价]]&lt;10000,"高价商品","超高价商品")))</f>
        <v>超高价商品</v>
      </c>
    </row>
    <row r="4679" spans="1:14" x14ac:dyDescent="0.2">
      <c r="A4679">
        <v>177</v>
      </c>
      <c r="B4679">
        <v>283</v>
      </c>
      <c r="C4679" t="s">
        <v>36</v>
      </c>
      <c r="D4679" t="s">
        <v>233</v>
      </c>
      <c r="E4679" t="s">
        <v>16</v>
      </c>
      <c r="F4679">
        <v>6</v>
      </c>
      <c r="G4679" t="s">
        <v>13</v>
      </c>
      <c r="H4679" s="1">
        <v>46016.238194444442</v>
      </c>
      <c r="I4679" s="5">
        <f>INT(TB[[#This Row],[时间戳]])</f>
        <v>46016</v>
      </c>
      <c r="J4679" s="2">
        <f>HOUR(TB[[#This Row],[时间戳]])</f>
        <v>5</v>
      </c>
      <c r="K4679">
        <v>4939</v>
      </c>
      <c r="L4679">
        <v>3</v>
      </c>
      <c r="M4679">
        <f>TB[[#This Row],[售价]]*TB[[#This Row],[销量]]</f>
        <v>14817</v>
      </c>
      <c r="N4679" t="str">
        <f>IF(TB[[#This Row],[售价]]&lt;1000,"低价商品",IF(TB[[#This Row],[售价]]&lt;5000,"中价商品",IF(TB[[#This Row],[售价]]&lt;10000,"高价商品","超高价商品")))</f>
        <v>中价商品</v>
      </c>
    </row>
    <row r="4680" spans="1:14" x14ac:dyDescent="0.2">
      <c r="A4680">
        <v>185</v>
      </c>
      <c r="B4680">
        <v>7</v>
      </c>
      <c r="C4680" t="s">
        <v>46</v>
      </c>
      <c r="D4680" t="s">
        <v>260</v>
      </c>
      <c r="E4680" t="s">
        <v>22</v>
      </c>
      <c r="F4680">
        <v>1</v>
      </c>
      <c r="G4680" t="s">
        <v>13</v>
      </c>
      <c r="H4680" s="1">
        <v>46016.259027777778</v>
      </c>
      <c r="I4680" s="5">
        <f>INT(TB[[#This Row],[时间戳]])</f>
        <v>46016</v>
      </c>
      <c r="J4680" s="2">
        <f>HOUR(TB[[#This Row],[时间戳]])</f>
        <v>6</v>
      </c>
      <c r="K4680">
        <v>4264</v>
      </c>
      <c r="L4680">
        <v>5</v>
      </c>
      <c r="M4680">
        <f>TB[[#This Row],[售价]]*TB[[#This Row],[销量]]</f>
        <v>21320</v>
      </c>
      <c r="N4680" t="str">
        <f>IF(TB[[#This Row],[售价]]&lt;1000,"低价商品",IF(TB[[#This Row],[售价]]&lt;5000,"中价商品",IF(TB[[#This Row],[售价]]&lt;10000,"高价商品","超高价商品")))</f>
        <v>中价商品</v>
      </c>
    </row>
    <row r="4681" spans="1:14" x14ac:dyDescent="0.2">
      <c r="A4681">
        <v>281</v>
      </c>
      <c r="B4681">
        <v>45</v>
      </c>
      <c r="C4681" t="s">
        <v>26</v>
      </c>
      <c r="D4681" t="s">
        <v>229</v>
      </c>
      <c r="E4681" t="s">
        <v>16</v>
      </c>
      <c r="F4681">
        <v>6</v>
      </c>
      <c r="G4681" t="s">
        <v>13</v>
      </c>
      <c r="H4681" s="1">
        <v>46016.277083333334</v>
      </c>
      <c r="I4681" s="5">
        <f>INT(TB[[#This Row],[时间戳]])</f>
        <v>46016</v>
      </c>
      <c r="J4681" s="2">
        <f>HOUR(TB[[#This Row],[时间戳]])</f>
        <v>6</v>
      </c>
      <c r="K4681">
        <v>3371</v>
      </c>
      <c r="L4681">
        <v>5</v>
      </c>
      <c r="M4681">
        <f>TB[[#This Row],[售价]]*TB[[#This Row],[销量]]</f>
        <v>16855</v>
      </c>
      <c r="N4681" t="str">
        <f>IF(TB[[#This Row],[售价]]&lt;1000,"低价商品",IF(TB[[#This Row],[售价]]&lt;5000,"中价商品",IF(TB[[#This Row],[售价]]&lt;10000,"高价商品","超高价商品")))</f>
        <v>中价商品</v>
      </c>
    </row>
    <row r="4682" spans="1:14" x14ac:dyDescent="0.2">
      <c r="A4682">
        <v>609</v>
      </c>
      <c r="B4682">
        <v>6</v>
      </c>
      <c r="C4682" t="s">
        <v>46</v>
      </c>
      <c r="D4682" t="s">
        <v>157</v>
      </c>
      <c r="E4682" t="s">
        <v>12</v>
      </c>
      <c r="F4682">
        <v>2</v>
      </c>
      <c r="G4682" t="s">
        <v>13</v>
      </c>
      <c r="H4682" s="1">
        <v>46016.283333333333</v>
      </c>
      <c r="I4682" s="5">
        <f>INT(TB[[#This Row],[时间戳]])</f>
        <v>46016</v>
      </c>
      <c r="J4682" s="2">
        <f>HOUR(TB[[#This Row],[时间戳]])</f>
        <v>6</v>
      </c>
      <c r="K4682">
        <v>8800</v>
      </c>
      <c r="L4682">
        <v>5</v>
      </c>
      <c r="M4682">
        <f>TB[[#This Row],[售价]]*TB[[#This Row],[销量]]</f>
        <v>44000</v>
      </c>
      <c r="N4682" t="str">
        <f>IF(TB[[#This Row],[售价]]&lt;1000,"低价商品",IF(TB[[#This Row],[售价]]&lt;5000,"中价商品",IF(TB[[#This Row],[售价]]&lt;10000,"高价商品","超高价商品")))</f>
        <v>高价商品</v>
      </c>
    </row>
    <row r="4683" spans="1:14" x14ac:dyDescent="0.2">
      <c r="A4683">
        <v>175</v>
      </c>
      <c r="B4683">
        <v>228</v>
      </c>
      <c r="C4683" t="s">
        <v>17</v>
      </c>
      <c r="D4683" t="s">
        <v>156</v>
      </c>
      <c r="E4683" t="s">
        <v>19</v>
      </c>
      <c r="F4683">
        <v>3</v>
      </c>
      <c r="G4683" t="s">
        <v>42</v>
      </c>
      <c r="H4683" s="1">
        <v>46016.288194444445</v>
      </c>
      <c r="I4683" s="5">
        <f>INT(TB[[#This Row],[时间戳]])</f>
        <v>46016</v>
      </c>
      <c r="J4683" s="2">
        <f>HOUR(TB[[#This Row],[时间戳]])</f>
        <v>6</v>
      </c>
      <c r="K4683">
        <v>1720</v>
      </c>
      <c r="L4683">
        <v>0</v>
      </c>
      <c r="M4683">
        <f>TB[[#This Row],[售价]]*TB[[#This Row],[销量]]</f>
        <v>0</v>
      </c>
      <c r="N4683" t="str">
        <f>IF(TB[[#This Row],[售价]]&lt;1000,"低价商品",IF(TB[[#This Row],[售价]]&lt;5000,"中价商品",IF(TB[[#This Row],[售价]]&lt;10000,"高价商品","超高价商品")))</f>
        <v>中价商品</v>
      </c>
    </row>
    <row r="4684" spans="1:14" x14ac:dyDescent="0.2">
      <c r="A4684">
        <v>1</v>
      </c>
      <c r="B4684">
        <v>135</v>
      </c>
      <c r="C4684" t="s">
        <v>17</v>
      </c>
      <c r="D4684" t="s">
        <v>137</v>
      </c>
      <c r="E4684" t="s">
        <v>31</v>
      </c>
      <c r="F4684">
        <v>4</v>
      </c>
      <c r="G4684" t="s">
        <v>13</v>
      </c>
      <c r="H4684" s="1">
        <v>46016.34097222222</v>
      </c>
      <c r="I4684" s="5">
        <f>INT(TB[[#This Row],[时间戳]])</f>
        <v>46016</v>
      </c>
      <c r="J4684" s="2">
        <f>HOUR(TB[[#This Row],[时间戳]])</f>
        <v>8</v>
      </c>
      <c r="K4684">
        <v>50</v>
      </c>
      <c r="L4684">
        <v>5</v>
      </c>
      <c r="M4684">
        <f>TB[[#This Row],[售价]]*TB[[#This Row],[销量]]</f>
        <v>250</v>
      </c>
      <c r="N4684" t="str">
        <f>IF(TB[[#This Row],[售价]]&lt;1000,"低价商品",IF(TB[[#This Row],[售价]]&lt;5000,"中价商品",IF(TB[[#This Row],[售价]]&lt;10000,"高价商品","超高价商品")))</f>
        <v>低价商品</v>
      </c>
    </row>
    <row r="4685" spans="1:14" x14ac:dyDescent="0.2">
      <c r="A4685">
        <v>441</v>
      </c>
      <c r="B4685">
        <v>100</v>
      </c>
      <c r="C4685" t="s">
        <v>46</v>
      </c>
      <c r="D4685" t="s">
        <v>303</v>
      </c>
      <c r="E4685" t="s">
        <v>19</v>
      </c>
      <c r="F4685">
        <v>3</v>
      </c>
      <c r="G4685" t="s">
        <v>13</v>
      </c>
      <c r="H4685" s="1">
        <v>46016.347222222219</v>
      </c>
      <c r="I4685" s="5">
        <f>INT(TB[[#This Row],[时间戳]])</f>
        <v>46016</v>
      </c>
      <c r="J4685" s="2">
        <f>HOUR(TB[[#This Row],[时间戳]])</f>
        <v>8</v>
      </c>
      <c r="K4685">
        <v>4133</v>
      </c>
      <c r="L4685">
        <v>5</v>
      </c>
      <c r="M4685">
        <f>TB[[#This Row],[售价]]*TB[[#This Row],[销量]]</f>
        <v>20665</v>
      </c>
      <c r="N4685" t="str">
        <f>IF(TB[[#This Row],[售价]]&lt;1000,"低价商品",IF(TB[[#This Row],[售价]]&lt;5000,"中价商品",IF(TB[[#This Row],[售价]]&lt;10000,"高价商品","超高价商品")))</f>
        <v>中价商品</v>
      </c>
    </row>
    <row r="4686" spans="1:14" x14ac:dyDescent="0.2">
      <c r="A4686">
        <v>663</v>
      </c>
      <c r="B4686">
        <v>21</v>
      </c>
      <c r="C4686" t="s">
        <v>44</v>
      </c>
      <c r="D4686" t="s">
        <v>184</v>
      </c>
      <c r="E4686" t="s">
        <v>12</v>
      </c>
      <c r="F4686">
        <v>2</v>
      </c>
      <c r="G4686" t="s">
        <v>13</v>
      </c>
      <c r="H4686" s="1">
        <v>46016.375</v>
      </c>
      <c r="I4686" s="5">
        <f>INT(TB[[#This Row],[时间戳]])</f>
        <v>46016</v>
      </c>
      <c r="J4686" s="2">
        <f>HOUR(TB[[#This Row],[时间戳]])</f>
        <v>9</v>
      </c>
      <c r="K4686">
        <v>6866</v>
      </c>
      <c r="L4686">
        <v>5</v>
      </c>
      <c r="M4686">
        <f>TB[[#This Row],[售价]]*TB[[#This Row],[销量]]</f>
        <v>34330</v>
      </c>
      <c r="N4686" t="str">
        <f>IF(TB[[#This Row],[售价]]&lt;1000,"低价商品",IF(TB[[#This Row],[售价]]&lt;5000,"中价商品",IF(TB[[#This Row],[售价]]&lt;10000,"高价商品","超高价商品")))</f>
        <v>高价商品</v>
      </c>
    </row>
    <row r="4687" spans="1:14" x14ac:dyDescent="0.2">
      <c r="A4687">
        <v>77</v>
      </c>
      <c r="B4687">
        <v>26</v>
      </c>
      <c r="C4687" t="s">
        <v>32</v>
      </c>
      <c r="D4687" t="s">
        <v>336</v>
      </c>
      <c r="E4687" t="s">
        <v>16</v>
      </c>
      <c r="F4687">
        <v>6</v>
      </c>
      <c r="G4687" t="s">
        <v>13</v>
      </c>
      <c r="H4687" s="1">
        <v>46016.384027777778</v>
      </c>
      <c r="I4687" s="5">
        <f>INT(TB[[#This Row],[时间戳]])</f>
        <v>46016</v>
      </c>
      <c r="J4687" s="2">
        <f>HOUR(TB[[#This Row],[时间戳]])</f>
        <v>9</v>
      </c>
      <c r="K4687">
        <v>2474</v>
      </c>
      <c r="L4687">
        <v>5</v>
      </c>
      <c r="M4687">
        <f>TB[[#This Row],[售价]]*TB[[#This Row],[销量]]</f>
        <v>12370</v>
      </c>
      <c r="N4687" t="str">
        <f>IF(TB[[#This Row],[售价]]&lt;1000,"低价商品",IF(TB[[#This Row],[售价]]&lt;5000,"中价商品",IF(TB[[#This Row],[售价]]&lt;10000,"高价商品","超高价商品")))</f>
        <v>中价商品</v>
      </c>
    </row>
    <row r="4688" spans="1:14" x14ac:dyDescent="0.2">
      <c r="A4688">
        <v>380</v>
      </c>
      <c r="B4688">
        <v>103</v>
      </c>
      <c r="C4688" t="s">
        <v>32</v>
      </c>
      <c r="D4688" t="s">
        <v>170</v>
      </c>
      <c r="E4688" t="s">
        <v>31</v>
      </c>
      <c r="F4688">
        <v>4</v>
      </c>
      <c r="G4688" t="s">
        <v>13</v>
      </c>
      <c r="H4688" s="1">
        <v>46016.386805555558</v>
      </c>
      <c r="I4688" s="5">
        <f>INT(TB[[#This Row],[时间戳]])</f>
        <v>46016</v>
      </c>
      <c r="J4688" s="2">
        <f>HOUR(TB[[#This Row],[时间戳]])</f>
        <v>9</v>
      </c>
      <c r="K4688">
        <v>316</v>
      </c>
      <c r="L4688">
        <v>3</v>
      </c>
      <c r="M4688">
        <f>TB[[#This Row],[售价]]*TB[[#This Row],[销量]]</f>
        <v>948</v>
      </c>
      <c r="N4688" t="str">
        <f>IF(TB[[#This Row],[售价]]&lt;1000,"低价商品",IF(TB[[#This Row],[售价]]&lt;5000,"中价商品",IF(TB[[#This Row],[售价]]&lt;10000,"高价商品","超高价商品")))</f>
        <v>低价商品</v>
      </c>
    </row>
    <row r="4689" spans="1:14" x14ac:dyDescent="0.2">
      <c r="A4689">
        <v>165</v>
      </c>
      <c r="B4689">
        <v>153</v>
      </c>
      <c r="C4689" t="s">
        <v>26</v>
      </c>
      <c r="D4689" t="s">
        <v>149</v>
      </c>
      <c r="E4689" t="s">
        <v>39</v>
      </c>
      <c r="F4689">
        <v>5</v>
      </c>
      <c r="G4689" t="s">
        <v>13</v>
      </c>
      <c r="H4689" s="1">
        <v>46016.386805555558</v>
      </c>
      <c r="I4689" s="5">
        <f>INT(TB[[#This Row],[时间戳]])</f>
        <v>46016</v>
      </c>
      <c r="J4689" s="2">
        <f>HOUR(TB[[#This Row],[时间戳]])</f>
        <v>9</v>
      </c>
      <c r="K4689">
        <v>3123</v>
      </c>
      <c r="L4689">
        <v>5</v>
      </c>
      <c r="M4689">
        <f>TB[[#This Row],[售价]]*TB[[#This Row],[销量]]</f>
        <v>15615</v>
      </c>
      <c r="N4689" t="str">
        <f>IF(TB[[#This Row],[售价]]&lt;1000,"低价商品",IF(TB[[#This Row],[售价]]&lt;5000,"中价商品",IF(TB[[#This Row],[售价]]&lt;10000,"高价商品","超高价商品")))</f>
        <v>中价商品</v>
      </c>
    </row>
    <row r="4690" spans="1:14" x14ac:dyDescent="0.2">
      <c r="A4690">
        <v>228</v>
      </c>
      <c r="B4690">
        <v>196</v>
      </c>
      <c r="C4690" t="s">
        <v>14</v>
      </c>
      <c r="D4690" t="s">
        <v>52</v>
      </c>
      <c r="E4690" t="s">
        <v>31</v>
      </c>
      <c r="F4690">
        <v>4</v>
      </c>
      <c r="G4690" t="s">
        <v>13</v>
      </c>
      <c r="H4690" s="1">
        <v>46016.401388888888</v>
      </c>
      <c r="I4690" s="5">
        <f>INT(TB[[#This Row],[时间戳]])</f>
        <v>46016</v>
      </c>
      <c r="J4690" s="2">
        <f>HOUR(TB[[#This Row],[时间戳]])</f>
        <v>9</v>
      </c>
      <c r="K4690">
        <v>846</v>
      </c>
      <c r="L4690">
        <v>5</v>
      </c>
      <c r="M4690">
        <f>TB[[#This Row],[售价]]*TB[[#This Row],[销量]]</f>
        <v>4230</v>
      </c>
      <c r="N4690" t="str">
        <f>IF(TB[[#This Row],[售价]]&lt;1000,"低价商品",IF(TB[[#This Row],[售价]]&lt;5000,"中价商品",IF(TB[[#This Row],[售价]]&lt;10000,"高价商品","超高价商品")))</f>
        <v>低价商品</v>
      </c>
    </row>
    <row r="4691" spans="1:14" x14ac:dyDescent="0.2">
      <c r="A4691">
        <v>22</v>
      </c>
      <c r="B4691">
        <v>271</v>
      </c>
      <c r="C4691" t="s">
        <v>10</v>
      </c>
      <c r="D4691" t="s">
        <v>256</v>
      </c>
      <c r="E4691" t="s">
        <v>19</v>
      </c>
      <c r="F4691">
        <v>3</v>
      </c>
      <c r="G4691" t="s">
        <v>13</v>
      </c>
      <c r="H4691" s="1">
        <v>46016.470138888886</v>
      </c>
      <c r="I4691" s="5">
        <f>INT(TB[[#This Row],[时间戳]])</f>
        <v>46016</v>
      </c>
      <c r="J4691" s="2">
        <f>HOUR(TB[[#This Row],[时间戳]])</f>
        <v>11</v>
      </c>
      <c r="K4691">
        <v>1702</v>
      </c>
      <c r="L4691">
        <v>3</v>
      </c>
      <c r="M4691">
        <f>TB[[#This Row],[售价]]*TB[[#This Row],[销量]]</f>
        <v>5106</v>
      </c>
      <c r="N4691" t="str">
        <f>IF(TB[[#This Row],[售价]]&lt;1000,"低价商品",IF(TB[[#This Row],[售价]]&lt;5000,"中价商品",IF(TB[[#This Row],[售价]]&lt;10000,"高价商品","超高价商品")))</f>
        <v>中价商品</v>
      </c>
    </row>
    <row r="4692" spans="1:14" x14ac:dyDescent="0.2">
      <c r="A4692">
        <v>39</v>
      </c>
      <c r="B4692">
        <v>165</v>
      </c>
      <c r="C4692" t="s">
        <v>44</v>
      </c>
      <c r="D4692" t="s">
        <v>372</v>
      </c>
      <c r="E4692" t="s">
        <v>22</v>
      </c>
      <c r="F4692">
        <v>1</v>
      </c>
      <c r="G4692" t="s">
        <v>13</v>
      </c>
      <c r="H4692" s="1">
        <v>46016.478472222225</v>
      </c>
      <c r="I4692" s="5">
        <f>INT(TB[[#This Row],[时间戳]])</f>
        <v>46016</v>
      </c>
      <c r="J4692" s="2">
        <f>HOUR(TB[[#This Row],[时间戳]])</f>
        <v>11</v>
      </c>
      <c r="K4692">
        <v>2212</v>
      </c>
      <c r="L4692">
        <v>5</v>
      </c>
      <c r="M4692">
        <f>TB[[#This Row],[售价]]*TB[[#This Row],[销量]]</f>
        <v>11060</v>
      </c>
      <c r="N4692" t="str">
        <f>IF(TB[[#This Row],[售价]]&lt;1000,"低价商品",IF(TB[[#This Row],[售价]]&lt;5000,"中价商品",IF(TB[[#This Row],[售价]]&lt;10000,"高价商品","超高价商品")))</f>
        <v>中价商品</v>
      </c>
    </row>
    <row r="4693" spans="1:14" x14ac:dyDescent="0.2">
      <c r="A4693">
        <v>702</v>
      </c>
      <c r="B4693">
        <v>215</v>
      </c>
      <c r="C4693" t="s">
        <v>17</v>
      </c>
      <c r="D4693" t="s">
        <v>74</v>
      </c>
      <c r="E4693" t="s">
        <v>22</v>
      </c>
      <c r="F4693">
        <v>1</v>
      </c>
      <c r="G4693" t="s">
        <v>13</v>
      </c>
      <c r="H4693" s="1">
        <v>46016.486805555556</v>
      </c>
      <c r="I4693" s="5">
        <f>INT(TB[[#This Row],[时间戳]])</f>
        <v>46016</v>
      </c>
      <c r="J4693" s="2">
        <f>HOUR(TB[[#This Row],[时间戳]])</f>
        <v>11</v>
      </c>
      <c r="K4693">
        <v>4219</v>
      </c>
      <c r="L4693">
        <v>5</v>
      </c>
      <c r="M4693">
        <f>TB[[#This Row],[售价]]*TB[[#This Row],[销量]]</f>
        <v>21095</v>
      </c>
      <c r="N4693" t="str">
        <f>IF(TB[[#This Row],[售价]]&lt;1000,"低价商品",IF(TB[[#This Row],[售价]]&lt;5000,"中价商品",IF(TB[[#This Row],[售价]]&lt;10000,"高价商品","超高价商品")))</f>
        <v>中价商品</v>
      </c>
    </row>
    <row r="4694" spans="1:14" x14ac:dyDescent="0.2">
      <c r="A4694">
        <v>401</v>
      </c>
      <c r="B4694">
        <v>145</v>
      </c>
      <c r="C4694" t="s">
        <v>17</v>
      </c>
      <c r="D4694" t="s">
        <v>119</v>
      </c>
      <c r="E4694" t="s">
        <v>12</v>
      </c>
      <c r="F4694">
        <v>2</v>
      </c>
      <c r="G4694" t="s">
        <v>13</v>
      </c>
      <c r="H4694" s="1">
        <v>46016.494444444441</v>
      </c>
      <c r="I4694" s="5">
        <f>INT(TB[[#This Row],[时间戳]])</f>
        <v>46016</v>
      </c>
      <c r="J4694" s="2">
        <f>HOUR(TB[[#This Row],[时间戳]])</f>
        <v>11</v>
      </c>
      <c r="K4694">
        <v>4941</v>
      </c>
      <c r="L4694">
        <v>5</v>
      </c>
      <c r="M4694">
        <f>TB[[#This Row],[售价]]*TB[[#This Row],[销量]]</f>
        <v>24705</v>
      </c>
      <c r="N4694" t="str">
        <f>IF(TB[[#This Row],[售价]]&lt;1000,"低价商品",IF(TB[[#This Row],[售价]]&lt;5000,"中价商品",IF(TB[[#This Row],[售价]]&lt;10000,"高价商品","超高价商品")))</f>
        <v>中价商品</v>
      </c>
    </row>
    <row r="4695" spans="1:14" x14ac:dyDescent="0.2">
      <c r="A4695">
        <v>363</v>
      </c>
      <c r="B4695">
        <v>6</v>
      </c>
      <c r="C4695" t="s">
        <v>20</v>
      </c>
      <c r="D4695" t="s">
        <v>324</v>
      </c>
      <c r="E4695" t="s">
        <v>12</v>
      </c>
      <c r="F4695">
        <v>2</v>
      </c>
      <c r="G4695" t="s">
        <v>13</v>
      </c>
      <c r="H4695" s="1">
        <v>46016.507638888892</v>
      </c>
      <c r="I4695" s="5">
        <f>INT(TB[[#This Row],[时间戳]])</f>
        <v>46016</v>
      </c>
      <c r="J4695" s="2">
        <f>HOUR(TB[[#This Row],[时间戳]])</f>
        <v>12</v>
      </c>
      <c r="K4695">
        <v>7740</v>
      </c>
      <c r="L4695">
        <v>5</v>
      </c>
      <c r="M4695">
        <f>TB[[#This Row],[售价]]*TB[[#This Row],[销量]]</f>
        <v>38700</v>
      </c>
      <c r="N4695" t="str">
        <f>IF(TB[[#This Row],[售价]]&lt;1000,"低价商品",IF(TB[[#This Row],[售价]]&lt;5000,"中价商品",IF(TB[[#This Row],[售价]]&lt;10000,"高价商品","超高价商品")))</f>
        <v>高价商品</v>
      </c>
    </row>
    <row r="4696" spans="1:14" x14ac:dyDescent="0.2">
      <c r="A4696">
        <v>475</v>
      </c>
      <c r="B4696">
        <v>89</v>
      </c>
      <c r="C4696" t="s">
        <v>34</v>
      </c>
      <c r="D4696" t="s">
        <v>82</v>
      </c>
      <c r="E4696" t="s">
        <v>31</v>
      </c>
      <c r="F4696">
        <v>4</v>
      </c>
      <c r="G4696" t="s">
        <v>13</v>
      </c>
      <c r="H4696" s="1">
        <v>46016.518750000003</v>
      </c>
      <c r="I4696" s="5">
        <f>INT(TB[[#This Row],[时间戳]])</f>
        <v>46016</v>
      </c>
      <c r="J4696" s="2">
        <f>HOUR(TB[[#This Row],[时间戳]])</f>
        <v>12</v>
      </c>
      <c r="K4696">
        <v>173</v>
      </c>
      <c r="L4696">
        <v>5</v>
      </c>
      <c r="M4696">
        <f>TB[[#This Row],[售价]]*TB[[#This Row],[销量]]</f>
        <v>865</v>
      </c>
      <c r="N4696" t="str">
        <f>IF(TB[[#This Row],[售价]]&lt;1000,"低价商品",IF(TB[[#This Row],[售价]]&lt;5000,"中价商品",IF(TB[[#This Row],[售价]]&lt;10000,"高价商品","超高价商品")))</f>
        <v>低价商品</v>
      </c>
    </row>
    <row r="4697" spans="1:14" x14ac:dyDescent="0.2">
      <c r="A4697">
        <v>456</v>
      </c>
      <c r="B4697">
        <v>218</v>
      </c>
      <c r="C4697" t="s">
        <v>17</v>
      </c>
      <c r="D4697" t="s">
        <v>234</v>
      </c>
      <c r="E4697" t="s">
        <v>39</v>
      </c>
      <c r="F4697">
        <v>5</v>
      </c>
      <c r="G4697" t="s">
        <v>13</v>
      </c>
      <c r="H4697" s="1">
        <v>46016.557638888888</v>
      </c>
      <c r="I4697" s="5">
        <f>INT(TB[[#This Row],[时间戳]])</f>
        <v>46016</v>
      </c>
      <c r="J4697" s="2">
        <f>HOUR(TB[[#This Row],[时间戳]])</f>
        <v>13</v>
      </c>
      <c r="K4697">
        <v>1556</v>
      </c>
      <c r="L4697">
        <v>3</v>
      </c>
      <c r="M4697">
        <f>TB[[#This Row],[售价]]*TB[[#This Row],[销量]]</f>
        <v>4668</v>
      </c>
      <c r="N4697" t="str">
        <f>IF(TB[[#This Row],[售价]]&lt;1000,"低价商品",IF(TB[[#This Row],[售价]]&lt;5000,"中价商品",IF(TB[[#This Row],[售价]]&lt;10000,"高价商品","超高价商品")))</f>
        <v>中价商品</v>
      </c>
    </row>
    <row r="4698" spans="1:14" x14ac:dyDescent="0.2">
      <c r="A4698">
        <v>114</v>
      </c>
      <c r="B4698">
        <v>106</v>
      </c>
      <c r="C4698" t="s">
        <v>32</v>
      </c>
      <c r="D4698" t="s">
        <v>327</v>
      </c>
      <c r="E4698" t="s">
        <v>25</v>
      </c>
      <c r="F4698">
        <v>7</v>
      </c>
      <c r="G4698" t="s">
        <v>13</v>
      </c>
      <c r="H4698" s="1">
        <v>46016.570138888892</v>
      </c>
      <c r="I4698" s="5">
        <f>INT(TB[[#This Row],[时间戳]])</f>
        <v>46016</v>
      </c>
      <c r="J4698" s="2">
        <f>HOUR(TB[[#This Row],[时间戳]])</f>
        <v>13</v>
      </c>
      <c r="K4698">
        <v>6773</v>
      </c>
      <c r="L4698">
        <v>5</v>
      </c>
      <c r="M4698">
        <f>TB[[#This Row],[售价]]*TB[[#This Row],[销量]]</f>
        <v>33865</v>
      </c>
      <c r="N4698" t="str">
        <f>IF(TB[[#This Row],[售价]]&lt;1000,"低价商品",IF(TB[[#This Row],[售价]]&lt;5000,"中价商品",IF(TB[[#This Row],[售价]]&lt;10000,"高价商品","超高价商品")))</f>
        <v>高价商品</v>
      </c>
    </row>
    <row r="4699" spans="1:14" x14ac:dyDescent="0.2">
      <c r="A4699">
        <v>659</v>
      </c>
      <c r="B4699">
        <v>133</v>
      </c>
      <c r="C4699" t="s">
        <v>14</v>
      </c>
      <c r="D4699" t="s">
        <v>395</v>
      </c>
      <c r="E4699" t="s">
        <v>12</v>
      </c>
      <c r="F4699">
        <v>2</v>
      </c>
      <c r="G4699" t="s">
        <v>13</v>
      </c>
      <c r="H4699" s="1">
        <v>46016.583333333336</v>
      </c>
      <c r="I4699" s="5">
        <f>INT(TB[[#This Row],[时间戳]])</f>
        <v>46016</v>
      </c>
      <c r="J4699" s="2">
        <f>HOUR(TB[[#This Row],[时间戳]])</f>
        <v>14</v>
      </c>
      <c r="K4699">
        <v>7257</v>
      </c>
      <c r="L4699">
        <v>5</v>
      </c>
      <c r="M4699">
        <f>TB[[#This Row],[售价]]*TB[[#This Row],[销量]]</f>
        <v>36285</v>
      </c>
      <c r="N4699" t="str">
        <f>IF(TB[[#This Row],[售价]]&lt;1000,"低价商品",IF(TB[[#This Row],[售价]]&lt;5000,"中价商品",IF(TB[[#This Row],[售价]]&lt;10000,"高价商品","超高价商品")))</f>
        <v>高价商品</v>
      </c>
    </row>
    <row r="4700" spans="1:14" x14ac:dyDescent="0.2">
      <c r="A4700">
        <v>307</v>
      </c>
      <c r="B4700">
        <v>71</v>
      </c>
      <c r="C4700" t="s">
        <v>14</v>
      </c>
      <c r="D4700" t="s">
        <v>280</v>
      </c>
      <c r="E4700" t="s">
        <v>12</v>
      </c>
      <c r="F4700">
        <v>2</v>
      </c>
      <c r="G4700" t="s">
        <v>13</v>
      </c>
      <c r="H4700" s="1">
        <v>46016.586111111108</v>
      </c>
      <c r="I4700" s="5">
        <f>INT(TB[[#This Row],[时间戳]])</f>
        <v>46016</v>
      </c>
      <c r="J4700" s="2">
        <f>HOUR(TB[[#This Row],[时间戳]])</f>
        <v>14</v>
      </c>
      <c r="K4700">
        <v>8802</v>
      </c>
      <c r="L4700">
        <v>5</v>
      </c>
      <c r="M4700">
        <f>TB[[#This Row],[售价]]*TB[[#This Row],[销量]]</f>
        <v>44010</v>
      </c>
      <c r="N4700" t="str">
        <f>IF(TB[[#This Row],[售价]]&lt;1000,"低价商品",IF(TB[[#This Row],[售价]]&lt;5000,"中价商品",IF(TB[[#This Row],[售价]]&lt;10000,"高价商品","超高价商品")))</f>
        <v>高价商品</v>
      </c>
    </row>
    <row r="4701" spans="1:14" x14ac:dyDescent="0.2">
      <c r="A4701">
        <v>358</v>
      </c>
      <c r="B4701">
        <v>142</v>
      </c>
      <c r="C4701" t="s">
        <v>14</v>
      </c>
      <c r="D4701" t="s">
        <v>202</v>
      </c>
      <c r="E4701" t="s">
        <v>31</v>
      </c>
      <c r="F4701">
        <v>4</v>
      </c>
      <c r="G4701" t="s">
        <v>13</v>
      </c>
      <c r="H4701" s="1">
        <v>46016.661111111112</v>
      </c>
      <c r="I4701" s="5">
        <f>INT(TB[[#This Row],[时间戳]])</f>
        <v>46016</v>
      </c>
      <c r="J4701" s="2">
        <f>HOUR(TB[[#This Row],[时间戳]])</f>
        <v>15</v>
      </c>
      <c r="K4701">
        <v>625</v>
      </c>
      <c r="L4701">
        <v>5</v>
      </c>
      <c r="M4701">
        <f>TB[[#This Row],[售价]]*TB[[#This Row],[销量]]</f>
        <v>3125</v>
      </c>
      <c r="N4701" t="str">
        <f>IF(TB[[#This Row],[售价]]&lt;1000,"低价商品",IF(TB[[#This Row],[售价]]&lt;5000,"中价商品",IF(TB[[#This Row],[售价]]&lt;10000,"高价商品","超高价商品")))</f>
        <v>低价商品</v>
      </c>
    </row>
    <row r="4702" spans="1:14" x14ac:dyDescent="0.2">
      <c r="A4702">
        <v>202</v>
      </c>
      <c r="B4702">
        <v>236</v>
      </c>
      <c r="C4702" t="s">
        <v>14</v>
      </c>
      <c r="D4702" t="s">
        <v>223</v>
      </c>
      <c r="E4702" t="s">
        <v>22</v>
      </c>
      <c r="F4702">
        <v>1</v>
      </c>
      <c r="G4702" t="s">
        <v>13</v>
      </c>
      <c r="H4702" s="1">
        <v>46016.665972222225</v>
      </c>
      <c r="I4702" s="5">
        <f>INT(TB[[#This Row],[时间戳]])</f>
        <v>46016</v>
      </c>
      <c r="J4702" s="2">
        <f>HOUR(TB[[#This Row],[时间戳]])</f>
        <v>15</v>
      </c>
      <c r="K4702">
        <v>7640</v>
      </c>
      <c r="L4702">
        <v>5</v>
      </c>
      <c r="M4702">
        <f>TB[[#This Row],[售价]]*TB[[#This Row],[销量]]</f>
        <v>38200</v>
      </c>
      <c r="N4702" t="str">
        <f>IF(TB[[#This Row],[售价]]&lt;1000,"低价商品",IF(TB[[#This Row],[售价]]&lt;5000,"中价商品",IF(TB[[#This Row],[售价]]&lt;10000,"高价商品","超高价商品")))</f>
        <v>高价商品</v>
      </c>
    </row>
    <row r="4703" spans="1:14" x14ac:dyDescent="0.2">
      <c r="A4703">
        <v>398</v>
      </c>
      <c r="B4703">
        <v>268</v>
      </c>
      <c r="C4703" t="s">
        <v>44</v>
      </c>
      <c r="D4703" t="s">
        <v>372</v>
      </c>
      <c r="E4703" t="s">
        <v>22</v>
      </c>
      <c r="F4703">
        <v>1</v>
      </c>
      <c r="G4703" t="s">
        <v>13</v>
      </c>
      <c r="H4703" s="1">
        <v>46016.667361111111</v>
      </c>
      <c r="I4703" s="5">
        <f>INT(TB[[#This Row],[时间戳]])</f>
        <v>46016</v>
      </c>
      <c r="J4703" s="2">
        <f>HOUR(TB[[#This Row],[时间戳]])</f>
        <v>16</v>
      </c>
      <c r="K4703">
        <v>2500</v>
      </c>
      <c r="L4703">
        <v>5</v>
      </c>
      <c r="M4703">
        <f>TB[[#This Row],[售价]]*TB[[#This Row],[销量]]</f>
        <v>12500</v>
      </c>
      <c r="N4703" t="str">
        <f>IF(TB[[#This Row],[售价]]&lt;1000,"低价商品",IF(TB[[#This Row],[售价]]&lt;5000,"中价商品",IF(TB[[#This Row],[售价]]&lt;10000,"高价商品","超高价商品")))</f>
        <v>中价商品</v>
      </c>
    </row>
    <row r="4704" spans="1:14" x14ac:dyDescent="0.2">
      <c r="A4704">
        <v>433</v>
      </c>
      <c r="B4704">
        <v>107</v>
      </c>
      <c r="C4704" t="s">
        <v>17</v>
      </c>
      <c r="D4704" t="s">
        <v>18</v>
      </c>
      <c r="E4704" t="s">
        <v>19</v>
      </c>
      <c r="F4704">
        <v>3</v>
      </c>
      <c r="G4704" t="s">
        <v>13</v>
      </c>
      <c r="H4704" s="1">
        <v>46016.6875</v>
      </c>
      <c r="I4704" s="5">
        <f>INT(TB[[#This Row],[时间戳]])</f>
        <v>46016</v>
      </c>
      <c r="J4704" s="2">
        <f>HOUR(TB[[#This Row],[时间戳]])</f>
        <v>16</v>
      </c>
      <c r="K4704">
        <v>4509</v>
      </c>
      <c r="L4704">
        <v>5</v>
      </c>
      <c r="M4704">
        <f>TB[[#This Row],[售价]]*TB[[#This Row],[销量]]</f>
        <v>22545</v>
      </c>
      <c r="N4704" t="str">
        <f>IF(TB[[#This Row],[售价]]&lt;1000,"低价商品",IF(TB[[#This Row],[售价]]&lt;5000,"中价商品",IF(TB[[#This Row],[售价]]&lt;10000,"高价商品","超高价商品")))</f>
        <v>中价商品</v>
      </c>
    </row>
    <row r="4705" spans="1:14" x14ac:dyDescent="0.2">
      <c r="A4705">
        <v>639</v>
      </c>
      <c r="B4705">
        <v>24</v>
      </c>
      <c r="C4705" t="s">
        <v>36</v>
      </c>
      <c r="D4705" t="s">
        <v>317</v>
      </c>
      <c r="E4705" t="s">
        <v>19</v>
      </c>
      <c r="F4705">
        <v>3</v>
      </c>
      <c r="G4705" t="s">
        <v>13</v>
      </c>
      <c r="H4705" s="1">
        <v>46016.70416666667</v>
      </c>
      <c r="I4705" s="5">
        <f>INT(TB[[#This Row],[时间戳]])</f>
        <v>46016</v>
      </c>
      <c r="J4705" s="2">
        <f>HOUR(TB[[#This Row],[时间戳]])</f>
        <v>16</v>
      </c>
      <c r="K4705">
        <v>3665</v>
      </c>
      <c r="L4705">
        <v>5</v>
      </c>
      <c r="M4705">
        <f>TB[[#This Row],[售价]]*TB[[#This Row],[销量]]</f>
        <v>18325</v>
      </c>
      <c r="N4705" t="str">
        <f>IF(TB[[#This Row],[售价]]&lt;1000,"低价商品",IF(TB[[#This Row],[售价]]&lt;5000,"中价商品",IF(TB[[#This Row],[售价]]&lt;10000,"高价商品","超高价商品")))</f>
        <v>中价商品</v>
      </c>
    </row>
    <row r="4706" spans="1:14" x14ac:dyDescent="0.2">
      <c r="A4706">
        <v>336</v>
      </c>
      <c r="B4706">
        <v>175</v>
      </c>
      <c r="C4706" t="s">
        <v>14</v>
      </c>
      <c r="D4706" t="s">
        <v>405</v>
      </c>
      <c r="E4706" t="s">
        <v>19</v>
      </c>
      <c r="F4706">
        <v>3</v>
      </c>
      <c r="G4706" t="s">
        <v>13</v>
      </c>
      <c r="H4706" s="1">
        <v>46016.713888888888</v>
      </c>
      <c r="I4706" s="5">
        <f>INT(TB[[#This Row],[时间戳]])</f>
        <v>46016</v>
      </c>
      <c r="J4706" s="2">
        <f>HOUR(TB[[#This Row],[时间戳]])</f>
        <v>17</v>
      </c>
      <c r="K4706">
        <v>3791</v>
      </c>
      <c r="L4706">
        <v>5</v>
      </c>
      <c r="M4706">
        <f>TB[[#This Row],[售价]]*TB[[#This Row],[销量]]</f>
        <v>18955</v>
      </c>
      <c r="N4706" t="str">
        <f>IF(TB[[#This Row],[售价]]&lt;1000,"低价商品",IF(TB[[#This Row],[售价]]&lt;5000,"中价商品",IF(TB[[#This Row],[售价]]&lt;10000,"高价商品","超高价商品")))</f>
        <v>中价商品</v>
      </c>
    </row>
    <row r="4707" spans="1:14" x14ac:dyDescent="0.2">
      <c r="A4707">
        <v>21</v>
      </c>
      <c r="B4707">
        <v>45</v>
      </c>
      <c r="C4707" t="s">
        <v>20</v>
      </c>
      <c r="D4707" t="s">
        <v>97</v>
      </c>
      <c r="E4707" t="s">
        <v>19</v>
      </c>
      <c r="F4707">
        <v>3</v>
      </c>
      <c r="G4707" t="s">
        <v>42</v>
      </c>
      <c r="H4707" s="1">
        <v>46016.724305555559</v>
      </c>
      <c r="I4707" s="5">
        <f>INT(TB[[#This Row],[时间戳]])</f>
        <v>46016</v>
      </c>
      <c r="J4707" s="2">
        <f>HOUR(TB[[#This Row],[时间戳]])</f>
        <v>17</v>
      </c>
      <c r="K4707">
        <v>2380</v>
      </c>
      <c r="L4707">
        <v>0</v>
      </c>
      <c r="M4707">
        <f>TB[[#This Row],[售价]]*TB[[#This Row],[销量]]</f>
        <v>0</v>
      </c>
      <c r="N4707" t="str">
        <f>IF(TB[[#This Row],[售价]]&lt;1000,"低价商品",IF(TB[[#This Row],[售价]]&lt;5000,"中价商品",IF(TB[[#This Row],[售价]]&lt;10000,"高价商品","超高价商品")))</f>
        <v>中价商品</v>
      </c>
    </row>
    <row r="4708" spans="1:14" x14ac:dyDescent="0.2">
      <c r="A4708">
        <v>194</v>
      </c>
      <c r="B4708">
        <v>89</v>
      </c>
      <c r="C4708" t="s">
        <v>46</v>
      </c>
      <c r="D4708" t="s">
        <v>81</v>
      </c>
      <c r="E4708" t="s">
        <v>12</v>
      </c>
      <c r="F4708">
        <v>2</v>
      </c>
      <c r="G4708" t="s">
        <v>42</v>
      </c>
      <c r="H4708" s="1">
        <v>46016.75277777778</v>
      </c>
      <c r="I4708" s="5">
        <f>INT(TB[[#This Row],[时间戳]])</f>
        <v>46016</v>
      </c>
      <c r="J4708" s="2">
        <f>HOUR(TB[[#This Row],[时间戳]])</f>
        <v>18</v>
      </c>
      <c r="K4708">
        <v>12217</v>
      </c>
      <c r="L4708">
        <v>0</v>
      </c>
      <c r="M4708">
        <f>TB[[#This Row],[售价]]*TB[[#This Row],[销量]]</f>
        <v>0</v>
      </c>
      <c r="N4708" t="str">
        <f>IF(TB[[#This Row],[售价]]&lt;1000,"低价商品",IF(TB[[#This Row],[售价]]&lt;5000,"中价商品",IF(TB[[#This Row],[售价]]&lt;10000,"高价商品","超高价商品")))</f>
        <v>超高价商品</v>
      </c>
    </row>
    <row r="4709" spans="1:14" x14ac:dyDescent="0.2">
      <c r="A4709">
        <v>173</v>
      </c>
      <c r="B4709">
        <v>147</v>
      </c>
      <c r="C4709" t="s">
        <v>26</v>
      </c>
      <c r="D4709" t="s">
        <v>131</v>
      </c>
      <c r="E4709" t="s">
        <v>22</v>
      </c>
      <c r="F4709">
        <v>1</v>
      </c>
      <c r="G4709" t="s">
        <v>42</v>
      </c>
      <c r="H4709" s="1">
        <v>46016.756249999999</v>
      </c>
      <c r="I4709" s="5">
        <f>INT(TB[[#This Row],[时间戳]])</f>
        <v>46016</v>
      </c>
      <c r="J4709" s="2">
        <f>HOUR(TB[[#This Row],[时间戳]])</f>
        <v>18</v>
      </c>
      <c r="K4709">
        <v>3612</v>
      </c>
      <c r="L4709">
        <v>0</v>
      </c>
      <c r="M4709">
        <f>TB[[#This Row],[售价]]*TB[[#This Row],[销量]]</f>
        <v>0</v>
      </c>
      <c r="N4709" t="str">
        <f>IF(TB[[#This Row],[售价]]&lt;1000,"低价商品",IF(TB[[#This Row],[售价]]&lt;5000,"中价商品",IF(TB[[#This Row],[售价]]&lt;10000,"高价商品","超高价商品")))</f>
        <v>中价商品</v>
      </c>
    </row>
    <row r="4710" spans="1:14" x14ac:dyDescent="0.2">
      <c r="A4710">
        <v>791</v>
      </c>
      <c r="B4710">
        <v>137</v>
      </c>
      <c r="C4710" t="s">
        <v>36</v>
      </c>
      <c r="D4710" t="s">
        <v>102</v>
      </c>
      <c r="E4710" t="s">
        <v>19</v>
      </c>
      <c r="F4710">
        <v>3</v>
      </c>
      <c r="G4710" t="s">
        <v>13</v>
      </c>
      <c r="H4710" s="1">
        <v>46016.788194444445</v>
      </c>
      <c r="I4710" s="5">
        <f>INT(TB[[#This Row],[时间戳]])</f>
        <v>46016</v>
      </c>
      <c r="J4710" s="2">
        <f>HOUR(TB[[#This Row],[时间戳]])</f>
        <v>18</v>
      </c>
      <c r="K4710">
        <v>3322</v>
      </c>
      <c r="L4710">
        <v>5</v>
      </c>
      <c r="M4710">
        <f>TB[[#This Row],[售价]]*TB[[#This Row],[销量]]</f>
        <v>16610</v>
      </c>
      <c r="N4710" t="str">
        <f>IF(TB[[#This Row],[售价]]&lt;1000,"低价商品",IF(TB[[#This Row],[售价]]&lt;5000,"中价商品",IF(TB[[#This Row],[售价]]&lt;10000,"高价商品","超高价商品")))</f>
        <v>中价商品</v>
      </c>
    </row>
    <row r="4711" spans="1:14" x14ac:dyDescent="0.2">
      <c r="A4711">
        <v>225</v>
      </c>
      <c r="B4711">
        <v>138</v>
      </c>
      <c r="C4711" t="s">
        <v>44</v>
      </c>
      <c r="D4711" t="s">
        <v>195</v>
      </c>
      <c r="E4711" t="s">
        <v>22</v>
      </c>
      <c r="F4711">
        <v>1</v>
      </c>
      <c r="G4711" t="s">
        <v>13</v>
      </c>
      <c r="H4711" s="1">
        <v>46016.807638888888</v>
      </c>
      <c r="I4711" s="5">
        <f>INT(TB[[#This Row],[时间戳]])</f>
        <v>46016</v>
      </c>
      <c r="J4711" s="2">
        <f>HOUR(TB[[#This Row],[时间戳]])</f>
        <v>19</v>
      </c>
      <c r="K4711">
        <v>1830</v>
      </c>
      <c r="L4711">
        <v>5</v>
      </c>
      <c r="M4711">
        <f>TB[[#This Row],[售价]]*TB[[#This Row],[销量]]</f>
        <v>9150</v>
      </c>
      <c r="N4711" t="str">
        <f>IF(TB[[#This Row],[售价]]&lt;1000,"低价商品",IF(TB[[#This Row],[售价]]&lt;5000,"中价商品",IF(TB[[#This Row],[售价]]&lt;10000,"高价商品","超高价商品")))</f>
        <v>中价商品</v>
      </c>
    </row>
    <row r="4712" spans="1:14" x14ac:dyDescent="0.2">
      <c r="A4712">
        <v>514</v>
      </c>
      <c r="B4712">
        <v>200</v>
      </c>
      <c r="C4712" t="s">
        <v>34</v>
      </c>
      <c r="D4712" t="s">
        <v>35</v>
      </c>
      <c r="E4712" t="s">
        <v>19</v>
      </c>
      <c r="F4712">
        <v>3</v>
      </c>
      <c r="G4712" t="s">
        <v>13</v>
      </c>
      <c r="H4712" s="1">
        <v>46016.817361111112</v>
      </c>
      <c r="I4712" s="5">
        <f>INT(TB[[#This Row],[时间戳]])</f>
        <v>46016</v>
      </c>
      <c r="J4712" s="2">
        <f>HOUR(TB[[#This Row],[时间戳]])</f>
        <v>19</v>
      </c>
      <c r="K4712">
        <v>4348</v>
      </c>
      <c r="L4712">
        <v>5</v>
      </c>
      <c r="M4712">
        <f>TB[[#This Row],[售价]]*TB[[#This Row],[销量]]</f>
        <v>21740</v>
      </c>
      <c r="N4712" t="str">
        <f>IF(TB[[#This Row],[售价]]&lt;1000,"低价商品",IF(TB[[#This Row],[售价]]&lt;5000,"中价商品",IF(TB[[#This Row],[售价]]&lt;10000,"高价商品","超高价商品")))</f>
        <v>中价商品</v>
      </c>
    </row>
    <row r="4713" spans="1:14" x14ac:dyDescent="0.2">
      <c r="A4713">
        <v>780</v>
      </c>
      <c r="B4713">
        <v>6</v>
      </c>
      <c r="C4713" t="s">
        <v>44</v>
      </c>
      <c r="D4713" t="s">
        <v>301</v>
      </c>
      <c r="E4713" t="s">
        <v>22</v>
      </c>
      <c r="F4713">
        <v>1</v>
      </c>
      <c r="G4713" t="s">
        <v>13</v>
      </c>
      <c r="H4713" s="1">
        <v>46016.828472222223</v>
      </c>
      <c r="I4713" s="5">
        <f>INT(TB[[#This Row],[时间戳]])</f>
        <v>46016</v>
      </c>
      <c r="J4713" s="2">
        <f>HOUR(TB[[#This Row],[时间戳]])</f>
        <v>19</v>
      </c>
      <c r="K4713">
        <v>5620</v>
      </c>
      <c r="L4713">
        <v>5</v>
      </c>
      <c r="M4713">
        <f>TB[[#This Row],[售价]]*TB[[#This Row],[销量]]</f>
        <v>28100</v>
      </c>
      <c r="N4713" t="str">
        <f>IF(TB[[#This Row],[售价]]&lt;1000,"低价商品",IF(TB[[#This Row],[售价]]&lt;5000,"中价商品",IF(TB[[#This Row],[售价]]&lt;10000,"高价商品","超高价商品")))</f>
        <v>高价商品</v>
      </c>
    </row>
    <row r="4714" spans="1:14" x14ac:dyDescent="0.2">
      <c r="A4714">
        <v>379</v>
      </c>
      <c r="B4714">
        <v>116</v>
      </c>
      <c r="C4714" t="s">
        <v>36</v>
      </c>
      <c r="D4714" t="s">
        <v>192</v>
      </c>
      <c r="E4714" t="s">
        <v>22</v>
      </c>
      <c r="F4714">
        <v>1</v>
      </c>
      <c r="G4714" t="s">
        <v>13</v>
      </c>
      <c r="H4714" s="1">
        <v>46016.834027777775</v>
      </c>
      <c r="I4714" s="5">
        <f>INT(TB[[#This Row],[时间戳]])</f>
        <v>46016</v>
      </c>
      <c r="J4714" s="2">
        <f>HOUR(TB[[#This Row],[时间戳]])</f>
        <v>20</v>
      </c>
      <c r="K4714">
        <v>2338</v>
      </c>
      <c r="L4714">
        <v>5</v>
      </c>
      <c r="M4714">
        <f>TB[[#This Row],[售价]]*TB[[#This Row],[销量]]</f>
        <v>11690</v>
      </c>
      <c r="N4714" t="str">
        <f>IF(TB[[#This Row],[售价]]&lt;1000,"低价商品",IF(TB[[#This Row],[售价]]&lt;5000,"中价商品",IF(TB[[#This Row],[售价]]&lt;10000,"高价商品","超高价商品")))</f>
        <v>中价商品</v>
      </c>
    </row>
    <row r="4715" spans="1:14" x14ac:dyDescent="0.2">
      <c r="A4715">
        <v>573</v>
      </c>
      <c r="B4715">
        <v>291</v>
      </c>
      <c r="C4715" t="s">
        <v>26</v>
      </c>
      <c r="D4715" t="s">
        <v>95</v>
      </c>
      <c r="E4715" t="s">
        <v>22</v>
      </c>
      <c r="F4715">
        <v>1</v>
      </c>
      <c r="G4715" t="s">
        <v>13</v>
      </c>
      <c r="H4715" s="1">
        <v>46016.859722222223</v>
      </c>
      <c r="I4715" s="5">
        <f>INT(TB[[#This Row],[时间戳]])</f>
        <v>46016</v>
      </c>
      <c r="J4715" s="2">
        <f>HOUR(TB[[#This Row],[时间戳]])</f>
        <v>20</v>
      </c>
      <c r="K4715">
        <v>4289</v>
      </c>
      <c r="L4715">
        <v>5</v>
      </c>
      <c r="M4715">
        <f>TB[[#This Row],[售价]]*TB[[#This Row],[销量]]</f>
        <v>21445</v>
      </c>
      <c r="N4715" t="str">
        <f>IF(TB[[#This Row],[售价]]&lt;1000,"低价商品",IF(TB[[#This Row],[售价]]&lt;5000,"中价商品",IF(TB[[#This Row],[售价]]&lt;10000,"高价商品","超高价商品")))</f>
        <v>中价商品</v>
      </c>
    </row>
    <row r="4716" spans="1:14" x14ac:dyDescent="0.2">
      <c r="A4716">
        <v>203</v>
      </c>
      <c r="B4716">
        <v>265</v>
      </c>
      <c r="C4716" t="s">
        <v>44</v>
      </c>
      <c r="D4716" t="s">
        <v>195</v>
      </c>
      <c r="E4716" t="s">
        <v>22</v>
      </c>
      <c r="F4716">
        <v>1</v>
      </c>
      <c r="G4716" t="s">
        <v>13</v>
      </c>
      <c r="H4716" s="1">
        <v>46016.872916666667</v>
      </c>
      <c r="I4716" s="5">
        <f>INT(TB[[#This Row],[时间戳]])</f>
        <v>46016</v>
      </c>
      <c r="J4716" s="2">
        <f>HOUR(TB[[#This Row],[时间戳]])</f>
        <v>20</v>
      </c>
      <c r="K4716">
        <v>1282</v>
      </c>
      <c r="L4716">
        <v>5</v>
      </c>
      <c r="M4716">
        <f>TB[[#This Row],[售价]]*TB[[#This Row],[销量]]</f>
        <v>6410</v>
      </c>
      <c r="N4716" t="str">
        <f>IF(TB[[#This Row],[售价]]&lt;1000,"低价商品",IF(TB[[#This Row],[售价]]&lt;5000,"中价商品",IF(TB[[#This Row],[售价]]&lt;10000,"高价商品","超高价商品")))</f>
        <v>中价商品</v>
      </c>
    </row>
    <row r="4717" spans="1:14" x14ac:dyDescent="0.2">
      <c r="A4717">
        <v>669</v>
      </c>
      <c r="B4717">
        <v>7</v>
      </c>
      <c r="C4717" t="s">
        <v>36</v>
      </c>
      <c r="D4717" t="s">
        <v>181</v>
      </c>
      <c r="E4717" t="s">
        <v>25</v>
      </c>
      <c r="F4717">
        <v>7</v>
      </c>
      <c r="G4717" t="s">
        <v>13</v>
      </c>
      <c r="H4717" s="1">
        <v>46016.879861111112</v>
      </c>
      <c r="I4717" s="5">
        <f>INT(TB[[#This Row],[时间戳]])</f>
        <v>46016</v>
      </c>
      <c r="J4717" s="2">
        <f>HOUR(TB[[#This Row],[时间戳]])</f>
        <v>21</v>
      </c>
      <c r="K4717">
        <v>5229</v>
      </c>
      <c r="L4717">
        <v>3</v>
      </c>
      <c r="M4717">
        <f>TB[[#This Row],[售价]]*TB[[#This Row],[销量]]</f>
        <v>15687</v>
      </c>
      <c r="N4717" t="str">
        <f>IF(TB[[#This Row],[售价]]&lt;1000,"低价商品",IF(TB[[#This Row],[售价]]&lt;5000,"中价商品",IF(TB[[#This Row],[售价]]&lt;10000,"高价商品","超高价商品")))</f>
        <v>高价商品</v>
      </c>
    </row>
    <row r="4718" spans="1:14" x14ac:dyDescent="0.2">
      <c r="A4718">
        <v>513</v>
      </c>
      <c r="B4718">
        <v>173</v>
      </c>
      <c r="C4718" t="s">
        <v>34</v>
      </c>
      <c r="D4718" t="s">
        <v>35</v>
      </c>
      <c r="E4718" t="s">
        <v>19</v>
      </c>
      <c r="F4718">
        <v>3</v>
      </c>
      <c r="G4718" t="s">
        <v>42</v>
      </c>
      <c r="H4718" s="1">
        <v>46016.896527777775</v>
      </c>
      <c r="I4718" s="5">
        <f>INT(TB[[#This Row],[时间戳]])</f>
        <v>46016</v>
      </c>
      <c r="J4718" s="2">
        <f>HOUR(TB[[#This Row],[时间戳]])</f>
        <v>21</v>
      </c>
      <c r="K4718">
        <v>1630</v>
      </c>
      <c r="L4718">
        <v>0</v>
      </c>
      <c r="M4718">
        <f>TB[[#This Row],[售价]]*TB[[#This Row],[销量]]</f>
        <v>0</v>
      </c>
      <c r="N4718" t="str">
        <f>IF(TB[[#This Row],[售价]]&lt;1000,"低价商品",IF(TB[[#This Row],[售价]]&lt;5000,"中价商品",IF(TB[[#This Row],[售价]]&lt;10000,"高价商品","超高价商品")))</f>
        <v>中价商品</v>
      </c>
    </row>
    <row r="4719" spans="1:14" x14ac:dyDescent="0.2">
      <c r="A4719">
        <v>94</v>
      </c>
      <c r="B4719">
        <v>201</v>
      </c>
      <c r="C4719" t="s">
        <v>36</v>
      </c>
      <c r="D4719" t="s">
        <v>317</v>
      </c>
      <c r="E4719" t="s">
        <v>19</v>
      </c>
      <c r="F4719">
        <v>3</v>
      </c>
      <c r="G4719" t="s">
        <v>42</v>
      </c>
      <c r="H4719" s="1">
        <v>46016.99722222222</v>
      </c>
      <c r="I4719" s="5">
        <f>INT(TB[[#This Row],[时间戳]])</f>
        <v>46016</v>
      </c>
      <c r="J4719" s="2">
        <f>HOUR(TB[[#This Row],[时间戳]])</f>
        <v>23</v>
      </c>
      <c r="K4719">
        <v>4109</v>
      </c>
      <c r="L4719">
        <v>0</v>
      </c>
      <c r="M4719">
        <f>TB[[#This Row],[售价]]*TB[[#This Row],[销量]]</f>
        <v>0</v>
      </c>
      <c r="N4719" t="str">
        <f>IF(TB[[#This Row],[售价]]&lt;1000,"低价商品",IF(TB[[#This Row],[售价]]&lt;5000,"中价商品",IF(TB[[#This Row],[售价]]&lt;10000,"高价商品","超高价商品")))</f>
        <v>中价商品</v>
      </c>
    </row>
    <row r="4720" spans="1:14" x14ac:dyDescent="0.2">
      <c r="A4720">
        <v>618</v>
      </c>
      <c r="B4720">
        <v>9</v>
      </c>
      <c r="C4720" t="s">
        <v>34</v>
      </c>
      <c r="D4720" t="s">
        <v>174</v>
      </c>
      <c r="E4720" t="s">
        <v>12</v>
      </c>
      <c r="F4720">
        <v>2</v>
      </c>
      <c r="G4720" t="s">
        <v>13</v>
      </c>
      <c r="H4720" s="1">
        <v>46017.007638888892</v>
      </c>
      <c r="I4720" s="5">
        <f>INT(TB[[#This Row],[时间戳]])</f>
        <v>46017</v>
      </c>
      <c r="J4720" s="2">
        <f>HOUR(TB[[#This Row],[时间戳]])</f>
        <v>0</v>
      </c>
      <c r="K4720">
        <v>8483</v>
      </c>
      <c r="L4720">
        <v>4</v>
      </c>
      <c r="M4720">
        <f>TB[[#This Row],[售价]]*TB[[#This Row],[销量]]</f>
        <v>33932</v>
      </c>
      <c r="N4720" t="str">
        <f>IF(TB[[#This Row],[售价]]&lt;1000,"低价商品",IF(TB[[#This Row],[售价]]&lt;5000,"中价商品",IF(TB[[#This Row],[售价]]&lt;10000,"高价商品","超高价商品")))</f>
        <v>高价商品</v>
      </c>
    </row>
    <row r="4721" spans="1:14" x14ac:dyDescent="0.2">
      <c r="A4721">
        <v>489</v>
      </c>
      <c r="B4721">
        <v>274</v>
      </c>
      <c r="C4721" t="s">
        <v>46</v>
      </c>
      <c r="D4721" t="s">
        <v>135</v>
      </c>
      <c r="E4721" t="s">
        <v>22</v>
      </c>
      <c r="F4721">
        <v>1</v>
      </c>
      <c r="G4721" t="s">
        <v>13</v>
      </c>
      <c r="H4721" s="1">
        <v>46017.054166666669</v>
      </c>
      <c r="I4721" s="5">
        <f>INT(TB[[#This Row],[时间戳]])</f>
        <v>46017</v>
      </c>
      <c r="J4721" s="2">
        <f>HOUR(TB[[#This Row],[时间戳]])</f>
        <v>1</v>
      </c>
      <c r="K4721">
        <v>7658</v>
      </c>
      <c r="L4721">
        <v>1</v>
      </c>
      <c r="M4721">
        <f>TB[[#This Row],[售价]]*TB[[#This Row],[销量]]</f>
        <v>7658</v>
      </c>
      <c r="N4721" t="str">
        <f>IF(TB[[#This Row],[售价]]&lt;1000,"低价商品",IF(TB[[#This Row],[售价]]&lt;5000,"中价商品",IF(TB[[#This Row],[售价]]&lt;10000,"高价商品","超高价商品")))</f>
        <v>高价商品</v>
      </c>
    </row>
    <row r="4722" spans="1:14" x14ac:dyDescent="0.2">
      <c r="A4722">
        <v>313</v>
      </c>
      <c r="B4722">
        <v>251</v>
      </c>
      <c r="C4722" t="s">
        <v>17</v>
      </c>
      <c r="D4722" t="s">
        <v>74</v>
      </c>
      <c r="E4722" t="s">
        <v>22</v>
      </c>
      <c r="F4722">
        <v>1</v>
      </c>
      <c r="G4722" t="s">
        <v>13</v>
      </c>
      <c r="H4722" s="1">
        <v>46017.0625</v>
      </c>
      <c r="I4722" s="5">
        <f>INT(TB[[#This Row],[时间戳]])</f>
        <v>46017</v>
      </c>
      <c r="J4722" s="2">
        <f>HOUR(TB[[#This Row],[时间戳]])</f>
        <v>1</v>
      </c>
      <c r="K4722">
        <v>1570</v>
      </c>
      <c r="L4722">
        <v>3</v>
      </c>
      <c r="M4722">
        <f>TB[[#This Row],[售价]]*TB[[#This Row],[销量]]</f>
        <v>4710</v>
      </c>
      <c r="N4722" t="str">
        <f>IF(TB[[#This Row],[售价]]&lt;1000,"低价商品",IF(TB[[#This Row],[售价]]&lt;5000,"中价商品",IF(TB[[#This Row],[售价]]&lt;10000,"高价商品","超高价商品")))</f>
        <v>中价商品</v>
      </c>
    </row>
    <row r="4723" spans="1:14" x14ac:dyDescent="0.2">
      <c r="A4723">
        <v>228</v>
      </c>
      <c r="B4723">
        <v>234</v>
      </c>
      <c r="C4723" t="s">
        <v>14</v>
      </c>
      <c r="D4723" t="s">
        <v>124</v>
      </c>
      <c r="E4723" t="s">
        <v>19</v>
      </c>
      <c r="F4723">
        <v>3</v>
      </c>
      <c r="G4723" t="s">
        <v>42</v>
      </c>
      <c r="H4723" s="1">
        <v>46017.063194444447</v>
      </c>
      <c r="I4723" s="5">
        <f>INT(TB[[#This Row],[时间戳]])</f>
        <v>46017</v>
      </c>
      <c r="J4723" s="2">
        <f>HOUR(TB[[#This Row],[时间戳]])</f>
        <v>1</v>
      </c>
      <c r="K4723">
        <v>5040</v>
      </c>
      <c r="L4723">
        <v>0</v>
      </c>
      <c r="M4723">
        <f>TB[[#This Row],[售价]]*TB[[#This Row],[销量]]</f>
        <v>0</v>
      </c>
      <c r="N4723" t="str">
        <f>IF(TB[[#This Row],[售价]]&lt;1000,"低价商品",IF(TB[[#This Row],[售价]]&lt;5000,"中价商品",IF(TB[[#This Row],[售价]]&lt;10000,"高价商品","超高价商品")))</f>
        <v>高价商品</v>
      </c>
    </row>
    <row r="4724" spans="1:14" x14ac:dyDescent="0.2">
      <c r="A4724">
        <v>218</v>
      </c>
      <c r="B4724">
        <v>235</v>
      </c>
      <c r="C4724" t="s">
        <v>36</v>
      </c>
      <c r="D4724" t="s">
        <v>112</v>
      </c>
      <c r="E4724" t="s">
        <v>22</v>
      </c>
      <c r="F4724">
        <v>1</v>
      </c>
      <c r="G4724" t="s">
        <v>13</v>
      </c>
      <c r="H4724" s="1">
        <v>46017.067361111112</v>
      </c>
      <c r="I4724" s="5">
        <f>INT(TB[[#This Row],[时间戳]])</f>
        <v>46017</v>
      </c>
      <c r="J4724" s="2">
        <f>HOUR(TB[[#This Row],[时间戳]])</f>
        <v>1</v>
      </c>
      <c r="K4724">
        <v>5205</v>
      </c>
      <c r="L4724">
        <v>2</v>
      </c>
      <c r="M4724">
        <f>TB[[#This Row],[售价]]*TB[[#This Row],[销量]]</f>
        <v>10410</v>
      </c>
      <c r="N4724" t="str">
        <f>IF(TB[[#This Row],[售价]]&lt;1000,"低价商品",IF(TB[[#This Row],[售价]]&lt;5000,"中价商品",IF(TB[[#This Row],[售价]]&lt;10000,"高价商品","超高价商品")))</f>
        <v>高价商品</v>
      </c>
    </row>
    <row r="4725" spans="1:14" x14ac:dyDescent="0.2">
      <c r="A4725">
        <v>556</v>
      </c>
      <c r="B4725">
        <v>232</v>
      </c>
      <c r="C4725" t="s">
        <v>17</v>
      </c>
      <c r="D4725" t="s">
        <v>234</v>
      </c>
      <c r="E4725" t="s">
        <v>39</v>
      </c>
      <c r="F4725">
        <v>5</v>
      </c>
      <c r="G4725" t="s">
        <v>13</v>
      </c>
      <c r="H4725" s="1">
        <v>46017.07708333333</v>
      </c>
      <c r="I4725" s="5">
        <f>INT(TB[[#This Row],[时间戳]])</f>
        <v>46017</v>
      </c>
      <c r="J4725" s="2">
        <f>HOUR(TB[[#This Row],[时间戳]])</f>
        <v>1</v>
      </c>
      <c r="K4725">
        <v>1011</v>
      </c>
      <c r="L4725">
        <v>1</v>
      </c>
      <c r="M4725">
        <f>TB[[#This Row],[售价]]*TB[[#This Row],[销量]]</f>
        <v>1011</v>
      </c>
      <c r="N4725" t="str">
        <f>IF(TB[[#This Row],[售价]]&lt;1000,"低价商品",IF(TB[[#This Row],[售价]]&lt;5000,"中价商品",IF(TB[[#This Row],[售价]]&lt;10000,"高价商品","超高价商品")))</f>
        <v>中价商品</v>
      </c>
    </row>
    <row r="4726" spans="1:14" x14ac:dyDescent="0.2">
      <c r="A4726">
        <v>263</v>
      </c>
      <c r="B4726">
        <v>213</v>
      </c>
      <c r="C4726" t="s">
        <v>34</v>
      </c>
      <c r="D4726" t="s">
        <v>346</v>
      </c>
      <c r="E4726" t="s">
        <v>22</v>
      </c>
      <c r="F4726">
        <v>1</v>
      </c>
      <c r="G4726" t="s">
        <v>42</v>
      </c>
      <c r="H4726" s="1">
        <v>46017.081944444442</v>
      </c>
      <c r="I4726" s="5">
        <f>INT(TB[[#This Row],[时间戳]])</f>
        <v>46017</v>
      </c>
      <c r="J4726" s="2">
        <f>HOUR(TB[[#This Row],[时间戳]])</f>
        <v>1</v>
      </c>
      <c r="K4726">
        <v>8000</v>
      </c>
      <c r="L4726">
        <v>0</v>
      </c>
      <c r="M4726">
        <f>TB[[#This Row],[售价]]*TB[[#This Row],[销量]]</f>
        <v>0</v>
      </c>
      <c r="N4726" t="str">
        <f>IF(TB[[#This Row],[售价]]&lt;1000,"低价商品",IF(TB[[#This Row],[售价]]&lt;5000,"中价商品",IF(TB[[#This Row],[售价]]&lt;10000,"高价商品","超高价商品")))</f>
        <v>高价商品</v>
      </c>
    </row>
    <row r="4727" spans="1:14" x14ac:dyDescent="0.2">
      <c r="A4727">
        <v>414</v>
      </c>
      <c r="B4727">
        <v>284</v>
      </c>
      <c r="C4727" t="s">
        <v>17</v>
      </c>
      <c r="D4727" t="s">
        <v>61</v>
      </c>
      <c r="E4727" t="s">
        <v>31</v>
      </c>
      <c r="F4727">
        <v>4</v>
      </c>
      <c r="G4727" t="s">
        <v>13</v>
      </c>
      <c r="H4727" s="1">
        <v>46017.081944444442</v>
      </c>
      <c r="I4727" s="5">
        <f>INT(TB[[#This Row],[时间戳]])</f>
        <v>46017</v>
      </c>
      <c r="J4727" s="2">
        <f>HOUR(TB[[#This Row],[时间戳]])</f>
        <v>1</v>
      </c>
      <c r="K4727">
        <v>874</v>
      </c>
      <c r="L4727">
        <v>2</v>
      </c>
      <c r="M4727">
        <f>TB[[#This Row],[售价]]*TB[[#This Row],[销量]]</f>
        <v>1748</v>
      </c>
      <c r="N4727" t="str">
        <f>IF(TB[[#This Row],[售价]]&lt;1000,"低价商品",IF(TB[[#This Row],[售价]]&lt;5000,"中价商品",IF(TB[[#This Row],[售价]]&lt;10000,"高价商品","超高价商品")))</f>
        <v>低价商品</v>
      </c>
    </row>
    <row r="4728" spans="1:14" x14ac:dyDescent="0.2">
      <c r="A4728">
        <v>532</v>
      </c>
      <c r="B4728">
        <v>191</v>
      </c>
      <c r="C4728" t="s">
        <v>36</v>
      </c>
      <c r="D4728" t="s">
        <v>37</v>
      </c>
      <c r="E4728" t="s">
        <v>31</v>
      </c>
      <c r="F4728">
        <v>4</v>
      </c>
      <c r="G4728" t="s">
        <v>13</v>
      </c>
      <c r="H4728" s="1">
        <v>46017.127083333333</v>
      </c>
      <c r="I4728" s="5">
        <f>INT(TB[[#This Row],[时间戳]])</f>
        <v>46017</v>
      </c>
      <c r="J4728" s="2">
        <f>HOUR(TB[[#This Row],[时间戳]])</f>
        <v>3</v>
      </c>
      <c r="K4728">
        <v>175</v>
      </c>
      <c r="L4728">
        <v>1</v>
      </c>
      <c r="M4728">
        <f>TB[[#This Row],[售价]]*TB[[#This Row],[销量]]</f>
        <v>175</v>
      </c>
      <c r="N4728" t="str">
        <f>IF(TB[[#This Row],[售价]]&lt;1000,"低价商品",IF(TB[[#This Row],[售价]]&lt;5000,"中价商品",IF(TB[[#This Row],[售价]]&lt;10000,"高价商品","超高价商品")))</f>
        <v>低价商品</v>
      </c>
    </row>
    <row r="4729" spans="1:14" x14ac:dyDescent="0.2">
      <c r="A4729">
        <v>35</v>
      </c>
      <c r="B4729">
        <v>31</v>
      </c>
      <c r="C4729" t="s">
        <v>46</v>
      </c>
      <c r="D4729" t="s">
        <v>129</v>
      </c>
      <c r="E4729" t="s">
        <v>31</v>
      </c>
      <c r="F4729">
        <v>4</v>
      </c>
      <c r="G4729" t="s">
        <v>13</v>
      </c>
      <c r="H4729" s="1">
        <v>46017.161805555559</v>
      </c>
      <c r="I4729" s="5">
        <f>INT(TB[[#This Row],[时间戳]])</f>
        <v>46017</v>
      </c>
      <c r="J4729" s="2">
        <f>HOUR(TB[[#This Row],[时间戳]])</f>
        <v>3</v>
      </c>
      <c r="K4729">
        <v>1291</v>
      </c>
      <c r="L4729">
        <v>1</v>
      </c>
      <c r="M4729">
        <f>TB[[#This Row],[售价]]*TB[[#This Row],[销量]]</f>
        <v>1291</v>
      </c>
      <c r="N4729" t="str">
        <f>IF(TB[[#This Row],[售价]]&lt;1000,"低价商品",IF(TB[[#This Row],[售价]]&lt;5000,"中价商品",IF(TB[[#This Row],[售价]]&lt;10000,"高价商品","超高价商品")))</f>
        <v>中价商品</v>
      </c>
    </row>
    <row r="4730" spans="1:14" x14ac:dyDescent="0.2">
      <c r="A4730">
        <v>171</v>
      </c>
      <c r="B4730">
        <v>296</v>
      </c>
      <c r="C4730" t="s">
        <v>44</v>
      </c>
      <c r="D4730" t="s">
        <v>242</v>
      </c>
      <c r="E4730" t="s">
        <v>16</v>
      </c>
      <c r="F4730">
        <v>6</v>
      </c>
      <c r="G4730" t="s">
        <v>13</v>
      </c>
      <c r="H4730" s="1">
        <v>46017.186111111114</v>
      </c>
      <c r="I4730" s="5">
        <f>INT(TB[[#This Row],[时间戳]])</f>
        <v>46017</v>
      </c>
      <c r="J4730" s="2">
        <f>HOUR(TB[[#This Row],[时间戳]])</f>
        <v>4</v>
      </c>
      <c r="K4730">
        <v>4474</v>
      </c>
      <c r="L4730">
        <v>2</v>
      </c>
      <c r="M4730">
        <f>TB[[#This Row],[售价]]*TB[[#This Row],[销量]]</f>
        <v>8948</v>
      </c>
      <c r="N4730" t="str">
        <f>IF(TB[[#This Row],[售价]]&lt;1000,"低价商品",IF(TB[[#This Row],[售价]]&lt;5000,"中价商品",IF(TB[[#This Row],[售价]]&lt;10000,"高价商品","超高价商品")))</f>
        <v>中价商品</v>
      </c>
    </row>
    <row r="4731" spans="1:14" x14ac:dyDescent="0.2">
      <c r="A4731">
        <v>343</v>
      </c>
      <c r="B4731">
        <v>21</v>
      </c>
      <c r="C4731" t="s">
        <v>20</v>
      </c>
      <c r="D4731" t="s">
        <v>383</v>
      </c>
      <c r="E4731" t="s">
        <v>12</v>
      </c>
      <c r="F4731">
        <v>2</v>
      </c>
      <c r="G4731" t="s">
        <v>13</v>
      </c>
      <c r="H4731" s="1">
        <v>46017.189583333333</v>
      </c>
      <c r="I4731" s="5">
        <f>INT(TB[[#This Row],[时间戳]])</f>
        <v>46017</v>
      </c>
      <c r="J4731" s="2">
        <f>HOUR(TB[[#This Row],[时间戳]])</f>
        <v>4</v>
      </c>
      <c r="K4731">
        <v>5607</v>
      </c>
      <c r="L4731">
        <v>5</v>
      </c>
      <c r="M4731">
        <f>TB[[#This Row],[售价]]*TB[[#This Row],[销量]]</f>
        <v>28035</v>
      </c>
      <c r="N4731" t="str">
        <f>IF(TB[[#This Row],[售价]]&lt;1000,"低价商品",IF(TB[[#This Row],[售价]]&lt;5000,"中价商品",IF(TB[[#This Row],[售价]]&lt;10000,"高价商品","超高价商品")))</f>
        <v>高价商品</v>
      </c>
    </row>
    <row r="4732" spans="1:14" x14ac:dyDescent="0.2">
      <c r="A4732">
        <v>21</v>
      </c>
      <c r="B4732">
        <v>149</v>
      </c>
      <c r="C4732" t="s">
        <v>20</v>
      </c>
      <c r="D4732" t="s">
        <v>259</v>
      </c>
      <c r="E4732" t="s">
        <v>16</v>
      </c>
      <c r="F4732">
        <v>6</v>
      </c>
      <c r="G4732" t="s">
        <v>13</v>
      </c>
      <c r="H4732" s="1">
        <v>46017.192361111112</v>
      </c>
      <c r="I4732" s="5">
        <f>INT(TB[[#This Row],[时间戳]])</f>
        <v>46017</v>
      </c>
      <c r="J4732" s="2">
        <f>HOUR(TB[[#This Row],[时间戳]])</f>
        <v>4</v>
      </c>
      <c r="K4732">
        <v>9577</v>
      </c>
      <c r="L4732">
        <v>2</v>
      </c>
      <c r="M4732">
        <f>TB[[#This Row],[售价]]*TB[[#This Row],[销量]]</f>
        <v>19154</v>
      </c>
      <c r="N4732" t="str">
        <f>IF(TB[[#This Row],[售价]]&lt;1000,"低价商品",IF(TB[[#This Row],[售价]]&lt;5000,"中价商品",IF(TB[[#This Row],[售价]]&lt;10000,"高价商品","超高价商品")))</f>
        <v>高价商品</v>
      </c>
    </row>
    <row r="4733" spans="1:14" x14ac:dyDescent="0.2">
      <c r="A4733">
        <v>35</v>
      </c>
      <c r="B4733">
        <v>173</v>
      </c>
      <c r="C4733" t="s">
        <v>17</v>
      </c>
      <c r="D4733" t="s">
        <v>137</v>
      </c>
      <c r="E4733" t="s">
        <v>31</v>
      </c>
      <c r="F4733">
        <v>4</v>
      </c>
      <c r="G4733" t="s">
        <v>42</v>
      </c>
      <c r="H4733" s="1">
        <v>46017.193749999999</v>
      </c>
      <c r="I4733" s="5">
        <f>INT(TB[[#This Row],[时间戳]])</f>
        <v>46017</v>
      </c>
      <c r="J4733" s="2">
        <f>HOUR(TB[[#This Row],[时间戳]])</f>
        <v>4</v>
      </c>
      <c r="K4733">
        <v>519</v>
      </c>
      <c r="L4733">
        <v>0</v>
      </c>
      <c r="M4733">
        <f>TB[[#This Row],[售价]]*TB[[#This Row],[销量]]</f>
        <v>0</v>
      </c>
      <c r="N4733" t="str">
        <f>IF(TB[[#This Row],[售价]]&lt;1000,"低价商品",IF(TB[[#This Row],[售价]]&lt;5000,"中价商品",IF(TB[[#This Row],[售价]]&lt;10000,"高价商品","超高价商品")))</f>
        <v>低价商品</v>
      </c>
    </row>
    <row r="4734" spans="1:14" x14ac:dyDescent="0.2">
      <c r="A4734">
        <v>274</v>
      </c>
      <c r="B4734">
        <v>218</v>
      </c>
      <c r="C4734" t="s">
        <v>32</v>
      </c>
      <c r="D4734" t="s">
        <v>101</v>
      </c>
      <c r="E4734" t="s">
        <v>39</v>
      </c>
      <c r="F4734">
        <v>5</v>
      </c>
      <c r="G4734" t="s">
        <v>13</v>
      </c>
      <c r="H4734" s="1">
        <v>46017.217361111114</v>
      </c>
      <c r="I4734" s="5">
        <f>INT(TB[[#This Row],[时间戳]])</f>
        <v>46017</v>
      </c>
      <c r="J4734" s="2">
        <f>HOUR(TB[[#This Row],[时间戳]])</f>
        <v>5</v>
      </c>
      <c r="K4734">
        <v>865</v>
      </c>
      <c r="L4734">
        <v>1</v>
      </c>
      <c r="M4734">
        <f>TB[[#This Row],[售价]]*TB[[#This Row],[销量]]</f>
        <v>865</v>
      </c>
      <c r="N4734" t="str">
        <f>IF(TB[[#This Row],[售价]]&lt;1000,"低价商品",IF(TB[[#This Row],[售价]]&lt;5000,"中价商品",IF(TB[[#This Row],[售价]]&lt;10000,"高价商品","超高价商品")))</f>
        <v>低价商品</v>
      </c>
    </row>
    <row r="4735" spans="1:14" x14ac:dyDescent="0.2">
      <c r="A4735">
        <v>28</v>
      </c>
      <c r="B4735">
        <v>203</v>
      </c>
      <c r="C4735" t="s">
        <v>32</v>
      </c>
      <c r="D4735" t="s">
        <v>208</v>
      </c>
      <c r="E4735" t="s">
        <v>12</v>
      </c>
      <c r="F4735">
        <v>2</v>
      </c>
      <c r="G4735" t="s">
        <v>13</v>
      </c>
      <c r="H4735" s="1">
        <v>46017.265972222223</v>
      </c>
      <c r="I4735" s="5">
        <f>INT(TB[[#This Row],[时间戳]])</f>
        <v>46017</v>
      </c>
      <c r="J4735" s="2">
        <f>HOUR(TB[[#This Row],[时间戳]])</f>
        <v>6</v>
      </c>
      <c r="K4735">
        <v>13761</v>
      </c>
      <c r="L4735">
        <v>2</v>
      </c>
      <c r="M4735">
        <f>TB[[#This Row],[售价]]*TB[[#This Row],[销量]]</f>
        <v>27522</v>
      </c>
      <c r="N4735" t="str">
        <f>IF(TB[[#This Row],[售价]]&lt;1000,"低价商品",IF(TB[[#This Row],[售价]]&lt;5000,"中价商品",IF(TB[[#This Row],[售价]]&lt;10000,"高价商品","超高价商品")))</f>
        <v>超高价商品</v>
      </c>
    </row>
    <row r="4736" spans="1:14" x14ac:dyDescent="0.2">
      <c r="A4736">
        <v>217</v>
      </c>
      <c r="B4736">
        <v>12</v>
      </c>
      <c r="C4736" t="s">
        <v>44</v>
      </c>
      <c r="D4736" t="s">
        <v>236</v>
      </c>
      <c r="E4736" t="s">
        <v>12</v>
      </c>
      <c r="F4736">
        <v>2</v>
      </c>
      <c r="G4736" t="s">
        <v>13</v>
      </c>
      <c r="H4736" s="1">
        <v>46017.276388888888</v>
      </c>
      <c r="I4736" s="5">
        <f>INT(TB[[#This Row],[时间戳]])</f>
        <v>46017</v>
      </c>
      <c r="J4736" s="2">
        <f>HOUR(TB[[#This Row],[时间戳]])</f>
        <v>6</v>
      </c>
      <c r="K4736">
        <v>12044</v>
      </c>
      <c r="L4736">
        <v>2</v>
      </c>
      <c r="M4736">
        <f>TB[[#This Row],[售价]]*TB[[#This Row],[销量]]</f>
        <v>24088</v>
      </c>
      <c r="N4736" t="str">
        <f>IF(TB[[#This Row],[售价]]&lt;1000,"低价商品",IF(TB[[#This Row],[售价]]&lt;5000,"中价商品",IF(TB[[#This Row],[售价]]&lt;10000,"高价商品","超高价商品")))</f>
        <v>超高价商品</v>
      </c>
    </row>
    <row r="4737" spans="1:14" x14ac:dyDescent="0.2">
      <c r="A4737">
        <v>124</v>
      </c>
      <c r="B4737">
        <v>281</v>
      </c>
      <c r="C4737" t="s">
        <v>44</v>
      </c>
      <c r="D4737" t="s">
        <v>372</v>
      </c>
      <c r="E4737" t="s">
        <v>22</v>
      </c>
      <c r="F4737">
        <v>1</v>
      </c>
      <c r="G4737" t="s">
        <v>42</v>
      </c>
      <c r="H4737" s="1">
        <v>46017.27847222222</v>
      </c>
      <c r="I4737" s="5">
        <f>INT(TB[[#This Row],[时间戳]])</f>
        <v>46017</v>
      </c>
      <c r="J4737" s="2">
        <f>HOUR(TB[[#This Row],[时间戳]])</f>
        <v>6</v>
      </c>
      <c r="K4737">
        <v>7703</v>
      </c>
      <c r="L4737">
        <v>0</v>
      </c>
      <c r="M4737">
        <f>TB[[#This Row],[售价]]*TB[[#This Row],[销量]]</f>
        <v>0</v>
      </c>
      <c r="N4737" t="str">
        <f>IF(TB[[#This Row],[售价]]&lt;1000,"低价商品",IF(TB[[#This Row],[售价]]&lt;5000,"中价商品",IF(TB[[#This Row],[售价]]&lt;10000,"高价商品","超高价商品")))</f>
        <v>高价商品</v>
      </c>
    </row>
    <row r="4738" spans="1:14" x14ac:dyDescent="0.2">
      <c r="A4738">
        <v>421</v>
      </c>
      <c r="B4738">
        <v>244</v>
      </c>
      <c r="C4738" t="s">
        <v>26</v>
      </c>
      <c r="D4738" t="s">
        <v>95</v>
      </c>
      <c r="E4738" t="s">
        <v>22</v>
      </c>
      <c r="F4738">
        <v>1</v>
      </c>
      <c r="G4738" t="s">
        <v>13</v>
      </c>
      <c r="H4738" s="1">
        <v>46017.291666666664</v>
      </c>
      <c r="I4738" s="5">
        <f>INT(TB[[#This Row],[时间戳]])</f>
        <v>46017</v>
      </c>
      <c r="J4738" s="2">
        <f>HOUR(TB[[#This Row],[时间戳]])</f>
        <v>7</v>
      </c>
      <c r="K4738">
        <v>2004</v>
      </c>
      <c r="L4738">
        <v>4</v>
      </c>
      <c r="M4738">
        <f>TB[[#This Row],[售价]]*TB[[#This Row],[销量]]</f>
        <v>8016</v>
      </c>
      <c r="N4738" t="str">
        <f>IF(TB[[#This Row],[售价]]&lt;1000,"低价商品",IF(TB[[#This Row],[售价]]&lt;5000,"中价商品",IF(TB[[#This Row],[售价]]&lt;10000,"高价商品","超高价商品")))</f>
        <v>中价商品</v>
      </c>
    </row>
    <row r="4739" spans="1:14" x14ac:dyDescent="0.2">
      <c r="A4739">
        <v>630</v>
      </c>
      <c r="B4739">
        <v>9</v>
      </c>
      <c r="C4739" t="s">
        <v>36</v>
      </c>
      <c r="D4739" t="s">
        <v>386</v>
      </c>
      <c r="E4739" t="s">
        <v>22</v>
      </c>
      <c r="F4739">
        <v>1</v>
      </c>
      <c r="G4739" t="s">
        <v>42</v>
      </c>
      <c r="H4739" s="1">
        <v>46017.299305555556</v>
      </c>
      <c r="I4739" s="5">
        <f>INT(TB[[#This Row],[时间戳]])</f>
        <v>46017</v>
      </c>
      <c r="J4739" s="2">
        <f>HOUR(TB[[#This Row],[时间戳]])</f>
        <v>7</v>
      </c>
      <c r="K4739">
        <v>5835</v>
      </c>
      <c r="L4739">
        <v>0</v>
      </c>
      <c r="M4739">
        <f>TB[[#This Row],[售价]]*TB[[#This Row],[销量]]</f>
        <v>0</v>
      </c>
      <c r="N4739" t="str">
        <f>IF(TB[[#This Row],[售价]]&lt;1000,"低价商品",IF(TB[[#This Row],[售价]]&lt;5000,"中价商品",IF(TB[[#This Row],[售价]]&lt;10000,"高价商品","超高价商品")))</f>
        <v>高价商品</v>
      </c>
    </row>
    <row r="4740" spans="1:14" x14ac:dyDescent="0.2">
      <c r="A4740">
        <v>520</v>
      </c>
      <c r="B4740">
        <v>221</v>
      </c>
      <c r="C4740" t="s">
        <v>20</v>
      </c>
      <c r="D4740" t="s">
        <v>276</v>
      </c>
      <c r="E4740" t="s">
        <v>16</v>
      </c>
      <c r="F4740">
        <v>6</v>
      </c>
      <c r="G4740" t="s">
        <v>13</v>
      </c>
      <c r="H4740" s="1">
        <v>46017.308333333334</v>
      </c>
      <c r="I4740" s="5">
        <f>INT(TB[[#This Row],[时间戳]])</f>
        <v>46017</v>
      </c>
      <c r="J4740" s="2">
        <f>HOUR(TB[[#This Row],[时间戳]])</f>
        <v>7</v>
      </c>
      <c r="K4740">
        <v>10417</v>
      </c>
      <c r="L4740">
        <v>1</v>
      </c>
      <c r="M4740">
        <f>TB[[#This Row],[售价]]*TB[[#This Row],[销量]]</f>
        <v>10417</v>
      </c>
      <c r="N4740" t="str">
        <f>IF(TB[[#This Row],[售价]]&lt;1000,"低价商品",IF(TB[[#This Row],[售价]]&lt;5000,"中价商品",IF(TB[[#This Row],[售价]]&lt;10000,"高价商品","超高价商品")))</f>
        <v>超高价商品</v>
      </c>
    </row>
    <row r="4741" spans="1:14" x14ac:dyDescent="0.2">
      <c r="A4741">
        <v>693</v>
      </c>
      <c r="B4741">
        <v>24</v>
      </c>
      <c r="C4741" t="s">
        <v>20</v>
      </c>
      <c r="D4741" t="s">
        <v>147</v>
      </c>
      <c r="E4741" t="s">
        <v>22</v>
      </c>
      <c r="F4741">
        <v>1</v>
      </c>
      <c r="G4741" t="s">
        <v>13</v>
      </c>
      <c r="H4741" s="1">
        <v>46017.326388888891</v>
      </c>
      <c r="I4741" s="5">
        <f>INT(TB[[#This Row],[时间戳]])</f>
        <v>46017</v>
      </c>
      <c r="J4741" s="2">
        <f>HOUR(TB[[#This Row],[时间戳]])</f>
        <v>7</v>
      </c>
      <c r="K4741">
        <v>3606</v>
      </c>
      <c r="L4741">
        <v>2</v>
      </c>
      <c r="M4741">
        <f>TB[[#This Row],[售价]]*TB[[#This Row],[销量]]</f>
        <v>7212</v>
      </c>
      <c r="N4741" t="str">
        <f>IF(TB[[#This Row],[售价]]&lt;1000,"低价商品",IF(TB[[#This Row],[售价]]&lt;5000,"中价商品",IF(TB[[#This Row],[售价]]&lt;10000,"高价商品","超高价商品")))</f>
        <v>中价商品</v>
      </c>
    </row>
    <row r="4742" spans="1:14" x14ac:dyDescent="0.2">
      <c r="A4742">
        <v>425</v>
      </c>
      <c r="B4742">
        <v>105</v>
      </c>
      <c r="C4742" t="s">
        <v>32</v>
      </c>
      <c r="D4742" t="s">
        <v>200</v>
      </c>
      <c r="E4742" t="s">
        <v>25</v>
      </c>
      <c r="F4742">
        <v>7</v>
      </c>
      <c r="G4742" t="s">
        <v>13</v>
      </c>
      <c r="H4742" s="1">
        <v>46017.349305555559</v>
      </c>
      <c r="I4742" s="5">
        <f>INT(TB[[#This Row],[时间戳]])</f>
        <v>46017</v>
      </c>
      <c r="J4742" s="2">
        <f>HOUR(TB[[#This Row],[时间戳]])</f>
        <v>8</v>
      </c>
      <c r="K4742">
        <v>4713</v>
      </c>
      <c r="L4742">
        <v>2</v>
      </c>
      <c r="M4742">
        <f>TB[[#This Row],[售价]]*TB[[#This Row],[销量]]</f>
        <v>9426</v>
      </c>
      <c r="N4742" t="str">
        <f>IF(TB[[#This Row],[售价]]&lt;1000,"低价商品",IF(TB[[#This Row],[售价]]&lt;5000,"中价商品",IF(TB[[#This Row],[售价]]&lt;10000,"高价商品","超高价商品")))</f>
        <v>中价商品</v>
      </c>
    </row>
    <row r="4743" spans="1:14" x14ac:dyDescent="0.2">
      <c r="A4743">
        <v>711</v>
      </c>
      <c r="B4743">
        <v>258</v>
      </c>
      <c r="C4743" t="s">
        <v>26</v>
      </c>
      <c r="D4743" t="s">
        <v>48</v>
      </c>
      <c r="E4743" t="s">
        <v>31</v>
      </c>
      <c r="F4743">
        <v>4</v>
      </c>
      <c r="G4743" t="s">
        <v>13</v>
      </c>
      <c r="H4743" s="1">
        <v>46017.351388888892</v>
      </c>
      <c r="I4743" s="5">
        <f>INT(TB[[#This Row],[时间戳]])</f>
        <v>46017</v>
      </c>
      <c r="J4743" s="2">
        <f>HOUR(TB[[#This Row],[时间戳]])</f>
        <v>8</v>
      </c>
      <c r="K4743">
        <v>821</v>
      </c>
      <c r="L4743">
        <v>3</v>
      </c>
      <c r="M4743">
        <f>TB[[#This Row],[售价]]*TB[[#This Row],[销量]]</f>
        <v>2463</v>
      </c>
      <c r="N4743" t="str">
        <f>IF(TB[[#This Row],[售价]]&lt;1000,"低价商品",IF(TB[[#This Row],[售价]]&lt;5000,"中价商品",IF(TB[[#This Row],[售价]]&lt;10000,"高价商品","超高价商品")))</f>
        <v>低价商品</v>
      </c>
    </row>
    <row r="4744" spans="1:14" x14ac:dyDescent="0.2">
      <c r="A4744">
        <v>323</v>
      </c>
      <c r="B4744">
        <v>166</v>
      </c>
      <c r="C4744" t="s">
        <v>10</v>
      </c>
      <c r="D4744" t="s">
        <v>240</v>
      </c>
      <c r="E4744" t="s">
        <v>16</v>
      </c>
      <c r="F4744">
        <v>6</v>
      </c>
      <c r="G4744" t="s">
        <v>13</v>
      </c>
      <c r="H4744" s="1">
        <v>46017.352083333331</v>
      </c>
      <c r="I4744" s="5">
        <f>INT(TB[[#This Row],[时间戳]])</f>
        <v>46017</v>
      </c>
      <c r="J4744" s="2">
        <f>HOUR(TB[[#This Row],[时间戳]])</f>
        <v>8</v>
      </c>
      <c r="K4744">
        <v>9894</v>
      </c>
      <c r="L4744">
        <v>4</v>
      </c>
      <c r="M4744">
        <f>TB[[#This Row],[售价]]*TB[[#This Row],[销量]]</f>
        <v>39576</v>
      </c>
      <c r="N4744" t="str">
        <f>IF(TB[[#This Row],[售价]]&lt;1000,"低价商品",IF(TB[[#This Row],[售价]]&lt;5000,"中价商品",IF(TB[[#This Row],[售价]]&lt;10000,"高价商品","超高价商品")))</f>
        <v>高价商品</v>
      </c>
    </row>
    <row r="4745" spans="1:14" x14ac:dyDescent="0.2">
      <c r="A4745">
        <v>142</v>
      </c>
      <c r="B4745">
        <v>72</v>
      </c>
      <c r="C4745" t="s">
        <v>36</v>
      </c>
      <c r="D4745" t="s">
        <v>192</v>
      </c>
      <c r="E4745" t="s">
        <v>22</v>
      </c>
      <c r="F4745">
        <v>1</v>
      </c>
      <c r="G4745" t="s">
        <v>42</v>
      </c>
      <c r="H4745" s="1">
        <v>46017.447222222225</v>
      </c>
      <c r="I4745" s="5">
        <f>INT(TB[[#This Row],[时间戳]])</f>
        <v>46017</v>
      </c>
      <c r="J4745" s="2">
        <f>HOUR(TB[[#This Row],[时间戳]])</f>
        <v>10</v>
      </c>
      <c r="K4745">
        <v>7759</v>
      </c>
      <c r="L4745">
        <v>0</v>
      </c>
      <c r="M4745">
        <f>TB[[#This Row],[售价]]*TB[[#This Row],[销量]]</f>
        <v>0</v>
      </c>
      <c r="N4745" t="str">
        <f>IF(TB[[#This Row],[售价]]&lt;1000,"低价商品",IF(TB[[#This Row],[售价]]&lt;5000,"中价商品",IF(TB[[#This Row],[售价]]&lt;10000,"高价商品","超高价商品")))</f>
        <v>高价商品</v>
      </c>
    </row>
    <row r="4746" spans="1:14" x14ac:dyDescent="0.2">
      <c r="A4746">
        <v>269</v>
      </c>
      <c r="B4746">
        <v>288</v>
      </c>
      <c r="C4746" t="s">
        <v>44</v>
      </c>
      <c r="D4746" t="s">
        <v>140</v>
      </c>
      <c r="E4746" t="s">
        <v>19</v>
      </c>
      <c r="F4746">
        <v>3</v>
      </c>
      <c r="G4746" t="s">
        <v>13</v>
      </c>
      <c r="H4746" s="1">
        <v>46017.45208333333</v>
      </c>
      <c r="I4746" s="5">
        <f>INT(TB[[#This Row],[时间戳]])</f>
        <v>46017</v>
      </c>
      <c r="J4746" s="2">
        <f>HOUR(TB[[#This Row],[时间戳]])</f>
        <v>10</v>
      </c>
      <c r="K4746">
        <v>2621</v>
      </c>
      <c r="L4746">
        <v>2</v>
      </c>
      <c r="M4746">
        <f>TB[[#This Row],[售价]]*TB[[#This Row],[销量]]</f>
        <v>5242</v>
      </c>
      <c r="N4746" t="str">
        <f>IF(TB[[#This Row],[售价]]&lt;1000,"低价商品",IF(TB[[#This Row],[售价]]&lt;5000,"中价商品",IF(TB[[#This Row],[售价]]&lt;10000,"高价商品","超高价商品")))</f>
        <v>中价商品</v>
      </c>
    </row>
    <row r="4747" spans="1:14" x14ac:dyDescent="0.2">
      <c r="A4747">
        <v>412</v>
      </c>
      <c r="B4747">
        <v>227</v>
      </c>
      <c r="C4747" t="s">
        <v>14</v>
      </c>
      <c r="D4747" t="s">
        <v>295</v>
      </c>
      <c r="E4747" t="s">
        <v>39</v>
      </c>
      <c r="F4747">
        <v>5</v>
      </c>
      <c r="G4747" t="s">
        <v>13</v>
      </c>
      <c r="H4747" s="1">
        <v>46017.453472222223</v>
      </c>
      <c r="I4747" s="5">
        <f>INT(TB[[#This Row],[时间戳]])</f>
        <v>46017</v>
      </c>
      <c r="J4747" s="2">
        <f>HOUR(TB[[#This Row],[时间戳]])</f>
        <v>10</v>
      </c>
      <c r="K4747">
        <v>2721</v>
      </c>
      <c r="L4747">
        <v>2</v>
      </c>
      <c r="M4747">
        <f>TB[[#This Row],[售价]]*TB[[#This Row],[销量]]</f>
        <v>5442</v>
      </c>
      <c r="N4747" t="str">
        <f>IF(TB[[#This Row],[售价]]&lt;1000,"低价商品",IF(TB[[#This Row],[售价]]&lt;5000,"中价商品",IF(TB[[#This Row],[售价]]&lt;10000,"高价商品","超高价商品")))</f>
        <v>中价商品</v>
      </c>
    </row>
    <row r="4748" spans="1:14" x14ac:dyDescent="0.2">
      <c r="A4748">
        <v>192</v>
      </c>
      <c r="B4748">
        <v>32</v>
      </c>
      <c r="C4748" t="s">
        <v>17</v>
      </c>
      <c r="D4748" t="s">
        <v>403</v>
      </c>
      <c r="E4748" t="s">
        <v>19</v>
      </c>
      <c r="F4748">
        <v>3</v>
      </c>
      <c r="G4748" t="s">
        <v>13</v>
      </c>
      <c r="H4748" s="1">
        <v>46017.456944444442</v>
      </c>
      <c r="I4748" s="5">
        <f>INT(TB[[#This Row],[时间戳]])</f>
        <v>46017</v>
      </c>
      <c r="J4748" s="2">
        <f>HOUR(TB[[#This Row],[时间戳]])</f>
        <v>10</v>
      </c>
      <c r="K4748">
        <v>1751</v>
      </c>
      <c r="L4748">
        <v>2</v>
      </c>
      <c r="M4748">
        <f>TB[[#This Row],[售价]]*TB[[#This Row],[销量]]</f>
        <v>3502</v>
      </c>
      <c r="N4748" t="str">
        <f>IF(TB[[#This Row],[售价]]&lt;1000,"低价商品",IF(TB[[#This Row],[售价]]&lt;5000,"中价商品",IF(TB[[#This Row],[售价]]&lt;10000,"高价商品","超高价商品")))</f>
        <v>中价商品</v>
      </c>
    </row>
    <row r="4749" spans="1:14" x14ac:dyDescent="0.2">
      <c r="A4749">
        <v>693</v>
      </c>
      <c r="B4749">
        <v>8</v>
      </c>
      <c r="C4749" t="s">
        <v>26</v>
      </c>
      <c r="D4749" t="s">
        <v>160</v>
      </c>
      <c r="E4749" t="s">
        <v>19</v>
      </c>
      <c r="F4749">
        <v>3</v>
      </c>
      <c r="G4749" t="s">
        <v>13</v>
      </c>
      <c r="H4749" s="1">
        <v>46017.457638888889</v>
      </c>
      <c r="I4749" s="5">
        <f>INT(TB[[#This Row],[时间戳]])</f>
        <v>46017</v>
      </c>
      <c r="J4749" s="2">
        <f>HOUR(TB[[#This Row],[时间戳]])</f>
        <v>10</v>
      </c>
      <c r="K4749">
        <v>2076</v>
      </c>
      <c r="L4749">
        <v>3</v>
      </c>
      <c r="M4749">
        <f>TB[[#This Row],[售价]]*TB[[#This Row],[销量]]</f>
        <v>6228</v>
      </c>
      <c r="N4749" t="str">
        <f>IF(TB[[#This Row],[售价]]&lt;1000,"低价商品",IF(TB[[#This Row],[售价]]&lt;5000,"中价商品",IF(TB[[#This Row],[售价]]&lt;10000,"高价商品","超高价商品")))</f>
        <v>中价商品</v>
      </c>
    </row>
    <row r="4750" spans="1:14" x14ac:dyDescent="0.2">
      <c r="A4750">
        <v>182</v>
      </c>
      <c r="B4750">
        <v>261</v>
      </c>
      <c r="C4750" t="s">
        <v>46</v>
      </c>
      <c r="D4750" t="s">
        <v>141</v>
      </c>
      <c r="E4750" t="s">
        <v>22</v>
      </c>
      <c r="F4750">
        <v>1</v>
      </c>
      <c r="G4750" t="s">
        <v>13</v>
      </c>
      <c r="H4750" s="1">
        <v>46017.467361111114</v>
      </c>
      <c r="I4750" s="5">
        <f>INT(TB[[#This Row],[时间戳]])</f>
        <v>46017</v>
      </c>
      <c r="J4750" s="2">
        <f>HOUR(TB[[#This Row],[时间戳]])</f>
        <v>11</v>
      </c>
      <c r="K4750">
        <v>4785</v>
      </c>
      <c r="L4750">
        <v>2</v>
      </c>
      <c r="M4750">
        <f>TB[[#This Row],[售价]]*TB[[#This Row],[销量]]</f>
        <v>9570</v>
      </c>
      <c r="N4750" t="str">
        <f>IF(TB[[#This Row],[售价]]&lt;1000,"低价商品",IF(TB[[#This Row],[售价]]&lt;5000,"中价商品",IF(TB[[#This Row],[售价]]&lt;10000,"高价商品","超高价商品")))</f>
        <v>中价商品</v>
      </c>
    </row>
    <row r="4751" spans="1:14" x14ac:dyDescent="0.2">
      <c r="A4751">
        <v>164</v>
      </c>
      <c r="B4751">
        <v>252</v>
      </c>
      <c r="C4751" t="s">
        <v>46</v>
      </c>
      <c r="D4751" t="s">
        <v>129</v>
      </c>
      <c r="E4751" t="s">
        <v>31</v>
      </c>
      <c r="F4751">
        <v>4</v>
      </c>
      <c r="G4751" t="s">
        <v>13</v>
      </c>
      <c r="H4751" s="1">
        <v>46017.49722222222</v>
      </c>
      <c r="I4751" s="5">
        <f>INT(TB[[#This Row],[时间戳]])</f>
        <v>46017</v>
      </c>
      <c r="J4751" s="2">
        <f>HOUR(TB[[#This Row],[时间戳]])</f>
        <v>11</v>
      </c>
      <c r="K4751">
        <v>1151</v>
      </c>
      <c r="L4751">
        <v>3</v>
      </c>
      <c r="M4751">
        <f>TB[[#This Row],[售价]]*TB[[#This Row],[销量]]</f>
        <v>3453</v>
      </c>
      <c r="N4751" t="str">
        <f>IF(TB[[#This Row],[售价]]&lt;1000,"低价商品",IF(TB[[#This Row],[售价]]&lt;5000,"中价商品",IF(TB[[#This Row],[售价]]&lt;10000,"高价商品","超高价商品")))</f>
        <v>中价商品</v>
      </c>
    </row>
    <row r="4752" spans="1:14" x14ac:dyDescent="0.2">
      <c r="A4752">
        <v>720</v>
      </c>
      <c r="B4752">
        <v>166</v>
      </c>
      <c r="C4752" t="s">
        <v>26</v>
      </c>
      <c r="D4752" t="s">
        <v>122</v>
      </c>
      <c r="E4752" t="s">
        <v>31</v>
      </c>
      <c r="F4752">
        <v>4</v>
      </c>
      <c r="G4752" t="s">
        <v>13</v>
      </c>
      <c r="H4752" s="1">
        <v>46017.504861111112</v>
      </c>
      <c r="I4752" s="5">
        <f>INT(TB[[#This Row],[时间戳]])</f>
        <v>46017</v>
      </c>
      <c r="J4752" s="2">
        <f>HOUR(TB[[#This Row],[时间戳]])</f>
        <v>12</v>
      </c>
      <c r="K4752">
        <v>382</v>
      </c>
      <c r="L4752">
        <v>4</v>
      </c>
      <c r="M4752">
        <f>TB[[#This Row],[售价]]*TB[[#This Row],[销量]]</f>
        <v>1528</v>
      </c>
      <c r="N4752" t="str">
        <f>IF(TB[[#This Row],[售价]]&lt;1000,"低价商品",IF(TB[[#This Row],[售价]]&lt;5000,"中价商品",IF(TB[[#This Row],[售价]]&lt;10000,"高价商品","超高价商品")))</f>
        <v>低价商品</v>
      </c>
    </row>
    <row r="4753" spans="1:14" x14ac:dyDescent="0.2">
      <c r="A4753">
        <v>93</v>
      </c>
      <c r="B4753">
        <v>235</v>
      </c>
      <c r="C4753" t="s">
        <v>32</v>
      </c>
      <c r="D4753" t="s">
        <v>326</v>
      </c>
      <c r="E4753" t="s">
        <v>19</v>
      </c>
      <c r="F4753">
        <v>3</v>
      </c>
      <c r="G4753" t="s">
        <v>13</v>
      </c>
      <c r="H4753" s="1">
        <v>46017.515277777777</v>
      </c>
      <c r="I4753" s="5">
        <f>INT(TB[[#This Row],[时间戳]])</f>
        <v>46017</v>
      </c>
      <c r="J4753" s="2">
        <f>HOUR(TB[[#This Row],[时间戳]])</f>
        <v>12</v>
      </c>
      <c r="K4753">
        <v>3366</v>
      </c>
      <c r="L4753">
        <v>3</v>
      </c>
      <c r="M4753">
        <f>TB[[#This Row],[售价]]*TB[[#This Row],[销量]]</f>
        <v>10098</v>
      </c>
      <c r="N4753" t="str">
        <f>IF(TB[[#This Row],[售价]]&lt;1000,"低价商品",IF(TB[[#This Row],[售价]]&lt;5000,"中价商品",IF(TB[[#This Row],[售价]]&lt;10000,"高价商品","超高价商品")))</f>
        <v>中价商品</v>
      </c>
    </row>
    <row r="4754" spans="1:14" x14ac:dyDescent="0.2">
      <c r="A4754">
        <v>626</v>
      </c>
      <c r="B4754">
        <v>135</v>
      </c>
      <c r="C4754" t="s">
        <v>17</v>
      </c>
      <c r="D4754" t="s">
        <v>309</v>
      </c>
      <c r="E4754" t="s">
        <v>16</v>
      </c>
      <c r="F4754">
        <v>6</v>
      </c>
      <c r="G4754" t="s">
        <v>13</v>
      </c>
      <c r="H4754" s="1">
        <v>46017.536111111112</v>
      </c>
      <c r="I4754" s="5">
        <f>INT(TB[[#This Row],[时间戳]])</f>
        <v>46017</v>
      </c>
      <c r="J4754" s="2">
        <f>HOUR(TB[[#This Row],[时间戳]])</f>
        <v>12</v>
      </c>
      <c r="K4754">
        <v>2172</v>
      </c>
      <c r="L4754">
        <v>2</v>
      </c>
      <c r="M4754">
        <f>TB[[#This Row],[售价]]*TB[[#This Row],[销量]]</f>
        <v>4344</v>
      </c>
      <c r="N4754" t="str">
        <f>IF(TB[[#This Row],[售价]]&lt;1000,"低价商品",IF(TB[[#This Row],[售价]]&lt;5000,"中价商品",IF(TB[[#This Row],[售价]]&lt;10000,"高价商品","超高价商品")))</f>
        <v>中价商品</v>
      </c>
    </row>
    <row r="4755" spans="1:14" x14ac:dyDescent="0.2">
      <c r="A4755">
        <v>162</v>
      </c>
      <c r="B4755">
        <v>16</v>
      </c>
      <c r="C4755" t="s">
        <v>46</v>
      </c>
      <c r="D4755" t="s">
        <v>260</v>
      </c>
      <c r="E4755" t="s">
        <v>22</v>
      </c>
      <c r="F4755">
        <v>1</v>
      </c>
      <c r="G4755" t="s">
        <v>42</v>
      </c>
      <c r="H4755" s="1">
        <v>46017.549305555556</v>
      </c>
      <c r="I4755" s="5">
        <f>INT(TB[[#This Row],[时间戳]])</f>
        <v>46017</v>
      </c>
      <c r="J4755" s="2">
        <f>HOUR(TB[[#This Row],[时间戳]])</f>
        <v>13</v>
      </c>
      <c r="K4755">
        <v>2412</v>
      </c>
      <c r="L4755">
        <v>0</v>
      </c>
      <c r="M4755">
        <f>TB[[#This Row],[售价]]*TB[[#This Row],[销量]]</f>
        <v>0</v>
      </c>
      <c r="N4755" t="str">
        <f>IF(TB[[#This Row],[售价]]&lt;1000,"低价商品",IF(TB[[#This Row],[售价]]&lt;5000,"中价商品",IF(TB[[#This Row],[售价]]&lt;10000,"高价商品","超高价商品")))</f>
        <v>中价商品</v>
      </c>
    </row>
    <row r="4756" spans="1:14" x14ac:dyDescent="0.2">
      <c r="A4756">
        <v>704</v>
      </c>
      <c r="B4756">
        <v>121</v>
      </c>
      <c r="C4756" t="s">
        <v>46</v>
      </c>
      <c r="D4756" t="s">
        <v>77</v>
      </c>
      <c r="E4756" t="s">
        <v>19</v>
      </c>
      <c r="F4756">
        <v>3</v>
      </c>
      <c r="G4756" t="s">
        <v>13</v>
      </c>
      <c r="H4756" s="1">
        <v>46017.585416666669</v>
      </c>
      <c r="I4756" s="5">
        <f>INT(TB[[#This Row],[时间戳]])</f>
        <v>46017</v>
      </c>
      <c r="J4756" s="2">
        <f>HOUR(TB[[#This Row],[时间戳]])</f>
        <v>14</v>
      </c>
      <c r="K4756">
        <v>3356</v>
      </c>
      <c r="L4756">
        <v>1</v>
      </c>
      <c r="M4756">
        <f>TB[[#This Row],[售价]]*TB[[#This Row],[销量]]</f>
        <v>3356</v>
      </c>
      <c r="N4756" t="str">
        <f>IF(TB[[#This Row],[售价]]&lt;1000,"低价商品",IF(TB[[#This Row],[售价]]&lt;5000,"中价商品",IF(TB[[#This Row],[售价]]&lt;10000,"高价商品","超高价商品")))</f>
        <v>中价商品</v>
      </c>
    </row>
    <row r="4757" spans="1:14" x14ac:dyDescent="0.2">
      <c r="A4757">
        <v>310</v>
      </c>
      <c r="B4757">
        <v>10</v>
      </c>
      <c r="C4757" t="s">
        <v>32</v>
      </c>
      <c r="D4757" t="s">
        <v>115</v>
      </c>
      <c r="E4757" t="s">
        <v>19</v>
      </c>
      <c r="F4757">
        <v>3</v>
      </c>
      <c r="G4757" t="s">
        <v>13</v>
      </c>
      <c r="H4757" s="1">
        <v>46017.62222222222</v>
      </c>
      <c r="I4757" s="5">
        <f>INT(TB[[#This Row],[时间戳]])</f>
        <v>46017</v>
      </c>
      <c r="J4757" s="2">
        <f>HOUR(TB[[#This Row],[时间戳]])</f>
        <v>14</v>
      </c>
      <c r="K4757">
        <v>2358</v>
      </c>
      <c r="L4757">
        <v>1</v>
      </c>
      <c r="M4757">
        <f>TB[[#This Row],[售价]]*TB[[#This Row],[销量]]</f>
        <v>2358</v>
      </c>
      <c r="N4757" t="str">
        <f>IF(TB[[#This Row],[售价]]&lt;1000,"低价商品",IF(TB[[#This Row],[售价]]&lt;5000,"中价商品",IF(TB[[#This Row],[售价]]&lt;10000,"高价商品","超高价商品")))</f>
        <v>中价商品</v>
      </c>
    </row>
    <row r="4758" spans="1:14" x14ac:dyDescent="0.2">
      <c r="A4758">
        <v>626</v>
      </c>
      <c r="B4758">
        <v>215</v>
      </c>
      <c r="C4758" t="s">
        <v>34</v>
      </c>
      <c r="D4758" t="s">
        <v>174</v>
      </c>
      <c r="E4758" t="s">
        <v>12</v>
      </c>
      <c r="F4758">
        <v>2</v>
      </c>
      <c r="G4758" t="s">
        <v>13</v>
      </c>
      <c r="H4758" s="1">
        <v>46017.622916666667</v>
      </c>
      <c r="I4758" s="5">
        <f>INT(TB[[#This Row],[时间戳]])</f>
        <v>46017</v>
      </c>
      <c r="J4758" s="2">
        <f>HOUR(TB[[#This Row],[时间戳]])</f>
        <v>14</v>
      </c>
      <c r="K4758">
        <v>5794</v>
      </c>
      <c r="L4758">
        <v>5</v>
      </c>
      <c r="M4758">
        <f>TB[[#This Row],[售价]]*TB[[#This Row],[销量]]</f>
        <v>28970</v>
      </c>
      <c r="N4758" t="str">
        <f>IF(TB[[#This Row],[售价]]&lt;1000,"低价商品",IF(TB[[#This Row],[售价]]&lt;5000,"中价商品",IF(TB[[#This Row],[售价]]&lt;10000,"高价商品","超高价商品")))</f>
        <v>高价商品</v>
      </c>
    </row>
    <row r="4759" spans="1:14" x14ac:dyDescent="0.2">
      <c r="A4759">
        <v>184</v>
      </c>
      <c r="B4759">
        <v>33</v>
      </c>
      <c r="C4759" t="s">
        <v>17</v>
      </c>
      <c r="D4759" t="s">
        <v>255</v>
      </c>
      <c r="E4759" t="s">
        <v>31</v>
      </c>
      <c r="F4759">
        <v>4</v>
      </c>
      <c r="G4759" t="s">
        <v>13</v>
      </c>
      <c r="H4759" s="1">
        <v>46017.650694444441</v>
      </c>
      <c r="I4759" s="5">
        <f>INT(TB[[#This Row],[时间戳]])</f>
        <v>46017</v>
      </c>
      <c r="J4759" s="2">
        <f>HOUR(TB[[#This Row],[时间戳]])</f>
        <v>15</v>
      </c>
      <c r="K4759">
        <v>783</v>
      </c>
      <c r="L4759">
        <v>2</v>
      </c>
      <c r="M4759">
        <f>TB[[#This Row],[售价]]*TB[[#This Row],[销量]]</f>
        <v>1566</v>
      </c>
      <c r="N4759" t="str">
        <f>IF(TB[[#This Row],[售价]]&lt;1000,"低价商品",IF(TB[[#This Row],[售价]]&lt;5000,"中价商品",IF(TB[[#This Row],[售价]]&lt;10000,"高价商品","超高价商品")))</f>
        <v>低价商品</v>
      </c>
    </row>
    <row r="4760" spans="1:14" x14ac:dyDescent="0.2">
      <c r="A4760">
        <v>195</v>
      </c>
      <c r="B4760">
        <v>2</v>
      </c>
      <c r="C4760" t="s">
        <v>20</v>
      </c>
      <c r="D4760" t="s">
        <v>261</v>
      </c>
      <c r="E4760" t="s">
        <v>22</v>
      </c>
      <c r="F4760">
        <v>1</v>
      </c>
      <c r="G4760" t="s">
        <v>42</v>
      </c>
      <c r="H4760" s="1">
        <v>46017.661805555559</v>
      </c>
      <c r="I4760" s="5">
        <f>INT(TB[[#This Row],[时间戳]])</f>
        <v>46017</v>
      </c>
      <c r="J4760" s="2">
        <f>HOUR(TB[[#This Row],[时间戳]])</f>
        <v>15</v>
      </c>
      <c r="K4760">
        <v>6027</v>
      </c>
      <c r="L4760">
        <v>0</v>
      </c>
      <c r="M4760">
        <f>TB[[#This Row],[售价]]*TB[[#This Row],[销量]]</f>
        <v>0</v>
      </c>
      <c r="N4760" t="str">
        <f>IF(TB[[#This Row],[售价]]&lt;1000,"低价商品",IF(TB[[#This Row],[售价]]&lt;5000,"中价商品",IF(TB[[#This Row],[售价]]&lt;10000,"高价商品","超高价商品")))</f>
        <v>高价商品</v>
      </c>
    </row>
    <row r="4761" spans="1:14" x14ac:dyDescent="0.2">
      <c r="A4761">
        <v>167</v>
      </c>
      <c r="B4761">
        <v>140</v>
      </c>
      <c r="C4761" t="s">
        <v>46</v>
      </c>
      <c r="D4761" t="s">
        <v>141</v>
      </c>
      <c r="E4761" t="s">
        <v>22</v>
      </c>
      <c r="F4761">
        <v>1</v>
      </c>
      <c r="G4761" t="s">
        <v>42</v>
      </c>
      <c r="H4761" s="1">
        <v>46017.744444444441</v>
      </c>
      <c r="I4761" s="5">
        <f>INT(TB[[#This Row],[时间戳]])</f>
        <v>46017</v>
      </c>
      <c r="J4761" s="2">
        <f>HOUR(TB[[#This Row],[时间戳]])</f>
        <v>17</v>
      </c>
      <c r="K4761">
        <v>3945</v>
      </c>
      <c r="L4761">
        <v>0</v>
      </c>
      <c r="M4761">
        <f>TB[[#This Row],[售价]]*TB[[#This Row],[销量]]</f>
        <v>0</v>
      </c>
      <c r="N4761" t="str">
        <f>IF(TB[[#This Row],[售价]]&lt;1000,"低价商品",IF(TB[[#This Row],[售价]]&lt;5000,"中价商品",IF(TB[[#This Row],[售价]]&lt;10000,"高价商品","超高价商品")))</f>
        <v>中价商品</v>
      </c>
    </row>
    <row r="4762" spans="1:14" x14ac:dyDescent="0.2">
      <c r="A4762">
        <v>675</v>
      </c>
      <c r="B4762">
        <v>126</v>
      </c>
      <c r="C4762" t="s">
        <v>20</v>
      </c>
      <c r="D4762" t="s">
        <v>263</v>
      </c>
      <c r="E4762" t="s">
        <v>39</v>
      </c>
      <c r="F4762">
        <v>5</v>
      </c>
      <c r="G4762" t="s">
        <v>13</v>
      </c>
      <c r="H4762" s="1">
        <v>46017.756944444445</v>
      </c>
      <c r="I4762" s="5">
        <f>INT(TB[[#This Row],[时间戳]])</f>
        <v>46017</v>
      </c>
      <c r="J4762" s="2">
        <f>HOUR(TB[[#This Row],[时间戳]])</f>
        <v>18</v>
      </c>
      <c r="K4762">
        <v>1837</v>
      </c>
      <c r="L4762">
        <v>3</v>
      </c>
      <c r="M4762">
        <f>TB[[#This Row],[售价]]*TB[[#This Row],[销量]]</f>
        <v>5511</v>
      </c>
      <c r="N4762" t="str">
        <f>IF(TB[[#This Row],[售价]]&lt;1000,"低价商品",IF(TB[[#This Row],[售价]]&lt;5000,"中价商品",IF(TB[[#This Row],[售价]]&lt;10000,"高价商品","超高价商品")))</f>
        <v>中价商品</v>
      </c>
    </row>
    <row r="4763" spans="1:14" x14ac:dyDescent="0.2">
      <c r="A4763">
        <v>478</v>
      </c>
      <c r="B4763">
        <v>276</v>
      </c>
      <c r="C4763" t="s">
        <v>26</v>
      </c>
      <c r="D4763" t="s">
        <v>407</v>
      </c>
      <c r="E4763" t="s">
        <v>39</v>
      </c>
      <c r="F4763">
        <v>5</v>
      </c>
      <c r="G4763" t="s">
        <v>13</v>
      </c>
      <c r="H4763" s="1">
        <v>46017.836111111108</v>
      </c>
      <c r="I4763" s="5">
        <f>INT(TB[[#This Row],[时间戳]])</f>
        <v>46017</v>
      </c>
      <c r="J4763" s="2">
        <f>HOUR(TB[[#This Row],[时间戳]])</f>
        <v>20</v>
      </c>
      <c r="K4763">
        <v>1179</v>
      </c>
      <c r="L4763">
        <v>1</v>
      </c>
      <c r="M4763">
        <f>TB[[#This Row],[售价]]*TB[[#This Row],[销量]]</f>
        <v>1179</v>
      </c>
      <c r="N4763" t="str">
        <f>IF(TB[[#This Row],[售价]]&lt;1000,"低价商品",IF(TB[[#This Row],[售价]]&lt;5000,"中价商品",IF(TB[[#This Row],[售价]]&lt;10000,"高价商品","超高价商品")))</f>
        <v>中价商品</v>
      </c>
    </row>
    <row r="4764" spans="1:14" x14ac:dyDescent="0.2">
      <c r="A4764">
        <v>6</v>
      </c>
      <c r="B4764">
        <v>198</v>
      </c>
      <c r="C4764" t="s">
        <v>44</v>
      </c>
      <c r="D4764" t="s">
        <v>301</v>
      </c>
      <c r="E4764" t="s">
        <v>22</v>
      </c>
      <c r="F4764">
        <v>1</v>
      </c>
      <c r="G4764" t="s">
        <v>13</v>
      </c>
      <c r="H4764" s="1">
        <v>46017.862500000003</v>
      </c>
      <c r="I4764" s="5">
        <f>INT(TB[[#This Row],[时间戳]])</f>
        <v>46017</v>
      </c>
      <c r="J4764" s="2">
        <f>HOUR(TB[[#This Row],[时间戳]])</f>
        <v>20</v>
      </c>
      <c r="K4764">
        <v>1926</v>
      </c>
      <c r="L4764">
        <v>1</v>
      </c>
      <c r="M4764">
        <f>TB[[#This Row],[售价]]*TB[[#This Row],[销量]]</f>
        <v>1926</v>
      </c>
      <c r="N4764" t="str">
        <f>IF(TB[[#This Row],[售价]]&lt;1000,"低价商品",IF(TB[[#This Row],[售价]]&lt;5000,"中价商品",IF(TB[[#This Row],[售价]]&lt;10000,"高价商品","超高价商品")))</f>
        <v>中价商品</v>
      </c>
    </row>
    <row r="4765" spans="1:14" x14ac:dyDescent="0.2">
      <c r="A4765">
        <v>228</v>
      </c>
      <c r="B4765">
        <v>59</v>
      </c>
      <c r="C4765" t="s">
        <v>36</v>
      </c>
      <c r="D4765" t="s">
        <v>146</v>
      </c>
      <c r="E4765" t="s">
        <v>22</v>
      </c>
      <c r="F4765">
        <v>1</v>
      </c>
      <c r="G4765" t="s">
        <v>13</v>
      </c>
      <c r="H4765" s="1">
        <v>46017.867361111108</v>
      </c>
      <c r="I4765" s="5">
        <f>INT(TB[[#This Row],[时间戳]])</f>
        <v>46017</v>
      </c>
      <c r="J4765" s="2">
        <f>HOUR(TB[[#This Row],[时间戳]])</f>
        <v>20</v>
      </c>
      <c r="K4765">
        <v>6185</v>
      </c>
      <c r="L4765">
        <v>3</v>
      </c>
      <c r="M4765">
        <f>TB[[#This Row],[售价]]*TB[[#This Row],[销量]]</f>
        <v>18555</v>
      </c>
      <c r="N4765" t="str">
        <f>IF(TB[[#This Row],[售价]]&lt;1000,"低价商品",IF(TB[[#This Row],[售价]]&lt;5000,"中价商品",IF(TB[[#This Row],[售价]]&lt;10000,"高价商品","超高价商品")))</f>
        <v>高价商品</v>
      </c>
    </row>
    <row r="4766" spans="1:14" x14ac:dyDescent="0.2">
      <c r="A4766">
        <v>774</v>
      </c>
      <c r="B4766">
        <v>27</v>
      </c>
      <c r="C4766" t="s">
        <v>20</v>
      </c>
      <c r="D4766" t="s">
        <v>230</v>
      </c>
      <c r="E4766" t="s">
        <v>19</v>
      </c>
      <c r="F4766">
        <v>3</v>
      </c>
      <c r="G4766" t="s">
        <v>13</v>
      </c>
      <c r="H4766" s="1">
        <v>46017.881944444445</v>
      </c>
      <c r="I4766" s="5">
        <f>INT(TB[[#This Row],[时间戳]])</f>
        <v>46017</v>
      </c>
      <c r="J4766" s="2">
        <f>HOUR(TB[[#This Row],[时间戳]])</f>
        <v>21</v>
      </c>
      <c r="K4766">
        <v>4445</v>
      </c>
      <c r="L4766">
        <v>3</v>
      </c>
      <c r="M4766">
        <f>TB[[#This Row],[售价]]*TB[[#This Row],[销量]]</f>
        <v>13335</v>
      </c>
      <c r="N4766" t="str">
        <f>IF(TB[[#This Row],[售价]]&lt;1000,"低价商品",IF(TB[[#This Row],[售价]]&lt;5000,"中价商品",IF(TB[[#This Row],[售价]]&lt;10000,"高价商品","超高价商品")))</f>
        <v>中价商品</v>
      </c>
    </row>
    <row r="4767" spans="1:14" x14ac:dyDescent="0.2">
      <c r="A4767">
        <v>741</v>
      </c>
      <c r="B4767">
        <v>73</v>
      </c>
      <c r="C4767" t="s">
        <v>36</v>
      </c>
      <c r="D4767" t="s">
        <v>90</v>
      </c>
      <c r="E4767" t="s">
        <v>16</v>
      </c>
      <c r="F4767">
        <v>6</v>
      </c>
      <c r="G4767" t="s">
        <v>13</v>
      </c>
      <c r="H4767" s="1">
        <v>46017.970833333333</v>
      </c>
      <c r="I4767" s="5">
        <f>INT(TB[[#This Row],[时间戳]])</f>
        <v>46017</v>
      </c>
      <c r="J4767" s="2">
        <f>HOUR(TB[[#This Row],[时间戳]])</f>
        <v>23</v>
      </c>
      <c r="K4767">
        <v>3680</v>
      </c>
      <c r="L4767">
        <v>1</v>
      </c>
      <c r="M4767">
        <f>TB[[#This Row],[售价]]*TB[[#This Row],[销量]]</f>
        <v>3680</v>
      </c>
      <c r="N4767" t="str">
        <f>IF(TB[[#This Row],[售价]]&lt;1000,"低价商品",IF(TB[[#This Row],[售价]]&lt;5000,"中价商品",IF(TB[[#This Row],[售价]]&lt;10000,"高价商品","超高价商品")))</f>
        <v>中价商品</v>
      </c>
    </row>
    <row r="4768" spans="1:14" x14ac:dyDescent="0.2">
      <c r="A4768">
        <v>205</v>
      </c>
      <c r="B4768">
        <v>230</v>
      </c>
      <c r="C4768" t="s">
        <v>34</v>
      </c>
      <c r="D4768" t="s">
        <v>108</v>
      </c>
      <c r="E4768" t="s">
        <v>19</v>
      </c>
      <c r="F4768">
        <v>3</v>
      </c>
      <c r="G4768" t="s">
        <v>13</v>
      </c>
      <c r="H4768" s="1">
        <v>46018.006944444445</v>
      </c>
      <c r="I4768" s="5">
        <f>INT(TB[[#This Row],[时间戳]])</f>
        <v>46018</v>
      </c>
      <c r="J4768" s="2">
        <f>HOUR(TB[[#This Row],[时间戳]])</f>
        <v>0</v>
      </c>
      <c r="K4768">
        <v>5533</v>
      </c>
      <c r="L4768">
        <v>1</v>
      </c>
      <c r="M4768">
        <f>TB[[#This Row],[售价]]*TB[[#This Row],[销量]]</f>
        <v>5533</v>
      </c>
      <c r="N4768" t="str">
        <f>IF(TB[[#This Row],[售价]]&lt;1000,"低价商品",IF(TB[[#This Row],[售价]]&lt;5000,"中价商品",IF(TB[[#This Row],[售价]]&lt;10000,"高价商品","超高价商品")))</f>
        <v>高价商品</v>
      </c>
    </row>
    <row r="4769" spans="1:14" x14ac:dyDescent="0.2">
      <c r="A4769">
        <v>614</v>
      </c>
      <c r="B4769">
        <v>80</v>
      </c>
      <c r="C4769" t="s">
        <v>44</v>
      </c>
      <c r="D4769" t="s">
        <v>243</v>
      </c>
      <c r="E4769" t="s">
        <v>31</v>
      </c>
      <c r="F4769">
        <v>4</v>
      </c>
      <c r="G4769" t="s">
        <v>13</v>
      </c>
      <c r="H4769" s="1">
        <v>46018.008333333331</v>
      </c>
      <c r="I4769" s="5">
        <f>INT(TB[[#This Row],[时间戳]])</f>
        <v>46018</v>
      </c>
      <c r="J4769" s="2">
        <f>HOUR(TB[[#This Row],[时间戳]])</f>
        <v>0</v>
      </c>
      <c r="K4769">
        <v>50</v>
      </c>
      <c r="L4769">
        <v>2</v>
      </c>
      <c r="M4769">
        <f>TB[[#This Row],[售价]]*TB[[#This Row],[销量]]</f>
        <v>100</v>
      </c>
      <c r="N4769" t="str">
        <f>IF(TB[[#This Row],[售价]]&lt;1000,"低价商品",IF(TB[[#This Row],[售价]]&lt;5000,"中价商品",IF(TB[[#This Row],[售价]]&lt;10000,"高价商品","超高价商品")))</f>
        <v>低价商品</v>
      </c>
    </row>
    <row r="4770" spans="1:14" x14ac:dyDescent="0.2">
      <c r="A4770">
        <v>457</v>
      </c>
      <c r="B4770">
        <v>25</v>
      </c>
      <c r="C4770" t="s">
        <v>36</v>
      </c>
      <c r="D4770" t="s">
        <v>187</v>
      </c>
      <c r="E4770" t="s">
        <v>12</v>
      </c>
      <c r="F4770">
        <v>2</v>
      </c>
      <c r="G4770" t="s">
        <v>13</v>
      </c>
      <c r="H4770" s="1">
        <v>46018.03125</v>
      </c>
      <c r="I4770" s="5">
        <f>INT(TB[[#This Row],[时间戳]])</f>
        <v>46018</v>
      </c>
      <c r="J4770" s="2">
        <f>HOUR(TB[[#This Row],[时间戳]])</f>
        <v>0</v>
      </c>
      <c r="K4770">
        <v>10876</v>
      </c>
      <c r="L4770">
        <v>2</v>
      </c>
      <c r="M4770">
        <f>TB[[#This Row],[售价]]*TB[[#This Row],[销量]]</f>
        <v>21752</v>
      </c>
      <c r="N4770" t="str">
        <f>IF(TB[[#This Row],[售价]]&lt;1000,"低价商品",IF(TB[[#This Row],[售价]]&lt;5000,"中价商品",IF(TB[[#This Row],[售价]]&lt;10000,"高价商品","超高价商品")))</f>
        <v>超高价商品</v>
      </c>
    </row>
    <row r="4771" spans="1:14" x14ac:dyDescent="0.2">
      <c r="A4771">
        <v>33</v>
      </c>
      <c r="B4771">
        <v>266</v>
      </c>
      <c r="C4771" t="s">
        <v>20</v>
      </c>
      <c r="D4771" t="s">
        <v>399</v>
      </c>
      <c r="E4771" t="s">
        <v>31</v>
      </c>
      <c r="F4771">
        <v>4</v>
      </c>
      <c r="G4771" t="s">
        <v>13</v>
      </c>
      <c r="H4771" s="1">
        <v>46018.038888888892</v>
      </c>
      <c r="I4771" s="5">
        <f>INT(TB[[#This Row],[时间戳]])</f>
        <v>46018</v>
      </c>
      <c r="J4771" s="2">
        <f>HOUR(TB[[#This Row],[时间戳]])</f>
        <v>0</v>
      </c>
      <c r="K4771">
        <v>281</v>
      </c>
      <c r="L4771">
        <v>5</v>
      </c>
      <c r="M4771">
        <f>TB[[#This Row],[售价]]*TB[[#This Row],[销量]]</f>
        <v>1405</v>
      </c>
      <c r="N4771" t="str">
        <f>IF(TB[[#This Row],[售价]]&lt;1000,"低价商品",IF(TB[[#This Row],[售价]]&lt;5000,"中价商品",IF(TB[[#This Row],[售价]]&lt;10000,"高价商品","超高价商品")))</f>
        <v>低价商品</v>
      </c>
    </row>
    <row r="4772" spans="1:14" x14ac:dyDescent="0.2">
      <c r="A4772">
        <v>412</v>
      </c>
      <c r="B4772">
        <v>77</v>
      </c>
      <c r="C4772" t="s">
        <v>44</v>
      </c>
      <c r="D4772" t="s">
        <v>415</v>
      </c>
      <c r="E4772" t="s">
        <v>39</v>
      </c>
      <c r="F4772">
        <v>5</v>
      </c>
      <c r="G4772" t="s">
        <v>13</v>
      </c>
      <c r="H4772" s="1">
        <v>46018.038888888892</v>
      </c>
      <c r="I4772" s="5">
        <f>INT(TB[[#This Row],[时间戳]])</f>
        <v>46018</v>
      </c>
      <c r="J4772" s="2">
        <f>HOUR(TB[[#This Row],[时间戳]])</f>
        <v>0</v>
      </c>
      <c r="K4772">
        <v>3256</v>
      </c>
      <c r="L4772">
        <v>4</v>
      </c>
      <c r="M4772">
        <f>TB[[#This Row],[售价]]*TB[[#This Row],[销量]]</f>
        <v>13024</v>
      </c>
      <c r="N4772" t="str">
        <f>IF(TB[[#This Row],[售价]]&lt;1000,"低价商品",IF(TB[[#This Row],[售价]]&lt;5000,"中价商品",IF(TB[[#This Row],[售价]]&lt;10000,"高价商品","超高价商品")))</f>
        <v>中价商品</v>
      </c>
    </row>
    <row r="4773" spans="1:14" x14ac:dyDescent="0.2">
      <c r="A4773">
        <v>564</v>
      </c>
      <c r="B4773">
        <v>90</v>
      </c>
      <c r="C4773" t="s">
        <v>46</v>
      </c>
      <c r="D4773" t="s">
        <v>246</v>
      </c>
      <c r="E4773" t="s">
        <v>39</v>
      </c>
      <c r="F4773">
        <v>5</v>
      </c>
      <c r="G4773" t="s">
        <v>13</v>
      </c>
      <c r="H4773" s="1">
        <v>46018.048611111109</v>
      </c>
      <c r="I4773" s="5">
        <f>INT(TB[[#This Row],[时间戳]])</f>
        <v>46018</v>
      </c>
      <c r="J4773" s="2">
        <f>HOUR(TB[[#This Row],[时间戳]])</f>
        <v>1</v>
      </c>
      <c r="K4773">
        <v>2849</v>
      </c>
      <c r="L4773">
        <v>1</v>
      </c>
      <c r="M4773">
        <f>TB[[#This Row],[售价]]*TB[[#This Row],[销量]]</f>
        <v>2849</v>
      </c>
      <c r="N4773" t="str">
        <f>IF(TB[[#This Row],[售价]]&lt;1000,"低价商品",IF(TB[[#This Row],[售价]]&lt;5000,"中价商品",IF(TB[[#This Row],[售价]]&lt;10000,"高价商品","超高价商品")))</f>
        <v>中价商品</v>
      </c>
    </row>
    <row r="4774" spans="1:14" x14ac:dyDescent="0.2">
      <c r="A4774">
        <v>540</v>
      </c>
      <c r="B4774">
        <v>168</v>
      </c>
      <c r="C4774" t="s">
        <v>36</v>
      </c>
      <c r="D4774" t="s">
        <v>112</v>
      </c>
      <c r="E4774" t="s">
        <v>22</v>
      </c>
      <c r="F4774">
        <v>1</v>
      </c>
      <c r="G4774" t="s">
        <v>42</v>
      </c>
      <c r="H4774" s="1">
        <v>46018.053472222222</v>
      </c>
      <c r="I4774" s="5">
        <f>INT(TB[[#This Row],[时间戳]])</f>
        <v>46018</v>
      </c>
      <c r="J4774" s="2">
        <f>HOUR(TB[[#This Row],[时间戳]])</f>
        <v>1</v>
      </c>
      <c r="K4774">
        <v>6529</v>
      </c>
      <c r="L4774">
        <v>0</v>
      </c>
      <c r="M4774">
        <f>TB[[#This Row],[售价]]*TB[[#This Row],[销量]]</f>
        <v>0</v>
      </c>
      <c r="N4774" t="str">
        <f>IF(TB[[#This Row],[售价]]&lt;1000,"低价商品",IF(TB[[#This Row],[售价]]&lt;5000,"中价商品",IF(TB[[#This Row],[售价]]&lt;10000,"高价商品","超高价商品")))</f>
        <v>高价商品</v>
      </c>
    </row>
    <row r="4775" spans="1:14" x14ac:dyDescent="0.2">
      <c r="A4775">
        <v>151</v>
      </c>
      <c r="B4775">
        <v>265</v>
      </c>
      <c r="C4775" t="s">
        <v>10</v>
      </c>
      <c r="D4775" t="s">
        <v>351</v>
      </c>
      <c r="E4775" t="s">
        <v>31</v>
      </c>
      <c r="F4775">
        <v>4</v>
      </c>
      <c r="G4775" t="s">
        <v>13</v>
      </c>
      <c r="H4775" s="1">
        <v>46018.084722222222</v>
      </c>
      <c r="I4775" s="5">
        <f>INT(TB[[#This Row],[时间戳]])</f>
        <v>46018</v>
      </c>
      <c r="J4775" s="2">
        <f>HOUR(TB[[#This Row],[时间戳]])</f>
        <v>2</v>
      </c>
      <c r="K4775">
        <v>249</v>
      </c>
      <c r="L4775">
        <v>2</v>
      </c>
      <c r="M4775">
        <f>TB[[#This Row],[售价]]*TB[[#This Row],[销量]]</f>
        <v>498</v>
      </c>
      <c r="N4775" t="str">
        <f>IF(TB[[#This Row],[售价]]&lt;1000,"低价商品",IF(TB[[#This Row],[售价]]&lt;5000,"中价商品",IF(TB[[#This Row],[售价]]&lt;10000,"高价商品","超高价商品")))</f>
        <v>低价商品</v>
      </c>
    </row>
    <row r="4776" spans="1:14" x14ac:dyDescent="0.2">
      <c r="A4776">
        <v>579</v>
      </c>
      <c r="B4776">
        <v>95</v>
      </c>
      <c r="C4776" t="s">
        <v>46</v>
      </c>
      <c r="D4776" t="s">
        <v>104</v>
      </c>
      <c r="E4776" t="s">
        <v>12</v>
      </c>
      <c r="F4776">
        <v>2</v>
      </c>
      <c r="G4776" t="s">
        <v>13</v>
      </c>
      <c r="H4776" s="1">
        <v>46018.092361111114</v>
      </c>
      <c r="I4776" s="5">
        <f>INT(TB[[#This Row],[时间戳]])</f>
        <v>46018</v>
      </c>
      <c r="J4776" s="2">
        <f>HOUR(TB[[#This Row],[时间戳]])</f>
        <v>2</v>
      </c>
      <c r="K4776">
        <v>12454</v>
      </c>
      <c r="L4776">
        <v>1</v>
      </c>
      <c r="M4776">
        <f>TB[[#This Row],[售价]]*TB[[#This Row],[销量]]</f>
        <v>12454</v>
      </c>
      <c r="N4776" t="str">
        <f>IF(TB[[#This Row],[售价]]&lt;1000,"低价商品",IF(TB[[#This Row],[售价]]&lt;5000,"中价商品",IF(TB[[#This Row],[售价]]&lt;10000,"高价商品","超高价商品")))</f>
        <v>超高价商品</v>
      </c>
    </row>
    <row r="4777" spans="1:14" x14ac:dyDescent="0.2">
      <c r="A4777">
        <v>283</v>
      </c>
      <c r="B4777">
        <v>46</v>
      </c>
      <c r="C4777" t="s">
        <v>44</v>
      </c>
      <c r="D4777" t="s">
        <v>372</v>
      </c>
      <c r="E4777" t="s">
        <v>22</v>
      </c>
      <c r="F4777">
        <v>1</v>
      </c>
      <c r="G4777" t="s">
        <v>13</v>
      </c>
      <c r="H4777" s="1">
        <v>46018.125</v>
      </c>
      <c r="I4777" s="5">
        <f>INT(TB[[#This Row],[时间戳]])</f>
        <v>46018</v>
      </c>
      <c r="J4777" s="2">
        <f>HOUR(TB[[#This Row],[时间戳]])</f>
        <v>3</v>
      </c>
      <c r="K4777">
        <v>6386</v>
      </c>
      <c r="L4777">
        <v>2</v>
      </c>
      <c r="M4777">
        <f>TB[[#This Row],[售价]]*TB[[#This Row],[销量]]</f>
        <v>12772</v>
      </c>
      <c r="N4777" t="str">
        <f>IF(TB[[#This Row],[售价]]&lt;1000,"低价商品",IF(TB[[#This Row],[售价]]&lt;5000,"中价商品",IF(TB[[#This Row],[售价]]&lt;10000,"高价商品","超高价商品")))</f>
        <v>高价商品</v>
      </c>
    </row>
    <row r="4778" spans="1:14" x14ac:dyDescent="0.2">
      <c r="A4778">
        <v>434</v>
      </c>
      <c r="B4778">
        <v>58</v>
      </c>
      <c r="C4778" t="s">
        <v>20</v>
      </c>
      <c r="D4778" t="s">
        <v>319</v>
      </c>
      <c r="E4778" t="s">
        <v>31</v>
      </c>
      <c r="F4778">
        <v>4</v>
      </c>
      <c r="G4778" t="s">
        <v>42</v>
      </c>
      <c r="H4778" s="1">
        <v>46018.125</v>
      </c>
      <c r="I4778" s="5">
        <f>INT(TB[[#This Row],[时间戳]])</f>
        <v>46018</v>
      </c>
      <c r="J4778" s="2">
        <f>HOUR(TB[[#This Row],[时间戳]])</f>
        <v>3</v>
      </c>
      <c r="K4778">
        <v>218</v>
      </c>
      <c r="L4778">
        <v>0</v>
      </c>
      <c r="M4778">
        <f>TB[[#This Row],[售价]]*TB[[#This Row],[销量]]</f>
        <v>0</v>
      </c>
      <c r="N4778" t="str">
        <f>IF(TB[[#This Row],[售价]]&lt;1000,"低价商品",IF(TB[[#This Row],[售价]]&lt;5000,"中价商品",IF(TB[[#This Row],[售价]]&lt;10000,"高价商品","超高价商品")))</f>
        <v>低价商品</v>
      </c>
    </row>
    <row r="4779" spans="1:14" x14ac:dyDescent="0.2">
      <c r="A4779">
        <v>416</v>
      </c>
      <c r="B4779">
        <v>201</v>
      </c>
      <c r="C4779" t="s">
        <v>26</v>
      </c>
      <c r="D4779" t="s">
        <v>299</v>
      </c>
      <c r="E4779" t="s">
        <v>19</v>
      </c>
      <c r="F4779">
        <v>3</v>
      </c>
      <c r="G4779" t="s">
        <v>42</v>
      </c>
      <c r="H4779" s="1">
        <v>46018.131944444445</v>
      </c>
      <c r="I4779" s="5">
        <f>INT(TB[[#This Row],[时间戳]])</f>
        <v>46018</v>
      </c>
      <c r="J4779" s="2">
        <f>HOUR(TB[[#This Row],[时间戳]])</f>
        <v>3</v>
      </c>
      <c r="K4779">
        <v>4508</v>
      </c>
      <c r="L4779">
        <v>0</v>
      </c>
      <c r="M4779">
        <f>TB[[#This Row],[售价]]*TB[[#This Row],[销量]]</f>
        <v>0</v>
      </c>
      <c r="N4779" t="str">
        <f>IF(TB[[#This Row],[售价]]&lt;1000,"低价商品",IF(TB[[#This Row],[售价]]&lt;5000,"中价商品",IF(TB[[#This Row],[售价]]&lt;10000,"高价商品","超高价商品")))</f>
        <v>中价商品</v>
      </c>
    </row>
    <row r="4780" spans="1:14" x14ac:dyDescent="0.2">
      <c r="A4780">
        <v>544</v>
      </c>
      <c r="B4780">
        <v>69</v>
      </c>
      <c r="C4780" t="s">
        <v>20</v>
      </c>
      <c r="D4780" t="s">
        <v>72</v>
      </c>
      <c r="E4780" t="s">
        <v>25</v>
      </c>
      <c r="F4780">
        <v>7</v>
      </c>
      <c r="G4780" t="s">
        <v>13</v>
      </c>
      <c r="H4780" s="1">
        <v>46018.136805555558</v>
      </c>
      <c r="I4780" s="5">
        <f>INT(TB[[#This Row],[时间戳]])</f>
        <v>46018</v>
      </c>
      <c r="J4780" s="2">
        <f>HOUR(TB[[#This Row],[时间戳]])</f>
        <v>3</v>
      </c>
      <c r="K4780">
        <v>2391</v>
      </c>
      <c r="L4780">
        <v>1</v>
      </c>
      <c r="M4780">
        <f>TB[[#This Row],[售价]]*TB[[#This Row],[销量]]</f>
        <v>2391</v>
      </c>
      <c r="N4780" t="str">
        <f>IF(TB[[#This Row],[售价]]&lt;1000,"低价商品",IF(TB[[#This Row],[售价]]&lt;5000,"中价商品",IF(TB[[#This Row],[售价]]&lt;10000,"高价商品","超高价商品")))</f>
        <v>中价商品</v>
      </c>
    </row>
    <row r="4781" spans="1:14" x14ac:dyDescent="0.2">
      <c r="A4781">
        <v>468</v>
      </c>
      <c r="B4781">
        <v>30</v>
      </c>
      <c r="C4781" t="s">
        <v>46</v>
      </c>
      <c r="D4781" t="s">
        <v>332</v>
      </c>
      <c r="E4781" t="s">
        <v>19</v>
      </c>
      <c r="F4781">
        <v>3</v>
      </c>
      <c r="G4781" t="s">
        <v>13</v>
      </c>
      <c r="H4781" s="1">
        <v>46018.14166666667</v>
      </c>
      <c r="I4781" s="5">
        <f>INT(TB[[#This Row],[时间戳]])</f>
        <v>46018</v>
      </c>
      <c r="J4781" s="2">
        <f>HOUR(TB[[#This Row],[时间戳]])</f>
        <v>3</v>
      </c>
      <c r="K4781">
        <v>1559</v>
      </c>
      <c r="L4781">
        <v>2</v>
      </c>
      <c r="M4781">
        <f>TB[[#This Row],[售价]]*TB[[#This Row],[销量]]</f>
        <v>3118</v>
      </c>
      <c r="N4781" t="str">
        <f>IF(TB[[#This Row],[售价]]&lt;1000,"低价商品",IF(TB[[#This Row],[售价]]&lt;5000,"中价商品",IF(TB[[#This Row],[售价]]&lt;10000,"高价商品","超高价商品")))</f>
        <v>中价商品</v>
      </c>
    </row>
    <row r="4782" spans="1:14" x14ac:dyDescent="0.2">
      <c r="A4782">
        <v>200</v>
      </c>
      <c r="B4782">
        <v>136</v>
      </c>
      <c r="C4782" t="s">
        <v>26</v>
      </c>
      <c r="D4782" t="s">
        <v>122</v>
      </c>
      <c r="E4782" t="s">
        <v>31</v>
      </c>
      <c r="F4782">
        <v>4</v>
      </c>
      <c r="G4782" t="s">
        <v>13</v>
      </c>
      <c r="H4782" s="1">
        <v>46018.143055555556</v>
      </c>
      <c r="I4782" s="5">
        <f>INT(TB[[#This Row],[时间戳]])</f>
        <v>46018</v>
      </c>
      <c r="J4782" s="2">
        <f>HOUR(TB[[#This Row],[时间戳]])</f>
        <v>3</v>
      </c>
      <c r="K4782">
        <v>1500</v>
      </c>
      <c r="L4782">
        <v>2</v>
      </c>
      <c r="M4782">
        <f>TB[[#This Row],[售价]]*TB[[#This Row],[销量]]</f>
        <v>3000</v>
      </c>
      <c r="N4782" t="str">
        <f>IF(TB[[#This Row],[售价]]&lt;1000,"低价商品",IF(TB[[#This Row],[售价]]&lt;5000,"中价商品",IF(TB[[#This Row],[售价]]&lt;10000,"高价商品","超高价商品")))</f>
        <v>中价商品</v>
      </c>
    </row>
    <row r="4783" spans="1:14" x14ac:dyDescent="0.2">
      <c r="A4783">
        <v>610</v>
      </c>
      <c r="B4783">
        <v>196</v>
      </c>
      <c r="C4783" t="s">
        <v>32</v>
      </c>
      <c r="D4783" t="s">
        <v>224</v>
      </c>
      <c r="E4783" t="s">
        <v>25</v>
      </c>
      <c r="F4783">
        <v>7</v>
      </c>
      <c r="G4783" t="s">
        <v>13</v>
      </c>
      <c r="H4783" s="1">
        <v>46018.146527777775</v>
      </c>
      <c r="I4783" s="5">
        <f>INT(TB[[#This Row],[时间戳]])</f>
        <v>46018</v>
      </c>
      <c r="J4783" s="2">
        <f>HOUR(TB[[#This Row],[时间戳]])</f>
        <v>3</v>
      </c>
      <c r="K4783">
        <v>3735</v>
      </c>
      <c r="L4783">
        <v>1</v>
      </c>
      <c r="M4783">
        <f>TB[[#This Row],[售价]]*TB[[#This Row],[销量]]</f>
        <v>3735</v>
      </c>
      <c r="N4783" t="str">
        <f>IF(TB[[#This Row],[售价]]&lt;1000,"低价商品",IF(TB[[#This Row],[售价]]&lt;5000,"中价商品",IF(TB[[#This Row],[售价]]&lt;10000,"高价商品","超高价商品")))</f>
        <v>中价商品</v>
      </c>
    </row>
    <row r="4784" spans="1:14" x14ac:dyDescent="0.2">
      <c r="A4784">
        <v>260</v>
      </c>
      <c r="B4784">
        <v>172</v>
      </c>
      <c r="C4784" t="s">
        <v>26</v>
      </c>
      <c r="D4784" t="s">
        <v>65</v>
      </c>
      <c r="E4784" t="s">
        <v>22</v>
      </c>
      <c r="F4784">
        <v>1</v>
      </c>
      <c r="G4784" t="s">
        <v>42</v>
      </c>
      <c r="H4784" s="1">
        <v>46018.161805555559</v>
      </c>
      <c r="I4784" s="5">
        <f>INT(TB[[#This Row],[时间戳]])</f>
        <v>46018</v>
      </c>
      <c r="J4784" s="2">
        <f>HOUR(TB[[#This Row],[时间戳]])</f>
        <v>3</v>
      </c>
      <c r="K4784">
        <v>6295</v>
      </c>
      <c r="L4784">
        <v>0</v>
      </c>
      <c r="M4784">
        <f>TB[[#This Row],[售价]]*TB[[#This Row],[销量]]</f>
        <v>0</v>
      </c>
      <c r="N4784" t="str">
        <f>IF(TB[[#This Row],[售价]]&lt;1000,"低价商品",IF(TB[[#This Row],[售价]]&lt;5000,"中价商品",IF(TB[[#This Row],[售价]]&lt;10000,"高价商品","超高价商品")))</f>
        <v>高价商品</v>
      </c>
    </row>
    <row r="4785" spans="1:14" x14ac:dyDescent="0.2">
      <c r="A4785">
        <v>84</v>
      </c>
      <c r="B4785">
        <v>92</v>
      </c>
      <c r="C4785" t="s">
        <v>44</v>
      </c>
      <c r="D4785" t="s">
        <v>59</v>
      </c>
      <c r="E4785" t="s">
        <v>22</v>
      </c>
      <c r="F4785">
        <v>1</v>
      </c>
      <c r="G4785" t="s">
        <v>13</v>
      </c>
      <c r="H4785" s="1">
        <v>46018.168055555558</v>
      </c>
      <c r="I4785" s="5">
        <f>INT(TB[[#This Row],[时间戳]])</f>
        <v>46018</v>
      </c>
      <c r="J4785" s="2">
        <f>HOUR(TB[[#This Row],[时间戳]])</f>
        <v>4</v>
      </c>
      <c r="K4785">
        <v>5423</v>
      </c>
      <c r="L4785">
        <v>3</v>
      </c>
      <c r="M4785">
        <f>TB[[#This Row],[售价]]*TB[[#This Row],[销量]]</f>
        <v>16269</v>
      </c>
      <c r="N4785" t="str">
        <f>IF(TB[[#This Row],[售价]]&lt;1000,"低价商品",IF(TB[[#This Row],[售价]]&lt;5000,"中价商品",IF(TB[[#This Row],[售价]]&lt;10000,"高价商品","超高价商品")))</f>
        <v>高价商品</v>
      </c>
    </row>
    <row r="4786" spans="1:14" x14ac:dyDescent="0.2">
      <c r="A4786">
        <v>674</v>
      </c>
      <c r="B4786">
        <v>74</v>
      </c>
      <c r="C4786" t="s">
        <v>36</v>
      </c>
      <c r="D4786" t="s">
        <v>162</v>
      </c>
      <c r="E4786" t="s">
        <v>25</v>
      </c>
      <c r="F4786">
        <v>7</v>
      </c>
      <c r="G4786" t="s">
        <v>42</v>
      </c>
      <c r="H4786" s="1">
        <v>46018.177777777775</v>
      </c>
      <c r="I4786" s="5">
        <f>INT(TB[[#This Row],[时间戳]])</f>
        <v>46018</v>
      </c>
      <c r="J4786" s="2">
        <f>HOUR(TB[[#This Row],[时间戳]])</f>
        <v>4</v>
      </c>
      <c r="K4786">
        <v>1765</v>
      </c>
      <c r="L4786">
        <v>0</v>
      </c>
      <c r="M4786">
        <f>TB[[#This Row],[售价]]*TB[[#This Row],[销量]]</f>
        <v>0</v>
      </c>
      <c r="N4786" t="str">
        <f>IF(TB[[#This Row],[售价]]&lt;1000,"低价商品",IF(TB[[#This Row],[售价]]&lt;5000,"中价商品",IF(TB[[#This Row],[售价]]&lt;10000,"高价商品","超高价商品")))</f>
        <v>中价商品</v>
      </c>
    </row>
    <row r="4787" spans="1:14" x14ac:dyDescent="0.2">
      <c r="A4787">
        <v>418</v>
      </c>
      <c r="B4787">
        <v>10</v>
      </c>
      <c r="C4787" t="s">
        <v>34</v>
      </c>
      <c r="D4787" t="s">
        <v>35</v>
      </c>
      <c r="E4787" t="s">
        <v>19</v>
      </c>
      <c r="F4787">
        <v>3</v>
      </c>
      <c r="G4787" t="s">
        <v>13</v>
      </c>
      <c r="H4787" s="1">
        <v>46018.186805555553</v>
      </c>
      <c r="I4787" s="5">
        <f>INT(TB[[#This Row],[时间戳]])</f>
        <v>46018</v>
      </c>
      <c r="J4787" s="2">
        <f>HOUR(TB[[#This Row],[时间戳]])</f>
        <v>4</v>
      </c>
      <c r="K4787">
        <v>3826</v>
      </c>
      <c r="L4787">
        <v>5</v>
      </c>
      <c r="M4787">
        <f>TB[[#This Row],[售价]]*TB[[#This Row],[销量]]</f>
        <v>19130</v>
      </c>
      <c r="N4787" t="str">
        <f>IF(TB[[#This Row],[售价]]&lt;1000,"低价商品",IF(TB[[#This Row],[售价]]&lt;5000,"中价商品",IF(TB[[#This Row],[售价]]&lt;10000,"高价商品","超高价商品")))</f>
        <v>中价商品</v>
      </c>
    </row>
    <row r="4788" spans="1:14" x14ac:dyDescent="0.2">
      <c r="A4788">
        <v>470</v>
      </c>
      <c r="B4788">
        <v>187</v>
      </c>
      <c r="C4788" t="s">
        <v>26</v>
      </c>
      <c r="D4788" t="s">
        <v>345</v>
      </c>
      <c r="E4788" t="s">
        <v>12</v>
      </c>
      <c r="F4788">
        <v>2</v>
      </c>
      <c r="G4788" t="s">
        <v>13</v>
      </c>
      <c r="H4788" s="1">
        <v>46018.224999999999</v>
      </c>
      <c r="I4788" s="5">
        <f>INT(TB[[#This Row],[时间戳]])</f>
        <v>46018</v>
      </c>
      <c r="J4788" s="2">
        <f>HOUR(TB[[#This Row],[时间戳]])</f>
        <v>5</v>
      </c>
      <c r="K4788">
        <v>13439</v>
      </c>
      <c r="L4788">
        <v>1</v>
      </c>
      <c r="M4788">
        <f>TB[[#This Row],[售价]]*TB[[#This Row],[销量]]</f>
        <v>13439</v>
      </c>
      <c r="N4788" t="str">
        <f>IF(TB[[#This Row],[售价]]&lt;1000,"低价商品",IF(TB[[#This Row],[售价]]&lt;5000,"中价商品",IF(TB[[#This Row],[售价]]&lt;10000,"高价商品","超高价商品")))</f>
        <v>超高价商品</v>
      </c>
    </row>
    <row r="4789" spans="1:14" x14ac:dyDescent="0.2">
      <c r="A4789">
        <v>273</v>
      </c>
      <c r="B4789">
        <v>292</v>
      </c>
      <c r="C4789" t="s">
        <v>26</v>
      </c>
      <c r="D4789" t="s">
        <v>48</v>
      </c>
      <c r="E4789" t="s">
        <v>31</v>
      </c>
      <c r="F4789">
        <v>4</v>
      </c>
      <c r="G4789" t="s">
        <v>13</v>
      </c>
      <c r="H4789" s="1">
        <v>46018.268750000003</v>
      </c>
      <c r="I4789" s="5">
        <f>INT(TB[[#This Row],[时间戳]])</f>
        <v>46018</v>
      </c>
      <c r="J4789" s="2">
        <f>HOUR(TB[[#This Row],[时间戳]])</f>
        <v>6</v>
      </c>
      <c r="K4789">
        <v>363</v>
      </c>
      <c r="L4789">
        <v>1</v>
      </c>
      <c r="M4789">
        <f>TB[[#This Row],[售价]]*TB[[#This Row],[销量]]</f>
        <v>363</v>
      </c>
      <c r="N4789" t="str">
        <f>IF(TB[[#This Row],[售价]]&lt;1000,"低价商品",IF(TB[[#This Row],[售价]]&lt;5000,"中价商品",IF(TB[[#This Row],[售价]]&lt;10000,"高价商品","超高价商品")))</f>
        <v>低价商品</v>
      </c>
    </row>
    <row r="4790" spans="1:14" x14ac:dyDescent="0.2">
      <c r="A4790">
        <v>625</v>
      </c>
      <c r="B4790">
        <v>193</v>
      </c>
      <c r="C4790" t="s">
        <v>10</v>
      </c>
      <c r="D4790" t="s">
        <v>330</v>
      </c>
      <c r="E4790" t="s">
        <v>19</v>
      </c>
      <c r="F4790">
        <v>3</v>
      </c>
      <c r="G4790" t="s">
        <v>13</v>
      </c>
      <c r="H4790" s="1">
        <v>46018.28125</v>
      </c>
      <c r="I4790" s="5">
        <f>INT(TB[[#This Row],[时间戳]])</f>
        <v>46018</v>
      </c>
      <c r="J4790" s="2">
        <f>HOUR(TB[[#This Row],[时间戳]])</f>
        <v>6</v>
      </c>
      <c r="K4790">
        <v>5204</v>
      </c>
      <c r="L4790">
        <v>4</v>
      </c>
      <c r="M4790">
        <f>TB[[#This Row],[售价]]*TB[[#This Row],[销量]]</f>
        <v>20816</v>
      </c>
      <c r="N4790" t="str">
        <f>IF(TB[[#This Row],[售价]]&lt;1000,"低价商品",IF(TB[[#This Row],[售价]]&lt;5000,"中价商品",IF(TB[[#This Row],[售价]]&lt;10000,"高价商品","超高价商品")))</f>
        <v>高价商品</v>
      </c>
    </row>
    <row r="4791" spans="1:14" x14ac:dyDescent="0.2">
      <c r="A4791">
        <v>136</v>
      </c>
      <c r="B4791">
        <v>151</v>
      </c>
      <c r="C4791" t="s">
        <v>44</v>
      </c>
      <c r="D4791" t="s">
        <v>222</v>
      </c>
      <c r="E4791" t="s">
        <v>12</v>
      </c>
      <c r="F4791">
        <v>2</v>
      </c>
      <c r="G4791" t="s">
        <v>13</v>
      </c>
      <c r="H4791" s="1">
        <v>46018.288194444445</v>
      </c>
      <c r="I4791" s="5">
        <f>INT(TB[[#This Row],[时间戳]])</f>
        <v>46018</v>
      </c>
      <c r="J4791" s="2">
        <f>HOUR(TB[[#This Row],[时间戳]])</f>
        <v>6</v>
      </c>
      <c r="K4791">
        <v>14822</v>
      </c>
      <c r="L4791">
        <v>3</v>
      </c>
      <c r="M4791">
        <f>TB[[#This Row],[售价]]*TB[[#This Row],[销量]]</f>
        <v>44466</v>
      </c>
      <c r="N4791" t="str">
        <f>IF(TB[[#This Row],[售价]]&lt;1000,"低价商品",IF(TB[[#This Row],[售价]]&lt;5000,"中价商品",IF(TB[[#This Row],[售价]]&lt;10000,"高价商品","超高价商品")))</f>
        <v>超高价商品</v>
      </c>
    </row>
    <row r="4792" spans="1:14" x14ac:dyDescent="0.2">
      <c r="A4792">
        <v>784</v>
      </c>
      <c r="B4792">
        <v>158</v>
      </c>
      <c r="C4792" t="s">
        <v>34</v>
      </c>
      <c r="D4792" t="s">
        <v>339</v>
      </c>
      <c r="E4792" t="s">
        <v>12</v>
      </c>
      <c r="F4792">
        <v>2</v>
      </c>
      <c r="G4792" t="s">
        <v>13</v>
      </c>
      <c r="H4792" s="1">
        <v>46018.290277777778</v>
      </c>
      <c r="I4792" s="5">
        <f>INT(TB[[#This Row],[时间戳]])</f>
        <v>46018</v>
      </c>
      <c r="J4792" s="2">
        <f>HOUR(TB[[#This Row],[时间戳]])</f>
        <v>6</v>
      </c>
      <c r="K4792">
        <v>7961</v>
      </c>
      <c r="L4792">
        <v>3</v>
      </c>
      <c r="M4792">
        <f>TB[[#This Row],[售价]]*TB[[#This Row],[销量]]</f>
        <v>23883</v>
      </c>
      <c r="N4792" t="str">
        <f>IF(TB[[#This Row],[售价]]&lt;1000,"低价商品",IF(TB[[#This Row],[售价]]&lt;5000,"中价商品",IF(TB[[#This Row],[售价]]&lt;10000,"高价商品","超高价商品")))</f>
        <v>高价商品</v>
      </c>
    </row>
    <row r="4793" spans="1:14" x14ac:dyDescent="0.2">
      <c r="A4793">
        <v>716</v>
      </c>
      <c r="B4793">
        <v>218</v>
      </c>
      <c r="C4793" t="s">
        <v>34</v>
      </c>
      <c r="D4793" t="s">
        <v>308</v>
      </c>
      <c r="E4793" t="s">
        <v>25</v>
      </c>
      <c r="F4793">
        <v>7</v>
      </c>
      <c r="G4793" t="s">
        <v>42</v>
      </c>
      <c r="H4793" s="1">
        <v>46018.34652777778</v>
      </c>
      <c r="I4793" s="5">
        <f>INT(TB[[#This Row],[时间戳]])</f>
        <v>46018</v>
      </c>
      <c r="J4793" s="2">
        <f>HOUR(TB[[#This Row],[时间戳]])</f>
        <v>8</v>
      </c>
      <c r="K4793">
        <v>1824</v>
      </c>
      <c r="L4793">
        <v>0</v>
      </c>
      <c r="M4793">
        <f>TB[[#This Row],[售价]]*TB[[#This Row],[销量]]</f>
        <v>0</v>
      </c>
      <c r="N4793" t="str">
        <f>IF(TB[[#This Row],[售价]]&lt;1000,"低价商品",IF(TB[[#This Row],[售价]]&lt;5000,"中价商品",IF(TB[[#This Row],[售价]]&lt;10000,"高价商品","超高价商品")))</f>
        <v>中价商品</v>
      </c>
    </row>
    <row r="4794" spans="1:14" x14ac:dyDescent="0.2">
      <c r="A4794">
        <v>546</v>
      </c>
      <c r="B4794">
        <v>226</v>
      </c>
      <c r="C4794" t="s">
        <v>14</v>
      </c>
      <c r="D4794" t="s">
        <v>385</v>
      </c>
      <c r="E4794" t="s">
        <v>12</v>
      </c>
      <c r="F4794">
        <v>2</v>
      </c>
      <c r="G4794" t="s">
        <v>13</v>
      </c>
      <c r="H4794" s="1">
        <v>46018.347916666666</v>
      </c>
      <c r="I4794" s="5">
        <f>INT(TB[[#This Row],[时间戳]])</f>
        <v>46018</v>
      </c>
      <c r="J4794" s="2">
        <f>HOUR(TB[[#This Row],[时间戳]])</f>
        <v>8</v>
      </c>
      <c r="K4794">
        <v>8247</v>
      </c>
      <c r="L4794">
        <v>3</v>
      </c>
      <c r="M4794">
        <f>TB[[#This Row],[售价]]*TB[[#This Row],[销量]]</f>
        <v>24741</v>
      </c>
      <c r="N4794" t="str">
        <f>IF(TB[[#This Row],[售价]]&lt;1000,"低价商品",IF(TB[[#This Row],[售价]]&lt;5000,"中价商品",IF(TB[[#This Row],[售价]]&lt;10000,"高价商品","超高价商品")))</f>
        <v>高价商品</v>
      </c>
    </row>
    <row r="4795" spans="1:14" x14ac:dyDescent="0.2">
      <c r="A4795">
        <v>17</v>
      </c>
      <c r="B4795">
        <v>125</v>
      </c>
      <c r="C4795" t="s">
        <v>36</v>
      </c>
      <c r="D4795" t="s">
        <v>162</v>
      </c>
      <c r="E4795" t="s">
        <v>25</v>
      </c>
      <c r="F4795">
        <v>7</v>
      </c>
      <c r="G4795" t="s">
        <v>13</v>
      </c>
      <c r="H4795" s="1">
        <v>46018.354166666664</v>
      </c>
      <c r="I4795" s="5">
        <f>INT(TB[[#This Row],[时间戳]])</f>
        <v>46018</v>
      </c>
      <c r="J4795" s="2">
        <f>HOUR(TB[[#This Row],[时间戳]])</f>
        <v>8</v>
      </c>
      <c r="K4795">
        <v>7957</v>
      </c>
      <c r="L4795">
        <v>2</v>
      </c>
      <c r="M4795">
        <f>TB[[#This Row],[售价]]*TB[[#This Row],[销量]]</f>
        <v>15914</v>
      </c>
      <c r="N4795" t="str">
        <f>IF(TB[[#This Row],[售价]]&lt;1000,"低价商品",IF(TB[[#This Row],[售价]]&lt;5000,"中价商品",IF(TB[[#This Row],[售价]]&lt;10000,"高价商品","超高价商品")))</f>
        <v>高价商品</v>
      </c>
    </row>
    <row r="4796" spans="1:14" x14ac:dyDescent="0.2">
      <c r="A4796">
        <v>560</v>
      </c>
      <c r="B4796">
        <v>76</v>
      </c>
      <c r="C4796" t="s">
        <v>36</v>
      </c>
      <c r="D4796" t="s">
        <v>192</v>
      </c>
      <c r="E4796" t="s">
        <v>22</v>
      </c>
      <c r="F4796">
        <v>1</v>
      </c>
      <c r="G4796" t="s">
        <v>13</v>
      </c>
      <c r="H4796" s="1">
        <v>46018.361111111109</v>
      </c>
      <c r="I4796" s="5">
        <f>INT(TB[[#This Row],[时间戳]])</f>
        <v>46018</v>
      </c>
      <c r="J4796" s="2">
        <f>HOUR(TB[[#This Row],[时间戳]])</f>
        <v>8</v>
      </c>
      <c r="K4796">
        <v>4436</v>
      </c>
      <c r="L4796">
        <v>3</v>
      </c>
      <c r="M4796">
        <f>TB[[#This Row],[售价]]*TB[[#This Row],[销量]]</f>
        <v>13308</v>
      </c>
      <c r="N4796" t="str">
        <f>IF(TB[[#This Row],[售价]]&lt;1000,"低价商品",IF(TB[[#This Row],[售价]]&lt;5000,"中价商品",IF(TB[[#This Row],[售价]]&lt;10000,"高价商品","超高价商品")))</f>
        <v>中价商品</v>
      </c>
    </row>
    <row r="4797" spans="1:14" x14ac:dyDescent="0.2">
      <c r="A4797">
        <v>511</v>
      </c>
      <c r="B4797">
        <v>128</v>
      </c>
      <c r="C4797" t="s">
        <v>46</v>
      </c>
      <c r="D4797" t="s">
        <v>211</v>
      </c>
      <c r="E4797" t="s">
        <v>31</v>
      </c>
      <c r="F4797">
        <v>4</v>
      </c>
      <c r="G4797" t="s">
        <v>13</v>
      </c>
      <c r="H4797" s="1">
        <v>46018.368055555555</v>
      </c>
      <c r="I4797" s="5">
        <f>INT(TB[[#This Row],[时间戳]])</f>
        <v>46018</v>
      </c>
      <c r="J4797" s="2">
        <f>HOUR(TB[[#This Row],[时间戳]])</f>
        <v>8</v>
      </c>
      <c r="K4797">
        <v>273</v>
      </c>
      <c r="L4797">
        <v>2</v>
      </c>
      <c r="M4797">
        <f>TB[[#This Row],[售价]]*TB[[#This Row],[销量]]</f>
        <v>546</v>
      </c>
      <c r="N4797" t="str">
        <f>IF(TB[[#This Row],[售价]]&lt;1000,"低价商品",IF(TB[[#This Row],[售价]]&lt;5000,"中价商品",IF(TB[[#This Row],[售价]]&lt;10000,"高价商品","超高价商品")))</f>
        <v>低价商品</v>
      </c>
    </row>
    <row r="4798" spans="1:14" x14ac:dyDescent="0.2">
      <c r="A4798">
        <v>421</v>
      </c>
      <c r="B4798">
        <v>78</v>
      </c>
      <c r="C4798" t="s">
        <v>36</v>
      </c>
      <c r="D4798" t="s">
        <v>265</v>
      </c>
      <c r="E4798" t="s">
        <v>31</v>
      </c>
      <c r="F4798">
        <v>4</v>
      </c>
      <c r="G4798" t="s">
        <v>13</v>
      </c>
      <c r="H4798" s="1">
        <v>46018.371527777781</v>
      </c>
      <c r="I4798" s="5">
        <f>INT(TB[[#This Row],[时间戳]])</f>
        <v>46018</v>
      </c>
      <c r="J4798" s="2">
        <f>HOUR(TB[[#This Row],[时间戳]])</f>
        <v>8</v>
      </c>
      <c r="K4798">
        <v>1099</v>
      </c>
      <c r="L4798">
        <v>1</v>
      </c>
      <c r="M4798">
        <f>TB[[#This Row],[售价]]*TB[[#This Row],[销量]]</f>
        <v>1099</v>
      </c>
      <c r="N4798" t="str">
        <f>IF(TB[[#This Row],[售价]]&lt;1000,"低价商品",IF(TB[[#This Row],[售价]]&lt;5000,"中价商品",IF(TB[[#This Row],[售价]]&lt;10000,"高价商品","超高价商品")))</f>
        <v>中价商品</v>
      </c>
    </row>
    <row r="4799" spans="1:14" x14ac:dyDescent="0.2">
      <c r="A4799">
        <v>40</v>
      </c>
      <c r="B4799">
        <v>196</v>
      </c>
      <c r="C4799" t="s">
        <v>32</v>
      </c>
      <c r="D4799" t="s">
        <v>176</v>
      </c>
      <c r="E4799" t="s">
        <v>22</v>
      </c>
      <c r="F4799">
        <v>1</v>
      </c>
      <c r="G4799" t="s">
        <v>13</v>
      </c>
      <c r="H4799" s="1">
        <v>46018.399305555555</v>
      </c>
      <c r="I4799" s="5">
        <f>INT(TB[[#This Row],[时间戳]])</f>
        <v>46018</v>
      </c>
      <c r="J4799" s="2">
        <f>HOUR(TB[[#This Row],[时间戳]])</f>
        <v>9</v>
      </c>
      <c r="K4799">
        <v>2483</v>
      </c>
      <c r="L4799">
        <v>2</v>
      </c>
      <c r="M4799">
        <f>TB[[#This Row],[售价]]*TB[[#This Row],[销量]]</f>
        <v>4966</v>
      </c>
      <c r="N4799" t="str">
        <f>IF(TB[[#This Row],[售价]]&lt;1000,"低价商品",IF(TB[[#This Row],[售价]]&lt;5000,"中价商品",IF(TB[[#This Row],[售价]]&lt;10000,"高价商品","超高价商品")))</f>
        <v>中价商品</v>
      </c>
    </row>
    <row r="4800" spans="1:14" x14ac:dyDescent="0.2">
      <c r="A4800">
        <v>542</v>
      </c>
      <c r="B4800">
        <v>209</v>
      </c>
      <c r="C4800" t="s">
        <v>46</v>
      </c>
      <c r="D4800" t="s">
        <v>81</v>
      </c>
      <c r="E4800" t="s">
        <v>12</v>
      </c>
      <c r="F4800">
        <v>2</v>
      </c>
      <c r="G4800" t="s">
        <v>13</v>
      </c>
      <c r="H4800" s="1">
        <v>46018.402083333334</v>
      </c>
      <c r="I4800" s="5">
        <f>INT(TB[[#This Row],[时间戳]])</f>
        <v>46018</v>
      </c>
      <c r="J4800" s="2">
        <f>HOUR(TB[[#This Row],[时间戳]])</f>
        <v>9</v>
      </c>
      <c r="K4800">
        <v>10643</v>
      </c>
      <c r="L4800">
        <v>2</v>
      </c>
      <c r="M4800">
        <f>TB[[#This Row],[售价]]*TB[[#This Row],[销量]]</f>
        <v>21286</v>
      </c>
      <c r="N4800" t="str">
        <f>IF(TB[[#This Row],[售价]]&lt;1000,"低价商品",IF(TB[[#This Row],[售价]]&lt;5000,"中价商品",IF(TB[[#This Row],[售价]]&lt;10000,"高价商品","超高价商品")))</f>
        <v>超高价商品</v>
      </c>
    </row>
    <row r="4801" spans="1:14" x14ac:dyDescent="0.2">
      <c r="A4801">
        <v>382</v>
      </c>
      <c r="B4801">
        <v>298</v>
      </c>
      <c r="C4801" t="s">
        <v>14</v>
      </c>
      <c r="D4801" t="s">
        <v>144</v>
      </c>
      <c r="E4801" t="s">
        <v>19</v>
      </c>
      <c r="F4801">
        <v>3</v>
      </c>
      <c r="G4801" t="s">
        <v>42</v>
      </c>
      <c r="H4801" s="1">
        <v>46018.420138888891</v>
      </c>
      <c r="I4801" s="5">
        <f>INT(TB[[#This Row],[时间戳]])</f>
        <v>46018</v>
      </c>
      <c r="J4801" s="2">
        <f>HOUR(TB[[#This Row],[时间戳]])</f>
        <v>10</v>
      </c>
      <c r="K4801">
        <v>3923</v>
      </c>
      <c r="L4801">
        <v>0</v>
      </c>
      <c r="M4801">
        <f>TB[[#This Row],[售价]]*TB[[#This Row],[销量]]</f>
        <v>0</v>
      </c>
      <c r="N4801" t="str">
        <f>IF(TB[[#This Row],[售价]]&lt;1000,"低价商品",IF(TB[[#This Row],[售价]]&lt;5000,"中价商品",IF(TB[[#This Row],[售价]]&lt;10000,"高价商品","超高价商品")))</f>
        <v>中价商品</v>
      </c>
    </row>
    <row r="4802" spans="1:14" x14ac:dyDescent="0.2">
      <c r="A4802">
        <v>139</v>
      </c>
      <c r="B4802">
        <v>26</v>
      </c>
      <c r="C4802" t="s">
        <v>44</v>
      </c>
      <c r="D4802" t="s">
        <v>76</v>
      </c>
      <c r="E4802" t="s">
        <v>31</v>
      </c>
      <c r="F4802">
        <v>4</v>
      </c>
      <c r="G4802" t="s">
        <v>13</v>
      </c>
      <c r="H4802" s="1">
        <v>46018.42291666667</v>
      </c>
      <c r="I4802" s="5">
        <f>INT(TB[[#This Row],[时间戳]])</f>
        <v>46018</v>
      </c>
      <c r="J4802" s="2">
        <f>HOUR(TB[[#This Row],[时间戳]])</f>
        <v>10</v>
      </c>
      <c r="K4802">
        <v>775</v>
      </c>
      <c r="L4802">
        <v>2</v>
      </c>
      <c r="M4802">
        <f>TB[[#This Row],[售价]]*TB[[#This Row],[销量]]</f>
        <v>1550</v>
      </c>
      <c r="N4802" t="str">
        <f>IF(TB[[#This Row],[售价]]&lt;1000,"低价商品",IF(TB[[#This Row],[售价]]&lt;5000,"中价商品",IF(TB[[#This Row],[售价]]&lt;10000,"高价商品","超高价商品")))</f>
        <v>低价商品</v>
      </c>
    </row>
    <row r="4803" spans="1:14" x14ac:dyDescent="0.2">
      <c r="A4803">
        <v>397</v>
      </c>
      <c r="B4803">
        <v>95</v>
      </c>
      <c r="C4803" t="s">
        <v>46</v>
      </c>
      <c r="D4803" t="s">
        <v>129</v>
      </c>
      <c r="E4803" t="s">
        <v>31</v>
      </c>
      <c r="F4803">
        <v>4</v>
      </c>
      <c r="G4803" t="s">
        <v>13</v>
      </c>
      <c r="H4803" s="1">
        <v>46018.424305555556</v>
      </c>
      <c r="I4803" s="5">
        <f>INT(TB[[#This Row],[时间戳]])</f>
        <v>46018</v>
      </c>
      <c r="J4803" s="2">
        <f>HOUR(TB[[#This Row],[时间戳]])</f>
        <v>10</v>
      </c>
      <c r="K4803">
        <v>470</v>
      </c>
      <c r="L4803">
        <v>1</v>
      </c>
      <c r="M4803">
        <f>TB[[#This Row],[售价]]*TB[[#This Row],[销量]]</f>
        <v>470</v>
      </c>
      <c r="N4803" t="str">
        <f>IF(TB[[#This Row],[售价]]&lt;1000,"低价商品",IF(TB[[#This Row],[售价]]&lt;5000,"中价商品",IF(TB[[#This Row],[售价]]&lt;10000,"高价商品","超高价商品")))</f>
        <v>低价商品</v>
      </c>
    </row>
    <row r="4804" spans="1:14" x14ac:dyDescent="0.2">
      <c r="A4804">
        <v>132</v>
      </c>
      <c r="B4804">
        <v>6</v>
      </c>
      <c r="C4804" t="s">
        <v>46</v>
      </c>
      <c r="D4804" t="s">
        <v>77</v>
      </c>
      <c r="E4804" t="s">
        <v>19</v>
      </c>
      <c r="F4804">
        <v>3</v>
      </c>
      <c r="G4804" t="s">
        <v>42</v>
      </c>
      <c r="H4804" s="1">
        <v>46018.468055555553</v>
      </c>
      <c r="I4804" s="5">
        <f>INT(TB[[#This Row],[时间戳]])</f>
        <v>46018</v>
      </c>
      <c r="J4804" s="2">
        <f>HOUR(TB[[#This Row],[时间戳]])</f>
        <v>11</v>
      </c>
      <c r="K4804">
        <v>2868</v>
      </c>
      <c r="L4804">
        <v>0</v>
      </c>
      <c r="M4804">
        <f>TB[[#This Row],[售价]]*TB[[#This Row],[销量]]</f>
        <v>0</v>
      </c>
      <c r="N4804" t="str">
        <f>IF(TB[[#This Row],[售价]]&lt;1000,"低价商品",IF(TB[[#This Row],[售价]]&lt;5000,"中价商品",IF(TB[[#This Row],[售价]]&lt;10000,"高价商品","超高价商品")))</f>
        <v>中价商品</v>
      </c>
    </row>
    <row r="4805" spans="1:14" x14ac:dyDescent="0.2">
      <c r="A4805">
        <v>465</v>
      </c>
      <c r="B4805">
        <v>292</v>
      </c>
      <c r="C4805" t="s">
        <v>17</v>
      </c>
      <c r="D4805" t="s">
        <v>74</v>
      </c>
      <c r="E4805" t="s">
        <v>22</v>
      </c>
      <c r="F4805">
        <v>1</v>
      </c>
      <c r="G4805" t="s">
        <v>13</v>
      </c>
      <c r="H4805" s="1">
        <v>46018.472222222219</v>
      </c>
      <c r="I4805" s="5">
        <f>INT(TB[[#This Row],[时间戳]])</f>
        <v>46018</v>
      </c>
      <c r="J4805" s="2">
        <f>HOUR(TB[[#This Row],[时间戳]])</f>
        <v>11</v>
      </c>
      <c r="K4805">
        <v>4157</v>
      </c>
      <c r="L4805">
        <v>4</v>
      </c>
      <c r="M4805">
        <f>TB[[#This Row],[售价]]*TB[[#This Row],[销量]]</f>
        <v>16628</v>
      </c>
      <c r="N4805" t="str">
        <f>IF(TB[[#This Row],[售价]]&lt;1000,"低价商品",IF(TB[[#This Row],[售价]]&lt;5000,"中价商品",IF(TB[[#This Row],[售价]]&lt;10000,"高价商品","超高价商品")))</f>
        <v>中价商品</v>
      </c>
    </row>
    <row r="4806" spans="1:14" x14ac:dyDescent="0.2">
      <c r="A4806">
        <v>354</v>
      </c>
      <c r="B4806">
        <v>194</v>
      </c>
      <c r="C4806" t="s">
        <v>26</v>
      </c>
      <c r="D4806" t="s">
        <v>345</v>
      </c>
      <c r="E4806" t="s">
        <v>12</v>
      </c>
      <c r="F4806">
        <v>2</v>
      </c>
      <c r="G4806" t="s">
        <v>13</v>
      </c>
      <c r="H4806" s="1">
        <v>46018.504166666666</v>
      </c>
      <c r="I4806" s="5">
        <f>INT(TB[[#This Row],[时间戳]])</f>
        <v>46018</v>
      </c>
      <c r="J4806" s="2">
        <f>HOUR(TB[[#This Row],[时间戳]])</f>
        <v>12</v>
      </c>
      <c r="K4806">
        <v>13566</v>
      </c>
      <c r="L4806">
        <v>2</v>
      </c>
      <c r="M4806">
        <f>TB[[#This Row],[售价]]*TB[[#This Row],[销量]]</f>
        <v>27132</v>
      </c>
      <c r="N4806" t="str">
        <f>IF(TB[[#This Row],[售价]]&lt;1000,"低价商品",IF(TB[[#This Row],[售价]]&lt;5000,"中价商品",IF(TB[[#This Row],[售价]]&lt;10000,"高价商品","超高价商品")))</f>
        <v>超高价商品</v>
      </c>
    </row>
    <row r="4807" spans="1:14" x14ac:dyDescent="0.2">
      <c r="A4807">
        <v>603</v>
      </c>
      <c r="B4807">
        <v>281</v>
      </c>
      <c r="C4807" t="s">
        <v>46</v>
      </c>
      <c r="D4807" t="s">
        <v>117</v>
      </c>
      <c r="E4807" t="s">
        <v>39</v>
      </c>
      <c r="F4807">
        <v>5</v>
      </c>
      <c r="G4807" t="s">
        <v>42</v>
      </c>
      <c r="H4807" s="1">
        <v>46018.518750000003</v>
      </c>
      <c r="I4807" s="5">
        <f>INT(TB[[#This Row],[时间戳]])</f>
        <v>46018</v>
      </c>
      <c r="J4807" s="2">
        <f>HOUR(TB[[#This Row],[时间戳]])</f>
        <v>12</v>
      </c>
      <c r="K4807">
        <v>3401</v>
      </c>
      <c r="L4807">
        <v>0</v>
      </c>
      <c r="M4807">
        <f>TB[[#This Row],[售价]]*TB[[#This Row],[销量]]</f>
        <v>0</v>
      </c>
      <c r="N4807" t="str">
        <f>IF(TB[[#This Row],[售价]]&lt;1000,"低价商品",IF(TB[[#This Row],[售价]]&lt;5000,"中价商品",IF(TB[[#This Row],[售价]]&lt;10000,"高价商品","超高价商品")))</f>
        <v>中价商品</v>
      </c>
    </row>
    <row r="4808" spans="1:14" x14ac:dyDescent="0.2">
      <c r="A4808">
        <v>753</v>
      </c>
      <c r="B4808">
        <v>245</v>
      </c>
      <c r="C4808" t="s">
        <v>34</v>
      </c>
      <c r="D4808" t="s">
        <v>168</v>
      </c>
      <c r="E4808" t="s">
        <v>19</v>
      </c>
      <c r="F4808">
        <v>3</v>
      </c>
      <c r="G4808" t="s">
        <v>13</v>
      </c>
      <c r="H4808" s="1">
        <v>46018.520138888889</v>
      </c>
      <c r="I4808" s="5">
        <f>INT(TB[[#This Row],[时间戳]])</f>
        <v>46018</v>
      </c>
      <c r="J4808" s="2">
        <f>HOUR(TB[[#This Row],[时间戳]])</f>
        <v>12</v>
      </c>
      <c r="K4808">
        <v>3441</v>
      </c>
      <c r="L4808">
        <v>2</v>
      </c>
      <c r="M4808">
        <f>TB[[#This Row],[售价]]*TB[[#This Row],[销量]]</f>
        <v>6882</v>
      </c>
      <c r="N4808" t="str">
        <f>IF(TB[[#This Row],[售价]]&lt;1000,"低价商品",IF(TB[[#This Row],[售价]]&lt;5000,"中价商品",IF(TB[[#This Row],[售价]]&lt;10000,"高价商品","超高价商品")))</f>
        <v>中价商品</v>
      </c>
    </row>
    <row r="4809" spans="1:14" x14ac:dyDescent="0.2">
      <c r="A4809">
        <v>728</v>
      </c>
      <c r="B4809">
        <v>254</v>
      </c>
      <c r="C4809" t="s">
        <v>20</v>
      </c>
      <c r="D4809" t="s">
        <v>97</v>
      </c>
      <c r="E4809" t="s">
        <v>19</v>
      </c>
      <c r="F4809">
        <v>3</v>
      </c>
      <c r="G4809" t="s">
        <v>13</v>
      </c>
      <c r="H4809" s="1">
        <v>46018.57708333333</v>
      </c>
      <c r="I4809" s="5">
        <f>INT(TB[[#This Row],[时间戳]])</f>
        <v>46018</v>
      </c>
      <c r="J4809" s="2">
        <f>HOUR(TB[[#This Row],[时间戳]])</f>
        <v>13</v>
      </c>
      <c r="K4809">
        <v>4859</v>
      </c>
      <c r="L4809">
        <v>4</v>
      </c>
      <c r="M4809">
        <f>TB[[#This Row],[售价]]*TB[[#This Row],[销量]]</f>
        <v>19436</v>
      </c>
      <c r="N4809" t="str">
        <f>IF(TB[[#This Row],[售价]]&lt;1000,"低价商品",IF(TB[[#This Row],[售价]]&lt;5000,"中价商品",IF(TB[[#This Row],[售价]]&lt;10000,"高价商品","超高价商品")))</f>
        <v>中价商品</v>
      </c>
    </row>
    <row r="4810" spans="1:14" x14ac:dyDescent="0.2">
      <c r="A4810">
        <v>800</v>
      </c>
      <c r="B4810">
        <v>223</v>
      </c>
      <c r="C4810" t="s">
        <v>26</v>
      </c>
      <c r="D4810" t="s">
        <v>219</v>
      </c>
      <c r="E4810" t="s">
        <v>22</v>
      </c>
      <c r="F4810">
        <v>1</v>
      </c>
      <c r="G4810" t="s">
        <v>13</v>
      </c>
      <c r="H4810" s="1">
        <v>46018.582638888889</v>
      </c>
      <c r="I4810" s="5">
        <f>INT(TB[[#This Row],[时间戳]])</f>
        <v>46018</v>
      </c>
      <c r="J4810" s="2">
        <f>HOUR(TB[[#This Row],[时间戳]])</f>
        <v>13</v>
      </c>
      <c r="K4810">
        <v>4806</v>
      </c>
      <c r="L4810">
        <v>1</v>
      </c>
      <c r="M4810">
        <f>TB[[#This Row],[售价]]*TB[[#This Row],[销量]]</f>
        <v>4806</v>
      </c>
      <c r="N4810" t="str">
        <f>IF(TB[[#This Row],[售价]]&lt;1000,"低价商品",IF(TB[[#This Row],[售价]]&lt;5000,"中价商品",IF(TB[[#This Row],[售价]]&lt;10000,"高价商品","超高价商品")))</f>
        <v>中价商品</v>
      </c>
    </row>
    <row r="4811" spans="1:14" x14ac:dyDescent="0.2">
      <c r="A4811">
        <v>261</v>
      </c>
      <c r="B4811">
        <v>269</v>
      </c>
      <c r="C4811" t="s">
        <v>14</v>
      </c>
      <c r="D4811" t="s">
        <v>144</v>
      </c>
      <c r="E4811" t="s">
        <v>19</v>
      </c>
      <c r="F4811">
        <v>3</v>
      </c>
      <c r="G4811" t="s">
        <v>13</v>
      </c>
      <c r="H4811" s="1">
        <v>46018.618750000001</v>
      </c>
      <c r="I4811" s="5">
        <f>INT(TB[[#This Row],[时间戳]])</f>
        <v>46018</v>
      </c>
      <c r="J4811" s="2">
        <f>HOUR(TB[[#This Row],[时间戳]])</f>
        <v>14</v>
      </c>
      <c r="K4811">
        <v>1555</v>
      </c>
      <c r="L4811">
        <v>3</v>
      </c>
      <c r="M4811">
        <f>TB[[#This Row],[售价]]*TB[[#This Row],[销量]]</f>
        <v>4665</v>
      </c>
      <c r="N4811" t="str">
        <f>IF(TB[[#This Row],[售价]]&lt;1000,"低价商品",IF(TB[[#This Row],[售价]]&lt;5000,"中价商品",IF(TB[[#This Row],[售价]]&lt;10000,"高价商品","超高价商品")))</f>
        <v>中价商品</v>
      </c>
    </row>
    <row r="4812" spans="1:14" x14ac:dyDescent="0.2">
      <c r="A4812">
        <v>623</v>
      </c>
      <c r="B4812">
        <v>127</v>
      </c>
      <c r="C4812" t="s">
        <v>20</v>
      </c>
      <c r="D4812" t="s">
        <v>263</v>
      </c>
      <c r="E4812" t="s">
        <v>39</v>
      </c>
      <c r="F4812">
        <v>5</v>
      </c>
      <c r="G4812" t="s">
        <v>13</v>
      </c>
      <c r="H4812" s="1">
        <v>46018.62222222222</v>
      </c>
      <c r="I4812" s="5">
        <f>INT(TB[[#This Row],[时间戳]])</f>
        <v>46018</v>
      </c>
      <c r="J4812" s="2">
        <f>HOUR(TB[[#This Row],[时间戳]])</f>
        <v>14</v>
      </c>
      <c r="K4812">
        <v>1332</v>
      </c>
      <c r="L4812">
        <v>2</v>
      </c>
      <c r="M4812">
        <f>TB[[#This Row],[售价]]*TB[[#This Row],[销量]]</f>
        <v>2664</v>
      </c>
      <c r="N4812" t="str">
        <f>IF(TB[[#This Row],[售价]]&lt;1000,"低价商品",IF(TB[[#This Row],[售价]]&lt;5000,"中价商品",IF(TB[[#This Row],[售价]]&lt;10000,"高价商品","超高价商品")))</f>
        <v>中价商品</v>
      </c>
    </row>
    <row r="4813" spans="1:14" x14ac:dyDescent="0.2">
      <c r="A4813">
        <v>541</v>
      </c>
      <c r="B4813">
        <v>98</v>
      </c>
      <c r="C4813" t="s">
        <v>32</v>
      </c>
      <c r="D4813" t="s">
        <v>336</v>
      </c>
      <c r="E4813" t="s">
        <v>16</v>
      </c>
      <c r="F4813">
        <v>6</v>
      </c>
      <c r="G4813" t="s">
        <v>13</v>
      </c>
      <c r="H4813" s="1">
        <v>46018.657638888886</v>
      </c>
      <c r="I4813" s="5">
        <f>INT(TB[[#This Row],[时间戳]])</f>
        <v>46018</v>
      </c>
      <c r="J4813" s="2">
        <f>HOUR(TB[[#This Row],[时间戳]])</f>
        <v>15</v>
      </c>
      <c r="K4813">
        <v>3534</v>
      </c>
      <c r="L4813">
        <v>2</v>
      </c>
      <c r="M4813">
        <f>TB[[#This Row],[售价]]*TB[[#This Row],[销量]]</f>
        <v>7068</v>
      </c>
      <c r="N4813" t="str">
        <f>IF(TB[[#This Row],[售价]]&lt;1000,"低价商品",IF(TB[[#This Row],[售价]]&lt;5000,"中价商品",IF(TB[[#This Row],[售价]]&lt;10000,"高价商品","超高价商品")))</f>
        <v>中价商品</v>
      </c>
    </row>
    <row r="4814" spans="1:14" x14ac:dyDescent="0.2">
      <c r="A4814">
        <v>413</v>
      </c>
      <c r="B4814">
        <v>6</v>
      </c>
      <c r="C4814" t="s">
        <v>26</v>
      </c>
      <c r="D4814" t="s">
        <v>182</v>
      </c>
      <c r="E4814" t="s">
        <v>31</v>
      </c>
      <c r="F4814">
        <v>4</v>
      </c>
      <c r="G4814" t="s">
        <v>13</v>
      </c>
      <c r="H4814" s="1">
        <v>46018.657638888886</v>
      </c>
      <c r="I4814" s="5">
        <f>INT(TB[[#This Row],[时间戳]])</f>
        <v>46018</v>
      </c>
      <c r="J4814" s="2">
        <f>HOUR(TB[[#This Row],[时间戳]])</f>
        <v>15</v>
      </c>
      <c r="K4814">
        <v>1120</v>
      </c>
      <c r="L4814">
        <v>1</v>
      </c>
      <c r="M4814">
        <f>TB[[#This Row],[售价]]*TB[[#This Row],[销量]]</f>
        <v>1120</v>
      </c>
      <c r="N4814" t="str">
        <f>IF(TB[[#This Row],[售价]]&lt;1000,"低价商品",IF(TB[[#This Row],[售价]]&lt;5000,"中价商品",IF(TB[[#This Row],[售价]]&lt;10000,"高价商品","超高价商品")))</f>
        <v>中价商品</v>
      </c>
    </row>
    <row r="4815" spans="1:14" x14ac:dyDescent="0.2">
      <c r="A4815">
        <v>305</v>
      </c>
      <c r="B4815">
        <v>26</v>
      </c>
      <c r="C4815" t="s">
        <v>14</v>
      </c>
      <c r="D4815" t="s">
        <v>53</v>
      </c>
      <c r="E4815" t="s">
        <v>12</v>
      </c>
      <c r="F4815">
        <v>2</v>
      </c>
      <c r="G4815" t="s">
        <v>13</v>
      </c>
      <c r="H4815" s="1">
        <v>46018.67083333333</v>
      </c>
      <c r="I4815" s="5">
        <f>INT(TB[[#This Row],[时间戳]])</f>
        <v>46018</v>
      </c>
      <c r="J4815" s="2">
        <f>HOUR(TB[[#This Row],[时间戳]])</f>
        <v>16</v>
      </c>
      <c r="K4815">
        <v>4282</v>
      </c>
      <c r="L4815">
        <v>2</v>
      </c>
      <c r="M4815">
        <f>TB[[#This Row],[售价]]*TB[[#This Row],[销量]]</f>
        <v>8564</v>
      </c>
      <c r="N4815" t="str">
        <f>IF(TB[[#This Row],[售价]]&lt;1000,"低价商品",IF(TB[[#This Row],[售价]]&lt;5000,"中价商品",IF(TB[[#This Row],[售价]]&lt;10000,"高价商品","超高价商品")))</f>
        <v>中价商品</v>
      </c>
    </row>
    <row r="4816" spans="1:14" x14ac:dyDescent="0.2">
      <c r="A4816">
        <v>151</v>
      </c>
      <c r="B4816">
        <v>35</v>
      </c>
      <c r="C4816" t="s">
        <v>44</v>
      </c>
      <c r="D4816" t="s">
        <v>66</v>
      </c>
      <c r="E4816" t="s">
        <v>22</v>
      </c>
      <c r="F4816">
        <v>1</v>
      </c>
      <c r="G4816" t="s">
        <v>13</v>
      </c>
      <c r="H4816" s="1">
        <v>46018.697916666664</v>
      </c>
      <c r="I4816" s="5">
        <f>INT(TB[[#This Row],[时间戳]])</f>
        <v>46018</v>
      </c>
      <c r="J4816" s="2">
        <f>HOUR(TB[[#This Row],[时间戳]])</f>
        <v>16</v>
      </c>
      <c r="K4816">
        <v>6481</v>
      </c>
      <c r="L4816">
        <v>4</v>
      </c>
      <c r="M4816">
        <f>TB[[#This Row],[售价]]*TB[[#This Row],[销量]]</f>
        <v>25924</v>
      </c>
      <c r="N4816" t="str">
        <f>IF(TB[[#This Row],[售价]]&lt;1000,"低价商品",IF(TB[[#This Row],[售价]]&lt;5000,"中价商品",IF(TB[[#This Row],[售价]]&lt;10000,"高价商品","超高价商品")))</f>
        <v>高价商品</v>
      </c>
    </row>
    <row r="4817" spans="1:14" x14ac:dyDescent="0.2">
      <c r="A4817">
        <v>292</v>
      </c>
      <c r="B4817">
        <v>289</v>
      </c>
      <c r="C4817" t="s">
        <v>32</v>
      </c>
      <c r="D4817" t="s">
        <v>286</v>
      </c>
      <c r="E4817" t="s">
        <v>22</v>
      </c>
      <c r="F4817">
        <v>1</v>
      </c>
      <c r="G4817" t="s">
        <v>13</v>
      </c>
      <c r="H4817" s="1">
        <v>46018.747916666667</v>
      </c>
      <c r="I4817" s="5">
        <f>INT(TB[[#This Row],[时间戳]])</f>
        <v>46018</v>
      </c>
      <c r="J4817" s="2">
        <f>HOUR(TB[[#This Row],[时间戳]])</f>
        <v>17</v>
      </c>
      <c r="K4817">
        <v>7447</v>
      </c>
      <c r="L4817">
        <v>3</v>
      </c>
      <c r="M4817">
        <f>TB[[#This Row],[售价]]*TB[[#This Row],[销量]]</f>
        <v>22341</v>
      </c>
      <c r="N4817" t="str">
        <f>IF(TB[[#This Row],[售价]]&lt;1000,"低价商品",IF(TB[[#This Row],[售价]]&lt;5000,"中价商品",IF(TB[[#This Row],[售价]]&lt;10000,"高价商品","超高价商品")))</f>
        <v>高价商品</v>
      </c>
    </row>
    <row r="4818" spans="1:14" x14ac:dyDescent="0.2">
      <c r="A4818">
        <v>18</v>
      </c>
      <c r="B4818">
        <v>105</v>
      </c>
      <c r="C4818" t="s">
        <v>36</v>
      </c>
      <c r="D4818" t="s">
        <v>37</v>
      </c>
      <c r="E4818" t="s">
        <v>31</v>
      </c>
      <c r="F4818">
        <v>4</v>
      </c>
      <c r="G4818" t="s">
        <v>42</v>
      </c>
      <c r="H4818" s="1">
        <v>46018.792361111111</v>
      </c>
      <c r="I4818" s="5">
        <f>INT(TB[[#This Row],[时间戳]])</f>
        <v>46018</v>
      </c>
      <c r="J4818" s="2">
        <f>HOUR(TB[[#This Row],[时间戳]])</f>
        <v>19</v>
      </c>
      <c r="K4818">
        <v>105</v>
      </c>
      <c r="L4818">
        <v>0</v>
      </c>
      <c r="M4818">
        <f>TB[[#This Row],[售价]]*TB[[#This Row],[销量]]</f>
        <v>0</v>
      </c>
      <c r="N4818" t="str">
        <f>IF(TB[[#This Row],[售价]]&lt;1000,"低价商品",IF(TB[[#This Row],[售价]]&lt;5000,"中价商品",IF(TB[[#This Row],[售价]]&lt;10000,"高价商品","超高价商品")))</f>
        <v>低价商品</v>
      </c>
    </row>
    <row r="4819" spans="1:14" x14ac:dyDescent="0.2">
      <c r="A4819">
        <v>156</v>
      </c>
      <c r="B4819">
        <v>279</v>
      </c>
      <c r="C4819" t="s">
        <v>44</v>
      </c>
      <c r="D4819" t="s">
        <v>158</v>
      </c>
      <c r="E4819" t="s">
        <v>31</v>
      </c>
      <c r="F4819">
        <v>4</v>
      </c>
      <c r="G4819" t="s">
        <v>13</v>
      </c>
      <c r="H4819" s="1">
        <v>46018.823611111111</v>
      </c>
      <c r="I4819" s="5">
        <f>INT(TB[[#This Row],[时间戳]])</f>
        <v>46018</v>
      </c>
      <c r="J4819" s="2">
        <f>HOUR(TB[[#This Row],[时间戳]])</f>
        <v>19</v>
      </c>
      <c r="K4819">
        <v>1201</v>
      </c>
      <c r="L4819">
        <v>1</v>
      </c>
      <c r="M4819">
        <f>TB[[#This Row],[售价]]*TB[[#This Row],[销量]]</f>
        <v>1201</v>
      </c>
      <c r="N4819" t="str">
        <f>IF(TB[[#This Row],[售价]]&lt;1000,"低价商品",IF(TB[[#This Row],[售价]]&lt;5000,"中价商品",IF(TB[[#This Row],[售价]]&lt;10000,"高价商品","超高价商品")))</f>
        <v>中价商品</v>
      </c>
    </row>
    <row r="4820" spans="1:14" x14ac:dyDescent="0.2">
      <c r="A4820">
        <v>628</v>
      </c>
      <c r="B4820">
        <v>277</v>
      </c>
      <c r="C4820" t="s">
        <v>10</v>
      </c>
      <c r="D4820" t="s">
        <v>278</v>
      </c>
      <c r="E4820" t="s">
        <v>19</v>
      </c>
      <c r="F4820">
        <v>3</v>
      </c>
      <c r="G4820" t="s">
        <v>42</v>
      </c>
      <c r="H4820" s="1">
        <v>46018.863888888889</v>
      </c>
      <c r="I4820" s="5">
        <f>INT(TB[[#This Row],[时间戳]])</f>
        <v>46018</v>
      </c>
      <c r="J4820" s="2">
        <f>HOUR(TB[[#This Row],[时间戳]])</f>
        <v>20</v>
      </c>
      <c r="K4820">
        <v>5217</v>
      </c>
      <c r="L4820">
        <v>0</v>
      </c>
      <c r="M4820">
        <f>TB[[#This Row],[售价]]*TB[[#This Row],[销量]]</f>
        <v>0</v>
      </c>
      <c r="N4820" t="str">
        <f>IF(TB[[#This Row],[售价]]&lt;1000,"低价商品",IF(TB[[#This Row],[售价]]&lt;5000,"中价商品",IF(TB[[#This Row],[售价]]&lt;10000,"高价商品","超高价商品")))</f>
        <v>高价商品</v>
      </c>
    </row>
    <row r="4821" spans="1:14" x14ac:dyDescent="0.2">
      <c r="A4821">
        <v>393</v>
      </c>
      <c r="B4821">
        <v>153</v>
      </c>
      <c r="C4821" t="s">
        <v>34</v>
      </c>
      <c r="D4821" t="s">
        <v>232</v>
      </c>
      <c r="E4821" t="s">
        <v>22</v>
      </c>
      <c r="F4821">
        <v>1</v>
      </c>
      <c r="G4821" t="s">
        <v>42</v>
      </c>
      <c r="H4821" s="1">
        <v>46018.868055555555</v>
      </c>
      <c r="I4821" s="5">
        <f>INT(TB[[#This Row],[时间戳]])</f>
        <v>46018</v>
      </c>
      <c r="J4821" s="2">
        <f>HOUR(TB[[#This Row],[时间戳]])</f>
        <v>20</v>
      </c>
      <c r="K4821">
        <v>4690</v>
      </c>
      <c r="L4821">
        <v>0</v>
      </c>
      <c r="M4821">
        <f>TB[[#This Row],[售价]]*TB[[#This Row],[销量]]</f>
        <v>0</v>
      </c>
      <c r="N4821" t="str">
        <f>IF(TB[[#This Row],[售价]]&lt;1000,"低价商品",IF(TB[[#This Row],[售价]]&lt;5000,"中价商品",IF(TB[[#This Row],[售价]]&lt;10000,"高价商品","超高价商品")))</f>
        <v>中价商品</v>
      </c>
    </row>
    <row r="4822" spans="1:14" x14ac:dyDescent="0.2">
      <c r="A4822">
        <v>12</v>
      </c>
      <c r="B4822">
        <v>169</v>
      </c>
      <c r="C4822" t="s">
        <v>26</v>
      </c>
      <c r="D4822" t="s">
        <v>344</v>
      </c>
      <c r="E4822" t="s">
        <v>25</v>
      </c>
      <c r="F4822">
        <v>7</v>
      </c>
      <c r="G4822" t="s">
        <v>13</v>
      </c>
      <c r="H4822" s="1">
        <v>46018.874305555553</v>
      </c>
      <c r="I4822" s="5">
        <f>INT(TB[[#This Row],[时间戳]])</f>
        <v>46018</v>
      </c>
      <c r="J4822" s="2">
        <f>HOUR(TB[[#This Row],[时间戳]])</f>
        <v>20</v>
      </c>
      <c r="K4822">
        <v>2988</v>
      </c>
      <c r="L4822">
        <v>2</v>
      </c>
      <c r="M4822">
        <f>TB[[#This Row],[售价]]*TB[[#This Row],[销量]]</f>
        <v>5976</v>
      </c>
      <c r="N4822" t="str">
        <f>IF(TB[[#This Row],[售价]]&lt;1000,"低价商品",IF(TB[[#This Row],[售价]]&lt;5000,"中价商品",IF(TB[[#This Row],[售价]]&lt;10000,"高价商品","超高价商品")))</f>
        <v>中价商品</v>
      </c>
    </row>
    <row r="4823" spans="1:14" x14ac:dyDescent="0.2">
      <c r="A4823">
        <v>532</v>
      </c>
      <c r="B4823">
        <v>94</v>
      </c>
      <c r="C4823" t="s">
        <v>26</v>
      </c>
      <c r="D4823" t="s">
        <v>155</v>
      </c>
      <c r="E4823" t="s">
        <v>12</v>
      </c>
      <c r="F4823">
        <v>2</v>
      </c>
      <c r="G4823" t="s">
        <v>13</v>
      </c>
      <c r="H4823" s="1">
        <v>46018.880555555559</v>
      </c>
      <c r="I4823" s="5">
        <f>INT(TB[[#This Row],[时间戳]])</f>
        <v>46018</v>
      </c>
      <c r="J4823" s="2">
        <f>HOUR(TB[[#This Row],[时间戳]])</f>
        <v>21</v>
      </c>
      <c r="K4823">
        <v>14338</v>
      </c>
      <c r="L4823">
        <v>2</v>
      </c>
      <c r="M4823">
        <f>TB[[#This Row],[售价]]*TB[[#This Row],[销量]]</f>
        <v>28676</v>
      </c>
      <c r="N4823" t="str">
        <f>IF(TB[[#This Row],[售价]]&lt;1000,"低价商品",IF(TB[[#This Row],[售价]]&lt;5000,"中价商品",IF(TB[[#This Row],[售价]]&lt;10000,"高价商品","超高价商品")))</f>
        <v>超高价商品</v>
      </c>
    </row>
    <row r="4824" spans="1:14" x14ac:dyDescent="0.2">
      <c r="A4824">
        <v>584</v>
      </c>
      <c r="B4824">
        <v>249</v>
      </c>
      <c r="C4824" t="s">
        <v>32</v>
      </c>
      <c r="D4824" t="s">
        <v>411</v>
      </c>
      <c r="E4824" t="s">
        <v>39</v>
      </c>
      <c r="F4824">
        <v>5</v>
      </c>
      <c r="G4824" t="s">
        <v>13</v>
      </c>
      <c r="H4824" s="1">
        <v>46018.888888888891</v>
      </c>
      <c r="I4824" s="5">
        <f>INT(TB[[#This Row],[时间戳]])</f>
        <v>46018</v>
      </c>
      <c r="J4824" s="2">
        <f>HOUR(TB[[#This Row],[时间戳]])</f>
        <v>21</v>
      </c>
      <c r="K4824">
        <v>1728</v>
      </c>
      <c r="L4824">
        <v>1</v>
      </c>
      <c r="M4824">
        <f>TB[[#This Row],[售价]]*TB[[#This Row],[销量]]</f>
        <v>1728</v>
      </c>
      <c r="N4824" t="str">
        <f>IF(TB[[#This Row],[售价]]&lt;1000,"低价商品",IF(TB[[#This Row],[售价]]&lt;5000,"中价商品",IF(TB[[#This Row],[售价]]&lt;10000,"高价商品","超高价商品")))</f>
        <v>中价商品</v>
      </c>
    </row>
    <row r="4825" spans="1:14" x14ac:dyDescent="0.2">
      <c r="A4825">
        <v>638</v>
      </c>
      <c r="B4825">
        <v>134</v>
      </c>
      <c r="C4825" t="s">
        <v>46</v>
      </c>
      <c r="D4825" t="s">
        <v>180</v>
      </c>
      <c r="E4825" t="s">
        <v>31</v>
      </c>
      <c r="F4825">
        <v>4</v>
      </c>
      <c r="G4825" t="s">
        <v>42</v>
      </c>
      <c r="H4825" s="1">
        <v>46018.898611111108</v>
      </c>
      <c r="I4825" s="5">
        <f>INT(TB[[#This Row],[时间戳]])</f>
        <v>46018</v>
      </c>
      <c r="J4825" s="2">
        <f>HOUR(TB[[#This Row],[时间戳]])</f>
        <v>21</v>
      </c>
      <c r="K4825">
        <v>942</v>
      </c>
      <c r="L4825">
        <v>0</v>
      </c>
      <c r="M4825">
        <f>TB[[#This Row],[售价]]*TB[[#This Row],[销量]]</f>
        <v>0</v>
      </c>
      <c r="N4825" t="str">
        <f>IF(TB[[#This Row],[售价]]&lt;1000,"低价商品",IF(TB[[#This Row],[售价]]&lt;5000,"中价商品",IF(TB[[#This Row],[售价]]&lt;10000,"高价商品","超高价商品")))</f>
        <v>低价商品</v>
      </c>
    </row>
    <row r="4826" spans="1:14" x14ac:dyDescent="0.2">
      <c r="A4826">
        <v>583</v>
      </c>
      <c r="B4826">
        <v>280</v>
      </c>
      <c r="C4826" t="s">
        <v>17</v>
      </c>
      <c r="D4826" t="s">
        <v>61</v>
      </c>
      <c r="E4826" t="s">
        <v>31</v>
      </c>
      <c r="F4826">
        <v>4</v>
      </c>
      <c r="G4826" t="s">
        <v>13</v>
      </c>
      <c r="H4826" s="1">
        <v>46018.912499999999</v>
      </c>
      <c r="I4826" s="5">
        <f>INT(TB[[#This Row],[时间戳]])</f>
        <v>46018</v>
      </c>
      <c r="J4826" s="2">
        <f>HOUR(TB[[#This Row],[时间戳]])</f>
        <v>21</v>
      </c>
      <c r="K4826">
        <v>1311</v>
      </c>
      <c r="L4826">
        <v>4</v>
      </c>
      <c r="M4826">
        <f>TB[[#This Row],[售价]]*TB[[#This Row],[销量]]</f>
        <v>5244</v>
      </c>
      <c r="N4826" t="str">
        <f>IF(TB[[#This Row],[售价]]&lt;1000,"低价商品",IF(TB[[#This Row],[售价]]&lt;5000,"中价商品",IF(TB[[#This Row],[售价]]&lt;10000,"高价商品","超高价商品")))</f>
        <v>中价商品</v>
      </c>
    </row>
    <row r="4827" spans="1:14" x14ac:dyDescent="0.2">
      <c r="A4827">
        <v>547</v>
      </c>
      <c r="B4827">
        <v>68</v>
      </c>
      <c r="C4827" t="s">
        <v>34</v>
      </c>
      <c r="D4827" t="s">
        <v>402</v>
      </c>
      <c r="E4827" t="s">
        <v>16</v>
      </c>
      <c r="F4827">
        <v>6</v>
      </c>
      <c r="G4827" t="s">
        <v>13</v>
      </c>
      <c r="H4827" s="1">
        <v>46018.915972222225</v>
      </c>
      <c r="I4827" s="5">
        <f>INT(TB[[#This Row],[时间戳]])</f>
        <v>46018</v>
      </c>
      <c r="J4827" s="2">
        <f>HOUR(TB[[#This Row],[时间戳]])</f>
        <v>21</v>
      </c>
      <c r="K4827">
        <v>2688</v>
      </c>
      <c r="L4827">
        <v>2</v>
      </c>
      <c r="M4827">
        <f>TB[[#This Row],[售价]]*TB[[#This Row],[销量]]</f>
        <v>5376</v>
      </c>
      <c r="N4827" t="str">
        <f>IF(TB[[#This Row],[售价]]&lt;1000,"低价商品",IF(TB[[#This Row],[售价]]&lt;5000,"中价商品",IF(TB[[#This Row],[售价]]&lt;10000,"高价商品","超高价商品")))</f>
        <v>中价商品</v>
      </c>
    </row>
    <row r="4828" spans="1:14" x14ac:dyDescent="0.2">
      <c r="A4828">
        <v>374</v>
      </c>
      <c r="B4828">
        <v>126</v>
      </c>
      <c r="C4828" t="s">
        <v>44</v>
      </c>
      <c r="D4828" t="s">
        <v>393</v>
      </c>
      <c r="E4828" t="s">
        <v>25</v>
      </c>
      <c r="F4828">
        <v>7</v>
      </c>
      <c r="G4828" t="s">
        <v>42</v>
      </c>
      <c r="H4828" s="1">
        <v>46018.9375</v>
      </c>
      <c r="I4828" s="5">
        <f>INT(TB[[#This Row],[时间戳]])</f>
        <v>46018</v>
      </c>
      <c r="J4828" s="2">
        <f>HOUR(TB[[#This Row],[时间戳]])</f>
        <v>22</v>
      </c>
      <c r="K4828">
        <v>1500</v>
      </c>
      <c r="L4828">
        <v>0</v>
      </c>
      <c r="M4828">
        <f>TB[[#This Row],[售价]]*TB[[#This Row],[销量]]</f>
        <v>0</v>
      </c>
      <c r="N4828" t="str">
        <f>IF(TB[[#This Row],[售价]]&lt;1000,"低价商品",IF(TB[[#This Row],[售价]]&lt;5000,"中价商品",IF(TB[[#This Row],[售价]]&lt;10000,"高价商品","超高价商品")))</f>
        <v>中价商品</v>
      </c>
    </row>
    <row r="4829" spans="1:14" x14ac:dyDescent="0.2">
      <c r="A4829">
        <v>419</v>
      </c>
      <c r="B4829">
        <v>210</v>
      </c>
      <c r="C4829" t="s">
        <v>44</v>
      </c>
      <c r="D4829" t="s">
        <v>301</v>
      </c>
      <c r="E4829" t="s">
        <v>22</v>
      </c>
      <c r="F4829">
        <v>1</v>
      </c>
      <c r="G4829" t="s">
        <v>42</v>
      </c>
      <c r="H4829" s="1">
        <v>46018.940972222219</v>
      </c>
      <c r="I4829" s="5">
        <f>INT(TB[[#This Row],[时间戳]])</f>
        <v>46018</v>
      </c>
      <c r="J4829" s="2">
        <f>HOUR(TB[[#This Row],[时间戳]])</f>
        <v>22</v>
      </c>
      <c r="K4829">
        <v>5945</v>
      </c>
      <c r="L4829">
        <v>0</v>
      </c>
      <c r="M4829">
        <f>TB[[#This Row],[售价]]*TB[[#This Row],[销量]]</f>
        <v>0</v>
      </c>
      <c r="N4829" t="str">
        <f>IF(TB[[#This Row],[售价]]&lt;1000,"低价商品",IF(TB[[#This Row],[售价]]&lt;5000,"中价商品",IF(TB[[#This Row],[售价]]&lt;10000,"高价商品","超高价商品")))</f>
        <v>高价商品</v>
      </c>
    </row>
    <row r="4830" spans="1:14" x14ac:dyDescent="0.2">
      <c r="A4830">
        <v>342</v>
      </c>
      <c r="B4830">
        <v>246</v>
      </c>
      <c r="C4830" t="s">
        <v>17</v>
      </c>
      <c r="D4830" t="s">
        <v>50</v>
      </c>
      <c r="E4830" t="s">
        <v>22</v>
      </c>
      <c r="F4830">
        <v>1</v>
      </c>
      <c r="G4830" t="s">
        <v>13</v>
      </c>
      <c r="H4830" s="1">
        <v>46018.947916666664</v>
      </c>
      <c r="I4830" s="5">
        <f>INT(TB[[#This Row],[时间戳]])</f>
        <v>46018</v>
      </c>
      <c r="J4830" s="2">
        <f>HOUR(TB[[#This Row],[时间戳]])</f>
        <v>22</v>
      </c>
      <c r="K4830">
        <v>1892</v>
      </c>
      <c r="L4830">
        <v>3</v>
      </c>
      <c r="M4830">
        <f>TB[[#This Row],[售价]]*TB[[#This Row],[销量]]</f>
        <v>5676</v>
      </c>
      <c r="N4830" t="str">
        <f>IF(TB[[#This Row],[售价]]&lt;1000,"低价商品",IF(TB[[#This Row],[售价]]&lt;5000,"中价商品",IF(TB[[#This Row],[售价]]&lt;10000,"高价商品","超高价商品")))</f>
        <v>中价商品</v>
      </c>
    </row>
    <row r="4831" spans="1:14" x14ac:dyDescent="0.2">
      <c r="A4831">
        <v>318</v>
      </c>
      <c r="B4831">
        <v>127</v>
      </c>
      <c r="C4831" t="s">
        <v>36</v>
      </c>
      <c r="D4831" t="s">
        <v>37</v>
      </c>
      <c r="E4831" t="s">
        <v>31</v>
      </c>
      <c r="F4831">
        <v>4</v>
      </c>
      <c r="G4831" t="s">
        <v>13</v>
      </c>
      <c r="H4831" s="1">
        <v>46018.960416666669</v>
      </c>
      <c r="I4831" s="5">
        <f>INT(TB[[#This Row],[时间戳]])</f>
        <v>46018</v>
      </c>
      <c r="J4831" s="2">
        <f>HOUR(TB[[#This Row],[时间戳]])</f>
        <v>23</v>
      </c>
      <c r="K4831">
        <v>550</v>
      </c>
      <c r="L4831">
        <v>3</v>
      </c>
      <c r="M4831">
        <f>TB[[#This Row],[售价]]*TB[[#This Row],[销量]]</f>
        <v>1650</v>
      </c>
      <c r="N4831" t="str">
        <f>IF(TB[[#This Row],[售价]]&lt;1000,"低价商品",IF(TB[[#This Row],[售价]]&lt;5000,"中价商品",IF(TB[[#This Row],[售价]]&lt;10000,"高价商品","超高价商品")))</f>
        <v>低价商品</v>
      </c>
    </row>
    <row r="4832" spans="1:14" x14ac:dyDescent="0.2">
      <c r="A4832">
        <v>728</v>
      </c>
      <c r="B4832">
        <v>84</v>
      </c>
      <c r="C4832" t="s">
        <v>36</v>
      </c>
      <c r="D4832" t="s">
        <v>187</v>
      </c>
      <c r="E4832" t="s">
        <v>12</v>
      </c>
      <c r="F4832">
        <v>2</v>
      </c>
      <c r="G4832" t="s">
        <v>13</v>
      </c>
      <c r="H4832" s="1">
        <v>46018.990277777775</v>
      </c>
      <c r="I4832" s="5">
        <f>INT(TB[[#This Row],[时间戳]])</f>
        <v>46018</v>
      </c>
      <c r="J4832" s="2">
        <f>HOUR(TB[[#This Row],[时间戳]])</f>
        <v>23</v>
      </c>
      <c r="K4832">
        <v>9086</v>
      </c>
      <c r="L4832">
        <v>2</v>
      </c>
      <c r="M4832">
        <f>TB[[#This Row],[售价]]*TB[[#This Row],[销量]]</f>
        <v>18172</v>
      </c>
      <c r="N4832" t="str">
        <f>IF(TB[[#This Row],[售价]]&lt;1000,"低价商品",IF(TB[[#This Row],[售价]]&lt;5000,"中价商品",IF(TB[[#This Row],[售价]]&lt;10000,"高价商品","超高价商品")))</f>
        <v>高价商品</v>
      </c>
    </row>
    <row r="4833" spans="1:14" x14ac:dyDescent="0.2">
      <c r="A4833">
        <v>199</v>
      </c>
      <c r="B4833">
        <v>247</v>
      </c>
      <c r="C4833" t="s">
        <v>14</v>
      </c>
      <c r="D4833" t="s">
        <v>385</v>
      </c>
      <c r="E4833" t="s">
        <v>12</v>
      </c>
      <c r="F4833">
        <v>2</v>
      </c>
      <c r="G4833" t="s">
        <v>42</v>
      </c>
      <c r="H4833" s="1">
        <v>46019.01458333333</v>
      </c>
      <c r="I4833" s="5">
        <f>INT(TB[[#This Row],[时间戳]])</f>
        <v>46019</v>
      </c>
      <c r="J4833" s="2">
        <f>HOUR(TB[[#This Row],[时间戳]])</f>
        <v>0</v>
      </c>
      <c r="K4833">
        <v>9124</v>
      </c>
      <c r="L4833">
        <v>0</v>
      </c>
      <c r="M4833">
        <f>TB[[#This Row],[售价]]*TB[[#This Row],[销量]]</f>
        <v>0</v>
      </c>
      <c r="N4833" t="str">
        <f>IF(TB[[#This Row],[售价]]&lt;1000,"低价商品",IF(TB[[#This Row],[售价]]&lt;5000,"中价商品",IF(TB[[#This Row],[售价]]&lt;10000,"高价商品","超高价商品")))</f>
        <v>高价商品</v>
      </c>
    </row>
    <row r="4834" spans="1:14" x14ac:dyDescent="0.2">
      <c r="A4834">
        <v>100</v>
      </c>
      <c r="B4834">
        <v>7</v>
      </c>
      <c r="C4834" t="s">
        <v>34</v>
      </c>
      <c r="D4834" t="s">
        <v>57</v>
      </c>
      <c r="E4834" t="s">
        <v>12</v>
      </c>
      <c r="F4834">
        <v>2</v>
      </c>
      <c r="G4834" t="s">
        <v>13</v>
      </c>
      <c r="H4834" s="1">
        <v>46019.03402777778</v>
      </c>
      <c r="I4834" s="5">
        <f>INT(TB[[#This Row],[时间戳]])</f>
        <v>46019</v>
      </c>
      <c r="J4834" s="2">
        <f>HOUR(TB[[#This Row],[时间戳]])</f>
        <v>0</v>
      </c>
      <c r="K4834">
        <v>14937</v>
      </c>
      <c r="L4834">
        <v>4</v>
      </c>
      <c r="M4834">
        <f>TB[[#This Row],[售价]]*TB[[#This Row],[销量]]</f>
        <v>59748</v>
      </c>
      <c r="N4834" t="str">
        <f>IF(TB[[#This Row],[售价]]&lt;1000,"低价商品",IF(TB[[#This Row],[售价]]&lt;5000,"中价商品",IF(TB[[#This Row],[售价]]&lt;10000,"高价商品","超高价商品")))</f>
        <v>超高价商品</v>
      </c>
    </row>
    <row r="4835" spans="1:14" x14ac:dyDescent="0.2">
      <c r="A4835">
        <v>202</v>
      </c>
      <c r="B4835">
        <v>87</v>
      </c>
      <c r="C4835" t="s">
        <v>44</v>
      </c>
      <c r="D4835" t="s">
        <v>163</v>
      </c>
      <c r="E4835" t="s">
        <v>12</v>
      </c>
      <c r="F4835">
        <v>2</v>
      </c>
      <c r="G4835" t="s">
        <v>13</v>
      </c>
      <c r="H4835" s="1">
        <v>46019.036805555559</v>
      </c>
      <c r="I4835" s="5">
        <f>INT(TB[[#This Row],[时间戳]])</f>
        <v>46019</v>
      </c>
      <c r="J4835" s="2">
        <f>HOUR(TB[[#This Row],[时间戳]])</f>
        <v>0</v>
      </c>
      <c r="K4835">
        <v>4903</v>
      </c>
      <c r="L4835">
        <v>4</v>
      </c>
      <c r="M4835">
        <f>TB[[#This Row],[售价]]*TB[[#This Row],[销量]]</f>
        <v>19612</v>
      </c>
      <c r="N4835" t="str">
        <f>IF(TB[[#This Row],[售价]]&lt;1000,"低价商品",IF(TB[[#This Row],[售价]]&lt;5000,"中价商品",IF(TB[[#This Row],[售价]]&lt;10000,"高价商品","超高价商品")))</f>
        <v>中价商品</v>
      </c>
    </row>
    <row r="4836" spans="1:14" x14ac:dyDescent="0.2">
      <c r="A4836">
        <v>232</v>
      </c>
      <c r="B4836">
        <v>215</v>
      </c>
      <c r="C4836" t="s">
        <v>34</v>
      </c>
      <c r="D4836" t="s">
        <v>414</v>
      </c>
      <c r="E4836" t="s">
        <v>12</v>
      </c>
      <c r="F4836">
        <v>2</v>
      </c>
      <c r="G4836" t="s">
        <v>13</v>
      </c>
      <c r="H4836" s="1">
        <v>46019.051388888889</v>
      </c>
      <c r="I4836" s="5">
        <f>INT(TB[[#This Row],[时间戳]])</f>
        <v>46019</v>
      </c>
      <c r="J4836" s="2">
        <f>HOUR(TB[[#This Row],[时间戳]])</f>
        <v>1</v>
      </c>
      <c r="K4836">
        <v>5254</v>
      </c>
      <c r="L4836">
        <v>5</v>
      </c>
      <c r="M4836">
        <f>TB[[#This Row],[售价]]*TB[[#This Row],[销量]]</f>
        <v>26270</v>
      </c>
      <c r="N4836" t="str">
        <f>IF(TB[[#This Row],[售价]]&lt;1000,"低价商品",IF(TB[[#This Row],[售价]]&lt;5000,"中价商品",IF(TB[[#This Row],[售价]]&lt;10000,"高价商品","超高价商品")))</f>
        <v>高价商品</v>
      </c>
    </row>
    <row r="4837" spans="1:14" x14ac:dyDescent="0.2">
      <c r="A4837">
        <v>184</v>
      </c>
      <c r="B4837">
        <v>24</v>
      </c>
      <c r="C4837" t="s">
        <v>46</v>
      </c>
      <c r="D4837" t="s">
        <v>289</v>
      </c>
      <c r="E4837" t="s">
        <v>16</v>
      </c>
      <c r="F4837">
        <v>6</v>
      </c>
      <c r="G4837" t="s">
        <v>13</v>
      </c>
      <c r="H4837" s="1">
        <v>46019.053472222222</v>
      </c>
      <c r="I4837" s="5">
        <f>INT(TB[[#This Row],[时间戳]])</f>
        <v>46019</v>
      </c>
      <c r="J4837" s="2">
        <f>HOUR(TB[[#This Row],[时间戳]])</f>
        <v>1</v>
      </c>
      <c r="K4837">
        <v>3598</v>
      </c>
      <c r="L4837">
        <v>2</v>
      </c>
      <c r="M4837">
        <f>TB[[#This Row],[售价]]*TB[[#This Row],[销量]]</f>
        <v>7196</v>
      </c>
      <c r="N4837" t="str">
        <f>IF(TB[[#This Row],[售价]]&lt;1000,"低价商品",IF(TB[[#This Row],[售价]]&lt;5000,"中价商品",IF(TB[[#This Row],[售价]]&lt;10000,"高价商品","超高价商品")))</f>
        <v>中价商品</v>
      </c>
    </row>
    <row r="4838" spans="1:14" x14ac:dyDescent="0.2">
      <c r="A4838">
        <v>763</v>
      </c>
      <c r="B4838">
        <v>299</v>
      </c>
      <c r="C4838" t="s">
        <v>34</v>
      </c>
      <c r="D4838" t="s">
        <v>174</v>
      </c>
      <c r="E4838" t="s">
        <v>12</v>
      </c>
      <c r="F4838">
        <v>2</v>
      </c>
      <c r="G4838" t="s">
        <v>13</v>
      </c>
      <c r="H4838" s="1">
        <v>46019.061805555553</v>
      </c>
      <c r="I4838" s="5">
        <f>INT(TB[[#This Row],[时间戳]])</f>
        <v>46019</v>
      </c>
      <c r="J4838" s="2">
        <f>HOUR(TB[[#This Row],[时间戳]])</f>
        <v>1</v>
      </c>
      <c r="K4838">
        <v>6557</v>
      </c>
      <c r="L4838">
        <v>2</v>
      </c>
      <c r="M4838">
        <f>TB[[#This Row],[售价]]*TB[[#This Row],[销量]]</f>
        <v>13114</v>
      </c>
      <c r="N4838" t="str">
        <f>IF(TB[[#This Row],[售价]]&lt;1000,"低价商品",IF(TB[[#This Row],[售价]]&lt;5000,"中价商品",IF(TB[[#This Row],[售价]]&lt;10000,"高价商品","超高价商品")))</f>
        <v>高价商品</v>
      </c>
    </row>
    <row r="4839" spans="1:14" x14ac:dyDescent="0.2">
      <c r="A4839">
        <v>204</v>
      </c>
      <c r="B4839">
        <v>265</v>
      </c>
      <c r="C4839" t="s">
        <v>14</v>
      </c>
      <c r="D4839" t="s">
        <v>29</v>
      </c>
      <c r="E4839" t="s">
        <v>22</v>
      </c>
      <c r="F4839">
        <v>1</v>
      </c>
      <c r="G4839" t="s">
        <v>13</v>
      </c>
      <c r="H4839" s="1">
        <v>46019.071527777778</v>
      </c>
      <c r="I4839" s="5">
        <f>INT(TB[[#This Row],[时间戳]])</f>
        <v>46019</v>
      </c>
      <c r="J4839" s="2">
        <f>HOUR(TB[[#This Row],[时间戳]])</f>
        <v>1</v>
      </c>
      <c r="K4839">
        <v>6064</v>
      </c>
      <c r="L4839">
        <v>5</v>
      </c>
      <c r="M4839">
        <f>TB[[#This Row],[售价]]*TB[[#This Row],[销量]]</f>
        <v>30320</v>
      </c>
      <c r="N4839" t="str">
        <f>IF(TB[[#This Row],[售价]]&lt;1000,"低价商品",IF(TB[[#This Row],[售价]]&lt;5000,"中价商品",IF(TB[[#This Row],[售价]]&lt;10000,"高价商品","超高价商品")))</f>
        <v>高价商品</v>
      </c>
    </row>
    <row r="4840" spans="1:14" x14ac:dyDescent="0.2">
      <c r="A4840">
        <v>42</v>
      </c>
      <c r="B4840">
        <v>98</v>
      </c>
      <c r="C4840" t="s">
        <v>32</v>
      </c>
      <c r="D4840" t="s">
        <v>110</v>
      </c>
      <c r="E4840" t="s">
        <v>25</v>
      </c>
      <c r="F4840">
        <v>7</v>
      </c>
      <c r="G4840" t="s">
        <v>13</v>
      </c>
      <c r="H4840" s="1">
        <v>46019.072222222225</v>
      </c>
      <c r="I4840" s="5">
        <f>INT(TB[[#This Row],[时间戳]])</f>
        <v>46019</v>
      </c>
      <c r="J4840" s="2">
        <f>HOUR(TB[[#This Row],[时间戳]])</f>
        <v>1</v>
      </c>
      <c r="K4840">
        <v>5366</v>
      </c>
      <c r="L4840">
        <v>2</v>
      </c>
      <c r="M4840">
        <f>TB[[#This Row],[售价]]*TB[[#This Row],[销量]]</f>
        <v>10732</v>
      </c>
      <c r="N4840" t="str">
        <f>IF(TB[[#This Row],[售价]]&lt;1000,"低价商品",IF(TB[[#This Row],[售价]]&lt;5000,"中价商品",IF(TB[[#This Row],[售价]]&lt;10000,"高价商品","超高价商品")))</f>
        <v>高价商品</v>
      </c>
    </row>
    <row r="4841" spans="1:14" x14ac:dyDescent="0.2">
      <c r="A4841">
        <v>318</v>
      </c>
      <c r="B4841">
        <v>141</v>
      </c>
      <c r="C4841" t="s">
        <v>26</v>
      </c>
      <c r="D4841" t="s">
        <v>219</v>
      </c>
      <c r="E4841" t="s">
        <v>22</v>
      </c>
      <c r="F4841">
        <v>1</v>
      </c>
      <c r="G4841" t="s">
        <v>13</v>
      </c>
      <c r="H4841" s="1">
        <v>46019.078472222223</v>
      </c>
      <c r="I4841" s="5">
        <f>INT(TB[[#This Row],[时间戳]])</f>
        <v>46019</v>
      </c>
      <c r="J4841" s="2">
        <f>HOUR(TB[[#This Row],[时间戳]])</f>
        <v>1</v>
      </c>
      <c r="K4841">
        <v>3617</v>
      </c>
      <c r="L4841">
        <v>2</v>
      </c>
      <c r="M4841">
        <f>TB[[#This Row],[售价]]*TB[[#This Row],[销量]]</f>
        <v>7234</v>
      </c>
      <c r="N4841" t="str">
        <f>IF(TB[[#This Row],[售价]]&lt;1000,"低价商品",IF(TB[[#This Row],[售价]]&lt;5000,"中价商品",IF(TB[[#This Row],[售价]]&lt;10000,"高价商品","超高价商品")))</f>
        <v>中价商品</v>
      </c>
    </row>
    <row r="4842" spans="1:14" x14ac:dyDescent="0.2">
      <c r="A4842">
        <v>1</v>
      </c>
      <c r="B4842">
        <v>139</v>
      </c>
      <c r="C4842" t="s">
        <v>20</v>
      </c>
      <c r="D4842" t="s">
        <v>412</v>
      </c>
      <c r="E4842" t="s">
        <v>12</v>
      </c>
      <c r="F4842">
        <v>2</v>
      </c>
      <c r="G4842" t="s">
        <v>13</v>
      </c>
      <c r="H4842" s="1">
        <v>46019.135416666664</v>
      </c>
      <c r="I4842" s="5">
        <f>INT(TB[[#This Row],[时间戳]])</f>
        <v>46019</v>
      </c>
      <c r="J4842" s="2">
        <f>HOUR(TB[[#This Row],[时间戳]])</f>
        <v>3</v>
      </c>
      <c r="K4842">
        <v>11295</v>
      </c>
      <c r="L4842">
        <v>2</v>
      </c>
      <c r="M4842">
        <f>TB[[#This Row],[售价]]*TB[[#This Row],[销量]]</f>
        <v>22590</v>
      </c>
      <c r="N4842" t="str">
        <f>IF(TB[[#This Row],[售价]]&lt;1000,"低价商品",IF(TB[[#This Row],[售价]]&lt;5000,"中价商品",IF(TB[[#This Row],[售价]]&lt;10000,"高价商品","超高价商品")))</f>
        <v>超高价商品</v>
      </c>
    </row>
    <row r="4843" spans="1:14" x14ac:dyDescent="0.2">
      <c r="A4843">
        <v>768</v>
      </c>
      <c r="B4843">
        <v>274</v>
      </c>
      <c r="C4843" t="s">
        <v>10</v>
      </c>
      <c r="D4843" t="s">
        <v>312</v>
      </c>
      <c r="E4843" t="s">
        <v>12</v>
      </c>
      <c r="F4843">
        <v>2</v>
      </c>
      <c r="G4843" t="s">
        <v>42</v>
      </c>
      <c r="H4843" s="1">
        <v>46019.192361111112</v>
      </c>
      <c r="I4843" s="5">
        <f>INT(TB[[#This Row],[时间戳]])</f>
        <v>46019</v>
      </c>
      <c r="J4843" s="2">
        <f>HOUR(TB[[#This Row],[时间戳]])</f>
        <v>4</v>
      </c>
      <c r="K4843">
        <v>12103</v>
      </c>
      <c r="L4843">
        <v>0</v>
      </c>
      <c r="M4843">
        <f>TB[[#This Row],[售价]]*TB[[#This Row],[销量]]</f>
        <v>0</v>
      </c>
      <c r="N4843" t="str">
        <f>IF(TB[[#This Row],[售价]]&lt;1000,"低价商品",IF(TB[[#This Row],[售价]]&lt;5000,"中价商品",IF(TB[[#This Row],[售价]]&lt;10000,"高价商品","超高价商品")))</f>
        <v>超高价商品</v>
      </c>
    </row>
    <row r="4844" spans="1:14" x14ac:dyDescent="0.2">
      <c r="A4844">
        <v>68</v>
      </c>
      <c r="B4844">
        <v>3</v>
      </c>
      <c r="C4844" t="s">
        <v>32</v>
      </c>
      <c r="D4844" t="s">
        <v>288</v>
      </c>
      <c r="E4844" t="s">
        <v>22</v>
      </c>
      <c r="F4844">
        <v>1</v>
      </c>
      <c r="G4844" t="s">
        <v>13</v>
      </c>
      <c r="H4844" s="1">
        <v>46019.199999999997</v>
      </c>
      <c r="I4844" s="5">
        <f>INT(TB[[#This Row],[时间戳]])</f>
        <v>46019</v>
      </c>
      <c r="J4844" s="2">
        <f>HOUR(TB[[#This Row],[时间戳]])</f>
        <v>4</v>
      </c>
      <c r="K4844">
        <v>4272</v>
      </c>
      <c r="L4844">
        <v>5</v>
      </c>
      <c r="M4844">
        <f>TB[[#This Row],[售价]]*TB[[#This Row],[销量]]</f>
        <v>21360</v>
      </c>
      <c r="N4844" t="str">
        <f>IF(TB[[#This Row],[售价]]&lt;1000,"低价商品",IF(TB[[#This Row],[售价]]&lt;5000,"中价商品",IF(TB[[#This Row],[售价]]&lt;10000,"高价商品","超高价商品")))</f>
        <v>中价商品</v>
      </c>
    </row>
    <row r="4845" spans="1:14" x14ac:dyDescent="0.2">
      <c r="A4845">
        <v>797</v>
      </c>
      <c r="B4845">
        <v>37</v>
      </c>
      <c r="C4845" t="s">
        <v>34</v>
      </c>
      <c r="D4845" t="s">
        <v>196</v>
      </c>
      <c r="E4845" t="s">
        <v>16</v>
      </c>
      <c r="F4845">
        <v>6</v>
      </c>
      <c r="G4845" t="s">
        <v>13</v>
      </c>
      <c r="H4845" s="1">
        <v>46019.201388888891</v>
      </c>
      <c r="I4845" s="5">
        <f>INT(TB[[#This Row],[时间戳]])</f>
        <v>46019</v>
      </c>
      <c r="J4845" s="2">
        <f>HOUR(TB[[#This Row],[时间戳]])</f>
        <v>4</v>
      </c>
      <c r="K4845">
        <v>9718</v>
      </c>
      <c r="L4845">
        <v>2</v>
      </c>
      <c r="M4845">
        <f>TB[[#This Row],[售价]]*TB[[#This Row],[销量]]</f>
        <v>19436</v>
      </c>
      <c r="N4845" t="str">
        <f>IF(TB[[#This Row],[售价]]&lt;1000,"低价商品",IF(TB[[#This Row],[售价]]&lt;5000,"中价商品",IF(TB[[#This Row],[售价]]&lt;10000,"高价商品","超高价商品")))</f>
        <v>高价商品</v>
      </c>
    </row>
    <row r="4846" spans="1:14" x14ac:dyDescent="0.2">
      <c r="A4846">
        <v>571</v>
      </c>
      <c r="B4846">
        <v>183</v>
      </c>
      <c r="C4846" t="s">
        <v>10</v>
      </c>
      <c r="D4846" t="s">
        <v>11</v>
      </c>
      <c r="E4846" t="s">
        <v>12</v>
      </c>
      <c r="F4846">
        <v>2</v>
      </c>
      <c r="G4846" t="s">
        <v>13</v>
      </c>
      <c r="H4846" s="1">
        <v>46019.204861111109</v>
      </c>
      <c r="I4846" s="5">
        <f>INT(TB[[#This Row],[时间戳]])</f>
        <v>46019</v>
      </c>
      <c r="J4846" s="2">
        <f>HOUR(TB[[#This Row],[时间戳]])</f>
        <v>4</v>
      </c>
      <c r="K4846">
        <v>11842</v>
      </c>
      <c r="L4846">
        <v>4</v>
      </c>
      <c r="M4846">
        <f>TB[[#This Row],[售价]]*TB[[#This Row],[销量]]</f>
        <v>47368</v>
      </c>
      <c r="N4846" t="str">
        <f>IF(TB[[#This Row],[售价]]&lt;1000,"低价商品",IF(TB[[#This Row],[售价]]&lt;5000,"中价商品",IF(TB[[#This Row],[售价]]&lt;10000,"高价商品","超高价商品")))</f>
        <v>超高价商品</v>
      </c>
    </row>
    <row r="4847" spans="1:14" x14ac:dyDescent="0.2">
      <c r="A4847">
        <v>171</v>
      </c>
      <c r="B4847">
        <v>276</v>
      </c>
      <c r="C4847" t="s">
        <v>32</v>
      </c>
      <c r="D4847" t="s">
        <v>193</v>
      </c>
      <c r="E4847" t="s">
        <v>22</v>
      </c>
      <c r="F4847">
        <v>1</v>
      </c>
      <c r="G4847" t="s">
        <v>13</v>
      </c>
      <c r="H4847" s="1">
        <v>46019.213888888888</v>
      </c>
      <c r="I4847" s="5">
        <f>INT(TB[[#This Row],[时间戳]])</f>
        <v>46019</v>
      </c>
      <c r="J4847" s="2">
        <f>HOUR(TB[[#This Row],[时间戳]])</f>
        <v>5</v>
      </c>
      <c r="K4847">
        <v>1782</v>
      </c>
      <c r="L4847">
        <v>4</v>
      </c>
      <c r="M4847">
        <f>TB[[#This Row],[售价]]*TB[[#This Row],[销量]]</f>
        <v>7128</v>
      </c>
      <c r="N4847" t="str">
        <f>IF(TB[[#This Row],[售价]]&lt;1000,"低价商品",IF(TB[[#This Row],[售价]]&lt;5000,"中价商品",IF(TB[[#This Row],[售价]]&lt;10000,"高价商品","超高价商品")))</f>
        <v>中价商品</v>
      </c>
    </row>
    <row r="4848" spans="1:14" x14ac:dyDescent="0.2">
      <c r="A4848">
        <v>361</v>
      </c>
      <c r="B4848">
        <v>197</v>
      </c>
      <c r="C4848" t="s">
        <v>14</v>
      </c>
      <c r="D4848" t="s">
        <v>228</v>
      </c>
      <c r="E4848" t="s">
        <v>31</v>
      </c>
      <c r="F4848">
        <v>4</v>
      </c>
      <c r="G4848" t="s">
        <v>13</v>
      </c>
      <c r="H4848" s="1">
        <v>46019.268055555556</v>
      </c>
      <c r="I4848" s="5">
        <f>INT(TB[[#This Row],[时间戳]])</f>
        <v>46019</v>
      </c>
      <c r="J4848" s="2">
        <f>HOUR(TB[[#This Row],[时间戳]])</f>
        <v>6</v>
      </c>
      <c r="K4848">
        <v>1241</v>
      </c>
      <c r="L4848">
        <v>2</v>
      </c>
      <c r="M4848">
        <f>TB[[#This Row],[售价]]*TB[[#This Row],[销量]]</f>
        <v>2482</v>
      </c>
      <c r="N4848" t="str">
        <f>IF(TB[[#This Row],[售价]]&lt;1000,"低价商品",IF(TB[[#This Row],[售价]]&lt;5000,"中价商品",IF(TB[[#This Row],[售价]]&lt;10000,"高价商品","超高价商品")))</f>
        <v>中价商品</v>
      </c>
    </row>
    <row r="4849" spans="1:14" x14ac:dyDescent="0.2">
      <c r="A4849">
        <v>76</v>
      </c>
      <c r="B4849">
        <v>286</v>
      </c>
      <c r="C4849" t="s">
        <v>10</v>
      </c>
      <c r="D4849" t="s">
        <v>387</v>
      </c>
      <c r="E4849" t="s">
        <v>16</v>
      </c>
      <c r="F4849">
        <v>6</v>
      </c>
      <c r="G4849" t="s">
        <v>13</v>
      </c>
      <c r="H4849" s="1">
        <v>46019.270833333336</v>
      </c>
      <c r="I4849" s="5">
        <f>INT(TB[[#This Row],[时间戳]])</f>
        <v>46019</v>
      </c>
      <c r="J4849" s="2">
        <f>HOUR(TB[[#This Row],[时间戳]])</f>
        <v>6</v>
      </c>
      <c r="K4849">
        <v>5085</v>
      </c>
      <c r="L4849">
        <v>2</v>
      </c>
      <c r="M4849">
        <f>TB[[#This Row],[售价]]*TB[[#This Row],[销量]]</f>
        <v>10170</v>
      </c>
      <c r="N4849" t="str">
        <f>IF(TB[[#This Row],[售价]]&lt;1000,"低价商品",IF(TB[[#This Row],[售价]]&lt;5000,"中价商品",IF(TB[[#This Row],[售价]]&lt;10000,"高价商品","超高价商品")))</f>
        <v>高价商品</v>
      </c>
    </row>
    <row r="4850" spans="1:14" x14ac:dyDescent="0.2">
      <c r="A4850">
        <v>355</v>
      </c>
      <c r="B4850">
        <v>279</v>
      </c>
      <c r="C4850" t="s">
        <v>10</v>
      </c>
      <c r="D4850" t="s">
        <v>262</v>
      </c>
      <c r="E4850" t="s">
        <v>25</v>
      </c>
      <c r="F4850">
        <v>7</v>
      </c>
      <c r="G4850" t="s">
        <v>13</v>
      </c>
      <c r="H4850" s="1">
        <v>46019.297222222223</v>
      </c>
      <c r="I4850" s="5">
        <f>INT(TB[[#This Row],[时间戳]])</f>
        <v>46019</v>
      </c>
      <c r="J4850" s="2">
        <f>HOUR(TB[[#This Row],[时间戳]])</f>
        <v>7</v>
      </c>
      <c r="K4850">
        <v>4460</v>
      </c>
      <c r="L4850">
        <v>4</v>
      </c>
      <c r="M4850">
        <f>TB[[#This Row],[售价]]*TB[[#This Row],[销量]]</f>
        <v>17840</v>
      </c>
      <c r="N4850" t="str">
        <f>IF(TB[[#This Row],[售价]]&lt;1000,"低价商品",IF(TB[[#This Row],[售价]]&lt;5000,"中价商品",IF(TB[[#This Row],[售价]]&lt;10000,"高价商品","超高价商品")))</f>
        <v>中价商品</v>
      </c>
    </row>
    <row r="4851" spans="1:14" x14ac:dyDescent="0.2">
      <c r="A4851">
        <v>463</v>
      </c>
      <c r="B4851">
        <v>134</v>
      </c>
      <c r="C4851" t="s">
        <v>14</v>
      </c>
      <c r="D4851" t="s">
        <v>228</v>
      </c>
      <c r="E4851" t="s">
        <v>31</v>
      </c>
      <c r="F4851">
        <v>4</v>
      </c>
      <c r="G4851" t="s">
        <v>13</v>
      </c>
      <c r="H4851" s="1">
        <v>46019.299305555556</v>
      </c>
      <c r="I4851" s="5">
        <f>INT(TB[[#This Row],[时间戳]])</f>
        <v>46019</v>
      </c>
      <c r="J4851" s="2">
        <f>HOUR(TB[[#This Row],[时间戳]])</f>
        <v>7</v>
      </c>
      <c r="K4851">
        <v>384</v>
      </c>
      <c r="L4851">
        <v>4</v>
      </c>
      <c r="M4851">
        <f>TB[[#This Row],[售价]]*TB[[#This Row],[销量]]</f>
        <v>1536</v>
      </c>
      <c r="N4851" t="str">
        <f>IF(TB[[#This Row],[售价]]&lt;1000,"低价商品",IF(TB[[#This Row],[售价]]&lt;5000,"中价商品",IF(TB[[#This Row],[售价]]&lt;10000,"高价商品","超高价商品")))</f>
        <v>低价商品</v>
      </c>
    </row>
    <row r="4852" spans="1:14" x14ac:dyDescent="0.2">
      <c r="A4852">
        <v>686</v>
      </c>
      <c r="B4852">
        <v>188</v>
      </c>
      <c r="C4852" t="s">
        <v>46</v>
      </c>
      <c r="D4852" t="s">
        <v>246</v>
      </c>
      <c r="E4852" t="s">
        <v>39</v>
      </c>
      <c r="F4852">
        <v>5</v>
      </c>
      <c r="G4852" t="s">
        <v>13</v>
      </c>
      <c r="H4852" s="1">
        <v>46019.372916666667</v>
      </c>
      <c r="I4852" s="5">
        <f>INT(TB[[#This Row],[时间戳]])</f>
        <v>46019</v>
      </c>
      <c r="J4852" s="2">
        <f>HOUR(TB[[#This Row],[时间戳]])</f>
        <v>8</v>
      </c>
      <c r="K4852">
        <v>2078</v>
      </c>
      <c r="L4852">
        <v>4</v>
      </c>
      <c r="M4852">
        <f>TB[[#This Row],[售价]]*TB[[#This Row],[销量]]</f>
        <v>8312</v>
      </c>
      <c r="N4852" t="str">
        <f>IF(TB[[#This Row],[售价]]&lt;1000,"低价商品",IF(TB[[#This Row],[售价]]&lt;5000,"中价商品",IF(TB[[#This Row],[售价]]&lt;10000,"高价商品","超高价商品")))</f>
        <v>中价商品</v>
      </c>
    </row>
    <row r="4853" spans="1:14" x14ac:dyDescent="0.2">
      <c r="A4853">
        <v>49</v>
      </c>
      <c r="B4853">
        <v>252</v>
      </c>
      <c r="C4853" t="s">
        <v>14</v>
      </c>
      <c r="D4853" t="s">
        <v>405</v>
      </c>
      <c r="E4853" t="s">
        <v>19</v>
      </c>
      <c r="F4853">
        <v>3</v>
      </c>
      <c r="G4853" t="s">
        <v>13</v>
      </c>
      <c r="H4853" s="1">
        <v>46019.381944444445</v>
      </c>
      <c r="I4853" s="5">
        <f>INT(TB[[#This Row],[时间戳]])</f>
        <v>46019</v>
      </c>
      <c r="J4853" s="2">
        <f>HOUR(TB[[#This Row],[时间戳]])</f>
        <v>9</v>
      </c>
      <c r="K4853">
        <v>3646</v>
      </c>
      <c r="L4853">
        <v>4</v>
      </c>
      <c r="M4853">
        <f>TB[[#This Row],[售价]]*TB[[#This Row],[销量]]</f>
        <v>14584</v>
      </c>
      <c r="N4853" t="str">
        <f>IF(TB[[#This Row],[售价]]&lt;1000,"低价商品",IF(TB[[#This Row],[售价]]&lt;5000,"中价商品",IF(TB[[#This Row],[售价]]&lt;10000,"高价商品","超高价商品")))</f>
        <v>中价商品</v>
      </c>
    </row>
    <row r="4854" spans="1:14" x14ac:dyDescent="0.2">
      <c r="A4854">
        <v>12</v>
      </c>
      <c r="B4854">
        <v>126</v>
      </c>
      <c r="C4854" t="s">
        <v>10</v>
      </c>
      <c r="D4854" t="s">
        <v>241</v>
      </c>
      <c r="E4854" t="s">
        <v>12</v>
      </c>
      <c r="F4854">
        <v>2</v>
      </c>
      <c r="G4854" t="s">
        <v>13</v>
      </c>
      <c r="H4854" s="1">
        <v>46019.40902777778</v>
      </c>
      <c r="I4854" s="5">
        <f>INT(TB[[#This Row],[时间戳]])</f>
        <v>46019</v>
      </c>
      <c r="J4854" s="2">
        <f>HOUR(TB[[#This Row],[时间戳]])</f>
        <v>9</v>
      </c>
      <c r="K4854">
        <v>11547</v>
      </c>
      <c r="L4854">
        <v>4</v>
      </c>
      <c r="M4854">
        <f>TB[[#This Row],[售价]]*TB[[#This Row],[销量]]</f>
        <v>46188</v>
      </c>
      <c r="N4854" t="str">
        <f>IF(TB[[#This Row],[售价]]&lt;1000,"低价商品",IF(TB[[#This Row],[售价]]&lt;5000,"中价商品",IF(TB[[#This Row],[售价]]&lt;10000,"高价商品","超高价商品")))</f>
        <v>超高价商品</v>
      </c>
    </row>
    <row r="4855" spans="1:14" x14ac:dyDescent="0.2">
      <c r="A4855">
        <v>320</v>
      </c>
      <c r="B4855">
        <v>61</v>
      </c>
      <c r="C4855" t="s">
        <v>36</v>
      </c>
      <c r="D4855" t="s">
        <v>213</v>
      </c>
      <c r="E4855" t="s">
        <v>39</v>
      </c>
      <c r="F4855">
        <v>5</v>
      </c>
      <c r="G4855" t="s">
        <v>13</v>
      </c>
      <c r="H4855" s="1">
        <v>46019.416666666664</v>
      </c>
      <c r="I4855" s="5">
        <f>INT(TB[[#This Row],[时间戳]])</f>
        <v>46019</v>
      </c>
      <c r="J4855" s="2">
        <f>HOUR(TB[[#This Row],[时间戳]])</f>
        <v>10</v>
      </c>
      <c r="K4855">
        <v>1018</v>
      </c>
      <c r="L4855">
        <v>2</v>
      </c>
      <c r="M4855">
        <f>TB[[#This Row],[售价]]*TB[[#This Row],[销量]]</f>
        <v>2036</v>
      </c>
      <c r="N4855" t="str">
        <f>IF(TB[[#This Row],[售价]]&lt;1000,"低价商品",IF(TB[[#This Row],[售价]]&lt;5000,"中价商品",IF(TB[[#This Row],[售价]]&lt;10000,"高价商品","超高价商品")))</f>
        <v>中价商品</v>
      </c>
    </row>
    <row r="4856" spans="1:14" x14ac:dyDescent="0.2">
      <c r="A4856">
        <v>619</v>
      </c>
      <c r="B4856">
        <v>280</v>
      </c>
      <c r="C4856" t="s">
        <v>10</v>
      </c>
      <c r="D4856" t="s">
        <v>298</v>
      </c>
      <c r="E4856" t="s">
        <v>12</v>
      </c>
      <c r="F4856">
        <v>2</v>
      </c>
      <c r="G4856" t="s">
        <v>13</v>
      </c>
      <c r="H4856" s="1">
        <v>46019.43472222222</v>
      </c>
      <c r="I4856" s="5">
        <f>INT(TB[[#This Row],[时间戳]])</f>
        <v>46019</v>
      </c>
      <c r="J4856" s="2">
        <f>HOUR(TB[[#This Row],[时间戳]])</f>
        <v>10</v>
      </c>
      <c r="K4856">
        <v>12781</v>
      </c>
      <c r="L4856">
        <v>4</v>
      </c>
      <c r="M4856">
        <f>TB[[#This Row],[售价]]*TB[[#This Row],[销量]]</f>
        <v>51124</v>
      </c>
      <c r="N4856" t="str">
        <f>IF(TB[[#This Row],[售价]]&lt;1000,"低价商品",IF(TB[[#This Row],[售价]]&lt;5000,"中价商品",IF(TB[[#This Row],[售价]]&lt;10000,"高价商品","超高价商品")))</f>
        <v>超高价商品</v>
      </c>
    </row>
    <row r="4857" spans="1:14" x14ac:dyDescent="0.2">
      <c r="A4857">
        <v>25</v>
      </c>
      <c r="B4857">
        <v>108</v>
      </c>
      <c r="C4857" t="s">
        <v>14</v>
      </c>
      <c r="D4857" t="s">
        <v>52</v>
      </c>
      <c r="E4857" t="s">
        <v>31</v>
      </c>
      <c r="F4857">
        <v>4</v>
      </c>
      <c r="G4857" t="s">
        <v>13</v>
      </c>
      <c r="H4857" s="1">
        <v>46019.438888888886</v>
      </c>
      <c r="I4857" s="5">
        <f>INT(TB[[#This Row],[时间戳]])</f>
        <v>46019</v>
      </c>
      <c r="J4857" s="2">
        <f>HOUR(TB[[#This Row],[时间戳]])</f>
        <v>10</v>
      </c>
      <c r="K4857">
        <v>247</v>
      </c>
      <c r="L4857">
        <v>2</v>
      </c>
      <c r="M4857">
        <f>TB[[#This Row],[售价]]*TB[[#This Row],[销量]]</f>
        <v>494</v>
      </c>
      <c r="N4857" t="str">
        <f>IF(TB[[#This Row],[售价]]&lt;1000,"低价商品",IF(TB[[#This Row],[售价]]&lt;5000,"中价商品",IF(TB[[#This Row],[售价]]&lt;10000,"高价商品","超高价商品")))</f>
        <v>低价商品</v>
      </c>
    </row>
    <row r="4858" spans="1:14" x14ac:dyDescent="0.2">
      <c r="A4858">
        <v>786</v>
      </c>
      <c r="B4858">
        <v>21</v>
      </c>
      <c r="C4858" t="s">
        <v>17</v>
      </c>
      <c r="D4858" t="s">
        <v>285</v>
      </c>
      <c r="E4858" t="s">
        <v>25</v>
      </c>
      <c r="F4858">
        <v>7</v>
      </c>
      <c r="G4858" t="s">
        <v>13</v>
      </c>
      <c r="H4858" s="1">
        <v>46019.441666666666</v>
      </c>
      <c r="I4858" s="5">
        <f>INT(TB[[#This Row],[时间戳]])</f>
        <v>46019</v>
      </c>
      <c r="J4858" s="2">
        <f>HOUR(TB[[#This Row],[时间戳]])</f>
        <v>10</v>
      </c>
      <c r="K4858">
        <v>6316</v>
      </c>
      <c r="L4858">
        <v>2</v>
      </c>
      <c r="M4858">
        <f>TB[[#This Row],[售价]]*TB[[#This Row],[销量]]</f>
        <v>12632</v>
      </c>
      <c r="N4858" t="str">
        <f>IF(TB[[#This Row],[售价]]&lt;1000,"低价商品",IF(TB[[#This Row],[售价]]&lt;5000,"中价商品",IF(TB[[#This Row],[售价]]&lt;10000,"高价商品","超高价商品")))</f>
        <v>高价商品</v>
      </c>
    </row>
    <row r="4859" spans="1:14" x14ac:dyDescent="0.2">
      <c r="A4859">
        <v>568</v>
      </c>
      <c r="B4859">
        <v>205</v>
      </c>
      <c r="C4859" t="s">
        <v>34</v>
      </c>
      <c r="D4859" t="s">
        <v>125</v>
      </c>
      <c r="E4859" t="s">
        <v>31</v>
      </c>
      <c r="F4859">
        <v>4</v>
      </c>
      <c r="G4859" t="s">
        <v>13</v>
      </c>
      <c r="H4859" s="1">
        <v>46019.493055555555</v>
      </c>
      <c r="I4859" s="5">
        <f>INT(TB[[#This Row],[时间戳]])</f>
        <v>46019</v>
      </c>
      <c r="J4859" s="2">
        <f>HOUR(TB[[#This Row],[时间戳]])</f>
        <v>11</v>
      </c>
      <c r="K4859">
        <v>601</v>
      </c>
      <c r="L4859">
        <v>4</v>
      </c>
      <c r="M4859">
        <f>TB[[#This Row],[售价]]*TB[[#This Row],[销量]]</f>
        <v>2404</v>
      </c>
      <c r="N4859" t="str">
        <f>IF(TB[[#This Row],[售价]]&lt;1000,"低价商品",IF(TB[[#This Row],[售价]]&lt;5000,"中价商品",IF(TB[[#This Row],[售价]]&lt;10000,"高价商品","超高价商品")))</f>
        <v>低价商品</v>
      </c>
    </row>
    <row r="4860" spans="1:14" x14ac:dyDescent="0.2">
      <c r="A4860">
        <v>456</v>
      </c>
      <c r="B4860">
        <v>274</v>
      </c>
      <c r="C4860" t="s">
        <v>10</v>
      </c>
      <c r="D4860" t="s">
        <v>240</v>
      </c>
      <c r="E4860" t="s">
        <v>16</v>
      </c>
      <c r="F4860">
        <v>6</v>
      </c>
      <c r="G4860" t="s">
        <v>13</v>
      </c>
      <c r="H4860" s="1">
        <v>46019.538888888892</v>
      </c>
      <c r="I4860" s="5">
        <f>INT(TB[[#This Row],[时间戳]])</f>
        <v>46019</v>
      </c>
      <c r="J4860" s="2">
        <f>HOUR(TB[[#This Row],[时间戳]])</f>
        <v>12</v>
      </c>
      <c r="K4860">
        <v>6687</v>
      </c>
      <c r="L4860">
        <v>2</v>
      </c>
      <c r="M4860">
        <f>TB[[#This Row],[售价]]*TB[[#This Row],[销量]]</f>
        <v>13374</v>
      </c>
      <c r="N4860" t="str">
        <f>IF(TB[[#This Row],[售价]]&lt;1000,"低价商品",IF(TB[[#This Row],[售价]]&lt;5000,"中价商品",IF(TB[[#This Row],[售价]]&lt;10000,"高价商品","超高价商品")))</f>
        <v>高价商品</v>
      </c>
    </row>
    <row r="4861" spans="1:14" x14ac:dyDescent="0.2">
      <c r="A4861">
        <v>330</v>
      </c>
      <c r="B4861">
        <v>81</v>
      </c>
      <c r="C4861" t="s">
        <v>26</v>
      </c>
      <c r="D4861" t="s">
        <v>358</v>
      </c>
      <c r="E4861" t="s">
        <v>16</v>
      </c>
      <c r="F4861">
        <v>6</v>
      </c>
      <c r="G4861" t="s">
        <v>13</v>
      </c>
      <c r="H4861" s="1">
        <v>46019.57916666667</v>
      </c>
      <c r="I4861" s="5">
        <f>INT(TB[[#This Row],[时间戳]])</f>
        <v>46019</v>
      </c>
      <c r="J4861" s="2">
        <f>HOUR(TB[[#This Row],[时间戳]])</f>
        <v>13</v>
      </c>
      <c r="K4861">
        <v>10661</v>
      </c>
      <c r="L4861">
        <v>5</v>
      </c>
      <c r="M4861">
        <f>TB[[#This Row],[售价]]*TB[[#This Row],[销量]]</f>
        <v>53305</v>
      </c>
      <c r="N4861" t="str">
        <f>IF(TB[[#This Row],[售价]]&lt;1000,"低价商品",IF(TB[[#This Row],[售价]]&lt;5000,"中价商品",IF(TB[[#This Row],[售价]]&lt;10000,"高价商品","超高价商品")))</f>
        <v>超高价商品</v>
      </c>
    </row>
    <row r="4862" spans="1:14" x14ac:dyDescent="0.2">
      <c r="A4862">
        <v>392</v>
      </c>
      <c r="B4862">
        <v>145</v>
      </c>
      <c r="C4862" t="s">
        <v>34</v>
      </c>
      <c r="D4862" t="s">
        <v>307</v>
      </c>
      <c r="E4862" t="s">
        <v>22</v>
      </c>
      <c r="F4862">
        <v>1</v>
      </c>
      <c r="G4862" t="s">
        <v>13</v>
      </c>
      <c r="H4862" s="1">
        <v>46019.597222222219</v>
      </c>
      <c r="I4862" s="5">
        <f>INT(TB[[#This Row],[时间戳]])</f>
        <v>46019</v>
      </c>
      <c r="J4862" s="2">
        <f>HOUR(TB[[#This Row],[时间戳]])</f>
        <v>14</v>
      </c>
      <c r="K4862">
        <v>6138</v>
      </c>
      <c r="L4862">
        <v>2</v>
      </c>
      <c r="M4862">
        <f>TB[[#This Row],[售价]]*TB[[#This Row],[销量]]</f>
        <v>12276</v>
      </c>
      <c r="N4862" t="str">
        <f>IF(TB[[#This Row],[售价]]&lt;1000,"低价商品",IF(TB[[#This Row],[售价]]&lt;5000,"中价商品",IF(TB[[#This Row],[售价]]&lt;10000,"高价商品","超高价商品")))</f>
        <v>高价商品</v>
      </c>
    </row>
    <row r="4863" spans="1:14" x14ac:dyDescent="0.2">
      <c r="A4863">
        <v>209</v>
      </c>
      <c r="B4863">
        <v>122</v>
      </c>
      <c r="C4863" t="s">
        <v>46</v>
      </c>
      <c r="D4863" t="s">
        <v>157</v>
      </c>
      <c r="E4863" t="s">
        <v>12</v>
      </c>
      <c r="F4863">
        <v>2</v>
      </c>
      <c r="G4863" t="s">
        <v>13</v>
      </c>
      <c r="H4863" s="1">
        <v>46019.62777777778</v>
      </c>
      <c r="I4863" s="5">
        <f>INT(TB[[#This Row],[时间戳]])</f>
        <v>46019</v>
      </c>
      <c r="J4863" s="2">
        <f>HOUR(TB[[#This Row],[时间戳]])</f>
        <v>15</v>
      </c>
      <c r="K4863">
        <v>11328</v>
      </c>
      <c r="L4863">
        <v>4</v>
      </c>
      <c r="M4863">
        <f>TB[[#This Row],[售价]]*TB[[#This Row],[销量]]</f>
        <v>45312</v>
      </c>
      <c r="N4863" t="str">
        <f>IF(TB[[#This Row],[售价]]&lt;1000,"低价商品",IF(TB[[#This Row],[售价]]&lt;5000,"中价商品",IF(TB[[#This Row],[售价]]&lt;10000,"高价商品","超高价商品")))</f>
        <v>超高价商品</v>
      </c>
    </row>
    <row r="4864" spans="1:14" x14ac:dyDescent="0.2">
      <c r="A4864">
        <v>205</v>
      </c>
      <c r="B4864">
        <v>29</v>
      </c>
      <c r="C4864" t="s">
        <v>17</v>
      </c>
      <c r="D4864" t="s">
        <v>320</v>
      </c>
      <c r="E4864" t="s">
        <v>16</v>
      </c>
      <c r="F4864">
        <v>6</v>
      </c>
      <c r="G4864" t="s">
        <v>13</v>
      </c>
      <c r="H4864" s="1">
        <v>46019.629166666666</v>
      </c>
      <c r="I4864" s="5">
        <f>INT(TB[[#This Row],[时间戳]])</f>
        <v>46019</v>
      </c>
      <c r="J4864" s="2">
        <f>HOUR(TB[[#This Row],[时间戳]])</f>
        <v>15</v>
      </c>
      <c r="K4864">
        <v>7781</v>
      </c>
      <c r="L4864">
        <v>4</v>
      </c>
      <c r="M4864">
        <f>TB[[#This Row],[售价]]*TB[[#This Row],[销量]]</f>
        <v>31124</v>
      </c>
      <c r="N4864" t="str">
        <f>IF(TB[[#This Row],[售价]]&lt;1000,"低价商品",IF(TB[[#This Row],[售价]]&lt;5000,"中价商品",IF(TB[[#This Row],[售价]]&lt;10000,"高价商品","超高价商品")))</f>
        <v>高价商品</v>
      </c>
    </row>
    <row r="4865" spans="1:14" x14ac:dyDescent="0.2">
      <c r="A4865">
        <v>270</v>
      </c>
      <c r="B4865">
        <v>11</v>
      </c>
      <c r="C4865" t="s">
        <v>44</v>
      </c>
      <c r="D4865" t="s">
        <v>272</v>
      </c>
      <c r="E4865" t="s">
        <v>16</v>
      </c>
      <c r="F4865">
        <v>6</v>
      </c>
      <c r="G4865" t="s">
        <v>13</v>
      </c>
      <c r="H4865" s="1">
        <v>46019.636111111111</v>
      </c>
      <c r="I4865" s="5">
        <f>INT(TB[[#This Row],[时间戳]])</f>
        <v>46019</v>
      </c>
      <c r="J4865" s="2">
        <f>HOUR(TB[[#This Row],[时间戳]])</f>
        <v>15</v>
      </c>
      <c r="K4865">
        <v>5219</v>
      </c>
      <c r="L4865">
        <v>4</v>
      </c>
      <c r="M4865">
        <f>TB[[#This Row],[售价]]*TB[[#This Row],[销量]]</f>
        <v>20876</v>
      </c>
      <c r="N4865" t="str">
        <f>IF(TB[[#This Row],[售价]]&lt;1000,"低价商品",IF(TB[[#This Row],[售价]]&lt;5000,"中价商品",IF(TB[[#This Row],[售价]]&lt;10000,"高价商品","超高价商品")))</f>
        <v>高价商品</v>
      </c>
    </row>
    <row r="4866" spans="1:14" x14ac:dyDescent="0.2">
      <c r="A4866">
        <v>500</v>
      </c>
      <c r="B4866">
        <v>22</v>
      </c>
      <c r="C4866" t="s">
        <v>10</v>
      </c>
      <c r="D4866" t="s">
        <v>312</v>
      </c>
      <c r="E4866" t="s">
        <v>12</v>
      </c>
      <c r="F4866">
        <v>2</v>
      </c>
      <c r="G4866" t="s">
        <v>13</v>
      </c>
      <c r="H4866" s="1">
        <v>46019.643055555556</v>
      </c>
      <c r="I4866" s="5">
        <f>INT(TB[[#This Row],[时间戳]])</f>
        <v>46019</v>
      </c>
      <c r="J4866" s="2">
        <f>HOUR(TB[[#This Row],[时间戳]])</f>
        <v>15</v>
      </c>
      <c r="K4866">
        <v>12302</v>
      </c>
      <c r="L4866">
        <v>4</v>
      </c>
      <c r="M4866">
        <f>TB[[#This Row],[售价]]*TB[[#This Row],[销量]]</f>
        <v>49208</v>
      </c>
      <c r="N4866" t="str">
        <f>IF(TB[[#This Row],[售价]]&lt;1000,"低价商品",IF(TB[[#This Row],[售价]]&lt;5000,"中价商品",IF(TB[[#This Row],[售价]]&lt;10000,"高价商品","超高价商品")))</f>
        <v>超高价商品</v>
      </c>
    </row>
    <row r="4867" spans="1:14" x14ac:dyDescent="0.2">
      <c r="A4867">
        <v>495</v>
      </c>
      <c r="B4867">
        <v>22</v>
      </c>
      <c r="C4867" t="s">
        <v>46</v>
      </c>
      <c r="D4867" t="s">
        <v>129</v>
      </c>
      <c r="E4867" t="s">
        <v>31</v>
      </c>
      <c r="F4867">
        <v>4</v>
      </c>
      <c r="G4867" t="s">
        <v>13</v>
      </c>
      <c r="H4867" s="1">
        <v>46019.661805555559</v>
      </c>
      <c r="I4867" s="5">
        <f>INT(TB[[#This Row],[时间戳]])</f>
        <v>46019</v>
      </c>
      <c r="J4867" s="2">
        <f>HOUR(TB[[#This Row],[时间戳]])</f>
        <v>15</v>
      </c>
      <c r="K4867">
        <v>1253</v>
      </c>
      <c r="L4867">
        <v>5</v>
      </c>
      <c r="M4867">
        <f>TB[[#This Row],[售价]]*TB[[#This Row],[销量]]</f>
        <v>6265</v>
      </c>
      <c r="N4867" t="str">
        <f>IF(TB[[#This Row],[售价]]&lt;1000,"低价商品",IF(TB[[#This Row],[售价]]&lt;5000,"中价商品",IF(TB[[#This Row],[售价]]&lt;10000,"高价商品","超高价商品")))</f>
        <v>中价商品</v>
      </c>
    </row>
    <row r="4868" spans="1:14" x14ac:dyDescent="0.2">
      <c r="A4868">
        <v>733</v>
      </c>
      <c r="B4868">
        <v>61</v>
      </c>
      <c r="C4868" t="s">
        <v>10</v>
      </c>
      <c r="D4868" t="s">
        <v>373</v>
      </c>
      <c r="E4868" t="s">
        <v>25</v>
      </c>
      <c r="F4868">
        <v>7</v>
      </c>
      <c r="G4868" t="s">
        <v>13</v>
      </c>
      <c r="H4868" s="1">
        <v>46019.670138888891</v>
      </c>
      <c r="I4868" s="5">
        <f>INT(TB[[#This Row],[时间戳]])</f>
        <v>46019</v>
      </c>
      <c r="J4868" s="2">
        <f>HOUR(TB[[#This Row],[时间戳]])</f>
        <v>16</v>
      </c>
      <c r="K4868">
        <v>6273</v>
      </c>
      <c r="L4868">
        <v>4</v>
      </c>
      <c r="M4868">
        <f>TB[[#This Row],[售价]]*TB[[#This Row],[销量]]</f>
        <v>25092</v>
      </c>
      <c r="N4868" t="str">
        <f>IF(TB[[#This Row],[售价]]&lt;1000,"低价商品",IF(TB[[#This Row],[售价]]&lt;5000,"中价商品",IF(TB[[#This Row],[售价]]&lt;10000,"高价商品","超高价商品")))</f>
        <v>高价商品</v>
      </c>
    </row>
    <row r="4869" spans="1:14" x14ac:dyDescent="0.2">
      <c r="A4869">
        <v>554</v>
      </c>
      <c r="B4869">
        <v>145</v>
      </c>
      <c r="C4869" t="s">
        <v>46</v>
      </c>
      <c r="D4869" t="s">
        <v>80</v>
      </c>
      <c r="E4869" t="s">
        <v>22</v>
      </c>
      <c r="F4869">
        <v>1</v>
      </c>
      <c r="G4869" t="s">
        <v>13</v>
      </c>
      <c r="H4869" s="1">
        <v>46019.67291666667</v>
      </c>
      <c r="I4869" s="5">
        <f>INT(TB[[#This Row],[时间戳]])</f>
        <v>46019</v>
      </c>
      <c r="J4869" s="2">
        <f>HOUR(TB[[#This Row],[时间戳]])</f>
        <v>16</v>
      </c>
      <c r="K4869">
        <v>6068</v>
      </c>
      <c r="L4869">
        <v>5</v>
      </c>
      <c r="M4869">
        <f>TB[[#This Row],[售价]]*TB[[#This Row],[销量]]</f>
        <v>30340</v>
      </c>
      <c r="N4869" t="str">
        <f>IF(TB[[#This Row],[售价]]&lt;1000,"低价商品",IF(TB[[#This Row],[售价]]&lt;5000,"中价商品",IF(TB[[#This Row],[售价]]&lt;10000,"高价商品","超高价商品")))</f>
        <v>高价商品</v>
      </c>
    </row>
    <row r="4870" spans="1:14" x14ac:dyDescent="0.2">
      <c r="A4870">
        <v>698</v>
      </c>
      <c r="B4870">
        <v>75</v>
      </c>
      <c r="C4870" t="s">
        <v>14</v>
      </c>
      <c r="D4870" t="s">
        <v>384</v>
      </c>
      <c r="E4870" t="s">
        <v>39</v>
      </c>
      <c r="F4870">
        <v>5</v>
      </c>
      <c r="G4870" t="s">
        <v>13</v>
      </c>
      <c r="H4870" s="1">
        <v>46019.689583333333</v>
      </c>
      <c r="I4870" s="5">
        <f>INT(TB[[#This Row],[时间戳]])</f>
        <v>46019</v>
      </c>
      <c r="J4870" s="2">
        <f>HOUR(TB[[#This Row],[时间戳]])</f>
        <v>16</v>
      </c>
      <c r="K4870">
        <v>1550</v>
      </c>
      <c r="L4870">
        <v>2</v>
      </c>
      <c r="M4870">
        <f>TB[[#This Row],[售价]]*TB[[#This Row],[销量]]</f>
        <v>3100</v>
      </c>
      <c r="N4870" t="str">
        <f>IF(TB[[#This Row],[售价]]&lt;1000,"低价商品",IF(TB[[#This Row],[售价]]&lt;5000,"中价商品",IF(TB[[#This Row],[售价]]&lt;10000,"高价商品","超高价商品")))</f>
        <v>中价商品</v>
      </c>
    </row>
    <row r="4871" spans="1:14" x14ac:dyDescent="0.2">
      <c r="A4871">
        <v>344</v>
      </c>
      <c r="B4871">
        <v>276</v>
      </c>
      <c r="C4871" t="s">
        <v>14</v>
      </c>
      <c r="D4871" t="s">
        <v>282</v>
      </c>
      <c r="E4871" t="s">
        <v>19</v>
      </c>
      <c r="F4871">
        <v>3</v>
      </c>
      <c r="G4871" t="s">
        <v>13</v>
      </c>
      <c r="H4871" s="1">
        <v>46019.720833333333</v>
      </c>
      <c r="I4871" s="5">
        <f>INT(TB[[#This Row],[时间戳]])</f>
        <v>46019</v>
      </c>
      <c r="J4871" s="2">
        <f>HOUR(TB[[#This Row],[时间戳]])</f>
        <v>17</v>
      </c>
      <c r="K4871">
        <v>4686</v>
      </c>
      <c r="L4871">
        <v>2</v>
      </c>
      <c r="M4871">
        <f>TB[[#This Row],[售价]]*TB[[#This Row],[销量]]</f>
        <v>9372</v>
      </c>
      <c r="N4871" t="str">
        <f>IF(TB[[#This Row],[售价]]&lt;1000,"低价商品",IF(TB[[#This Row],[售价]]&lt;5000,"中价商品",IF(TB[[#This Row],[售价]]&lt;10000,"高价商品","超高价商品")))</f>
        <v>中价商品</v>
      </c>
    </row>
    <row r="4872" spans="1:14" x14ac:dyDescent="0.2">
      <c r="A4872">
        <v>49</v>
      </c>
      <c r="B4872">
        <v>176</v>
      </c>
      <c r="C4872" t="s">
        <v>34</v>
      </c>
      <c r="D4872" t="s">
        <v>174</v>
      </c>
      <c r="E4872" t="s">
        <v>12</v>
      </c>
      <c r="F4872">
        <v>2</v>
      </c>
      <c r="G4872" t="s">
        <v>42</v>
      </c>
      <c r="H4872" s="1">
        <v>46019.729861111111</v>
      </c>
      <c r="I4872" s="5">
        <f>INT(TB[[#This Row],[时间戳]])</f>
        <v>46019</v>
      </c>
      <c r="J4872" s="2">
        <f>HOUR(TB[[#This Row],[时间戳]])</f>
        <v>17</v>
      </c>
      <c r="K4872">
        <v>8599</v>
      </c>
      <c r="L4872">
        <v>0</v>
      </c>
      <c r="M4872">
        <f>TB[[#This Row],[售价]]*TB[[#This Row],[销量]]</f>
        <v>0</v>
      </c>
      <c r="N4872" t="str">
        <f>IF(TB[[#This Row],[售价]]&lt;1000,"低价商品",IF(TB[[#This Row],[售价]]&lt;5000,"中价商品",IF(TB[[#This Row],[售价]]&lt;10000,"高价商品","超高价商品")))</f>
        <v>高价商品</v>
      </c>
    </row>
    <row r="4873" spans="1:14" x14ac:dyDescent="0.2">
      <c r="A4873">
        <v>674</v>
      </c>
      <c r="B4873">
        <v>62</v>
      </c>
      <c r="C4873" t="s">
        <v>32</v>
      </c>
      <c r="D4873" t="s">
        <v>38</v>
      </c>
      <c r="E4873" t="s">
        <v>39</v>
      </c>
      <c r="F4873">
        <v>5</v>
      </c>
      <c r="G4873" t="s">
        <v>13</v>
      </c>
      <c r="H4873" s="1">
        <v>46019.731944444444</v>
      </c>
      <c r="I4873" s="5">
        <f>INT(TB[[#This Row],[时间戳]])</f>
        <v>46019</v>
      </c>
      <c r="J4873" s="2">
        <f>HOUR(TB[[#This Row],[时间戳]])</f>
        <v>17</v>
      </c>
      <c r="K4873">
        <v>1471</v>
      </c>
      <c r="L4873">
        <v>5</v>
      </c>
      <c r="M4873">
        <f>TB[[#This Row],[售价]]*TB[[#This Row],[销量]]</f>
        <v>7355</v>
      </c>
      <c r="N4873" t="str">
        <f>IF(TB[[#This Row],[售价]]&lt;1000,"低价商品",IF(TB[[#This Row],[售价]]&lt;5000,"中价商品",IF(TB[[#This Row],[售价]]&lt;10000,"高价商品","超高价商品")))</f>
        <v>中价商品</v>
      </c>
    </row>
    <row r="4874" spans="1:14" x14ac:dyDescent="0.2">
      <c r="A4874">
        <v>303</v>
      </c>
      <c r="B4874">
        <v>233</v>
      </c>
      <c r="C4874" t="s">
        <v>17</v>
      </c>
      <c r="D4874" t="s">
        <v>234</v>
      </c>
      <c r="E4874" t="s">
        <v>39</v>
      </c>
      <c r="F4874">
        <v>5</v>
      </c>
      <c r="G4874" t="s">
        <v>13</v>
      </c>
      <c r="H4874" s="1">
        <v>46019.736111111109</v>
      </c>
      <c r="I4874" s="5">
        <f>INT(TB[[#This Row],[时间戳]])</f>
        <v>46019</v>
      </c>
      <c r="J4874" s="2">
        <f>HOUR(TB[[#This Row],[时间戳]])</f>
        <v>17</v>
      </c>
      <c r="K4874">
        <v>1360</v>
      </c>
      <c r="L4874">
        <v>5</v>
      </c>
      <c r="M4874">
        <f>TB[[#This Row],[售价]]*TB[[#This Row],[销量]]</f>
        <v>6800</v>
      </c>
      <c r="N4874" t="str">
        <f>IF(TB[[#This Row],[售价]]&lt;1000,"低价商品",IF(TB[[#This Row],[售价]]&lt;5000,"中价商品",IF(TB[[#This Row],[售价]]&lt;10000,"高价商品","超高价商品")))</f>
        <v>中价商品</v>
      </c>
    </row>
    <row r="4875" spans="1:14" x14ac:dyDescent="0.2">
      <c r="A4875">
        <v>232</v>
      </c>
      <c r="B4875">
        <v>241</v>
      </c>
      <c r="C4875" t="s">
        <v>10</v>
      </c>
      <c r="D4875" t="s">
        <v>241</v>
      </c>
      <c r="E4875" t="s">
        <v>12</v>
      </c>
      <c r="F4875">
        <v>2</v>
      </c>
      <c r="G4875" t="s">
        <v>42</v>
      </c>
      <c r="H4875" s="1">
        <v>46019.740972222222</v>
      </c>
      <c r="I4875" s="5">
        <f>INT(TB[[#This Row],[时间戳]])</f>
        <v>46019</v>
      </c>
      <c r="J4875" s="2">
        <f>HOUR(TB[[#This Row],[时间戳]])</f>
        <v>17</v>
      </c>
      <c r="K4875">
        <v>6478</v>
      </c>
      <c r="L4875">
        <v>0</v>
      </c>
      <c r="M4875">
        <f>TB[[#This Row],[售价]]*TB[[#This Row],[销量]]</f>
        <v>0</v>
      </c>
      <c r="N4875" t="str">
        <f>IF(TB[[#This Row],[售价]]&lt;1000,"低价商品",IF(TB[[#This Row],[售价]]&lt;5000,"中价商品",IF(TB[[#This Row],[售价]]&lt;10000,"高价商品","超高价商品")))</f>
        <v>高价商品</v>
      </c>
    </row>
    <row r="4876" spans="1:14" x14ac:dyDescent="0.2">
      <c r="A4876">
        <v>280</v>
      </c>
      <c r="B4876">
        <v>187</v>
      </c>
      <c r="C4876" t="s">
        <v>44</v>
      </c>
      <c r="D4876" t="s">
        <v>66</v>
      </c>
      <c r="E4876" t="s">
        <v>22</v>
      </c>
      <c r="F4876">
        <v>1</v>
      </c>
      <c r="G4876" t="s">
        <v>42</v>
      </c>
      <c r="H4876" s="1">
        <v>46019.747916666667</v>
      </c>
      <c r="I4876" s="5">
        <f>INT(TB[[#This Row],[时间戳]])</f>
        <v>46019</v>
      </c>
      <c r="J4876" s="2">
        <f>HOUR(TB[[#This Row],[时间戳]])</f>
        <v>17</v>
      </c>
      <c r="K4876">
        <v>6358</v>
      </c>
      <c r="L4876">
        <v>0</v>
      </c>
      <c r="M4876">
        <f>TB[[#This Row],[售价]]*TB[[#This Row],[销量]]</f>
        <v>0</v>
      </c>
      <c r="N4876" t="str">
        <f>IF(TB[[#This Row],[售价]]&lt;1000,"低价商品",IF(TB[[#This Row],[售价]]&lt;5000,"中价商品",IF(TB[[#This Row],[售价]]&lt;10000,"高价商品","超高价商品")))</f>
        <v>高价商品</v>
      </c>
    </row>
    <row r="4877" spans="1:14" x14ac:dyDescent="0.2">
      <c r="A4877">
        <v>715</v>
      </c>
      <c r="B4877">
        <v>30</v>
      </c>
      <c r="C4877" t="s">
        <v>44</v>
      </c>
      <c r="D4877" t="s">
        <v>236</v>
      </c>
      <c r="E4877" t="s">
        <v>12</v>
      </c>
      <c r="F4877">
        <v>2</v>
      </c>
      <c r="G4877" t="s">
        <v>13</v>
      </c>
      <c r="H4877" s="1">
        <v>46019.76666666667</v>
      </c>
      <c r="I4877" s="5">
        <f>INT(TB[[#This Row],[时间戳]])</f>
        <v>46019</v>
      </c>
      <c r="J4877" s="2">
        <f>HOUR(TB[[#This Row],[时间戳]])</f>
        <v>18</v>
      </c>
      <c r="K4877">
        <v>8514</v>
      </c>
      <c r="L4877">
        <v>4</v>
      </c>
      <c r="M4877">
        <f>TB[[#This Row],[售价]]*TB[[#This Row],[销量]]</f>
        <v>34056</v>
      </c>
      <c r="N4877" t="str">
        <f>IF(TB[[#This Row],[售价]]&lt;1000,"低价商品",IF(TB[[#This Row],[售价]]&lt;5000,"中价商品",IF(TB[[#This Row],[售价]]&lt;10000,"高价商品","超高价商品")))</f>
        <v>高价商品</v>
      </c>
    </row>
    <row r="4878" spans="1:14" x14ac:dyDescent="0.2">
      <c r="A4878">
        <v>202</v>
      </c>
      <c r="B4878">
        <v>41</v>
      </c>
      <c r="C4878" t="s">
        <v>26</v>
      </c>
      <c r="D4878" t="s">
        <v>281</v>
      </c>
      <c r="E4878" t="s">
        <v>16</v>
      </c>
      <c r="F4878">
        <v>6</v>
      </c>
      <c r="G4878" t="s">
        <v>13</v>
      </c>
      <c r="H4878" s="1">
        <v>46019.783333333333</v>
      </c>
      <c r="I4878" s="5">
        <f>INT(TB[[#This Row],[时间戳]])</f>
        <v>46019</v>
      </c>
      <c r="J4878" s="2">
        <f>HOUR(TB[[#This Row],[时间戳]])</f>
        <v>18</v>
      </c>
      <c r="K4878">
        <v>10860</v>
      </c>
      <c r="L4878">
        <v>4</v>
      </c>
      <c r="M4878">
        <f>TB[[#This Row],[售价]]*TB[[#This Row],[销量]]</f>
        <v>43440</v>
      </c>
      <c r="N4878" t="str">
        <f>IF(TB[[#This Row],[售价]]&lt;1000,"低价商品",IF(TB[[#This Row],[售价]]&lt;5000,"中价商品",IF(TB[[#This Row],[售价]]&lt;10000,"高价商品","超高价商品")))</f>
        <v>超高价商品</v>
      </c>
    </row>
    <row r="4879" spans="1:14" x14ac:dyDescent="0.2">
      <c r="A4879">
        <v>400</v>
      </c>
      <c r="B4879">
        <v>38</v>
      </c>
      <c r="C4879" t="s">
        <v>14</v>
      </c>
      <c r="D4879" t="s">
        <v>145</v>
      </c>
      <c r="E4879" t="s">
        <v>22</v>
      </c>
      <c r="F4879">
        <v>1</v>
      </c>
      <c r="G4879" t="s">
        <v>13</v>
      </c>
      <c r="H4879" s="1">
        <v>46019.805555555555</v>
      </c>
      <c r="I4879" s="5">
        <f>INT(TB[[#This Row],[时间戳]])</f>
        <v>46019</v>
      </c>
      <c r="J4879" s="2">
        <f>HOUR(TB[[#This Row],[时间戳]])</f>
        <v>19</v>
      </c>
      <c r="K4879">
        <v>4819</v>
      </c>
      <c r="L4879">
        <v>5</v>
      </c>
      <c r="M4879">
        <f>TB[[#This Row],[售价]]*TB[[#This Row],[销量]]</f>
        <v>24095</v>
      </c>
      <c r="N4879" t="str">
        <f>IF(TB[[#This Row],[售价]]&lt;1000,"低价商品",IF(TB[[#This Row],[售价]]&lt;5000,"中价商品",IF(TB[[#This Row],[售价]]&lt;10000,"高价商品","超高价商品")))</f>
        <v>中价商品</v>
      </c>
    </row>
    <row r="4880" spans="1:14" x14ac:dyDescent="0.2">
      <c r="A4880">
        <v>250</v>
      </c>
      <c r="B4880">
        <v>296</v>
      </c>
      <c r="C4880" t="s">
        <v>34</v>
      </c>
      <c r="D4880" t="s">
        <v>374</v>
      </c>
      <c r="E4880" t="s">
        <v>25</v>
      </c>
      <c r="F4880">
        <v>7</v>
      </c>
      <c r="G4880" t="s">
        <v>13</v>
      </c>
      <c r="H4880" s="1">
        <v>46019.813888888886</v>
      </c>
      <c r="I4880" s="5">
        <f>INT(TB[[#This Row],[时间戳]])</f>
        <v>46019</v>
      </c>
      <c r="J4880" s="2">
        <f>HOUR(TB[[#This Row],[时间戳]])</f>
        <v>19</v>
      </c>
      <c r="K4880">
        <v>6652</v>
      </c>
      <c r="L4880">
        <v>4</v>
      </c>
      <c r="M4880">
        <f>TB[[#This Row],[售价]]*TB[[#This Row],[销量]]</f>
        <v>26608</v>
      </c>
      <c r="N4880" t="str">
        <f>IF(TB[[#This Row],[售价]]&lt;1000,"低价商品",IF(TB[[#This Row],[售价]]&lt;5000,"中价商品",IF(TB[[#This Row],[售价]]&lt;10000,"高价商品","超高价商品")))</f>
        <v>高价商品</v>
      </c>
    </row>
    <row r="4881" spans="1:14" x14ac:dyDescent="0.2">
      <c r="A4881">
        <v>418</v>
      </c>
      <c r="B4881">
        <v>68</v>
      </c>
      <c r="C4881" t="s">
        <v>44</v>
      </c>
      <c r="D4881" t="s">
        <v>66</v>
      </c>
      <c r="E4881" t="s">
        <v>22</v>
      </c>
      <c r="F4881">
        <v>1</v>
      </c>
      <c r="G4881" t="s">
        <v>13</v>
      </c>
      <c r="H4881" s="1">
        <v>46019.845833333333</v>
      </c>
      <c r="I4881" s="5">
        <f>INT(TB[[#This Row],[时间戳]])</f>
        <v>46019</v>
      </c>
      <c r="J4881" s="2">
        <f>HOUR(TB[[#This Row],[时间戳]])</f>
        <v>20</v>
      </c>
      <c r="K4881">
        <v>3245</v>
      </c>
      <c r="L4881">
        <v>2</v>
      </c>
      <c r="M4881">
        <f>TB[[#This Row],[售价]]*TB[[#This Row],[销量]]</f>
        <v>6490</v>
      </c>
      <c r="N4881" t="str">
        <f>IF(TB[[#This Row],[售价]]&lt;1000,"低价商品",IF(TB[[#This Row],[售价]]&lt;5000,"中价商品",IF(TB[[#This Row],[售价]]&lt;10000,"高价商品","超高价商品")))</f>
        <v>中价商品</v>
      </c>
    </row>
    <row r="4882" spans="1:14" x14ac:dyDescent="0.2">
      <c r="A4882">
        <v>720</v>
      </c>
      <c r="B4882">
        <v>296</v>
      </c>
      <c r="C4882" t="s">
        <v>32</v>
      </c>
      <c r="D4882" t="s">
        <v>107</v>
      </c>
      <c r="E4882" t="s">
        <v>31</v>
      </c>
      <c r="F4882">
        <v>4</v>
      </c>
      <c r="G4882" t="s">
        <v>13</v>
      </c>
      <c r="H4882" s="1">
        <v>46019.85</v>
      </c>
      <c r="I4882" s="5">
        <f>INT(TB[[#This Row],[时间戳]])</f>
        <v>46019</v>
      </c>
      <c r="J4882" s="2">
        <f>HOUR(TB[[#This Row],[时间戳]])</f>
        <v>20</v>
      </c>
      <c r="K4882">
        <v>776</v>
      </c>
      <c r="L4882">
        <v>5</v>
      </c>
      <c r="M4882">
        <f>TB[[#This Row],[售价]]*TB[[#This Row],[销量]]</f>
        <v>3880</v>
      </c>
      <c r="N4882" t="str">
        <f>IF(TB[[#This Row],[售价]]&lt;1000,"低价商品",IF(TB[[#This Row],[售价]]&lt;5000,"中价商品",IF(TB[[#This Row],[售价]]&lt;10000,"高价商品","超高价商品")))</f>
        <v>低价商品</v>
      </c>
    </row>
    <row r="4883" spans="1:14" x14ac:dyDescent="0.2">
      <c r="A4883">
        <v>14</v>
      </c>
      <c r="B4883">
        <v>71</v>
      </c>
      <c r="C4883" t="s">
        <v>34</v>
      </c>
      <c r="D4883" t="s">
        <v>339</v>
      </c>
      <c r="E4883" t="s">
        <v>12</v>
      </c>
      <c r="F4883">
        <v>2</v>
      </c>
      <c r="G4883" t="s">
        <v>13</v>
      </c>
      <c r="H4883" s="1">
        <v>46019.861805555556</v>
      </c>
      <c r="I4883" s="5">
        <f>INT(TB[[#This Row],[时间戳]])</f>
        <v>46019</v>
      </c>
      <c r="J4883" s="2">
        <f>HOUR(TB[[#This Row],[时间戳]])</f>
        <v>20</v>
      </c>
      <c r="K4883">
        <v>9960</v>
      </c>
      <c r="L4883">
        <v>2</v>
      </c>
      <c r="M4883">
        <f>TB[[#This Row],[售价]]*TB[[#This Row],[销量]]</f>
        <v>19920</v>
      </c>
      <c r="N4883" t="str">
        <f>IF(TB[[#This Row],[售价]]&lt;1000,"低价商品",IF(TB[[#This Row],[售价]]&lt;5000,"中价商品",IF(TB[[#This Row],[售价]]&lt;10000,"高价商品","超高价商品")))</f>
        <v>高价商品</v>
      </c>
    </row>
    <row r="4884" spans="1:14" x14ac:dyDescent="0.2">
      <c r="A4884">
        <v>17</v>
      </c>
      <c r="B4884">
        <v>67</v>
      </c>
      <c r="C4884" t="s">
        <v>20</v>
      </c>
      <c r="D4884" t="s">
        <v>85</v>
      </c>
      <c r="E4884" t="s">
        <v>31</v>
      </c>
      <c r="F4884">
        <v>4</v>
      </c>
      <c r="G4884" t="s">
        <v>13</v>
      </c>
      <c r="H4884" s="1">
        <v>46019.890972222223</v>
      </c>
      <c r="I4884" s="5">
        <f>INT(TB[[#This Row],[时间戳]])</f>
        <v>46019</v>
      </c>
      <c r="J4884" s="2">
        <f>HOUR(TB[[#This Row],[时间戳]])</f>
        <v>21</v>
      </c>
      <c r="K4884">
        <v>674</v>
      </c>
      <c r="L4884">
        <v>2</v>
      </c>
      <c r="M4884">
        <f>TB[[#This Row],[售价]]*TB[[#This Row],[销量]]</f>
        <v>1348</v>
      </c>
      <c r="N4884" t="str">
        <f>IF(TB[[#This Row],[售价]]&lt;1000,"低价商品",IF(TB[[#This Row],[售价]]&lt;5000,"中价商品",IF(TB[[#This Row],[售价]]&lt;10000,"高价商品","超高价商品")))</f>
        <v>低价商品</v>
      </c>
    </row>
    <row r="4885" spans="1:14" x14ac:dyDescent="0.2">
      <c r="A4885">
        <v>7</v>
      </c>
      <c r="B4885">
        <v>111</v>
      </c>
      <c r="C4885" t="s">
        <v>20</v>
      </c>
      <c r="D4885" t="s">
        <v>167</v>
      </c>
      <c r="E4885" t="s">
        <v>39</v>
      </c>
      <c r="F4885">
        <v>5</v>
      </c>
      <c r="G4885" t="s">
        <v>13</v>
      </c>
      <c r="H4885" s="1">
        <v>46019.895138888889</v>
      </c>
      <c r="I4885" s="5">
        <f>INT(TB[[#This Row],[时间戳]])</f>
        <v>46019</v>
      </c>
      <c r="J4885" s="2">
        <f>HOUR(TB[[#This Row],[时间戳]])</f>
        <v>21</v>
      </c>
      <c r="K4885">
        <v>2379</v>
      </c>
      <c r="L4885">
        <v>2</v>
      </c>
      <c r="M4885">
        <f>TB[[#This Row],[售价]]*TB[[#This Row],[销量]]</f>
        <v>4758</v>
      </c>
      <c r="N4885" t="str">
        <f>IF(TB[[#This Row],[售价]]&lt;1000,"低价商品",IF(TB[[#This Row],[售价]]&lt;5000,"中价商品",IF(TB[[#This Row],[售价]]&lt;10000,"高价商品","超高价商品")))</f>
        <v>中价商品</v>
      </c>
    </row>
    <row r="4886" spans="1:14" x14ac:dyDescent="0.2">
      <c r="A4886">
        <v>339</v>
      </c>
      <c r="B4886">
        <v>27</v>
      </c>
      <c r="C4886" t="s">
        <v>17</v>
      </c>
      <c r="D4886" t="s">
        <v>28</v>
      </c>
      <c r="E4886" t="s">
        <v>12</v>
      </c>
      <c r="F4886">
        <v>2</v>
      </c>
      <c r="G4886" t="s">
        <v>42</v>
      </c>
      <c r="H4886" s="1">
        <v>46019.897222222222</v>
      </c>
      <c r="I4886" s="5">
        <f>INT(TB[[#This Row],[时间戳]])</f>
        <v>46019</v>
      </c>
      <c r="J4886" s="2">
        <f>HOUR(TB[[#This Row],[时间戳]])</f>
        <v>21</v>
      </c>
      <c r="K4886">
        <v>10425</v>
      </c>
      <c r="L4886">
        <v>0</v>
      </c>
      <c r="M4886">
        <f>TB[[#This Row],[售价]]*TB[[#This Row],[销量]]</f>
        <v>0</v>
      </c>
      <c r="N4886" t="str">
        <f>IF(TB[[#This Row],[售价]]&lt;1000,"低价商品",IF(TB[[#This Row],[售价]]&lt;5000,"中价商品",IF(TB[[#This Row],[售价]]&lt;10000,"高价商品","超高价商品")))</f>
        <v>超高价商品</v>
      </c>
    </row>
    <row r="4887" spans="1:14" x14ac:dyDescent="0.2">
      <c r="A4887">
        <v>406</v>
      </c>
      <c r="B4887">
        <v>123</v>
      </c>
      <c r="C4887" t="s">
        <v>10</v>
      </c>
      <c r="D4887" t="s">
        <v>351</v>
      </c>
      <c r="E4887" t="s">
        <v>31</v>
      </c>
      <c r="F4887">
        <v>4</v>
      </c>
      <c r="G4887" t="s">
        <v>13</v>
      </c>
      <c r="H4887" s="1">
        <v>46019.936805555553</v>
      </c>
      <c r="I4887" s="5">
        <f>INT(TB[[#This Row],[时间戳]])</f>
        <v>46019</v>
      </c>
      <c r="J4887" s="2">
        <f>HOUR(TB[[#This Row],[时间戳]])</f>
        <v>22</v>
      </c>
      <c r="K4887">
        <v>776</v>
      </c>
      <c r="L4887">
        <v>2</v>
      </c>
      <c r="M4887">
        <f>TB[[#This Row],[售价]]*TB[[#This Row],[销量]]</f>
        <v>1552</v>
      </c>
      <c r="N4887" t="str">
        <f>IF(TB[[#This Row],[售价]]&lt;1000,"低价商品",IF(TB[[#This Row],[售价]]&lt;5000,"中价商品",IF(TB[[#This Row],[售价]]&lt;10000,"高价商品","超高价商品")))</f>
        <v>低价商品</v>
      </c>
    </row>
    <row r="4888" spans="1:14" x14ac:dyDescent="0.2">
      <c r="A4888">
        <v>133</v>
      </c>
      <c r="B4888">
        <v>272</v>
      </c>
      <c r="C4888" t="s">
        <v>34</v>
      </c>
      <c r="D4888" t="s">
        <v>307</v>
      </c>
      <c r="E4888" t="s">
        <v>22</v>
      </c>
      <c r="F4888">
        <v>1</v>
      </c>
      <c r="G4888" t="s">
        <v>13</v>
      </c>
      <c r="H4888" s="1">
        <v>46019.944444444445</v>
      </c>
      <c r="I4888" s="5">
        <f>INT(TB[[#This Row],[时间戳]])</f>
        <v>46019</v>
      </c>
      <c r="J4888" s="2">
        <f>HOUR(TB[[#This Row],[时间戳]])</f>
        <v>22</v>
      </c>
      <c r="K4888">
        <v>4359</v>
      </c>
      <c r="L4888">
        <v>4</v>
      </c>
      <c r="M4888">
        <f>TB[[#This Row],[售价]]*TB[[#This Row],[销量]]</f>
        <v>17436</v>
      </c>
      <c r="N4888" t="str">
        <f>IF(TB[[#This Row],[售价]]&lt;1000,"低价商品",IF(TB[[#This Row],[售价]]&lt;5000,"中价商品",IF(TB[[#This Row],[售价]]&lt;10000,"高价商品","超高价商品")))</f>
        <v>中价商品</v>
      </c>
    </row>
    <row r="4889" spans="1:14" x14ac:dyDescent="0.2">
      <c r="A4889">
        <v>9</v>
      </c>
      <c r="B4889">
        <v>280</v>
      </c>
      <c r="C4889" t="s">
        <v>17</v>
      </c>
      <c r="D4889" t="s">
        <v>109</v>
      </c>
      <c r="E4889" t="s">
        <v>12</v>
      </c>
      <c r="F4889">
        <v>2</v>
      </c>
      <c r="G4889" t="s">
        <v>13</v>
      </c>
      <c r="H4889" s="1">
        <v>46019.965277777781</v>
      </c>
      <c r="I4889" s="5">
        <f>INT(TB[[#This Row],[时间戳]])</f>
        <v>46019</v>
      </c>
      <c r="J4889" s="2">
        <f>HOUR(TB[[#This Row],[时间戳]])</f>
        <v>23</v>
      </c>
      <c r="K4889">
        <v>14347</v>
      </c>
      <c r="L4889">
        <v>4</v>
      </c>
      <c r="M4889">
        <f>TB[[#This Row],[售价]]*TB[[#This Row],[销量]]</f>
        <v>57388</v>
      </c>
      <c r="N4889" t="str">
        <f>IF(TB[[#This Row],[售价]]&lt;1000,"低价商品",IF(TB[[#This Row],[售价]]&lt;5000,"中价商品",IF(TB[[#This Row],[售价]]&lt;10000,"高价商品","超高价商品")))</f>
        <v>超高价商品</v>
      </c>
    </row>
    <row r="4890" spans="1:14" x14ac:dyDescent="0.2">
      <c r="A4890">
        <v>601</v>
      </c>
      <c r="B4890">
        <v>23</v>
      </c>
      <c r="C4890" t="s">
        <v>10</v>
      </c>
      <c r="D4890" t="s">
        <v>298</v>
      </c>
      <c r="E4890" t="s">
        <v>12</v>
      </c>
      <c r="F4890">
        <v>2</v>
      </c>
      <c r="G4890" t="s">
        <v>13</v>
      </c>
      <c r="H4890" s="1">
        <v>46019.96597222222</v>
      </c>
      <c r="I4890" s="5">
        <f>INT(TB[[#This Row],[时间戳]])</f>
        <v>46019</v>
      </c>
      <c r="J4890" s="2">
        <f>HOUR(TB[[#This Row],[时间戳]])</f>
        <v>23</v>
      </c>
      <c r="K4890">
        <v>13490</v>
      </c>
      <c r="L4890">
        <v>4</v>
      </c>
      <c r="M4890">
        <f>TB[[#This Row],[售价]]*TB[[#This Row],[销量]]</f>
        <v>53960</v>
      </c>
      <c r="N4890" t="str">
        <f>IF(TB[[#This Row],[售价]]&lt;1000,"低价商品",IF(TB[[#This Row],[售价]]&lt;5000,"中价商品",IF(TB[[#This Row],[售价]]&lt;10000,"高价商品","超高价商品")))</f>
        <v>超高价商品</v>
      </c>
    </row>
    <row r="4891" spans="1:14" x14ac:dyDescent="0.2">
      <c r="A4891">
        <v>759</v>
      </c>
      <c r="B4891">
        <v>122</v>
      </c>
      <c r="C4891" t="s">
        <v>26</v>
      </c>
      <c r="D4891" t="s">
        <v>155</v>
      </c>
      <c r="E4891" t="s">
        <v>12</v>
      </c>
      <c r="F4891">
        <v>2</v>
      </c>
      <c r="G4891" t="s">
        <v>13</v>
      </c>
      <c r="H4891" s="1">
        <v>46019.987500000003</v>
      </c>
      <c r="I4891" s="5">
        <f>INT(TB[[#This Row],[时间戳]])</f>
        <v>46019</v>
      </c>
      <c r="J4891" s="2">
        <f>HOUR(TB[[#This Row],[时间戳]])</f>
        <v>23</v>
      </c>
      <c r="K4891">
        <v>13565</v>
      </c>
      <c r="L4891">
        <v>5</v>
      </c>
      <c r="M4891">
        <f>TB[[#This Row],[售价]]*TB[[#This Row],[销量]]</f>
        <v>67825</v>
      </c>
      <c r="N4891" t="str">
        <f>IF(TB[[#This Row],[售价]]&lt;1000,"低价商品",IF(TB[[#This Row],[售价]]&lt;5000,"中价商品",IF(TB[[#This Row],[售价]]&lt;10000,"高价商品","超高价商品")))</f>
        <v>超高价商品</v>
      </c>
    </row>
    <row r="4892" spans="1:14" x14ac:dyDescent="0.2">
      <c r="A4892">
        <v>139</v>
      </c>
      <c r="B4892">
        <v>12</v>
      </c>
      <c r="C4892" t="s">
        <v>26</v>
      </c>
      <c r="D4892" t="s">
        <v>219</v>
      </c>
      <c r="E4892" t="s">
        <v>22</v>
      </c>
      <c r="F4892">
        <v>1</v>
      </c>
      <c r="G4892" t="s">
        <v>13</v>
      </c>
      <c r="H4892" s="1">
        <v>46019.994444444441</v>
      </c>
      <c r="I4892" s="5">
        <f>INT(TB[[#This Row],[时间戳]])</f>
        <v>46019</v>
      </c>
      <c r="J4892" s="2">
        <f>HOUR(TB[[#This Row],[时间戳]])</f>
        <v>23</v>
      </c>
      <c r="K4892">
        <v>6049</v>
      </c>
      <c r="L4892">
        <v>5</v>
      </c>
      <c r="M4892">
        <f>TB[[#This Row],[售价]]*TB[[#This Row],[销量]]</f>
        <v>30245</v>
      </c>
      <c r="N4892" t="str">
        <f>IF(TB[[#This Row],[售价]]&lt;1000,"低价商品",IF(TB[[#This Row],[售价]]&lt;5000,"中价商品",IF(TB[[#This Row],[售价]]&lt;10000,"高价商品","超高价商品")))</f>
        <v>高价商品</v>
      </c>
    </row>
    <row r="4893" spans="1:14" x14ac:dyDescent="0.2">
      <c r="A4893">
        <v>706</v>
      </c>
      <c r="B4893">
        <v>103</v>
      </c>
      <c r="C4893" t="s">
        <v>34</v>
      </c>
      <c r="D4893" t="s">
        <v>413</v>
      </c>
      <c r="E4893" t="s">
        <v>16</v>
      </c>
      <c r="F4893">
        <v>6</v>
      </c>
      <c r="G4893" t="s">
        <v>13</v>
      </c>
      <c r="H4893" s="1">
        <v>46019.995833333334</v>
      </c>
      <c r="I4893" s="5">
        <f>INT(TB[[#This Row],[时间戳]])</f>
        <v>46019</v>
      </c>
      <c r="J4893" s="2">
        <f>HOUR(TB[[#This Row],[时间戳]])</f>
        <v>23</v>
      </c>
      <c r="K4893">
        <v>11900</v>
      </c>
      <c r="L4893">
        <v>4</v>
      </c>
      <c r="M4893">
        <f>TB[[#This Row],[售价]]*TB[[#This Row],[销量]]</f>
        <v>47600</v>
      </c>
      <c r="N4893" t="str">
        <f>IF(TB[[#This Row],[售价]]&lt;1000,"低价商品",IF(TB[[#This Row],[售价]]&lt;5000,"中价商品",IF(TB[[#This Row],[售价]]&lt;10000,"高价商品","超高价商品")))</f>
        <v>超高价商品</v>
      </c>
    </row>
    <row r="4894" spans="1:14" x14ac:dyDescent="0.2">
      <c r="A4894">
        <v>479</v>
      </c>
      <c r="B4894">
        <v>188</v>
      </c>
      <c r="C4894" t="s">
        <v>34</v>
      </c>
      <c r="D4894" t="s">
        <v>125</v>
      </c>
      <c r="E4894" t="s">
        <v>31</v>
      </c>
      <c r="F4894">
        <v>4</v>
      </c>
      <c r="G4894" t="s">
        <v>13</v>
      </c>
      <c r="H4894" s="1">
        <v>46020.013194444444</v>
      </c>
      <c r="I4894" s="5">
        <f>INT(TB[[#This Row],[时间戳]])</f>
        <v>46020</v>
      </c>
      <c r="J4894" s="2">
        <f>HOUR(TB[[#This Row],[时间戳]])</f>
        <v>0</v>
      </c>
      <c r="K4894">
        <v>1179</v>
      </c>
      <c r="L4894">
        <v>4</v>
      </c>
      <c r="M4894">
        <f>TB[[#This Row],[售价]]*TB[[#This Row],[销量]]</f>
        <v>4716</v>
      </c>
      <c r="N4894" t="str">
        <f>IF(TB[[#This Row],[售价]]&lt;1000,"低价商品",IF(TB[[#This Row],[售价]]&lt;5000,"中价商品",IF(TB[[#This Row],[售价]]&lt;10000,"高价商品","超高价商品")))</f>
        <v>中价商品</v>
      </c>
    </row>
    <row r="4895" spans="1:14" x14ac:dyDescent="0.2">
      <c r="A4895">
        <v>402</v>
      </c>
      <c r="B4895">
        <v>22</v>
      </c>
      <c r="C4895" t="s">
        <v>46</v>
      </c>
      <c r="D4895" t="s">
        <v>341</v>
      </c>
      <c r="E4895" t="s">
        <v>31</v>
      </c>
      <c r="F4895">
        <v>4</v>
      </c>
      <c r="G4895" t="s">
        <v>13</v>
      </c>
      <c r="H4895" s="1">
        <v>46020.018055555556</v>
      </c>
      <c r="I4895" s="5">
        <f>INT(TB[[#This Row],[时间戳]])</f>
        <v>46020</v>
      </c>
      <c r="J4895" s="2">
        <f>HOUR(TB[[#This Row],[时间戳]])</f>
        <v>0</v>
      </c>
      <c r="K4895">
        <v>380</v>
      </c>
      <c r="L4895">
        <v>4</v>
      </c>
      <c r="M4895">
        <f>TB[[#This Row],[售价]]*TB[[#This Row],[销量]]</f>
        <v>1520</v>
      </c>
      <c r="N4895" t="str">
        <f>IF(TB[[#This Row],[售价]]&lt;1000,"低价商品",IF(TB[[#This Row],[售价]]&lt;5000,"中价商品",IF(TB[[#This Row],[售价]]&lt;10000,"高价商品","超高价商品")))</f>
        <v>低价商品</v>
      </c>
    </row>
    <row r="4896" spans="1:14" x14ac:dyDescent="0.2">
      <c r="A4896">
        <v>45</v>
      </c>
      <c r="B4896">
        <v>69</v>
      </c>
      <c r="C4896" t="s">
        <v>20</v>
      </c>
      <c r="D4896" t="s">
        <v>97</v>
      </c>
      <c r="E4896" t="s">
        <v>19</v>
      </c>
      <c r="F4896">
        <v>3</v>
      </c>
      <c r="G4896" t="s">
        <v>13</v>
      </c>
      <c r="H4896" s="1">
        <v>46020.027083333334</v>
      </c>
      <c r="I4896" s="5">
        <f>INT(TB[[#This Row],[时间戳]])</f>
        <v>46020</v>
      </c>
      <c r="J4896" s="2">
        <f>HOUR(TB[[#This Row],[时间戳]])</f>
        <v>0</v>
      </c>
      <c r="K4896">
        <v>2024</v>
      </c>
      <c r="L4896">
        <v>5</v>
      </c>
      <c r="M4896">
        <f>TB[[#This Row],[售价]]*TB[[#This Row],[销量]]</f>
        <v>10120</v>
      </c>
      <c r="N4896" t="str">
        <f>IF(TB[[#This Row],[售价]]&lt;1000,"低价商品",IF(TB[[#This Row],[售价]]&lt;5000,"中价商品",IF(TB[[#This Row],[售价]]&lt;10000,"高价商品","超高价商品")))</f>
        <v>中价商品</v>
      </c>
    </row>
    <row r="4897" spans="1:14" x14ac:dyDescent="0.2">
      <c r="A4897">
        <v>678</v>
      </c>
      <c r="B4897">
        <v>165</v>
      </c>
      <c r="C4897" t="s">
        <v>44</v>
      </c>
      <c r="D4897" t="s">
        <v>132</v>
      </c>
      <c r="E4897" t="s">
        <v>22</v>
      </c>
      <c r="F4897">
        <v>1</v>
      </c>
      <c r="G4897" t="s">
        <v>13</v>
      </c>
      <c r="H4897" s="1">
        <v>46020.02847222222</v>
      </c>
      <c r="I4897" s="5">
        <f>INT(TB[[#This Row],[时间戳]])</f>
        <v>46020</v>
      </c>
      <c r="J4897" s="2">
        <f>HOUR(TB[[#This Row],[时间戳]])</f>
        <v>0</v>
      </c>
      <c r="K4897">
        <v>4774</v>
      </c>
      <c r="L4897">
        <v>2</v>
      </c>
      <c r="M4897">
        <f>TB[[#This Row],[售价]]*TB[[#This Row],[销量]]</f>
        <v>9548</v>
      </c>
      <c r="N4897" t="str">
        <f>IF(TB[[#This Row],[售价]]&lt;1000,"低价商品",IF(TB[[#This Row],[售价]]&lt;5000,"中价商品",IF(TB[[#This Row],[售价]]&lt;10000,"高价商品","超高价商品")))</f>
        <v>中价商品</v>
      </c>
    </row>
    <row r="4898" spans="1:14" x14ac:dyDescent="0.2">
      <c r="A4898">
        <v>45</v>
      </c>
      <c r="B4898">
        <v>164</v>
      </c>
      <c r="C4898" t="s">
        <v>46</v>
      </c>
      <c r="D4898" t="s">
        <v>350</v>
      </c>
      <c r="E4898" t="s">
        <v>25</v>
      </c>
      <c r="F4898">
        <v>7</v>
      </c>
      <c r="G4898" t="s">
        <v>13</v>
      </c>
      <c r="H4898" s="1">
        <v>46020.03125</v>
      </c>
      <c r="I4898" s="5">
        <f>INT(TB[[#This Row],[时间戳]])</f>
        <v>46020</v>
      </c>
      <c r="J4898" s="2">
        <f>HOUR(TB[[#This Row],[时间戳]])</f>
        <v>0</v>
      </c>
      <c r="K4898">
        <v>3550</v>
      </c>
      <c r="L4898">
        <v>2</v>
      </c>
      <c r="M4898">
        <f>TB[[#This Row],[售价]]*TB[[#This Row],[销量]]</f>
        <v>7100</v>
      </c>
      <c r="N4898" t="str">
        <f>IF(TB[[#This Row],[售价]]&lt;1000,"低价商品",IF(TB[[#This Row],[售价]]&lt;5000,"中价商品",IF(TB[[#This Row],[售价]]&lt;10000,"高价商品","超高价商品")))</f>
        <v>中价商品</v>
      </c>
    </row>
    <row r="4899" spans="1:14" x14ac:dyDescent="0.2">
      <c r="A4899">
        <v>289</v>
      </c>
      <c r="B4899">
        <v>147</v>
      </c>
      <c r="C4899" t="s">
        <v>20</v>
      </c>
      <c r="D4899" t="s">
        <v>399</v>
      </c>
      <c r="E4899" t="s">
        <v>31</v>
      </c>
      <c r="F4899">
        <v>4</v>
      </c>
      <c r="G4899" t="s">
        <v>13</v>
      </c>
      <c r="H4899" s="1">
        <v>46020.038194444445</v>
      </c>
      <c r="I4899" s="5">
        <f>INT(TB[[#This Row],[时间戳]])</f>
        <v>46020</v>
      </c>
      <c r="J4899" s="2">
        <f>HOUR(TB[[#This Row],[时间戳]])</f>
        <v>0</v>
      </c>
      <c r="K4899">
        <v>817</v>
      </c>
      <c r="L4899">
        <v>4</v>
      </c>
      <c r="M4899">
        <f>TB[[#This Row],[售价]]*TB[[#This Row],[销量]]</f>
        <v>3268</v>
      </c>
      <c r="N4899" t="str">
        <f>IF(TB[[#This Row],[售价]]&lt;1000,"低价商品",IF(TB[[#This Row],[售价]]&lt;5000,"中价商品",IF(TB[[#This Row],[售价]]&lt;10000,"高价商品","超高价商品")))</f>
        <v>低价商品</v>
      </c>
    </row>
    <row r="4900" spans="1:14" x14ac:dyDescent="0.2">
      <c r="A4900">
        <v>128</v>
      </c>
      <c r="B4900">
        <v>286</v>
      </c>
      <c r="C4900" t="s">
        <v>20</v>
      </c>
      <c r="D4900" t="s">
        <v>72</v>
      </c>
      <c r="E4900" t="s">
        <v>25</v>
      </c>
      <c r="F4900">
        <v>7</v>
      </c>
      <c r="G4900" t="s">
        <v>13</v>
      </c>
      <c r="H4900" s="1">
        <v>46020.039583333331</v>
      </c>
      <c r="I4900" s="5">
        <f>INT(TB[[#This Row],[时间戳]])</f>
        <v>46020</v>
      </c>
      <c r="J4900" s="2">
        <f>HOUR(TB[[#This Row],[时间戳]])</f>
        <v>0</v>
      </c>
      <c r="K4900">
        <v>4113</v>
      </c>
      <c r="L4900">
        <v>4</v>
      </c>
      <c r="M4900">
        <f>TB[[#This Row],[售价]]*TB[[#This Row],[销量]]</f>
        <v>16452</v>
      </c>
      <c r="N4900" t="str">
        <f>IF(TB[[#This Row],[售价]]&lt;1000,"低价商品",IF(TB[[#This Row],[售价]]&lt;5000,"中价商品",IF(TB[[#This Row],[售价]]&lt;10000,"高价商品","超高价商品")))</f>
        <v>中价商品</v>
      </c>
    </row>
    <row r="4901" spans="1:14" x14ac:dyDescent="0.2">
      <c r="A4901">
        <v>736</v>
      </c>
      <c r="B4901">
        <v>281</v>
      </c>
      <c r="C4901" t="s">
        <v>20</v>
      </c>
      <c r="D4901" t="s">
        <v>293</v>
      </c>
      <c r="E4901" t="s">
        <v>12</v>
      </c>
      <c r="F4901">
        <v>2</v>
      </c>
      <c r="G4901" t="s">
        <v>13</v>
      </c>
      <c r="H4901" s="1">
        <v>46020.084027777775</v>
      </c>
      <c r="I4901" s="5">
        <f>INT(TB[[#This Row],[时间戳]])</f>
        <v>46020</v>
      </c>
      <c r="J4901" s="2">
        <f>HOUR(TB[[#This Row],[时间戳]])</f>
        <v>2</v>
      </c>
      <c r="K4901">
        <v>4388</v>
      </c>
      <c r="L4901">
        <v>4</v>
      </c>
      <c r="M4901">
        <f>TB[[#This Row],[售价]]*TB[[#This Row],[销量]]</f>
        <v>17552</v>
      </c>
      <c r="N4901" t="str">
        <f>IF(TB[[#This Row],[售价]]&lt;1000,"低价商品",IF(TB[[#This Row],[售价]]&lt;5000,"中价商品",IF(TB[[#This Row],[售价]]&lt;10000,"高价商品","超高价商品")))</f>
        <v>中价商品</v>
      </c>
    </row>
    <row r="4902" spans="1:14" x14ac:dyDescent="0.2">
      <c r="A4902">
        <v>359</v>
      </c>
      <c r="B4902">
        <v>272</v>
      </c>
      <c r="C4902" t="s">
        <v>34</v>
      </c>
      <c r="D4902" t="s">
        <v>105</v>
      </c>
      <c r="E4902" t="s">
        <v>12</v>
      </c>
      <c r="F4902">
        <v>2</v>
      </c>
      <c r="G4902" t="s">
        <v>13</v>
      </c>
      <c r="H4902" s="1">
        <v>46020.084027777775</v>
      </c>
      <c r="I4902" s="5">
        <f>INT(TB[[#This Row],[时间戳]])</f>
        <v>46020</v>
      </c>
      <c r="J4902" s="2">
        <f>HOUR(TB[[#This Row],[时间戳]])</f>
        <v>2</v>
      </c>
      <c r="K4902">
        <v>13751</v>
      </c>
      <c r="L4902">
        <v>4</v>
      </c>
      <c r="M4902">
        <f>TB[[#This Row],[售价]]*TB[[#This Row],[销量]]</f>
        <v>55004</v>
      </c>
      <c r="N4902" t="str">
        <f>IF(TB[[#This Row],[售价]]&lt;1000,"低价商品",IF(TB[[#This Row],[售价]]&lt;5000,"中价商品",IF(TB[[#This Row],[售价]]&lt;10000,"高价商品","超高价商品")))</f>
        <v>超高价商品</v>
      </c>
    </row>
    <row r="4903" spans="1:14" x14ac:dyDescent="0.2">
      <c r="A4903">
        <v>408</v>
      </c>
      <c r="B4903">
        <v>208</v>
      </c>
      <c r="C4903" t="s">
        <v>36</v>
      </c>
      <c r="D4903" t="s">
        <v>377</v>
      </c>
      <c r="E4903" t="s">
        <v>12</v>
      </c>
      <c r="F4903">
        <v>2</v>
      </c>
      <c r="G4903" t="s">
        <v>13</v>
      </c>
      <c r="H4903" s="1">
        <v>46020.09652777778</v>
      </c>
      <c r="I4903" s="5">
        <f>INT(TB[[#This Row],[时间戳]])</f>
        <v>46020</v>
      </c>
      <c r="J4903" s="2">
        <f>HOUR(TB[[#This Row],[时间戳]])</f>
        <v>2</v>
      </c>
      <c r="K4903">
        <v>7407</v>
      </c>
      <c r="L4903">
        <v>4</v>
      </c>
      <c r="M4903">
        <f>TB[[#This Row],[售价]]*TB[[#This Row],[销量]]</f>
        <v>29628</v>
      </c>
      <c r="N4903" t="str">
        <f>IF(TB[[#This Row],[售价]]&lt;1000,"低价商品",IF(TB[[#This Row],[售价]]&lt;5000,"中价商品",IF(TB[[#This Row],[售价]]&lt;10000,"高价商品","超高价商品")))</f>
        <v>高价商品</v>
      </c>
    </row>
    <row r="4904" spans="1:14" x14ac:dyDescent="0.2">
      <c r="A4904">
        <v>380</v>
      </c>
      <c r="B4904">
        <v>77</v>
      </c>
      <c r="C4904" t="s">
        <v>46</v>
      </c>
      <c r="D4904" t="s">
        <v>121</v>
      </c>
      <c r="E4904" t="s">
        <v>25</v>
      </c>
      <c r="F4904">
        <v>7</v>
      </c>
      <c r="G4904" t="s">
        <v>13</v>
      </c>
      <c r="H4904" s="1">
        <v>46020.098611111112</v>
      </c>
      <c r="I4904" s="5">
        <f>INT(TB[[#This Row],[时间戳]])</f>
        <v>46020</v>
      </c>
      <c r="J4904" s="2">
        <f>HOUR(TB[[#This Row],[时间戳]])</f>
        <v>2</v>
      </c>
      <c r="K4904">
        <v>2670</v>
      </c>
      <c r="L4904">
        <v>5</v>
      </c>
      <c r="M4904">
        <f>TB[[#This Row],[售价]]*TB[[#This Row],[销量]]</f>
        <v>13350</v>
      </c>
      <c r="N4904" t="str">
        <f>IF(TB[[#This Row],[售价]]&lt;1000,"低价商品",IF(TB[[#This Row],[售价]]&lt;5000,"中价商品",IF(TB[[#This Row],[售价]]&lt;10000,"高价商品","超高价商品")))</f>
        <v>中价商品</v>
      </c>
    </row>
    <row r="4905" spans="1:14" x14ac:dyDescent="0.2">
      <c r="A4905">
        <v>54</v>
      </c>
      <c r="B4905">
        <v>162</v>
      </c>
      <c r="C4905" t="s">
        <v>46</v>
      </c>
      <c r="D4905" t="s">
        <v>47</v>
      </c>
      <c r="E4905" t="s">
        <v>22</v>
      </c>
      <c r="F4905">
        <v>1</v>
      </c>
      <c r="G4905" t="s">
        <v>13</v>
      </c>
      <c r="H4905" s="1">
        <v>46020.105555555558</v>
      </c>
      <c r="I4905" s="5">
        <f>INT(TB[[#This Row],[时间戳]])</f>
        <v>46020</v>
      </c>
      <c r="J4905" s="2">
        <f>HOUR(TB[[#This Row],[时间戳]])</f>
        <v>2</v>
      </c>
      <c r="K4905">
        <v>2062</v>
      </c>
      <c r="L4905">
        <v>5</v>
      </c>
      <c r="M4905">
        <f>TB[[#This Row],[售价]]*TB[[#This Row],[销量]]</f>
        <v>10310</v>
      </c>
      <c r="N4905" t="str">
        <f>IF(TB[[#This Row],[售价]]&lt;1000,"低价商品",IF(TB[[#This Row],[售价]]&lt;5000,"中价商品",IF(TB[[#This Row],[售价]]&lt;10000,"高价商品","超高价商品")))</f>
        <v>中价商品</v>
      </c>
    </row>
    <row r="4906" spans="1:14" x14ac:dyDescent="0.2">
      <c r="A4906">
        <v>241</v>
      </c>
      <c r="B4906">
        <v>210</v>
      </c>
      <c r="C4906" t="s">
        <v>17</v>
      </c>
      <c r="D4906" t="s">
        <v>362</v>
      </c>
      <c r="E4906" t="s">
        <v>25</v>
      </c>
      <c r="F4906">
        <v>7</v>
      </c>
      <c r="G4906" t="s">
        <v>42</v>
      </c>
      <c r="H4906" s="1">
        <v>46020.15347222222</v>
      </c>
      <c r="I4906" s="5">
        <f>INT(TB[[#This Row],[时间戳]])</f>
        <v>46020</v>
      </c>
      <c r="J4906" s="2">
        <f>HOUR(TB[[#This Row],[时间戳]])</f>
        <v>3</v>
      </c>
      <c r="K4906">
        <v>7237</v>
      </c>
      <c r="L4906">
        <v>0</v>
      </c>
      <c r="M4906">
        <f>TB[[#This Row],[售价]]*TB[[#This Row],[销量]]</f>
        <v>0</v>
      </c>
      <c r="N4906" t="str">
        <f>IF(TB[[#This Row],[售价]]&lt;1000,"低价商品",IF(TB[[#This Row],[售价]]&lt;5000,"中价商品",IF(TB[[#This Row],[售价]]&lt;10000,"高价商品","超高价商品")))</f>
        <v>高价商品</v>
      </c>
    </row>
    <row r="4907" spans="1:14" x14ac:dyDescent="0.2">
      <c r="A4907">
        <v>555</v>
      </c>
      <c r="B4907">
        <v>217</v>
      </c>
      <c r="C4907" t="s">
        <v>26</v>
      </c>
      <c r="D4907" t="s">
        <v>92</v>
      </c>
      <c r="E4907" t="s">
        <v>19</v>
      </c>
      <c r="F4907">
        <v>3</v>
      </c>
      <c r="G4907" t="s">
        <v>13</v>
      </c>
      <c r="H4907" s="1">
        <v>46020.156944444447</v>
      </c>
      <c r="I4907" s="5">
        <f>INT(TB[[#This Row],[时间戳]])</f>
        <v>46020</v>
      </c>
      <c r="J4907" s="2">
        <f>HOUR(TB[[#This Row],[时间戳]])</f>
        <v>3</v>
      </c>
      <c r="K4907">
        <v>2355</v>
      </c>
      <c r="L4907">
        <v>4</v>
      </c>
      <c r="M4907">
        <f>TB[[#This Row],[售价]]*TB[[#This Row],[销量]]</f>
        <v>9420</v>
      </c>
      <c r="N4907" t="str">
        <f>IF(TB[[#This Row],[售价]]&lt;1000,"低价商品",IF(TB[[#This Row],[售价]]&lt;5000,"中价商品",IF(TB[[#This Row],[售价]]&lt;10000,"高价商品","超高价商品")))</f>
        <v>中价商品</v>
      </c>
    </row>
    <row r="4908" spans="1:14" x14ac:dyDescent="0.2">
      <c r="A4908">
        <v>460</v>
      </c>
      <c r="B4908">
        <v>79</v>
      </c>
      <c r="C4908" t="s">
        <v>10</v>
      </c>
      <c r="D4908" t="s">
        <v>96</v>
      </c>
      <c r="E4908" t="s">
        <v>22</v>
      </c>
      <c r="F4908">
        <v>1</v>
      </c>
      <c r="G4908" t="s">
        <v>13</v>
      </c>
      <c r="H4908" s="1">
        <v>46020.21875</v>
      </c>
      <c r="I4908" s="5">
        <f>INT(TB[[#This Row],[时间戳]])</f>
        <v>46020</v>
      </c>
      <c r="J4908" s="2">
        <f>HOUR(TB[[#This Row],[时间戳]])</f>
        <v>5</v>
      </c>
      <c r="K4908">
        <v>1278</v>
      </c>
      <c r="L4908">
        <v>4</v>
      </c>
      <c r="M4908">
        <f>TB[[#This Row],[售价]]*TB[[#This Row],[销量]]</f>
        <v>5112</v>
      </c>
      <c r="N4908" t="str">
        <f>IF(TB[[#This Row],[售价]]&lt;1000,"低价商品",IF(TB[[#This Row],[售价]]&lt;5000,"中价商品",IF(TB[[#This Row],[售价]]&lt;10000,"高价商品","超高价商品")))</f>
        <v>中价商品</v>
      </c>
    </row>
    <row r="4909" spans="1:14" x14ac:dyDescent="0.2">
      <c r="A4909">
        <v>202</v>
      </c>
      <c r="B4909">
        <v>181</v>
      </c>
      <c r="C4909" t="s">
        <v>10</v>
      </c>
      <c r="D4909" t="s">
        <v>116</v>
      </c>
      <c r="E4909" t="s">
        <v>31</v>
      </c>
      <c r="F4909">
        <v>4</v>
      </c>
      <c r="G4909" t="s">
        <v>42</v>
      </c>
      <c r="H4909" s="1">
        <v>46020.222916666666</v>
      </c>
      <c r="I4909" s="5">
        <f>INT(TB[[#This Row],[时间戳]])</f>
        <v>46020</v>
      </c>
      <c r="J4909" s="2">
        <f>HOUR(TB[[#This Row],[时间戳]])</f>
        <v>5</v>
      </c>
      <c r="K4909">
        <v>920</v>
      </c>
      <c r="L4909">
        <v>0</v>
      </c>
      <c r="M4909">
        <f>TB[[#This Row],[售价]]*TB[[#This Row],[销量]]</f>
        <v>0</v>
      </c>
      <c r="N4909" t="str">
        <f>IF(TB[[#This Row],[售价]]&lt;1000,"低价商品",IF(TB[[#This Row],[售价]]&lt;5000,"中价商品",IF(TB[[#This Row],[售价]]&lt;10000,"高价商品","超高价商品")))</f>
        <v>低价商品</v>
      </c>
    </row>
    <row r="4910" spans="1:14" x14ac:dyDescent="0.2">
      <c r="A4910">
        <v>374</v>
      </c>
      <c r="B4910">
        <v>14</v>
      </c>
      <c r="C4910" t="s">
        <v>34</v>
      </c>
      <c r="D4910" t="s">
        <v>164</v>
      </c>
      <c r="E4910" t="s">
        <v>22</v>
      </c>
      <c r="F4910">
        <v>1</v>
      </c>
      <c r="G4910" t="s">
        <v>13</v>
      </c>
      <c r="H4910" s="1">
        <v>46020.247916666667</v>
      </c>
      <c r="I4910" s="5">
        <f>INT(TB[[#This Row],[时间戳]])</f>
        <v>46020</v>
      </c>
      <c r="J4910" s="2">
        <f>HOUR(TB[[#This Row],[时间戳]])</f>
        <v>5</v>
      </c>
      <c r="K4910">
        <v>7383</v>
      </c>
      <c r="L4910">
        <v>4</v>
      </c>
      <c r="M4910">
        <f>TB[[#This Row],[售价]]*TB[[#This Row],[销量]]</f>
        <v>29532</v>
      </c>
      <c r="N4910" t="str">
        <f>IF(TB[[#This Row],[售价]]&lt;1000,"低价商品",IF(TB[[#This Row],[售价]]&lt;5000,"中价商品",IF(TB[[#This Row],[售价]]&lt;10000,"高价商品","超高价商品")))</f>
        <v>高价商品</v>
      </c>
    </row>
    <row r="4911" spans="1:14" x14ac:dyDescent="0.2">
      <c r="A4911">
        <v>5</v>
      </c>
      <c r="B4911">
        <v>35</v>
      </c>
      <c r="C4911" t="s">
        <v>32</v>
      </c>
      <c r="D4911" t="s">
        <v>193</v>
      </c>
      <c r="E4911" t="s">
        <v>22</v>
      </c>
      <c r="F4911">
        <v>1</v>
      </c>
      <c r="G4911" t="s">
        <v>13</v>
      </c>
      <c r="H4911" s="1">
        <v>46020.262499999997</v>
      </c>
      <c r="I4911" s="5">
        <f>INT(TB[[#This Row],[时间戳]])</f>
        <v>46020</v>
      </c>
      <c r="J4911" s="2">
        <f>HOUR(TB[[#This Row],[时间戳]])</f>
        <v>6</v>
      </c>
      <c r="K4911">
        <v>1572</v>
      </c>
      <c r="L4911">
        <v>5</v>
      </c>
      <c r="M4911">
        <f>TB[[#This Row],[售价]]*TB[[#This Row],[销量]]</f>
        <v>7860</v>
      </c>
      <c r="N4911" t="str">
        <f>IF(TB[[#This Row],[售价]]&lt;1000,"低价商品",IF(TB[[#This Row],[售价]]&lt;5000,"中价商品",IF(TB[[#This Row],[售价]]&lt;10000,"高价商品","超高价商品")))</f>
        <v>中价商品</v>
      </c>
    </row>
    <row r="4912" spans="1:14" x14ac:dyDescent="0.2">
      <c r="A4912">
        <v>509</v>
      </c>
      <c r="B4912">
        <v>49</v>
      </c>
      <c r="C4912" t="s">
        <v>14</v>
      </c>
      <c r="D4912" t="s">
        <v>405</v>
      </c>
      <c r="E4912" t="s">
        <v>19</v>
      </c>
      <c r="F4912">
        <v>3</v>
      </c>
      <c r="G4912" t="s">
        <v>13</v>
      </c>
      <c r="H4912" s="1">
        <v>46020.302083333336</v>
      </c>
      <c r="I4912" s="5">
        <f>INT(TB[[#This Row],[时间戳]])</f>
        <v>46020</v>
      </c>
      <c r="J4912" s="2">
        <f>HOUR(TB[[#This Row],[时间戳]])</f>
        <v>7</v>
      </c>
      <c r="K4912">
        <v>5031</v>
      </c>
      <c r="L4912">
        <v>4</v>
      </c>
      <c r="M4912">
        <f>TB[[#This Row],[售价]]*TB[[#This Row],[销量]]</f>
        <v>20124</v>
      </c>
      <c r="N4912" t="str">
        <f>IF(TB[[#This Row],[售价]]&lt;1000,"低价商品",IF(TB[[#This Row],[售价]]&lt;5000,"中价商品",IF(TB[[#This Row],[售价]]&lt;10000,"高价商品","超高价商品")))</f>
        <v>高价商品</v>
      </c>
    </row>
    <row r="4913" spans="1:14" x14ac:dyDescent="0.2">
      <c r="A4913">
        <v>540</v>
      </c>
      <c r="B4913">
        <v>226</v>
      </c>
      <c r="C4913" t="s">
        <v>10</v>
      </c>
      <c r="D4913" t="s">
        <v>96</v>
      </c>
      <c r="E4913" t="s">
        <v>22</v>
      </c>
      <c r="F4913">
        <v>1</v>
      </c>
      <c r="G4913" t="s">
        <v>42</v>
      </c>
      <c r="H4913" s="1">
        <v>46020.317361111112</v>
      </c>
      <c r="I4913" s="5">
        <f>INT(TB[[#This Row],[时间戳]])</f>
        <v>46020</v>
      </c>
      <c r="J4913" s="2">
        <f>HOUR(TB[[#This Row],[时间戳]])</f>
        <v>7</v>
      </c>
      <c r="K4913">
        <v>3604</v>
      </c>
      <c r="L4913">
        <v>0</v>
      </c>
      <c r="M4913">
        <f>TB[[#This Row],[售价]]*TB[[#This Row],[销量]]</f>
        <v>0</v>
      </c>
      <c r="N4913" t="str">
        <f>IF(TB[[#This Row],[售价]]&lt;1000,"低价商品",IF(TB[[#This Row],[售价]]&lt;5000,"中价商品",IF(TB[[#This Row],[售价]]&lt;10000,"高价商品","超高价商品")))</f>
        <v>中价商品</v>
      </c>
    </row>
    <row r="4914" spans="1:14" x14ac:dyDescent="0.2">
      <c r="A4914">
        <v>184</v>
      </c>
      <c r="B4914">
        <v>131</v>
      </c>
      <c r="C4914" t="s">
        <v>34</v>
      </c>
      <c r="D4914" t="s">
        <v>308</v>
      </c>
      <c r="E4914" t="s">
        <v>25</v>
      </c>
      <c r="F4914">
        <v>7</v>
      </c>
      <c r="G4914" t="s">
        <v>13</v>
      </c>
      <c r="H4914" s="1">
        <v>46020.331250000003</v>
      </c>
      <c r="I4914" s="5">
        <f>INT(TB[[#This Row],[时间戳]])</f>
        <v>46020</v>
      </c>
      <c r="J4914" s="2">
        <f>HOUR(TB[[#This Row],[时间戳]])</f>
        <v>7</v>
      </c>
      <c r="K4914">
        <v>6017</v>
      </c>
      <c r="L4914">
        <v>2</v>
      </c>
      <c r="M4914">
        <f>TB[[#This Row],[售价]]*TB[[#This Row],[销量]]</f>
        <v>12034</v>
      </c>
      <c r="N4914" t="str">
        <f>IF(TB[[#This Row],[售价]]&lt;1000,"低价商品",IF(TB[[#This Row],[售价]]&lt;5000,"中价商品",IF(TB[[#This Row],[售价]]&lt;10000,"高价商品","超高价商品")))</f>
        <v>高价商品</v>
      </c>
    </row>
    <row r="4915" spans="1:14" x14ac:dyDescent="0.2">
      <c r="A4915">
        <v>605</v>
      </c>
      <c r="B4915">
        <v>168</v>
      </c>
      <c r="C4915" t="s">
        <v>32</v>
      </c>
      <c r="D4915" t="s">
        <v>118</v>
      </c>
      <c r="E4915" t="s">
        <v>19</v>
      </c>
      <c r="F4915">
        <v>3</v>
      </c>
      <c r="G4915" t="s">
        <v>13</v>
      </c>
      <c r="H4915" s="1">
        <v>46020.335416666669</v>
      </c>
      <c r="I4915" s="5">
        <f>INT(TB[[#This Row],[时间戳]])</f>
        <v>46020</v>
      </c>
      <c r="J4915" s="2">
        <f>HOUR(TB[[#This Row],[时间戳]])</f>
        <v>8</v>
      </c>
      <c r="K4915">
        <v>3813</v>
      </c>
      <c r="L4915">
        <v>4</v>
      </c>
      <c r="M4915">
        <f>TB[[#This Row],[售价]]*TB[[#This Row],[销量]]</f>
        <v>15252</v>
      </c>
      <c r="N4915" t="str">
        <f>IF(TB[[#This Row],[售价]]&lt;1000,"低价商品",IF(TB[[#This Row],[售价]]&lt;5000,"中价商品",IF(TB[[#This Row],[售价]]&lt;10000,"高价商品","超高价商品")))</f>
        <v>中价商品</v>
      </c>
    </row>
    <row r="4916" spans="1:14" x14ac:dyDescent="0.2">
      <c r="A4916">
        <v>58</v>
      </c>
      <c r="B4916">
        <v>193</v>
      </c>
      <c r="C4916" t="s">
        <v>46</v>
      </c>
      <c r="D4916" t="s">
        <v>260</v>
      </c>
      <c r="E4916" t="s">
        <v>22</v>
      </c>
      <c r="F4916">
        <v>1</v>
      </c>
      <c r="G4916" t="s">
        <v>13</v>
      </c>
      <c r="H4916" s="1">
        <v>46020.338888888888</v>
      </c>
      <c r="I4916" s="5">
        <f>INT(TB[[#This Row],[时间戳]])</f>
        <v>46020</v>
      </c>
      <c r="J4916" s="2">
        <f>HOUR(TB[[#This Row],[时间戳]])</f>
        <v>8</v>
      </c>
      <c r="K4916">
        <v>3545</v>
      </c>
      <c r="L4916">
        <v>5</v>
      </c>
      <c r="M4916">
        <f>TB[[#This Row],[售价]]*TB[[#This Row],[销量]]</f>
        <v>17725</v>
      </c>
      <c r="N4916" t="str">
        <f>IF(TB[[#This Row],[售价]]&lt;1000,"低价商品",IF(TB[[#This Row],[售价]]&lt;5000,"中价商品",IF(TB[[#This Row],[售价]]&lt;10000,"高价商品","超高价商品")))</f>
        <v>中价商品</v>
      </c>
    </row>
    <row r="4917" spans="1:14" x14ac:dyDescent="0.2">
      <c r="A4917">
        <v>100</v>
      </c>
      <c r="B4917">
        <v>164</v>
      </c>
      <c r="C4917" t="s">
        <v>34</v>
      </c>
      <c r="D4917" t="s">
        <v>308</v>
      </c>
      <c r="E4917" t="s">
        <v>25</v>
      </c>
      <c r="F4917">
        <v>7</v>
      </c>
      <c r="G4917" t="s">
        <v>13</v>
      </c>
      <c r="H4917" s="1">
        <v>46020.384027777778</v>
      </c>
      <c r="I4917" s="5">
        <f>INT(TB[[#This Row],[时间戳]])</f>
        <v>46020</v>
      </c>
      <c r="J4917" s="2">
        <f>HOUR(TB[[#This Row],[时间戳]])</f>
        <v>9</v>
      </c>
      <c r="K4917">
        <v>3838</v>
      </c>
      <c r="L4917">
        <v>4</v>
      </c>
      <c r="M4917">
        <f>TB[[#This Row],[售价]]*TB[[#This Row],[销量]]</f>
        <v>15352</v>
      </c>
      <c r="N4917" t="str">
        <f>IF(TB[[#This Row],[售价]]&lt;1000,"低价商品",IF(TB[[#This Row],[售价]]&lt;5000,"中价商品",IF(TB[[#This Row],[售价]]&lt;10000,"高价商品","超高价商品")))</f>
        <v>中价商品</v>
      </c>
    </row>
    <row r="4918" spans="1:14" x14ac:dyDescent="0.2">
      <c r="A4918">
        <v>327</v>
      </c>
      <c r="B4918">
        <v>236</v>
      </c>
      <c r="C4918" t="s">
        <v>46</v>
      </c>
      <c r="D4918" t="s">
        <v>80</v>
      </c>
      <c r="E4918" t="s">
        <v>22</v>
      </c>
      <c r="F4918">
        <v>1</v>
      </c>
      <c r="G4918" t="s">
        <v>13</v>
      </c>
      <c r="H4918" s="1">
        <v>46020.39166666667</v>
      </c>
      <c r="I4918" s="5">
        <f>INT(TB[[#This Row],[时间戳]])</f>
        <v>46020</v>
      </c>
      <c r="J4918" s="2">
        <f>HOUR(TB[[#This Row],[时间戳]])</f>
        <v>9</v>
      </c>
      <c r="K4918">
        <v>6727</v>
      </c>
      <c r="L4918">
        <v>4</v>
      </c>
      <c r="M4918">
        <f>TB[[#This Row],[售价]]*TB[[#This Row],[销量]]</f>
        <v>26908</v>
      </c>
      <c r="N4918" t="str">
        <f>IF(TB[[#This Row],[售价]]&lt;1000,"低价商品",IF(TB[[#This Row],[售价]]&lt;5000,"中价商品",IF(TB[[#This Row],[售价]]&lt;10000,"高价商品","超高价商品")))</f>
        <v>高价商品</v>
      </c>
    </row>
    <row r="4919" spans="1:14" x14ac:dyDescent="0.2">
      <c r="A4919">
        <v>538</v>
      </c>
      <c r="B4919">
        <v>295</v>
      </c>
      <c r="C4919" t="s">
        <v>14</v>
      </c>
      <c r="D4919" t="s">
        <v>223</v>
      </c>
      <c r="E4919" t="s">
        <v>22</v>
      </c>
      <c r="F4919">
        <v>1</v>
      </c>
      <c r="G4919" t="s">
        <v>13</v>
      </c>
      <c r="H4919" s="1">
        <v>46020.4</v>
      </c>
      <c r="I4919" s="5">
        <f>INT(TB[[#This Row],[时间戳]])</f>
        <v>46020</v>
      </c>
      <c r="J4919" s="2">
        <f>HOUR(TB[[#This Row],[时间戳]])</f>
        <v>9</v>
      </c>
      <c r="K4919">
        <v>2101</v>
      </c>
      <c r="L4919">
        <v>4</v>
      </c>
      <c r="M4919">
        <f>TB[[#This Row],[售价]]*TB[[#This Row],[销量]]</f>
        <v>8404</v>
      </c>
      <c r="N4919" t="str">
        <f>IF(TB[[#This Row],[售价]]&lt;1000,"低价商品",IF(TB[[#This Row],[售价]]&lt;5000,"中价商品",IF(TB[[#This Row],[售价]]&lt;10000,"高价商品","超高价商品")))</f>
        <v>中价商品</v>
      </c>
    </row>
    <row r="4920" spans="1:14" x14ac:dyDescent="0.2">
      <c r="A4920">
        <v>308</v>
      </c>
      <c r="B4920">
        <v>208</v>
      </c>
      <c r="C4920" t="s">
        <v>17</v>
      </c>
      <c r="D4920" t="s">
        <v>98</v>
      </c>
      <c r="E4920" t="s">
        <v>22</v>
      </c>
      <c r="F4920">
        <v>1</v>
      </c>
      <c r="G4920" t="s">
        <v>42</v>
      </c>
      <c r="H4920" s="1">
        <v>46020.426388888889</v>
      </c>
      <c r="I4920" s="5">
        <f>INT(TB[[#This Row],[时间戳]])</f>
        <v>46020</v>
      </c>
      <c r="J4920" s="2">
        <f>HOUR(TB[[#This Row],[时间戳]])</f>
        <v>10</v>
      </c>
      <c r="K4920">
        <v>5357</v>
      </c>
      <c r="L4920">
        <v>0</v>
      </c>
      <c r="M4920">
        <f>TB[[#This Row],[售价]]*TB[[#This Row],[销量]]</f>
        <v>0</v>
      </c>
      <c r="N4920" t="str">
        <f>IF(TB[[#This Row],[售价]]&lt;1000,"低价商品",IF(TB[[#This Row],[售价]]&lt;5000,"中价商品",IF(TB[[#This Row],[售价]]&lt;10000,"高价商品","超高价商品")))</f>
        <v>高价商品</v>
      </c>
    </row>
    <row r="4921" spans="1:14" x14ac:dyDescent="0.2">
      <c r="A4921">
        <v>398</v>
      </c>
      <c r="B4921">
        <v>64</v>
      </c>
      <c r="C4921" t="s">
        <v>17</v>
      </c>
      <c r="D4921" t="s">
        <v>133</v>
      </c>
      <c r="E4921" t="s">
        <v>31</v>
      </c>
      <c r="F4921">
        <v>4</v>
      </c>
      <c r="G4921" t="s">
        <v>13</v>
      </c>
      <c r="H4921" s="1">
        <v>46020.434027777781</v>
      </c>
      <c r="I4921" s="5">
        <f>INT(TB[[#This Row],[时间戳]])</f>
        <v>46020</v>
      </c>
      <c r="J4921" s="2">
        <f>HOUR(TB[[#This Row],[时间戳]])</f>
        <v>10</v>
      </c>
      <c r="K4921">
        <v>1148</v>
      </c>
      <c r="L4921">
        <v>4</v>
      </c>
      <c r="M4921">
        <f>TB[[#This Row],[售价]]*TB[[#This Row],[销量]]</f>
        <v>4592</v>
      </c>
      <c r="N4921" t="str">
        <f>IF(TB[[#This Row],[售价]]&lt;1000,"低价商品",IF(TB[[#This Row],[售价]]&lt;5000,"中价商品",IF(TB[[#This Row],[售价]]&lt;10000,"高价商品","超高价商品")))</f>
        <v>中价商品</v>
      </c>
    </row>
    <row r="4922" spans="1:14" x14ac:dyDescent="0.2">
      <c r="A4922">
        <v>731</v>
      </c>
      <c r="B4922">
        <v>254</v>
      </c>
      <c r="C4922" t="s">
        <v>32</v>
      </c>
      <c r="D4922" t="s">
        <v>342</v>
      </c>
      <c r="E4922" t="s">
        <v>39</v>
      </c>
      <c r="F4922">
        <v>5</v>
      </c>
      <c r="G4922" t="s">
        <v>13</v>
      </c>
      <c r="H4922" s="1">
        <v>46020.490277777775</v>
      </c>
      <c r="I4922" s="5">
        <f>INT(TB[[#This Row],[时间戳]])</f>
        <v>46020</v>
      </c>
      <c r="J4922" s="2">
        <f>HOUR(TB[[#This Row],[时间戳]])</f>
        <v>11</v>
      </c>
      <c r="K4922">
        <v>2988</v>
      </c>
      <c r="L4922">
        <v>5</v>
      </c>
      <c r="M4922">
        <f>TB[[#This Row],[售价]]*TB[[#This Row],[销量]]</f>
        <v>14940</v>
      </c>
      <c r="N4922" t="str">
        <f>IF(TB[[#This Row],[售价]]&lt;1000,"低价商品",IF(TB[[#This Row],[售价]]&lt;5000,"中价商品",IF(TB[[#This Row],[售价]]&lt;10000,"高价商品","超高价商品")))</f>
        <v>中价商品</v>
      </c>
    </row>
    <row r="4923" spans="1:14" x14ac:dyDescent="0.2">
      <c r="A4923">
        <v>406</v>
      </c>
      <c r="B4923">
        <v>281</v>
      </c>
      <c r="C4923" t="s">
        <v>20</v>
      </c>
      <c r="D4923" t="s">
        <v>167</v>
      </c>
      <c r="E4923" t="s">
        <v>39</v>
      </c>
      <c r="F4923">
        <v>5</v>
      </c>
      <c r="G4923" t="s">
        <v>13</v>
      </c>
      <c r="H4923" s="1">
        <v>46020.51458333333</v>
      </c>
      <c r="I4923" s="5">
        <f>INT(TB[[#This Row],[时间戳]])</f>
        <v>46020</v>
      </c>
      <c r="J4923" s="2">
        <f>HOUR(TB[[#This Row],[时间戳]])</f>
        <v>12</v>
      </c>
      <c r="K4923">
        <v>2001</v>
      </c>
      <c r="L4923">
        <v>5</v>
      </c>
      <c r="M4923">
        <f>TB[[#This Row],[售价]]*TB[[#This Row],[销量]]</f>
        <v>10005</v>
      </c>
      <c r="N4923" t="str">
        <f>IF(TB[[#This Row],[售价]]&lt;1000,"低价商品",IF(TB[[#This Row],[售价]]&lt;5000,"中价商品",IF(TB[[#This Row],[售价]]&lt;10000,"高价商品","超高价商品")))</f>
        <v>中价商品</v>
      </c>
    </row>
    <row r="4924" spans="1:14" x14ac:dyDescent="0.2">
      <c r="A4924">
        <v>791</v>
      </c>
      <c r="B4924">
        <v>96</v>
      </c>
      <c r="C4924" t="s">
        <v>44</v>
      </c>
      <c r="D4924" t="s">
        <v>397</v>
      </c>
      <c r="E4924" t="s">
        <v>25</v>
      </c>
      <c r="F4924">
        <v>7</v>
      </c>
      <c r="G4924" t="s">
        <v>13</v>
      </c>
      <c r="H4924" s="1">
        <v>46020.53125</v>
      </c>
      <c r="I4924" s="5">
        <f>INT(TB[[#This Row],[时间戳]])</f>
        <v>46020</v>
      </c>
      <c r="J4924" s="2">
        <f>HOUR(TB[[#This Row],[时间戳]])</f>
        <v>12</v>
      </c>
      <c r="K4924">
        <v>1547</v>
      </c>
      <c r="L4924">
        <v>4</v>
      </c>
      <c r="M4924">
        <f>TB[[#This Row],[售价]]*TB[[#This Row],[销量]]</f>
        <v>6188</v>
      </c>
      <c r="N4924" t="str">
        <f>IF(TB[[#This Row],[售价]]&lt;1000,"低价商品",IF(TB[[#This Row],[售价]]&lt;5000,"中价商品",IF(TB[[#This Row],[售价]]&lt;10000,"高价商品","超高价商品")))</f>
        <v>中价商品</v>
      </c>
    </row>
    <row r="4925" spans="1:14" x14ac:dyDescent="0.2">
      <c r="A4925">
        <v>749</v>
      </c>
      <c r="B4925">
        <v>46</v>
      </c>
      <c r="C4925" t="s">
        <v>44</v>
      </c>
      <c r="D4925" t="s">
        <v>169</v>
      </c>
      <c r="E4925" t="s">
        <v>31</v>
      </c>
      <c r="F4925">
        <v>4</v>
      </c>
      <c r="G4925" t="s">
        <v>13</v>
      </c>
      <c r="H4925" s="1">
        <v>46020.570833333331</v>
      </c>
      <c r="I4925" s="5">
        <f>INT(TB[[#This Row],[时间戳]])</f>
        <v>46020</v>
      </c>
      <c r="J4925" s="2">
        <f>HOUR(TB[[#This Row],[时间戳]])</f>
        <v>13</v>
      </c>
      <c r="K4925">
        <v>728</v>
      </c>
      <c r="L4925">
        <v>2</v>
      </c>
      <c r="M4925">
        <f>TB[[#This Row],[售价]]*TB[[#This Row],[销量]]</f>
        <v>1456</v>
      </c>
      <c r="N4925" t="str">
        <f>IF(TB[[#This Row],[售价]]&lt;1000,"低价商品",IF(TB[[#This Row],[售价]]&lt;5000,"中价商品",IF(TB[[#This Row],[售价]]&lt;10000,"高价商品","超高价商品")))</f>
        <v>低价商品</v>
      </c>
    </row>
    <row r="4926" spans="1:14" x14ac:dyDescent="0.2">
      <c r="A4926">
        <v>658</v>
      </c>
      <c r="B4926">
        <v>52</v>
      </c>
      <c r="C4926" t="s">
        <v>32</v>
      </c>
      <c r="D4926" t="s">
        <v>138</v>
      </c>
      <c r="E4926" t="s">
        <v>12</v>
      </c>
      <c r="F4926">
        <v>2</v>
      </c>
      <c r="G4926" t="s">
        <v>13</v>
      </c>
      <c r="H4926" s="1">
        <v>46020.571527777778</v>
      </c>
      <c r="I4926" s="5">
        <f>INT(TB[[#This Row],[时间戳]])</f>
        <v>46020</v>
      </c>
      <c r="J4926" s="2">
        <f>HOUR(TB[[#This Row],[时间戳]])</f>
        <v>13</v>
      </c>
      <c r="K4926">
        <v>12816</v>
      </c>
      <c r="L4926">
        <v>2</v>
      </c>
      <c r="M4926">
        <f>TB[[#This Row],[售价]]*TB[[#This Row],[销量]]</f>
        <v>25632</v>
      </c>
      <c r="N4926" t="str">
        <f>IF(TB[[#This Row],[售价]]&lt;1000,"低价商品",IF(TB[[#This Row],[售价]]&lt;5000,"中价商品",IF(TB[[#This Row],[售价]]&lt;10000,"高价商品","超高价商品")))</f>
        <v>超高价商品</v>
      </c>
    </row>
    <row r="4927" spans="1:14" x14ac:dyDescent="0.2">
      <c r="A4927">
        <v>618</v>
      </c>
      <c r="B4927">
        <v>185</v>
      </c>
      <c r="C4927" t="s">
        <v>26</v>
      </c>
      <c r="D4927" t="s">
        <v>179</v>
      </c>
      <c r="E4927" t="s">
        <v>16</v>
      </c>
      <c r="F4927">
        <v>6</v>
      </c>
      <c r="G4927" t="s">
        <v>13</v>
      </c>
      <c r="H4927" s="1">
        <v>46020.57708333333</v>
      </c>
      <c r="I4927" s="5">
        <f>INT(TB[[#This Row],[时间戳]])</f>
        <v>46020</v>
      </c>
      <c r="J4927" s="2">
        <f>HOUR(TB[[#This Row],[时间戳]])</f>
        <v>13</v>
      </c>
      <c r="K4927">
        <v>11130</v>
      </c>
      <c r="L4927">
        <v>2</v>
      </c>
      <c r="M4927">
        <f>TB[[#This Row],[售价]]*TB[[#This Row],[销量]]</f>
        <v>22260</v>
      </c>
      <c r="N4927" t="str">
        <f>IF(TB[[#This Row],[售价]]&lt;1000,"低价商品",IF(TB[[#This Row],[售价]]&lt;5000,"中价商品",IF(TB[[#This Row],[售价]]&lt;10000,"高价商品","超高价商品")))</f>
        <v>超高价商品</v>
      </c>
    </row>
    <row r="4928" spans="1:14" x14ac:dyDescent="0.2">
      <c r="A4928">
        <v>195</v>
      </c>
      <c r="B4928">
        <v>74</v>
      </c>
      <c r="C4928" t="s">
        <v>32</v>
      </c>
      <c r="D4928" t="s">
        <v>208</v>
      </c>
      <c r="E4928" t="s">
        <v>12</v>
      </c>
      <c r="F4928">
        <v>2</v>
      </c>
      <c r="G4928" t="s">
        <v>42</v>
      </c>
      <c r="H4928" s="1">
        <v>46020.588194444441</v>
      </c>
      <c r="I4928" s="5">
        <f>INT(TB[[#This Row],[时间戳]])</f>
        <v>46020</v>
      </c>
      <c r="J4928" s="2">
        <f>HOUR(TB[[#This Row],[时间戳]])</f>
        <v>14</v>
      </c>
      <c r="K4928">
        <v>11135</v>
      </c>
      <c r="L4928">
        <v>0</v>
      </c>
      <c r="M4928">
        <f>TB[[#This Row],[售价]]*TB[[#This Row],[销量]]</f>
        <v>0</v>
      </c>
      <c r="N4928" t="str">
        <f>IF(TB[[#This Row],[售价]]&lt;1000,"低价商品",IF(TB[[#This Row],[售价]]&lt;5000,"中价商品",IF(TB[[#This Row],[售价]]&lt;10000,"高价商品","超高价商品")))</f>
        <v>超高价商品</v>
      </c>
    </row>
    <row r="4929" spans="1:14" x14ac:dyDescent="0.2">
      <c r="A4929">
        <v>491</v>
      </c>
      <c r="B4929">
        <v>109</v>
      </c>
      <c r="C4929" t="s">
        <v>46</v>
      </c>
      <c r="D4929" t="s">
        <v>209</v>
      </c>
      <c r="E4929" t="s">
        <v>22</v>
      </c>
      <c r="F4929">
        <v>1</v>
      </c>
      <c r="G4929" t="s">
        <v>13</v>
      </c>
      <c r="H4929" s="1">
        <v>46020.593055555553</v>
      </c>
      <c r="I4929" s="5">
        <f>INT(TB[[#This Row],[时间戳]])</f>
        <v>46020</v>
      </c>
      <c r="J4929" s="2">
        <f>HOUR(TB[[#This Row],[时间戳]])</f>
        <v>14</v>
      </c>
      <c r="K4929">
        <v>6815</v>
      </c>
      <c r="L4929">
        <v>4</v>
      </c>
      <c r="M4929">
        <f>TB[[#This Row],[售价]]*TB[[#This Row],[销量]]</f>
        <v>27260</v>
      </c>
      <c r="N4929" t="str">
        <f>IF(TB[[#This Row],[售价]]&lt;1000,"低价商品",IF(TB[[#This Row],[售价]]&lt;5000,"中价商品",IF(TB[[#This Row],[售价]]&lt;10000,"高价商品","超高价商品")))</f>
        <v>高价商品</v>
      </c>
    </row>
    <row r="4930" spans="1:14" x14ac:dyDescent="0.2">
      <c r="A4930">
        <v>415</v>
      </c>
      <c r="B4930">
        <v>149</v>
      </c>
      <c r="C4930" t="s">
        <v>32</v>
      </c>
      <c r="D4930" t="s">
        <v>313</v>
      </c>
      <c r="E4930" t="s">
        <v>39</v>
      </c>
      <c r="F4930">
        <v>5</v>
      </c>
      <c r="G4930" t="s">
        <v>13</v>
      </c>
      <c r="H4930" s="1">
        <v>46020.618055555555</v>
      </c>
      <c r="I4930" s="5">
        <f>INT(TB[[#This Row],[时间戳]])</f>
        <v>46020</v>
      </c>
      <c r="J4930" s="2">
        <f>HOUR(TB[[#This Row],[时间戳]])</f>
        <v>14</v>
      </c>
      <c r="K4930">
        <v>3463</v>
      </c>
      <c r="L4930">
        <v>4</v>
      </c>
      <c r="M4930">
        <f>TB[[#This Row],[售价]]*TB[[#This Row],[销量]]</f>
        <v>13852</v>
      </c>
      <c r="N4930" t="str">
        <f>IF(TB[[#This Row],[售价]]&lt;1000,"低价商品",IF(TB[[#This Row],[售价]]&lt;5000,"中价商品",IF(TB[[#This Row],[售价]]&lt;10000,"高价商品","超高价商品")))</f>
        <v>中价商品</v>
      </c>
    </row>
    <row r="4931" spans="1:14" x14ac:dyDescent="0.2">
      <c r="A4931">
        <v>137</v>
      </c>
      <c r="B4931">
        <v>165</v>
      </c>
      <c r="C4931" t="s">
        <v>26</v>
      </c>
      <c r="D4931" t="s">
        <v>160</v>
      </c>
      <c r="E4931" t="s">
        <v>19</v>
      </c>
      <c r="F4931">
        <v>3</v>
      </c>
      <c r="G4931" t="s">
        <v>13</v>
      </c>
      <c r="H4931" s="1">
        <v>46020.664583333331</v>
      </c>
      <c r="I4931" s="5">
        <f>INT(TB[[#This Row],[时间戳]])</f>
        <v>46020</v>
      </c>
      <c r="J4931" s="2">
        <f>HOUR(TB[[#This Row],[时间戳]])</f>
        <v>15</v>
      </c>
      <c r="K4931">
        <v>3442</v>
      </c>
      <c r="L4931">
        <v>5</v>
      </c>
      <c r="M4931">
        <f>TB[[#This Row],[售价]]*TB[[#This Row],[销量]]</f>
        <v>17210</v>
      </c>
      <c r="N4931" t="str">
        <f>IF(TB[[#This Row],[售价]]&lt;1000,"低价商品",IF(TB[[#This Row],[售价]]&lt;5000,"中价商品",IF(TB[[#This Row],[售价]]&lt;10000,"高价商品","超高价商品")))</f>
        <v>中价商品</v>
      </c>
    </row>
    <row r="4932" spans="1:14" x14ac:dyDescent="0.2">
      <c r="A4932">
        <v>472</v>
      </c>
      <c r="B4932">
        <v>193</v>
      </c>
      <c r="C4932" t="s">
        <v>26</v>
      </c>
      <c r="D4932" t="s">
        <v>95</v>
      </c>
      <c r="E4932" t="s">
        <v>22</v>
      </c>
      <c r="F4932">
        <v>1</v>
      </c>
      <c r="G4932" t="s">
        <v>13</v>
      </c>
      <c r="H4932" s="1">
        <v>46020.675000000003</v>
      </c>
      <c r="I4932" s="5">
        <f>INT(TB[[#This Row],[时间戳]])</f>
        <v>46020</v>
      </c>
      <c r="J4932" s="2">
        <f>HOUR(TB[[#This Row],[时间戳]])</f>
        <v>16</v>
      </c>
      <c r="K4932">
        <v>3156</v>
      </c>
      <c r="L4932">
        <v>4</v>
      </c>
      <c r="M4932">
        <f>TB[[#This Row],[售价]]*TB[[#This Row],[销量]]</f>
        <v>12624</v>
      </c>
      <c r="N4932" t="str">
        <f>IF(TB[[#This Row],[售价]]&lt;1000,"低价商品",IF(TB[[#This Row],[售价]]&lt;5000,"中价商品",IF(TB[[#This Row],[售价]]&lt;10000,"高价商品","超高价商品")))</f>
        <v>中价商品</v>
      </c>
    </row>
    <row r="4933" spans="1:14" x14ac:dyDescent="0.2">
      <c r="A4933">
        <v>170</v>
      </c>
      <c r="B4933">
        <v>225</v>
      </c>
      <c r="C4933" t="s">
        <v>26</v>
      </c>
      <c r="D4933" t="s">
        <v>306</v>
      </c>
      <c r="E4933" t="s">
        <v>31</v>
      </c>
      <c r="F4933">
        <v>4</v>
      </c>
      <c r="G4933" t="s">
        <v>13</v>
      </c>
      <c r="H4933" s="1">
        <v>46020.682638888888</v>
      </c>
      <c r="I4933" s="5">
        <f>INT(TB[[#This Row],[时间戳]])</f>
        <v>46020</v>
      </c>
      <c r="J4933" s="2">
        <f>HOUR(TB[[#This Row],[时间戳]])</f>
        <v>16</v>
      </c>
      <c r="K4933">
        <v>1417</v>
      </c>
      <c r="L4933">
        <v>5</v>
      </c>
      <c r="M4933">
        <f>TB[[#This Row],[售价]]*TB[[#This Row],[销量]]</f>
        <v>7085</v>
      </c>
      <c r="N4933" t="str">
        <f>IF(TB[[#This Row],[售价]]&lt;1000,"低价商品",IF(TB[[#This Row],[售价]]&lt;5000,"中价商品",IF(TB[[#This Row],[售价]]&lt;10000,"高价商品","超高价商品")))</f>
        <v>中价商品</v>
      </c>
    </row>
    <row r="4934" spans="1:14" x14ac:dyDescent="0.2">
      <c r="A4934">
        <v>230</v>
      </c>
      <c r="B4934">
        <v>274</v>
      </c>
      <c r="C4934" t="s">
        <v>46</v>
      </c>
      <c r="D4934" t="s">
        <v>341</v>
      </c>
      <c r="E4934" t="s">
        <v>31</v>
      </c>
      <c r="F4934">
        <v>4</v>
      </c>
      <c r="G4934" t="s">
        <v>13</v>
      </c>
      <c r="H4934" s="1">
        <v>46020.742361111108</v>
      </c>
      <c r="I4934" s="5">
        <f>INT(TB[[#This Row],[时间戳]])</f>
        <v>46020</v>
      </c>
      <c r="J4934" s="2">
        <f>HOUR(TB[[#This Row],[时间戳]])</f>
        <v>17</v>
      </c>
      <c r="K4934">
        <v>940</v>
      </c>
      <c r="L4934">
        <v>2</v>
      </c>
      <c r="M4934">
        <f>TB[[#This Row],[售价]]*TB[[#This Row],[销量]]</f>
        <v>1880</v>
      </c>
      <c r="N4934" t="str">
        <f>IF(TB[[#This Row],[售价]]&lt;1000,"低价商品",IF(TB[[#This Row],[售价]]&lt;5000,"中价商品",IF(TB[[#This Row],[售价]]&lt;10000,"高价商品","超高价商品")))</f>
        <v>低价商品</v>
      </c>
    </row>
    <row r="4935" spans="1:14" x14ac:dyDescent="0.2">
      <c r="A4935">
        <v>140</v>
      </c>
      <c r="B4935">
        <v>123</v>
      </c>
      <c r="C4935" t="s">
        <v>26</v>
      </c>
      <c r="D4935" t="s">
        <v>300</v>
      </c>
      <c r="E4935" t="s">
        <v>19</v>
      </c>
      <c r="F4935">
        <v>3</v>
      </c>
      <c r="G4935" t="s">
        <v>42</v>
      </c>
      <c r="H4935" s="1">
        <v>46020.753472222219</v>
      </c>
      <c r="I4935" s="5">
        <f>INT(TB[[#This Row],[时间戳]])</f>
        <v>46020</v>
      </c>
      <c r="J4935" s="2">
        <f>HOUR(TB[[#This Row],[时间戳]])</f>
        <v>18</v>
      </c>
      <c r="K4935">
        <v>4403</v>
      </c>
      <c r="L4935">
        <v>0</v>
      </c>
      <c r="M4935">
        <f>TB[[#This Row],[售价]]*TB[[#This Row],[销量]]</f>
        <v>0</v>
      </c>
      <c r="N4935" t="str">
        <f>IF(TB[[#This Row],[售价]]&lt;1000,"低价商品",IF(TB[[#This Row],[售价]]&lt;5000,"中价商品",IF(TB[[#This Row],[售价]]&lt;10000,"高价商品","超高价商品")))</f>
        <v>中价商品</v>
      </c>
    </row>
    <row r="4936" spans="1:14" x14ac:dyDescent="0.2">
      <c r="A4936">
        <v>258</v>
      </c>
      <c r="B4936">
        <v>1</v>
      </c>
      <c r="C4936" t="s">
        <v>46</v>
      </c>
      <c r="D4936" t="s">
        <v>315</v>
      </c>
      <c r="E4936" t="s">
        <v>12</v>
      </c>
      <c r="F4936">
        <v>2</v>
      </c>
      <c r="G4936" t="s">
        <v>13</v>
      </c>
      <c r="H4936" s="1">
        <v>46020.765277777777</v>
      </c>
      <c r="I4936" s="5">
        <f>INT(TB[[#This Row],[时间戳]])</f>
        <v>46020</v>
      </c>
      <c r="J4936" s="2">
        <f>HOUR(TB[[#This Row],[时间戳]])</f>
        <v>18</v>
      </c>
      <c r="K4936">
        <v>6798</v>
      </c>
      <c r="L4936">
        <v>2</v>
      </c>
      <c r="M4936">
        <f>TB[[#This Row],[售价]]*TB[[#This Row],[销量]]</f>
        <v>13596</v>
      </c>
      <c r="N4936" t="str">
        <f>IF(TB[[#This Row],[售价]]&lt;1000,"低价商品",IF(TB[[#This Row],[售价]]&lt;5000,"中价商品",IF(TB[[#This Row],[售价]]&lt;10000,"高价商品","超高价商品")))</f>
        <v>高价商品</v>
      </c>
    </row>
    <row r="4937" spans="1:14" x14ac:dyDescent="0.2">
      <c r="A4937">
        <v>234</v>
      </c>
      <c r="B4937">
        <v>90</v>
      </c>
      <c r="C4937" t="s">
        <v>46</v>
      </c>
      <c r="D4937" t="s">
        <v>341</v>
      </c>
      <c r="E4937" t="s">
        <v>31</v>
      </c>
      <c r="F4937">
        <v>4</v>
      </c>
      <c r="G4937" t="s">
        <v>42</v>
      </c>
      <c r="H4937" s="1">
        <v>46020.773611111108</v>
      </c>
      <c r="I4937" s="5">
        <f>INT(TB[[#This Row],[时间戳]])</f>
        <v>46020</v>
      </c>
      <c r="J4937" s="2">
        <f>HOUR(TB[[#This Row],[时间戳]])</f>
        <v>18</v>
      </c>
      <c r="K4937">
        <v>199</v>
      </c>
      <c r="L4937">
        <v>0</v>
      </c>
      <c r="M4937">
        <f>TB[[#This Row],[售价]]*TB[[#This Row],[销量]]</f>
        <v>0</v>
      </c>
      <c r="N4937" t="str">
        <f>IF(TB[[#This Row],[售价]]&lt;1000,"低价商品",IF(TB[[#This Row],[售价]]&lt;5000,"中价商品",IF(TB[[#This Row],[售价]]&lt;10000,"高价商品","超高价商品")))</f>
        <v>低价商品</v>
      </c>
    </row>
    <row r="4938" spans="1:14" x14ac:dyDescent="0.2">
      <c r="A4938">
        <v>218</v>
      </c>
      <c r="B4938">
        <v>153</v>
      </c>
      <c r="C4938" t="s">
        <v>36</v>
      </c>
      <c r="D4938" t="s">
        <v>153</v>
      </c>
      <c r="E4938" t="s">
        <v>31</v>
      </c>
      <c r="F4938">
        <v>4</v>
      </c>
      <c r="G4938" t="s">
        <v>13</v>
      </c>
      <c r="H4938" s="1">
        <v>46020.817361111112</v>
      </c>
      <c r="I4938" s="5">
        <f>INT(TB[[#This Row],[时间戳]])</f>
        <v>46020</v>
      </c>
      <c r="J4938" s="2">
        <f>HOUR(TB[[#This Row],[时间戳]])</f>
        <v>19</v>
      </c>
      <c r="K4938">
        <v>1049</v>
      </c>
      <c r="L4938">
        <v>5</v>
      </c>
      <c r="M4938">
        <f>TB[[#This Row],[售价]]*TB[[#This Row],[销量]]</f>
        <v>5245</v>
      </c>
      <c r="N4938" t="str">
        <f>IF(TB[[#This Row],[售价]]&lt;1000,"低价商品",IF(TB[[#This Row],[售价]]&lt;5000,"中价商品",IF(TB[[#This Row],[售价]]&lt;10000,"高价商品","超高价商品")))</f>
        <v>中价商品</v>
      </c>
    </row>
    <row r="4939" spans="1:14" x14ac:dyDescent="0.2">
      <c r="A4939">
        <v>606</v>
      </c>
      <c r="B4939">
        <v>269</v>
      </c>
      <c r="C4939" t="s">
        <v>14</v>
      </c>
      <c r="D4939" t="s">
        <v>29</v>
      </c>
      <c r="E4939" t="s">
        <v>22</v>
      </c>
      <c r="F4939">
        <v>1</v>
      </c>
      <c r="G4939" t="s">
        <v>13</v>
      </c>
      <c r="H4939" s="1">
        <v>46020.833333333336</v>
      </c>
      <c r="I4939" s="5">
        <f>INT(TB[[#This Row],[时间戳]])</f>
        <v>46020</v>
      </c>
      <c r="J4939" s="2">
        <f>HOUR(TB[[#This Row],[时间戳]])</f>
        <v>20</v>
      </c>
      <c r="K4939">
        <v>5189</v>
      </c>
      <c r="L4939">
        <v>4</v>
      </c>
      <c r="M4939">
        <f>TB[[#This Row],[售价]]*TB[[#This Row],[销量]]</f>
        <v>20756</v>
      </c>
      <c r="N4939" t="str">
        <f>IF(TB[[#This Row],[售价]]&lt;1000,"低价商品",IF(TB[[#This Row],[售价]]&lt;5000,"中价商品",IF(TB[[#This Row],[售价]]&lt;10000,"高价商品","超高价商品")))</f>
        <v>高价商品</v>
      </c>
    </row>
    <row r="4940" spans="1:14" x14ac:dyDescent="0.2">
      <c r="A4940">
        <v>340</v>
      </c>
      <c r="B4940">
        <v>165</v>
      </c>
      <c r="C4940" t="s">
        <v>10</v>
      </c>
      <c r="D4940" t="s">
        <v>351</v>
      </c>
      <c r="E4940" t="s">
        <v>31</v>
      </c>
      <c r="F4940">
        <v>4</v>
      </c>
      <c r="G4940" t="s">
        <v>42</v>
      </c>
      <c r="H4940" s="1">
        <v>46020.859722222223</v>
      </c>
      <c r="I4940" s="5">
        <f>INT(TB[[#This Row],[时间戳]])</f>
        <v>46020</v>
      </c>
      <c r="J4940" s="2">
        <f>HOUR(TB[[#This Row],[时间戳]])</f>
        <v>20</v>
      </c>
      <c r="K4940">
        <v>466</v>
      </c>
      <c r="L4940">
        <v>0</v>
      </c>
      <c r="M4940">
        <f>TB[[#This Row],[售价]]*TB[[#This Row],[销量]]</f>
        <v>0</v>
      </c>
      <c r="N4940" t="str">
        <f>IF(TB[[#This Row],[售价]]&lt;1000,"低价商品",IF(TB[[#This Row],[售价]]&lt;5000,"中价商品",IF(TB[[#This Row],[售价]]&lt;10000,"高价商品","超高价商品")))</f>
        <v>低价商品</v>
      </c>
    </row>
    <row r="4941" spans="1:14" x14ac:dyDescent="0.2">
      <c r="A4941">
        <v>351</v>
      </c>
      <c r="B4941">
        <v>65</v>
      </c>
      <c r="C4941" t="s">
        <v>36</v>
      </c>
      <c r="D4941" t="s">
        <v>264</v>
      </c>
      <c r="E4941" t="s">
        <v>12</v>
      </c>
      <c r="F4941">
        <v>2</v>
      </c>
      <c r="G4941" t="s">
        <v>42</v>
      </c>
      <c r="H4941" s="1">
        <v>46020.890277777777</v>
      </c>
      <c r="I4941" s="5">
        <f>INT(TB[[#This Row],[时间戳]])</f>
        <v>46020</v>
      </c>
      <c r="J4941" s="2">
        <f>HOUR(TB[[#This Row],[时间戳]])</f>
        <v>21</v>
      </c>
      <c r="K4941">
        <v>5345</v>
      </c>
      <c r="L4941">
        <v>0</v>
      </c>
      <c r="M4941">
        <f>TB[[#This Row],[售价]]*TB[[#This Row],[销量]]</f>
        <v>0</v>
      </c>
      <c r="N4941" t="str">
        <f>IF(TB[[#This Row],[售价]]&lt;1000,"低价商品",IF(TB[[#This Row],[售价]]&lt;5000,"中价商品",IF(TB[[#This Row],[售价]]&lt;10000,"高价商品","超高价商品")))</f>
        <v>高价商品</v>
      </c>
    </row>
    <row r="4942" spans="1:14" x14ac:dyDescent="0.2">
      <c r="A4942">
        <v>447</v>
      </c>
      <c r="B4942">
        <v>292</v>
      </c>
      <c r="C4942" t="s">
        <v>44</v>
      </c>
      <c r="D4942" t="s">
        <v>132</v>
      </c>
      <c r="E4942" t="s">
        <v>22</v>
      </c>
      <c r="F4942">
        <v>1</v>
      </c>
      <c r="G4942" t="s">
        <v>13</v>
      </c>
      <c r="H4942" s="1">
        <v>46020.897916666669</v>
      </c>
      <c r="I4942" s="5">
        <f>INT(TB[[#This Row],[时间戳]])</f>
        <v>46020</v>
      </c>
      <c r="J4942" s="2">
        <f>HOUR(TB[[#This Row],[时间戳]])</f>
        <v>21</v>
      </c>
      <c r="K4942">
        <v>4015</v>
      </c>
      <c r="L4942">
        <v>2</v>
      </c>
      <c r="M4942">
        <f>TB[[#This Row],[售价]]*TB[[#This Row],[销量]]</f>
        <v>8030</v>
      </c>
      <c r="N4942" t="str">
        <f>IF(TB[[#This Row],[售价]]&lt;1000,"低价商品",IF(TB[[#This Row],[售价]]&lt;5000,"中价商品",IF(TB[[#This Row],[售价]]&lt;10000,"高价商品","超高价商品")))</f>
        <v>中价商品</v>
      </c>
    </row>
    <row r="4943" spans="1:14" x14ac:dyDescent="0.2">
      <c r="A4943">
        <v>565</v>
      </c>
      <c r="B4943">
        <v>114</v>
      </c>
      <c r="C4943" t="s">
        <v>14</v>
      </c>
      <c r="D4943" t="s">
        <v>190</v>
      </c>
      <c r="E4943" t="s">
        <v>12</v>
      </c>
      <c r="F4943">
        <v>2</v>
      </c>
      <c r="G4943" t="s">
        <v>13</v>
      </c>
      <c r="H4943" s="1">
        <v>46020.908333333333</v>
      </c>
      <c r="I4943" s="5">
        <f>INT(TB[[#This Row],[时间戳]])</f>
        <v>46020</v>
      </c>
      <c r="J4943" s="2">
        <f>HOUR(TB[[#This Row],[时间戳]])</f>
        <v>21</v>
      </c>
      <c r="K4943">
        <v>14101</v>
      </c>
      <c r="L4943">
        <v>5</v>
      </c>
      <c r="M4943">
        <f>TB[[#This Row],[售价]]*TB[[#This Row],[销量]]</f>
        <v>70505</v>
      </c>
      <c r="N4943" t="str">
        <f>IF(TB[[#This Row],[售价]]&lt;1000,"低价商品",IF(TB[[#This Row],[售价]]&lt;5000,"中价商品",IF(TB[[#This Row],[售价]]&lt;10000,"高价商品","超高价商品")))</f>
        <v>超高价商品</v>
      </c>
    </row>
    <row r="4944" spans="1:14" x14ac:dyDescent="0.2">
      <c r="A4944">
        <v>292</v>
      </c>
      <c r="B4944">
        <v>126</v>
      </c>
      <c r="C4944" t="s">
        <v>10</v>
      </c>
      <c r="D4944" t="s">
        <v>351</v>
      </c>
      <c r="E4944" t="s">
        <v>31</v>
      </c>
      <c r="F4944">
        <v>4</v>
      </c>
      <c r="G4944" t="s">
        <v>42</v>
      </c>
      <c r="H4944" s="1">
        <v>46020.943055555559</v>
      </c>
      <c r="I4944" s="5">
        <f>INT(TB[[#This Row],[时间戳]])</f>
        <v>46020</v>
      </c>
      <c r="J4944" s="2">
        <f>HOUR(TB[[#This Row],[时间戳]])</f>
        <v>22</v>
      </c>
      <c r="K4944">
        <v>119</v>
      </c>
      <c r="L4944">
        <v>0</v>
      </c>
      <c r="M4944">
        <f>TB[[#This Row],[售价]]*TB[[#This Row],[销量]]</f>
        <v>0</v>
      </c>
      <c r="N4944" t="str">
        <f>IF(TB[[#This Row],[售价]]&lt;1000,"低价商品",IF(TB[[#This Row],[售价]]&lt;5000,"中价商品",IF(TB[[#This Row],[售价]]&lt;10000,"高价商品","超高价商品")))</f>
        <v>低价商品</v>
      </c>
    </row>
    <row r="4945" spans="1:14" x14ac:dyDescent="0.2">
      <c r="A4945">
        <v>793</v>
      </c>
      <c r="B4945">
        <v>222</v>
      </c>
      <c r="C4945" t="s">
        <v>26</v>
      </c>
      <c r="D4945" t="s">
        <v>360</v>
      </c>
      <c r="E4945" t="s">
        <v>19</v>
      </c>
      <c r="F4945">
        <v>3</v>
      </c>
      <c r="G4945" t="s">
        <v>13</v>
      </c>
      <c r="H4945" s="1">
        <v>46020.951388888891</v>
      </c>
      <c r="I4945" s="5">
        <f>INT(TB[[#This Row],[时间戳]])</f>
        <v>46020</v>
      </c>
      <c r="J4945" s="2">
        <f>HOUR(TB[[#This Row],[时间戳]])</f>
        <v>22</v>
      </c>
      <c r="K4945">
        <v>3392</v>
      </c>
      <c r="L4945">
        <v>2</v>
      </c>
      <c r="M4945">
        <f>TB[[#This Row],[售价]]*TB[[#This Row],[销量]]</f>
        <v>6784</v>
      </c>
      <c r="N4945" t="str">
        <f>IF(TB[[#This Row],[售价]]&lt;1000,"低价商品",IF(TB[[#This Row],[售价]]&lt;5000,"中价商品",IF(TB[[#This Row],[售价]]&lt;10000,"高价商品","超高价商品")))</f>
        <v>中价商品</v>
      </c>
    </row>
    <row r="4946" spans="1:14" x14ac:dyDescent="0.2">
      <c r="A4946">
        <v>505</v>
      </c>
      <c r="B4946">
        <v>231</v>
      </c>
      <c r="C4946" t="s">
        <v>26</v>
      </c>
      <c r="D4946" t="s">
        <v>345</v>
      </c>
      <c r="E4946" t="s">
        <v>12</v>
      </c>
      <c r="F4946">
        <v>2</v>
      </c>
      <c r="G4946" t="s">
        <v>13</v>
      </c>
      <c r="H4946" s="1">
        <v>46020.980555555558</v>
      </c>
      <c r="I4946" s="5">
        <f>INT(TB[[#This Row],[时间戳]])</f>
        <v>46020</v>
      </c>
      <c r="J4946" s="2">
        <f>HOUR(TB[[#This Row],[时间戳]])</f>
        <v>23</v>
      </c>
      <c r="K4946">
        <v>14417</v>
      </c>
      <c r="L4946">
        <v>2</v>
      </c>
      <c r="M4946">
        <f>TB[[#This Row],[售价]]*TB[[#This Row],[销量]]</f>
        <v>28834</v>
      </c>
      <c r="N4946" t="str">
        <f>IF(TB[[#This Row],[售价]]&lt;1000,"低价商品",IF(TB[[#This Row],[售价]]&lt;5000,"中价商品",IF(TB[[#This Row],[售价]]&lt;10000,"高价商品","超高价商品")))</f>
        <v>超高价商品</v>
      </c>
    </row>
    <row r="4947" spans="1:14" x14ac:dyDescent="0.2">
      <c r="A4947">
        <v>78</v>
      </c>
      <c r="B4947">
        <v>213</v>
      </c>
      <c r="C4947" t="s">
        <v>32</v>
      </c>
      <c r="D4947" t="s">
        <v>275</v>
      </c>
      <c r="E4947" t="s">
        <v>22</v>
      </c>
      <c r="F4947">
        <v>1</v>
      </c>
      <c r="G4947" t="s">
        <v>13</v>
      </c>
      <c r="H4947" s="1">
        <v>46021.032638888886</v>
      </c>
      <c r="I4947" s="5">
        <f>INT(TB[[#This Row],[时间戳]])</f>
        <v>46021</v>
      </c>
      <c r="J4947" s="2">
        <f>HOUR(TB[[#This Row],[时间戳]])</f>
        <v>0</v>
      </c>
      <c r="K4947">
        <v>4868</v>
      </c>
      <c r="L4947">
        <v>4</v>
      </c>
      <c r="M4947">
        <f>TB[[#This Row],[售价]]*TB[[#This Row],[销量]]</f>
        <v>19472</v>
      </c>
      <c r="N4947" t="str">
        <f>IF(TB[[#This Row],[售价]]&lt;1000,"低价商品",IF(TB[[#This Row],[售价]]&lt;5000,"中价商品",IF(TB[[#This Row],[售价]]&lt;10000,"高价商品","超高价商品")))</f>
        <v>中价商品</v>
      </c>
    </row>
    <row r="4948" spans="1:14" x14ac:dyDescent="0.2">
      <c r="A4948">
        <v>412</v>
      </c>
      <c r="B4948">
        <v>153</v>
      </c>
      <c r="C4948" t="s">
        <v>10</v>
      </c>
      <c r="D4948" t="s">
        <v>183</v>
      </c>
      <c r="E4948" t="s">
        <v>22</v>
      </c>
      <c r="F4948">
        <v>1</v>
      </c>
      <c r="G4948" t="s">
        <v>13</v>
      </c>
      <c r="H4948" s="1">
        <v>46021.050694444442</v>
      </c>
      <c r="I4948" s="5">
        <f>INT(TB[[#This Row],[时间戳]])</f>
        <v>46021</v>
      </c>
      <c r="J4948" s="2">
        <f>HOUR(TB[[#This Row],[时间戳]])</f>
        <v>1</v>
      </c>
      <c r="K4948">
        <v>7006</v>
      </c>
      <c r="L4948">
        <v>4</v>
      </c>
      <c r="M4948">
        <f>TB[[#This Row],[售价]]*TB[[#This Row],[销量]]</f>
        <v>28024</v>
      </c>
      <c r="N4948" t="str">
        <f>IF(TB[[#This Row],[售价]]&lt;1000,"低价商品",IF(TB[[#This Row],[售价]]&lt;5000,"中价商品",IF(TB[[#This Row],[售价]]&lt;10000,"高价商品","超高价商品")))</f>
        <v>高价商品</v>
      </c>
    </row>
    <row r="4949" spans="1:14" x14ac:dyDescent="0.2">
      <c r="A4949">
        <v>213</v>
      </c>
      <c r="B4949">
        <v>286</v>
      </c>
      <c r="C4949" t="s">
        <v>44</v>
      </c>
      <c r="D4949" t="s">
        <v>243</v>
      </c>
      <c r="E4949" t="s">
        <v>31</v>
      </c>
      <c r="F4949">
        <v>4</v>
      </c>
      <c r="G4949" t="s">
        <v>13</v>
      </c>
      <c r="H4949" s="1">
        <v>46021.075694444444</v>
      </c>
      <c r="I4949" s="5">
        <f>INT(TB[[#This Row],[时间戳]])</f>
        <v>46021</v>
      </c>
      <c r="J4949" s="2">
        <f>HOUR(TB[[#This Row],[时间戳]])</f>
        <v>1</v>
      </c>
      <c r="K4949">
        <v>843</v>
      </c>
      <c r="L4949">
        <v>5</v>
      </c>
      <c r="M4949">
        <f>TB[[#This Row],[售价]]*TB[[#This Row],[销量]]</f>
        <v>4215</v>
      </c>
      <c r="N4949" t="str">
        <f>IF(TB[[#This Row],[售价]]&lt;1000,"低价商品",IF(TB[[#This Row],[售价]]&lt;5000,"中价商品",IF(TB[[#This Row],[售价]]&lt;10000,"高价商品","超高价商品")))</f>
        <v>低价商品</v>
      </c>
    </row>
    <row r="4950" spans="1:14" x14ac:dyDescent="0.2">
      <c r="A4950">
        <v>36</v>
      </c>
      <c r="B4950">
        <v>172</v>
      </c>
      <c r="C4950" t="s">
        <v>32</v>
      </c>
      <c r="D4950" t="s">
        <v>176</v>
      </c>
      <c r="E4950" t="s">
        <v>22</v>
      </c>
      <c r="F4950">
        <v>1</v>
      </c>
      <c r="G4950" t="s">
        <v>13</v>
      </c>
      <c r="H4950" s="1">
        <v>46021.105555555558</v>
      </c>
      <c r="I4950" s="5">
        <f>INT(TB[[#This Row],[时间戳]])</f>
        <v>46021</v>
      </c>
      <c r="J4950" s="2">
        <f>HOUR(TB[[#This Row],[时间戳]])</f>
        <v>2</v>
      </c>
      <c r="K4950">
        <v>3787</v>
      </c>
      <c r="L4950">
        <v>2</v>
      </c>
      <c r="M4950">
        <f>TB[[#This Row],[售价]]*TB[[#This Row],[销量]]</f>
        <v>7574</v>
      </c>
      <c r="N4950" t="str">
        <f>IF(TB[[#This Row],[售价]]&lt;1000,"低价商品",IF(TB[[#This Row],[售价]]&lt;5000,"中价商品",IF(TB[[#This Row],[售价]]&lt;10000,"高价商品","超高价商品")))</f>
        <v>中价商品</v>
      </c>
    </row>
    <row r="4951" spans="1:14" x14ac:dyDescent="0.2">
      <c r="A4951">
        <v>312</v>
      </c>
      <c r="B4951">
        <v>70</v>
      </c>
      <c r="C4951" t="s">
        <v>46</v>
      </c>
      <c r="D4951" t="s">
        <v>380</v>
      </c>
      <c r="E4951" t="s">
        <v>16</v>
      </c>
      <c r="F4951">
        <v>6</v>
      </c>
      <c r="G4951" t="s">
        <v>13</v>
      </c>
      <c r="H4951" s="1">
        <v>46021.13958333333</v>
      </c>
      <c r="I4951" s="5">
        <f>INT(TB[[#This Row],[时间戳]])</f>
        <v>46021</v>
      </c>
      <c r="J4951" s="2">
        <f>HOUR(TB[[#This Row],[时间戳]])</f>
        <v>3</v>
      </c>
      <c r="K4951">
        <v>7017</v>
      </c>
      <c r="L4951">
        <v>5</v>
      </c>
      <c r="M4951">
        <f>TB[[#This Row],[售价]]*TB[[#This Row],[销量]]</f>
        <v>35085</v>
      </c>
      <c r="N4951" t="str">
        <f>IF(TB[[#This Row],[售价]]&lt;1000,"低价商品",IF(TB[[#This Row],[售价]]&lt;5000,"中价商品",IF(TB[[#This Row],[售价]]&lt;10000,"高价商品","超高价商品")))</f>
        <v>高价商品</v>
      </c>
    </row>
    <row r="4952" spans="1:14" x14ac:dyDescent="0.2">
      <c r="A4952">
        <v>39</v>
      </c>
      <c r="B4952">
        <v>243</v>
      </c>
      <c r="C4952" t="s">
        <v>14</v>
      </c>
      <c r="D4952" t="s">
        <v>385</v>
      </c>
      <c r="E4952" t="s">
        <v>12</v>
      </c>
      <c r="F4952">
        <v>2</v>
      </c>
      <c r="G4952" t="s">
        <v>13</v>
      </c>
      <c r="H4952" s="1">
        <v>46021.149305555555</v>
      </c>
      <c r="I4952" s="5">
        <f>INT(TB[[#This Row],[时间戳]])</f>
        <v>46021</v>
      </c>
      <c r="J4952" s="2">
        <f>HOUR(TB[[#This Row],[时间戳]])</f>
        <v>3</v>
      </c>
      <c r="K4952">
        <v>14271</v>
      </c>
      <c r="L4952">
        <v>5</v>
      </c>
      <c r="M4952">
        <f>TB[[#This Row],[售价]]*TB[[#This Row],[销量]]</f>
        <v>71355</v>
      </c>
      <c r="N4952" t="str">
        <f>IF(TB[[#This Row],[售价]]&lt;1000,"低价商品",IF(TB[[#This Row],[售价]]&lt;5000,"中价商品",IF(TB[[#This Row],[售价]]&lt;10000,"高价商品","超高价商品")))</f>
        <v>超高价商品</v>
      </c>
    </row>
    <row r="4953" spans="1:14" x14ac:dyDescent="0.2">
      <c r="A4953">
        <v>508</v>
      </c>
      <c r="B4953">
        <v>139</v>
      </c>
      <c r="C4953" t="s">
        <v>10</v>
      </c>
      <c r="D4953" t="s">
        <v>116</v>
      </c>
      <c r="E4953" t="s">
        <v>31</v>
      </c>
      <c r="F4953">
        <v>4</v>
      </c>
      <c r="G4953" t="s">
        <v>13</v>
      </c>
      <c r="H4953" s="1">
        <v>46021.15</v>
      </c>
      <c r="I4953" s="5">
        <f>INT(TB[[#This Row],[时间戳]])</f>
        <v>46021</v>
      </c>
      <c r="J4953" s="2">
        <f>HOUR(TB[[#This Row],[时间戳]])</f>
        <v>3</v>
      </c>
      <c r="K4953">
        <v>1452</v>
      </c>
      <c r="L4953">
        <v>4</v>
      </c>
      <c r="M4953">
        <f>TB[[#This Row],[售价]]*TB[[#This Row],[销量]]</f>
        <v>5808</v>
      </c>
      <c r="N4953" t="str">
        <f>IF(TB[[#This Row],[售价]]&lt;1000,"低价商品",IF(TB[[#This Row],[售价]]&lt;5000,"中价商品",IF(TB[[#This Row],[售价]]&lt;10000,"高价商品","超高价商品")))</f>
        <v>中价商品</v>
      </c>
    </row>
    <row r="4954" spans="1:14" x14ac:dyDescent="0.2">
      <c r="A4954">
        <v>777</v>
      </c>
      <c r="B4954">
        <v>188</v>
      </c>
      <c r="C4954" t="s">
        <v>17</v>
      </c>
      <c r="D4954" t="s">
        <v>177</v>
      </c>
      <c r="E4954" t="s">
        <v>22</v>
      </c>
      <c r="F4954">
        <v>1</v>
      </c>
      <c r="G4954" t="s">
        <v>13</v>
      </c>
      <c r="H4954" s="1">
        <v>46021.159722222219</v>
      </c>
      <c r="I4954" s="5">
        <f>INT(TB[[#This Row],[时间戳]])</f>
        <v>46021</v>
      </c>
      <c r="J4954" s="2">
        <f>HOUR(TB[[#This Row],[时间戳]])</f>
        <v>3</v>
      </c>
      <c r="K4954">
        <v>1296</v>
      </c>
      <c r="L4954">
        <v>4</v>
      </c>
      <c r="M4954">
        <f>TB[[#This Row],[售价]]*TB[[#This Row],[销量]]</f>
        <v>5184</v>
      </c>
      <c r="N4954" t="str">
        <f>IF(TB[[#This Row],[售价]]&lt;1000,"低价商品",IF(TB[[#This Row],[售价]]&lt;5000,"中价商品",IF(TB[[#This Row],[售价]]&lt;10000,"高价商品","超高价商品")))</f>
        <v>中价商品</v>
      </c>
    </row>
    <row r="4955" spans="1:14" x14ac:dyDescent="0.2">
      <c r="A4955">
        <v>431</v>
      </c>
      <c r="B4955">
        <v>71</v>
      </c>
      <c r="C4955" t="s">
        <v>17</v>
      </c>
      <c r="D4955" t="s">
        <v>137</v>
      </c>
      <c r="E4955" t="s">
        <v>31</v>
      </c>
      <c r="F4955">
        <v>4</v>
      </c>
      <c r="G4955" t="s">
        <v>13</v>
      </c>
      <c r="H4955" s="1">
        <v>46021.179861111108</v>
      </c>
      <c r="I4955" s="5">
        <f>INT(TB[[#This Row],[时间戳]])</f>
        <v>46021</v>
      </c>
      <c r="J4955" s="2">
        <f>HOUR(TB[[#This Row],[时间戳]])</f>
        <v>4</v>
      </c>
      <c r="K4955">
        <v>971</v>
      </c>
      <c r="L4955">
        <v>5</v>
      </c>
      <c r="M4955">
        <f>TB[[#This Row],[售价]]*TB[[#This Row],[销量]]</f>
        <v>4855</v>
      </c>
      <c r="N4955" t="str">
        <f>IF(TB[[#This Row],[售价]]&lt;1000,"低价商品",IF(TB[[#This Row],[售价]]&lt;5000,"中价商品",IF(TB[[#This Row],[售价]]&lt;10000,"高价商品","超高价商品")))</f>
        <v>低价商品</v>
      </c>
    </row>
    <row r="4956" spans="1:14" x14ac:dyDescent="0.2">
      <c r="A4956">
        <v>164</v>
      </c>
      <c r="B4956">
        <v>8</v>
      </c>
      <c r="C4956" t="s">
        <v>10</v>
      </c>
      <c r="D4956" t="s">
        <v>256</v>
      </c>
      <c r="E4956" t="s">
        <v>19</v>
      </c>
      <c r="F4956">
        <v>3</v>
      </c>
      <c r="G4956" t="s">
        <v>13</v>
      </c>
      <c r="H4956" s="1">
        <v>46021.190972222219</v>
      </c>
      <c r="I4956" s="5">
        <f>INT(TB[[#This Row],[时间戳]])</f>
        <v>46021</v>
      </c>
      <c r="J4956" s="2">
        <f>HOUR(TB[[#This Row],[时间戳]])</f>
        <v>4</v>
      </c>
      <c r="K4956">
        <v>4632</v>
      </c>
      <c r="L4956">
        <v>5</v>
      </c>
      <c r="M4956">
        <f>TB[[#This Row],[售价]]*TB[[#This Row],[销量]]</f>
        <v>23160</v>
      </c>
      <c r="N4956" t="str">
        <f>IF(TB[[#This Row],[售价]]&lt;1000,"低价商品",IF(TB[[#This Row],[售价]]&lt;5000,"中价商品",IF(TB[[#This Row],[售价]]&lt;10000,"高价商品","超高价商品")))</f>
        <v>中价商品</v>
      </c>
    </row>
    <row r="4957" spans="1:14" x14ac:dyDescent="0.2">
      <c r="A4957">
        <v>521</v>
      </c>
      <c r="B4957">
        <v>183</v>
      </c>
      <c r="C4957" t="s">
        <v>17</v>
      </c>
      <c r="D4957" t="s">
        <v>61</v>
      </c>
      <c r="E4957" t="s">
        <v>31</v>
      </c>
      <c r="F4957">
        <v>4</v>
      </c>
      <c r="G4957" t="s">
        <v>13</v>
      </c>
      <c r="H4957" s="1">
        <v>46021.216666666667</v>
      </c>
      <c r="I4957" s="5">
        <f>INT(TB[[#This Row],[时间戳]])</f>
        <v>46021</v>
      </c>
      <c r="J4957" s="2">
        <f>HOUR(TB[[#This Row],[时间戳]])</f>
        <v>5</v>
      </c>
      <c r="K4957">
        <v>56</v>
      </c>
      <c r="L4957">
        <v>5</v>
      </c>
      <c r="M4957">
        <f>TB[[#This Row],[售价]]*TB[[#This Row],[销量]]</f>
        <v>280</v>
      </c>
      <c r="N4957" t="str">
        <f>IF(TB[[#This Row],[售价]]&lt;1000,"低价商品",IF(TB[[#This Row],[售价]]&lt;5000,"中价商品",IF(TB[[#This Row],[售价]]&lt;10000,"高价商品","超高价商品")))</f>
        <v>低价商品</v>
      </c>
    </row>
    <row r="4958" spans="1:14" x14ac:dyDescent="0.2">
      <c r="A4958">
        <v>747</v>
      </c>
      <c r="B4958">
        <v>37</v>
      </c>
      <c r="C4958" t="s">
        <v>36</v>
      </c>
      <c r="D4958" t="s">
        <v>172</v>
      </c>
      <c r="E4958" t="s">
        <v>25</v>
      </c>
      <c r="F4958">
        <v>7</v>
      </c>
      <c r="G4958" t="s">
        <v>13</v>
      </c>
      <c r="H4958" s="1">
        <v>46021.224999999999</v>
      </c>
      <c r="I4958" s="5">
        <f>INT(TB[[#This Row],[时间戳]])</f>
        <v>46021</v>
      </c>
      <c r="J4958" s="2">
        <f>HOUR(TB[[#This Row],[时间戳]])</f>
        <v>5</v>
      </c>
      <c r="K4958">
        <v>6702</v>
      </c>
      <c r="L4958">
        <v>4</v>
      </c>
      <c r="M4958">
        <f>TB[[#This Row],[售价]]*TB[[#This Row],[销量]]</f>
        <v>26808</v>
      </c>
      <c r="N4958" t="str">
        <f>IF(TB[[#This Row],[售价]]&lt;1000,"低价商品",IF(TB[[#This Row],[售价]]&lt;5000,"中价商品",IF(TB[[#This Row],[售价]]&lt;10000,"高价商品","超高价商品")))</f>
        <v>高价商品</v>
      </c>
    </row>
    <row r="4959" spans="1:14" x14ac:dyDescent="0.2">
      <c r="A4959">
        <v>323</v>
      </c>
      <c r="B4959">
        <v>249</v>
      </c>
      <c r="C4959" t="s">
        <v>44</v>
      </c>
      <c r="D4959" t="s">
        <v>132</v>
      </c>
      <c r="E4959" t="s">
        <v>22</v>
      </c>
      <c r="F4959">
        <v>1</v>
      </c>
      <c r="G4959" t="s">
        <v>13</v>
      </c>
      <c r="H4959" s="1">
        <v>46021.243055555555</v>
      </c>
      <c r="I4959" s="5">
        <f>INT(TB[[#This Row],[时间戳]])</f>
        <v>46021</v>
      </c>
      <c r="J4959" s="2">
        <f>HOUR(TB[[#This Row],[时间戳]])</f>
        <v>5</v>
      </c>
      <c r="K4959">
        <v>3409</v>
      </c>
      <c r="L4959">
        <v>2</v>
      </c>
      <c r="M4959">
        <f>TB[[#This Row],[售价]]*TB[[#This Row],[销量]]</f>
        <v>6818</v>
      </c>
      <c r="N4959" t="str">
        <f>IF(TB[[#This Row],[售价]]&lt;1000,"低价商品",IF(TB[[#This Row],[售价]]&lt;5000,"中价商品",IF(TB[[#This Row],[售价]]&lt;10000,"高价商品","超高价商品")))</f>
        <v>中价商品</v>
      </c>
    </row>
    <row r="4960" spans="1:14" x14ac:dyDescent="0.2">
      <c r="A4960">
        <v>536</v>
      </c>
      <c r="B4960">
        <v>112</v>
      </c>
      <c r="C4960" t="s">
        <v>32</v>
      </c>
      <c r="D4960" t="s">
        <v>58</v>
      </c>
      <c r="E4960" t="s">
        <v>31</v>
      </c>
      <c r="F4960">
        <v>4</v>
      </c>
      <c r="G4960" t="s">
        <v>13</v>
      </c>
      <c r="H4960" s="1">
        <v>46021.24722222222</v>
      </c>
      <c r="I4960" s="5">
        <f>INT(TB[[#This Row],[时间戳]])</f>
        <v>46021</v>
      </c>
      <c r="J4960" s="2">
        <f>HOUR(TB[[#This Row],[时间戳]])</f>
        <v>5</v>
      </c>
      <c r="K4960">
        <v>1472</v>
      </c>
      <c r="L4960">
        <v>5</v>
      </c>
      <c r="M4960">
        <f>TB[[#This Row],[售价]]*TB[[#This Row],[销量]]</f>
        <v>7360</v>
      </c>
      <c r="N4960" t="str">
        <f>IF(TB[[#This Row],[售价]]&lt;1000,"低价商品",IF(TB[[#This Row],[售价]]&lt;5000,"中价商品",IF(TB[[#This Row],[售价]]&lt;10000,"高价商品","超高价商品")))</f>
        <v>中价商品</v>
      </c>
    </row>
    <row r="4961" spans="1:14" x14ac:dyDescent="0.2">
      <c r="A4961">
        <v>497</v>
      </c>
      <c r="B4961">
        <v>295</v>
      </c>
      <c r="C4961" t="s">
        <v>46</v>
      </c>
      <c r="D4961" t="s">
        <v>289</v>
      </c>
      <c r="E4961" t="s">
        <v>16</v>
      </c>
      <c r="F4961">
        <v>6</v>
      </c>
      <c r="G4961" t="s">
        <v>13</v>
      </c>
      <c r="H4961" s="1">
        <v>46021.272222222222</v>
      </c>
      <c r="I4961" s="5">
        <f>INT(TB[[#This Row],[时间戳]])</f>
        <v>46021</v>
      </c>
      <c r="J4961" s="2">
        <f>HOUR(TB[[#This Row],[时间戳]])</f>
        <v>6</v>
      </c>
      <c r="K4961">
        <v>11775</v>
      </c>
      <c r="L4961">
        <v>4</v>
      </c>
      <c r="M4961">
        <f>TB[[#This Row],[售价]]*TB[[#This Row],[销量]]</f>
        <v>47100</v>
      </c>
      <c r="N4961" t="str">
        <f>IF(TB[[#This Row],[售价]]&lt;1000,"低价商品",IF(TB[[#This Row],[售价]]&lt;5000,"中价商品",IF(TB[[#This Row],[售价]]&lt;10000,"高价商品","超高价商品")))</f>
        <v>超高价商品</v>
      </c>
    </row>
    <row r="4962" spans="1:14" x14ac:dyDescent="0.2">
      <c r="A4962">
        <v>80</v>
      </c>
      <c r="B4962">
        <v>132</v>
      </c>
      <c r="C4962" t="s">
        <v>36</v>
      </c>
      <c r="D4962" t="s">
        <v>90</v>
      </c>
      <c r="E4962" t="s">
        <v>16</v>
      </c>
      <c r="F4962">
        <v>6</v>
      </c>
      <c r="G4962" t="s">
        <v>42</v>
      </c>
      <c r="H4962" s="1">
        <v>46021.286805555559</v>
      </c>
      <c r="I4962" s="5">
        <f>INT(TB[[#This Row],[时间戳]])</f>
        <v>46021</v>
      </c>
      <c r="J4962" s="2">
        <f>HOUR(TB[[#This Row],[时间戳]])</f>
        <v>6</v>
      </c>
      <c r="K4962">
        <v>11036</v>
      </c>
      <c r="L4962">
        <v>0</v>
      </c>
      <c r="M4962">
        <f>TB[[#This Row],[售价]]*TB[[#This Row],[销量]]</f>
        <v>0</v>
      </c>
      <c r="N4962" t="str">
        <f>IF(TB[[#This Row],[售价]]&lt;1000,"低价商品",IF(TB[[#This Row],[售价]]&lt;5000,"中价商品",IF(TB[[#This Row],[售价]]&lt;10000,"高价商品","超高价商品")))</f>
        <v>超高价商品</v>
      </c>
    </row>
    <row r="4963" spans="1:14" x14ac:dyDescent="0.2">
      <c r="A4963">
        <v>36</v>
      </c>
      <c r="B4963">
        <v>162</v>
      </c>
      <c r="C4963" t="s">
        <v>20</v>
      </c>
      <c r="D4963" t="s">
        <v>167</v>
      </c>
      <c r="E4963" t="s">
        <v>39</v>
      </c>
      <c r="F4963">
        <v>5</v>
      </c>
      <c r="G4963" t="s">
        <v>42</v>
      </c>
      <c r="H4963" s="1">
        <v>46021.290972222225</v>
      </c>
      <c r="I4963" s="5">
        <f>INT(TB[[#This Row],[时间戳]])</f>
        <v>46021</v>
      </c>
      <c r="J4963" s="2">
        <f>HOUR(TB[[#This Row],[时间戳]])</f>
        <v>6</v>
      </c>
      <c r="K4963">
        <v>3413</v>
      </c>
      <c r="L4963">
        <v>0</v>
      </c>
      <c r="M4963">
        <f>TB[[#This Row],[售价]]*TB[[#This Row],[销量]]</f>
        <v>0</v>
      </c>
      <c r="N4963" t="str">
        <f>IF(TB[[#This Row],[售价]]&lt;1000,"低价商品",IF(TB[[#This Row],[售价]]&lt;5000,"中价商品",IF(TB[[#This Row],[售价]]&lt;10000,"高价商品","超高价商品")))</f>
        <v>中价商品</v>
      </c>
    </row>
    <row r="4964" spans="1:14" x14ac:dyDescent="0.2">
      <c r="A4964">
        <v>720</v>
      </c>
      <c r="B4964">
        <v>107</v>
      </c>
      <c r="C4964" t="s">
        <v>36</v>
      </c>
      <c r="D4964" t="s">
        <v>54</v>
      </c>
      <c r="E4964" t="s">
        <v>12</v>
      </c>
      <c r="F4964">
        <v>2</v>
      </c>
      <c r="G4964" t="s">
        <v>42</v>
      </c>
      <c r="H4964" s="1">
        <v>46021.29791666667</v>
      </c>
      <c r="I4964" s="5">
        <f>INT(TB[[#This Row],[时间戳]])</f>
        <v>46021</v>
      </c>
      <c r="J4964" s="2">
        <f>HOUR(TB[[#This Row],[时间戳]])</f>
        <v>7</v>
      </c>
      <c r="K4964">
        <v>8944</v>
      </c>
      <c r="L4964">
        <v>0</v>
      </c>
      <c r="M4964">
        <f>TB[[#This Row],[售价]]*TB[[#This Row],[销量]]</f>
        <v>0</v>
      </c>
      <c r="N4964" t="str">
        <f>IF(TB[[#This Row],[售价]]&lt;1000,"低价商品",IF(TB[[#This Row],[售价]]&lt;5000,"中价商品",IF(TB[[#This Row],[售价]]&lt;10000,"高价商品","超高价商品")))</f>
        <v>高价商品</v>
      </c>
    </row>
    <row r="4965" spans="1:14" x14ac:dyDescent="0.2">
      <c r="A4965">
        <v>222</v>
      </c>
      <c r="B4965">
        <v>66</v>
      </c>
      <c r="C4965" t="s">
        <v>17</v>
      </c>
      <c r="D4965" t="s">
        <v>257</v>
      </c>
      <c r="E4965" t="s">
        <v>19</v>
      </c>
      <c r="F4965">
        <v>3</v>
      </c>
      <c r="G4965" t="s">
        <v>13</v>
      </c>
      <c r="H4965" s="1">
        <v>46021.322916666664</v>
      </c>
      <c r="I4965" s="5">
        <f>INT(TB[[#This Row],[时间戳]])</f>
        <v>46021</v>
      </c>
      <c r="J4965" s="2">
        <f>HOUR(TB[[#This Row],[时间戳]])</f>
        <v>7</v>
      </c>
      <c r="K4965">
        <v>2683</v>
      </c>
      <c r="L4965">
        <v>5</v>
      </c>
      <c r="M4965">
        <f>TB[[#This Row],[售价]]*TB[[#This Row],[销量]]</f>
        <v>13415</v>
      </c>
      <c r="N4965" t="str">
        <f>IF(TB[[#This Row],[售价]]&lt;1000,"低价商品",IF(TB[[#This Row],[售价]]&lt;5000,"中价商品",IF(TB[[#This Row],[售价]]&lt;10000,"高价商品","超高价商品")))</f>
        <v>中价商品</v>
      </c>
    </row>
    <row r="4966" spans="1:14" x14ac:dyDescent="0.2">
      <c r="A4966">
        <v>264</v>
      </c>
      <c r="B4966">
        <v>196</v>
      </c>
      <c r="C4966" t="s">
        <v>32</v>
      </c>
      <c r="D4966" t="s">
        <v>212</v>
      </c>
      <c r="E4966" t="s">
        <v>22</v>
      </c>
      <c r="F4966">
        <v>1</v>
      </c>
      <c r="G4966" t="s">
        <v>13</v>
      </c>
      <c r="H4966" s="1">
        <v>46021.335416666669</v>
      </c>
      <c r="I4966" s="5">
        <f>INT(TB[[#This Row],[时间戳]])</f>
        <v>46021</v>
      </c>
      <c r="J4966" s="2">
        <f>HOUR(TB[[#This Row],[时间戳]])</f>
        <v>8</v>
      </c>
      <c r="K4966">
        <v>2260</v>
      </c>
      <c r="L4966">
        <v>4</v>
      </c>
      <c r="M4966">
        <f>TB[[#This Row],[售价]]*TB[[#This Row],[销量]]</f>
        <v>9040</v>
      </c>
      <c r="N4966" t="str">
        <f>IF(TB[[#This Row],[售价]]&lt;1000,"低价商品",IF(TB[[#This Row],[售价]]&lt;5000,"中价商品",IF(TB[[#This Row],[售价]]&lt;10000,"高价商品","超高价商品")))</f>
        <v>中价商品</v>
      </c>
    </row>
    <row r="4967" spans="1:14" x14ac:dyDescent="0.2">
      <c r="A4967">
        <v>736</v>
      </c>
      <c r="B4967">
        <v>281</v>
      </c>
      <c r="C4967" t="s">
        <v>14</v>
      </c>
      <c r="D4967" t="s">
        <v>49</v>
      </c>
      <c r="E4967" t="s">
        <v>22</v>
      </c>
      <c r="F4967">
        <v>1</v>
      </c>
      <c r="G4967" t="s">
        <v>13</v>
      </c>
      <c r="H4967" s="1">
        <v>46021.339583333334</v>
      </c>
      <c r="I4967" s="5">
        <f>INT(TB[[#This Row],[时间戳]])</f>
        <v>46021</v>
      </c>
      <c r="J4967" s="2">
        <f>HOUR(TB[[#This Row],[时间戳]])</f>
        <v>8</v>
      </c>
      <c r="K4967">
        <v>1696</v>
      </c>
      <c r="L4967">
        <v>5</v>
      </c>
      <c r="M4967">
        <f>TB[[#This Row],[售价]]*TB[[#This Row],[销量]]</f>
        <v>8480</v>
      </c>
      <c r="N4967" t="str">
        <f>IF(TB[[#This Row],[售价]]&lt;1000,"低价商品",IF(TB[[#This Row],[售价]]&lt;5000,"中价商品",IF(TB[[#This Row],[售价]]&lt;10000,"高价商品","超高价商品")))</f>
        <v>中价商品</v>
      </c>
    </row>
    <row r="4968" spans="1:14" x14ac:dyDescent="0.2">
      <c r="A4968">
        <v>77</v>
      </c>
      <c r="B4968">
        <v>54</v>
      </c>
      <c r="C4968" t="s">
        <v>20</v>
      </c>
      <c r="D4968" t="s">
        <v>204</v>
      </c>
      <c r="E4968" t="s">
        <v>25</v>
      </c>
      <c r="F4968">
        <v>7</v>
      </c>
      <c r="G4968" t="s">
        <v>13</v>
      </c>
      <c r="H4968" s="1">
        <v>46021.402777777781</v>
      </c>
      <c r="I4968" s="5">
        <f>INT(TB[[#This Row],[时间戳]])</f>
        <v>46021</v>
      </c>
      <c r="J4968" s="2">
        <f>HOUR(TB[[#This Row],[时间戳]])</f>
        <v>9</v>
      </c>
      <c r="K4968">
        <v>6458</v>
      </c>
      <c r="L4968">
        <v>4</v>
      </c>
      <c r="M4968">
        <f>TB[[#This Row],[售价]]*TB[[#This Row],[销量]]</f>
        <v>25832</v>
      </c>
      <c r="N4968" t="str">
        <f>IF(TB[[#This Row],[售价]]&lt;1000,"低价商品",IF(TB[[#This Row],[售价]]&lt;5000,"中价商品",IF(TB[[#This Row],[售价]]&lt;10000,"高价商品","超高价商品")))</f>
        <v>高价商品</v>
      </c>
    </row>
    <row r="4969" spans="1:14" x14ac:dyDescent="0.2">
      <c r="A4969">
        <v>348</v>
      </c>
      <c r="B4969">
        <v>117</v>
      </c>
      <c r="C4969" t="s">
        <v>36</v>
      </c>
      <c r="D4969" t="s">
        <v>87</v>
      </c>
      <c r="E4969" t="s">
        <v>19</v>
      </c>
      <c r="F4969">
        <v>3</v>
      </c>
      <c r="G4969" t="s">
        <v>13</v>
      </c>
      <c r="H4969" s="1">
        <v>46021.425694444442</v>
      </c>
      <c r="I4969" s="5">
        <f>INT(TB[[#This Row],[时间戳]])</f>
        <v>46021</v>
      </c>
      <c r="J4969" s="2">
        <f>HOUR(TB[[#This Row],[时间戳]])</f>
        <v>10</v>
      </c>
      <c r="K4969">
        <v>4314</v>
      </c>
      <c r="L4969">
        <v>4</v>
      </c>
      <c r="M4969">
        <f>TB[[#This Row],[售价]]*TB[[#This Row],[销量]]</f>
        <v>17256</v>
      </c>
      <c r="N4969" t="str">
        <f>IF(TB[[#This Row],[售价]]&lt;1000,"低价商品",IF(TB[[#This Row],[售价]]&lt;5000,"中价商品",IF(TB[[#This Row],[售价]]&lt;10000,"高价商品","超高价商品")))</f>
        <v>中价商品</v>
      </c>
    </row>
    <row r="4970" spans="1:14" x14ac:dyDescent="0.2">
      <c r="A4970">
        <v>187</v>
      </c>
      <c r="B4970">
        <v>231</v>
      </c>
      <c r="C4970" t="s">
        <v>10</v>
      </c>
      <c r="D4970" t="s">
        <v>201</v>
      </c>
      <c r="E4970" t="s">
        <v>31</v>
      </c>
      <c r="F4970">
        <v>4</v>
      </c>
      <c r="G4970" t="s">
        <v>13</v>
      </c>
      <c r="H4970" s="1">
        <v>46021.48333333333</v>
      </c>
      <c r="I4970" s="5">
        <f>INT(TB[[#This Row],[时间戳]])</f>
        <v>46021</v>
      </c>
      <c r="J4970" s="2">
        <f>HOUR(TB[[#This Row],[时间戳]])</f>
        <v>11</v>
      </c>
      <c r="K4970">
        <v>373</v>
      </c>
      <c r="L4970">
        <v>4</v>
      </c>
      <c r="M4970">
        <f>TB[[#This Row],[售价]]*TB[[#This Row],[销量]]</f>
        <v>1492</v>
      </c>
      <c r="N4970" t="str">
        <f>IF(TB[[#This Row],[售价]]&lt;1000,"低价商品",IF(TB[[#This Row],[售价]]&lt;5000,"中价商品",IF(TB[[#This Row],[售价]]&lt;10000,"高价商品","超高价商品")))</f>
        <v>低价商品</v>
      </c>
    </row>
    <row r="4971" spans="1:14" x14ac:dyDescent="0.2">
      <c r="A4971">
        <v>198</v>
      </c>
      <c r="B4971">
        <v>272</v>
      </c>
      <c r="C4971" t="s">
        <v>26</v>
      </c>
      <c r="D4971" t="s">
        <v>182</v>
      </c>
      <c r="E4971" t="s">
        <v>31</v>
      </c>
      <c r="F4971">
        <v>4</v>
      </c>
      <c r="G4971" t="s">
        <v>42</v>
      </c>
      <c r="H4971" s="1">
        <v>46021.493750000001</v>
      </c>
      <c r="I4971" s="5">
        <f>INT(TB[[#This Row],[时间戳]])</f>
        <v>46021</v>
      </c>
      <c r="J4971" s="2">
        <f>HOUR(TB[[#This Row],[时间戳]])</f>
        <v>11</v>
      </c>
      <c r="K4971">
        <v>1123</v>
      </c>
      <c r="L4971">
        <v>0</v>
      </c>
      <c r="M4971">
        <f>TB[[#This Row],[售价]]*TB[[#This Row],[销量]]</f>
        <v>0</v>
      </c>
      <c r="N4971" t="str">
        <f>IF(TB[[#This Row],[售价]]&lt;1000,"低价商品",IF(TB[[#This Row],[售价]]&lt;5000,"中价商品",IF(TB[[#This Row],[售价]]&lt;10000,"高价商品","超高价商品")))</f>
        <v>中价商品</v>
      </c>
    </row>
    <row r="4972" spans="1:14" x14ac:dyDescent="0.2">
      <c r="A4972">
        <v>653</v>
      </c>
      <c r="B4972">
        <v>83</v>
      </c>
      <c r="C4972" t="s">
        <v>36</v>
      </c>
      <c r="D4972" t="s">
        <v>238</v>
      </c>
      <c r="E4972" t="s">
        <v>12</v>
      </c>
      <c r="F4972">
        <v>2</v>
      </c>
      <c r="G4972" t="s">
        <v>42</v>
      </c>
      <c r="H4972" s="1">
        <v>46021.505555555559</v>
      </c>
      <c r="I4972" s="5">
        <f>INT(TB[[#This Row],[时间戳]])</f>
        <v>46021</v>
      </c>
      <c r="J4972" s="2">
        <f>HOUR(TB[[#This Row],[时间戳]])</f>
        <v>12</v>
      </c>
      <c r="K4972">
        <v>9037</v>
      </c>
      <c r="L4972">
        <v>0</v>
      </c>
      <c r="M4972">
        <f>TB[[#This Row],[售价]]*TB[[#This Row],[销量]]</f>
        <v>0</v>
      </c>
      <c r="N4972" t="str">
        <f>IF(TB[[#This Row],[售价]]&lt;1000,"低价商品",IF(TB[[#This Row],[售价]]&lt;5000,"中价商品",IF(TB[[#This Row],[售价]]&lt;10000,"高价商品","超高价商品")))</f>
        <v>高价商品</v>
      </c>
    </row>
    <row r="4973" spans="1:14" x14ac:dyDescent="0.2">
      <c r="A4973">
        <v>517</v>
      </c>
      <c r="B4973">
        <v>252</v>
      </c>
      <c r="C4973" t="s">
        <v>44</v>
      </c>
      <c r="D4973" t="s">
        <v>242</v>
      </c>
      <c r="E4973" t="s">
        <v>16</v>
      </c>
      <c r="F4973">
        <v>6</v>
      </c>
      <c r="G4973" t="s">
        <v>13</v>
      </c>
      <c r="H4973" s="1">
        <v>46021.54791666667</v>
      </c>
      <c r="I4973" s="5">
        <f>INT(TB[[#This Row],[时间戳]])</f>
        <v>46021</v>
      </c>
      <c r="J4973" s="2">
        <f>HOUR(TB[[#This Row],[时间戳]])</f>
        <v>13</v>
      </c>
      <c r="K4973">
        <v>7590</v>
      </c>
      <c r="L4973">
        <v>4</v>
      </c>
      <c r="M4973">
        <f>TB[[#This Row],[售价]]*TB[[#This Row],[销量]]</f>
        <v>30360</v>
      </c>
      <c r="N4973" t="str">
        <f>IF(TB[[#This Row],[售价]]&lt;1000,"低价商品",IF(TB[[#This Row],[售价]]&lt;5000,"中价商品",IF(TB[[#This Row],[售价]]&lt;10000,"高价商品","超高价商品")))</f>
        <v>高价商品</v>
      </c>
    </row>
    <row r="4974" spans="1:14" x14ac:dyDescent="0.2">
      <c r="A4974">
        <v>145</v>
      </c>
      <c r="B4974">
        <v>66</v>
      </c>
      <c r="C4974" t="s">
        <v>20</v>
      </c>
      <c r="D4974" t="s">
        <v>367</v>
      </c>
      <c r="E4974" t="s">
        <v>25</v>
      </c>
      <c r="F4974">
        <v>7</v>
      </c>
      <c r="G4974" t="s">
        <v>13</v>
      </c>
      <c r="H4974" s="1">
        <v>46021.561111111114</v>
      </c>
      <c r="I4974" s="5">
        <f>INT(TB[[#This Row],[时间戳]])</f>
        <v>46021</v>
      </c>
      <c r="J4974" s="2">
        <f>HOUR(TB[[#This Row],[时间戳]])</f>
        <v>13</v>
      </c>
      <c r="K4974">
        <v>2088</v>
      </c>
      <c r="L4974">
        <v>4</v>
      </c>
      <c r="M4974">
        <f>TB[[#This Row],[售价]]*TB[[#This Row],[销量]]</f>
        <v>8352</v>
      </c>
      <c r="N4974" t="str">
        <f>IF(TB[[#This Row],[售价]]&lt;1000,"低价商品",IF(TB[[#This Row],[售价]]&lt;5000,"中价商品",IF(TB[[#This Row],[售价]]&lt;10000,"高价商品","超高价商品")))</f>
        <v>中价商品</v>
      </c>
    </row>
    <row r="4975" spans="1:14" x14ac:dyDescent="0.2">
      <c r="A4975">
        <v>665</v>
      </c>
      <c r="B4975">
        <v>248</v>
      </c>
      <c r="C4975" t="s">
        <v>20</v>
      </c>
      <c r="D4975" t="s">
        <v>230</v>
      </c>
      <c r="E4975" t="s">
        <v>19</v>
      </c>
      <c r="F4975">
        <v>3</v>
      </c>
      <c r="G4975" t="s">
        <v>13</v>
      </c>
      <c r="H4975" s="1">
        <v>46021.584027777775</v>
      </c>
      <c r="I4975" s="5">
        <f>INT(TB[[#This Row],[时间戳]])</f>
        <v>46021</v>
      </c>
      <c r="J4975" s="2">
        <f>HOUR(TB[[#This Row],[时间戳]])</f>
        <v>14</v>
      </c>
      <c r="K4975">
        <v>3209</v>
      </c>
      <c r="L4975">
        <v>5</v>
      </c>
      <c r="M4975">
        <f>TB[[#This Row],[售价]]*TB[[#This Row],[销量]]</f>
        <v>16045</v>
      </c>
      <c r="N4975" t="str">
        <f>IF(TB[[#This Row],[售价]]&lt;1000,"低价商品",IF(TB[[#This Row],[售价]]&lt;5000,"中价商品",IF(TB[[#This Row],[售价]]&lt;10000,"高价商品","超高价商品")))</f>
        <v>中价商品</v>
      </c>
    </row>
    <row r="4976" spans="1:14" x14ac:dyDescent="0.2">
      <c r="A4976">
        <v>70</v>
      </c>
      <c r="B4976">
        <v>199</v>
      </c>
      <c r="C4976" t="s">
        <v>20</v>
      </c>
      <c r="D4976" t="s">
        <v>147</v>
      </c>
      <c r="E4976" t="s">
        <v>22</v>
      </c>
      <c r="F4976">
        <v>1</v>
      </c>
      <c r="G4976" t="s">
        <v>13</v>
      </c>
      <c r="H4976" s="1">
        <v>46021.589583333334</v>
      </c>
      <c r="I4976" s="5">
        <f>INT(TB[[#This Row],[时间戳]])</f>
        <v>46021</v>
      </c>
      <c r="J4976" s="2">
        <f>HOUR(TB[[#This Row],[时间戳]])</f>
        <v>14</v>
      </c>
      <c r="K4976">
        <v>1441</v>
      </c>
      <c r="L4976">
        <v>4</v>
      </c>
      <c r="M4976">
        <f>TB[[#This Row],[售价]]*TB[[#This Row],[销量]]</f>
        <v>5764</v>
      </c>
      <c r="N4976" t="str">
        <f>IF(TB[[#This Row],[售价]]&lt;1000,"低价商品",IF(TB[[#This Row],[售价]]&lt;5000,"中价商品",IF(TB[[#This Row],[售价]]&lt;10000,"高价商品","超高价商品")))</f>
        <v>中价商品</v>
      </c>
    </row>
    <row r="4977" spans="1:14" x14ac:dyDescent="0.2">
      <c r="A4977">
        <v>749</v>
      </c>
      <c r="B4977">
        <v>103</v>
      </c>
      <c r="C4977" t="s">
        <v>17</v>
      </c>
      <c r="D4977" t="s">
        <v>18</v>
      </c>
      <c r="E4977" t="s">
        <v>19</v>
      </c>
      <c r="F4977">
        <v>3</v>
      </c>
      <c r="G4977" t="s">
        <v>13</v>
      </c>
      <c r="H4977" s="1">
        <v>46021.599999999999</v>
      </c>
      <c r="I4977" s="5">
        <f>INT(TB[[#This Row],[时间戳]])</f>
        <v>46021</v>
      </c>
      <c r="J4977" s="2">
        <f>HOUR(TB[[#This Row],[时间戳]])</f>
        <v>14</v>
      </c>
      <c r="K4977">
        <v>5602</v>
      </c>
      <c r="L4977">
        <v>5</v>
      </c>
      <c r="M4977">
        <f>TB[[#This Row],[售价]]*TB[[#This Row],[销量]]</f>
        <v>28010</v>
      </c>
      <c r="N4977" t="str">
        <f>IF(TB[[#This Row],[售价]]&lt;1000,"低价商品",IF(TB[[#This Row],[售价]]&lt;5000,"中价商品",IF(TB[[#This Row],[售价]]&lt;10000,"高价商品","超高价商品")))</f>
        <v>高价商品</v>
      </c>
    </row>
    <row r="4978" spans="1:14" x14ac:dyDescent="0.2">
      <c r="A4978">
        <v>658</v>
      </c>
      <c r="B4978">
        <v>190</v>
      </c>
      <c r="C4978" t="s">
        <v>36</v>
      </c>
      <c r="D4978" t="s">
        <v>192</v>
      </c>
      <c r="E4978" t="s">
        <v>22</v>
      </c>
      <c r="F4978">
        <v>1</v>
      </c>
      <c r="G4978" t="s">
        <v>13</v>
      </c>
      <c r="H4978" s="1">
        <v>46021.602777777778</v>
      </c>
      <c r="I4978" s="5">
        <f>INT(TB[[#This Row],[时间戳]])</f>
        <v>46021</v>
      </c>
      <c r="J4978" s="2">
        <f>HOUR(TB[[#This Row],[时间戳]])</f>
        <v>14</v>
      </c>
      <c r="K4978">
        <v>6887</v>
      </c>
      <c r="L4978">
        <v>4</v>
      </c>
      <c r="M4978">
        <f>TB[[#This Row],[售价]]*TB[[#This Row],[销量]]</f>
        <v>27548</v>
      </c>
      <c r="N4978" t="str">
        <f>IF(TB[[#This Row],[售价]]&lt;1000,"低价商品",IF(TB[[#This Row],[售价]]&lt;5000,"中价商品",IF(TB[[#This Row],[售价]]&lt;10000,"高价商品","超高价商品")))</f>
        <v>高价商品</v>
      </c>
    </row>
    <row r="4979" spans="1:14" x14ac:dyDescent="0.2">
      <c r="A4979">
        <v>614</v>
      </c>
      <c r="B4979">
        <v>275</v>
      </c>
      <c r="C4979" t="s">
        <v>44</v>
      </c>
      <c r="D4979" t="s">
        <v>161</v>
      </c>
      <c r="E4979" t="s">
        <v>31</v>
      </c>
      <c r="F4979">
        <v>4</v>
      </c>
      <c r="G4979" t="s">
        <v>13</v>
      </c>
      <c r="H4979" s="1">
        <v>46021.606944444444</v>
      </c>
      <c r="I4979" s="5">
        <f>INT(TB[[#This Row],[时间戳]])</f>
        <v>46021</v>
      </c>
      <c r="J4979" s="2">
        <f>HOUR(TB[[#This Row],[时间戳]])</f>
        <v>14</v>
      </c>
      <c r="K4979">
        <v>826</v>
      </c>
      <c r="L4979">
        <v>2</v>
      </c>
      <c r="M4979">
        <f>TB[[#This Row],[售价]]*TB[[#This Row],[销量]]</f>
        <v>1652</v>
      </c>
      <c r="N4979" t="str">
        <f>IF(TB[[#This Row],[售价]]&lt;1000,"低价商品",IF(TB[[#This Row],[售价]]&lt;5000,"中价商品",IF(TB[[#This Row],[售价]]&lt;10000,"高价商品","超高价商品")))</f>
        <v>低价商品</v>
      </c>
    </row>
    <row r="4980" spans="1:14" x14ac:dyDescent="0.2">
      <c r="A4980">
        <v>528</v>
      </c>
      <c r="B4980">
        <v>220</v>
      </c>
      <c r="C4980" t="s">
        <v>10</v>
      </c>
      <c r="D4980" t="s">
        <v>244</v>
      </c>
      <c r="E4980" t="s">
        <v>19</v>
      </c>
      <c r="F4980">
        <v>3</v>
      </c>
      <c r="G4980" t="s">
        <v>13</v>
      </c>
      <c r="H4980" s="1">
        <v>46021.606944444444</v>
      </c>
      <c r="I4980" s="5">
        <f>INT(TB[[#This Row],[时间戳]])</f>
        <v>46021</v>
      </c>
      <c r="J4980" s="2">
        <f>HOUR(TB[[#This Row],[时间戳]])</f>
        <v>14</v>
      </c>
      <c r="K4980">
        <v>3720</v>
      </c>
      <c r="L4980">
        <v>4</v>
      </c>
      <c r="M4980">
        <f>TB[[#This Row],[售价]]*TB[[#This Row],[销量]]</f>
        <v>14880</v>
      </c>
      <c r="N4980" t="str">
        <f>IF(TB[[#This Row],[售价]]&lt;1000,"低价商品",IF(TB[[#This Row],[售价]]&lt;5000,"中价商品",IF(TB[[#This Row],[售价]]&lt;10000,"高价商品","超高价商品")))</f>
        <v>中价商品</v>
      </c>
    </row>
    <row r="4981" spans="1:14" x14ac:dyDescent="0.2">
      <c r="A4981">
        <v>794</v>
      </c>
      <c r="B4981">
        <v>199</v>
      </c>
      <c r="C4981" t="s">
        <v>36</v>
      </c>
      <c r="D4981" t="s">
        <v>54</v>
      </c>
      <c r="E4981" t="s">
        <v>12</v>
      </c>
      <c r="F4981">
        <v>2</v>
      </c>
      <c r="G4981" t="s">
        <v>13</v>
      </c>
      <c r="H4981" s="1">
        <v>46021.607638888891</v>
      </c>
      <c r="I4981" s="5">
        <f>INT(TB[[#This Row],[时间戳]])</f>
        <v>46021</v>
      </c>
      <c r="J4981" s="2">
        <f>HOUR(TB[[#This Row],[时间戳]])</f>
        <v>14</v>
      </c>
      <c r="K4981">
        <v>11390</v>
      </c>
      <c r="L4981">
        <v>4</v>
      </c>
      <c r="M4981">
        <f>TB[[#This Row],[售价]]*TB[[#This Row],[销量]]</f>
        <v>45560</v>
      </c>
      <c r="N4981" t="str">
        <f>IF(TB[[#This Row],[售价]]&lt;1000,"低价商品",IF(TB[[#This Row],[售价]]&lt;5000,"中价商品",IF(TB[[#This Row],[售价]]&lt;10000,"高价商品","超高价商品")))</f>
        <v>超高价商品</v>
      </c>
    </row>
    <row r="4982" spans="1:14" x14ac:dyDescent="0.2">
      <c r="A4982">
        <v>4</v>
      </c>
      <c r="B4982">
        <v>228</v>
      </c>
      <c r="C4982" t="s">
        <v>20</v>
      </c>
      <c r="D4982" t="s">
        <v>64</v>
      </c>
      <c r="E4982" t="s">
        <v>31</v>
      </c>
      <c r="F4982">
        <v>4</v>
      </c>
      <c r="G4982" t="s">
        <v>13</v>
      </c>
      <c r="H4982" s="1">
        <v>46021.677083333336</v>
      </c>
      <c r="I4982" s="5">
        <f>INT(TB[[#This Row],[时间戳]])</f>
        <v>46021</v>
      </c>
      <c r="J4982" s="2">
        <f>HOUR(TB[[#This Row],[时间戳]])</f>
        <v>16</v>
      </c>
      <c r="K4982">
        <v>591</v>
      </c>
      <c r="L4982">
        <v>4</v>
      </c>
      <c r="M4982">
        <f>TB[[#This Row],[售价]]*TB[[#This Row],[销量]]</f>
        <v>2364</v>
      </c>
      <c r="N4982" t="str">
        <f>IF(TB[[#This Row],[售价]]&lt;1000,"低价商品",IF(TB[[#This Row],[售价]]&lt;5000,"中价商品",IF(TB[[#This Row],[售价]]&lt;10000,"高价商品","超高价商品")))</f>
        <v>低价商品</v>
      </c>
    </row>
    <row r="4983" spans="1:14" x14ac:dyDescent="0.2">
      <c r="A4983">
        <v>52</v>
      </c>
      <c r="B4983">
        <v>279</v>
      </c>
      <c r="C4983" t="s">
        <v>17</v>
      </c>
      <c r="D4983" t="s">
        <v>370</v>
      </c>
      <c r="E4983" t="s">
        <v>31</v>
      </c>
      <c r="F4983">
        <v>4</v>
      </c>
      <c r="G4983" t="s">
        <v>13</v>
      </c>
      <c r="H4983" s="1">
        <v>46021.682638888888</v>
      </c>
      <c r="I4983" s="5">
        <f>INT(TB[[#This Row],[时间戳]])</f>
        <v>46021</v>
      </c>
      <c r="J4983" s="2">
        <f>HOUR(TB[[#This Row],[时间戳]])</f>
        <v>16</v>
      </c>
      <c r="K4983">
        <v>268</v>
      </c>
      <c r="L4983">
        <v>5</v>
      </c>
      <c r="M4983">
        <f>TB[[#This Row],[售价]]*TB[[#This Row],[销量]]</f>
        <v>1340</v>
      </c>
      <c r="N4983" t="str">
        <f>IF(TB[[#This Row],[售价]]&lt;1000,"低价商品",IF(TB[[#This Row],[售价]]&lt;5000,"中价商品",IF(TB[[#This Row],[售价]]&lt;10000,"高价商品","超高价商品")))</f>
        <v>低价商品</v>
      </c>
    </row>
    <row r="4984" spans="1:14" x14ac:dyDescent="0.2">
      <c r="A4984">
        <v>86</v>
      </c>
      <c r="B4984">
        <v>197</v>
      </c>
      <c r="C4984" t="s">
        <v>26</v>
      </c>
      <c r="D4984" t="s">
        <v>95</v>
      </c>
      <c r="E4984" t="s">
        <v>22</v>
      </c>
      <c r="F4984">
        <v>1</v>
      </c>
      <c r="G4984" t="s">
        <v>13</v>
      </c>
      <c r="H4984" s="1">
        <v>46021.702777777777</v>
      </c>
      <c r="I4984" s="5">
        <f>INT(TB[[#This Row],[时间戳]])</f>
        <v>46021</v>
      </c>
      <c r="J4984" s="2">
        <f>HOUR(TB[[#This Row],[时间戳]])</f>
        <v>16</v>
      </c>
      <c r="K4984">
        <v>1579</v>
      </c>
      <c r="L4984">
        <v>2</v>
      </c>
      <c r="M4984">
        <f>TB[[#This Row],[售价]]*TB[[#This Row],[销量]]</f>
        <v>3158</v>
      </c>
      <c r="N4984" t="str">
        <f>IF(TB[[#This Row],[售价]]&lt;1000,"低价商品",IF(TB[[#This Row],[售价]]&lt;5000,"中价商品",IF(TB[[#This Row],[售价]]&lt;10000,"高价商品","超高价商品")))</f>
        <v>中价商品</v>
      </c>
    </row>
    <row r="4985" spans="1:14" x14ac:dyDescent="0.2">
      <c r="A4985">
        <v>429</v>
      </c>
      <c r="B4985">
        <v>166</v>
      </c>
      <c r="C4985" t="s">
        <v>10</v>
      </c>
      <c r="D4985" t="s">
        <v>134</v>
      </c>
      <c r="E4985" t="s">
        <v>22</v>
      </c>
      <c r="F4985">
        <v>1</v>
      </c>
      <c r="G4985" t="s">
        <v>13</v>
      </c>
      <c r="H4985" s="1">
        <v>46021.736111111109</v>
      </c>
      <c r="I4985" s="5">
        <f>INT(TB[[#This Row],[时间戳]])</f>
        <v>46021</v>
      </c>
      <c r="J4985" s="2">
        <f>HOUR(TB[[#This Row],[时间戳]])</f>
        <v>17</v>
      </c>
      <c r="K4985">
        <v>4150</v>
      </c>
      <c r="L4985">
        <v>5</v>
      </c>
      <c r="M4985">
        <f>TB[[#This Row],[售价]]*TB[[#This Row],[销量]]</f>
        <v>20750</v>
      </c>
      <c r="N4985" t="str">
        <f>IF(TB[[#This Row],[售价]]&lt;1000,"低价商品",IF(TB[[#This Row],[售价]]&lt;5000,"中价商品",IF(TB[[#This Row],[售价]]&lt;10000,"高价商品","超高价商品")))</f>
        <v>中价商品</v>
      </c>
    </row>
    <row r="4986" spans="1:14" x14ac:dyDescent="0.2">
      <c r="A4986">
        <v>417</v>
      </c>
      <c r="B4986">
        <v>143</v>
      </c>
      <c r="C4986" t="s">
        <v>44</v>
      </c>
      <c r="D4986" t="s">
        <v>51</v>
      </c>
      <c r="E4986" t="s">
        <v>19</v>
      </c>
      <c r="F4986">
        <v>3</v>
      </c>
      <c r="G4986" t="s">
        <v>13</v>
      </c>
      <c r="H4986" s="1">
        <v>46021.750694444447</v>
      </c>
      <c r="I4986" s="5">
        <f>INT(TB[[#This Row],[时间戳]])</f>
        <v>46021</v>
      </c>
      <c r="J4986" s="2">
        <f>HOUR(TB[[#This Row],[时间戳]])</f>
        <v>18</v>
      </c>
      <c r="K4986">
        <v>4382</v>
      </c>
      <c r="L4986">
        <v>2</v>
      </c>
      <c r="M4986">
        <f>TB[[#This Row],[售价]]*TB[[#This Row],[销量]]</f>
        <v>8764</v>
      </c>
      <c r="N4986" t="str">
        <f>IF(TB[[#This Row],[售价]]&lt;1000,"低价商品",IF(TB[[#This Row],[售价]]&lt;5000,"中价商品",IF(TB[[#This Row],[售价]]&lt;10000,"高价商品","超高价商品")))</f>
        <v>中价商品</v>
      </c>
    </row>
    <row r="4987" spans="1:14" x14ac:dyDescent="0.2">
      <c r="A4987">
        <v>331</v>
      </c>
      <c r="B4987">
        <v>168</v>
      </c>
      <c r="C4987" t="s">
        <v>20</v>
      </c>
      <c r="D4987" t="s">
        <v>23</v>
      </c>
      <c r="E4987" t="s">
        <v>12</v>
      </c>
      <c r="F4987">
        <v>2</v>
      </c>
      <c r="G4987" t="s">
        <v>13</v>
      </c>
      <c r="H4987" s="1">
        <v>46021.754166666666</v>
      </c>
      <c r="I4987" s="5">
        <f>INT(TB[[#This Row],[时间戳]])</f>
        <v>46021</v>
      </c>
      <c r="J4987" s="2">
        <f>HOUR(TB[[#This Row],[时间戳]])</f>
        <v>18</v>
      </c>
      <c r="K4987">
        <v>9470</v>
      </c>
      <c r="L4987">
        <v>4</v>
      </c>
      <c r="M4987">
        <f>TB[[#This Row],[售价]]*TB[[#This Row],[销量]]</f>
        <v>37880</v>
      </c>
      <c r="N4987" t="str">
        <f>IF(TB[[#This Row],[售价]]&lt;1000,"低价商品",IF(TB[[#This Row],[售价]]&lt;5000,"中价商品",IF(TB[[#This Row],[售价]]&lt;10000,"高价商品","超高价商品")))</f>
        <v>高价商品</v>
      </c>
    </row>
    <row r="4988" spans="1:14" x14ac:dyDescent="0.2">
      <c r="A4988">
        <v>361</v>
      </c>
      <c r="B4988">
        <v>52</v>
      </c>
      <c r="C4988" t="s">
        <v>34</v>
      </c>
      <c r="D4988" t="s">
        <v>346</v>
      </c>
      <c r="E4988" t="s">
        <v>22</v>
      </c>
      <c r="F4988">
        <v>1</v>
      </c>
      <c r="G4988" t="s">
        <v>13</v>
      </c>
      <c r="H4988" s="1">
        <v>46021.777777777781</v>
      </c>
      <c r="I4988" s="5">
        <f>INT(TB[[#This Row],[时间戳]])</f>
        <v>46021</v>
      </c>
      <c r="J4988" s="2">
        <f>HOUR(TB[[#This Row],[时间戳]])</f>
        <v>18</v>
      </c>
      <c r="K4988">
        <v>7345</v>
      </c>
      <c r="L4988">
        <v>4</v>
      </c>
      <c r="M4988">
        <f>TB[[#This Row],[售价]]*TB[[#This Row],[销量]]</f>
        <v>29380</v>
      </c>
      <c r="N4988" t="str">
        <f>IF(TB[[#This Row],[售价]]&lt;1000,"低价商品",IF(TB[[#This Row],[售价]]&lt;5000,"中价商品",IF(TB[[#This Row],[售价]]&lt;10000,"高价商品","超高价商品")))</f>
        <v>高价商品</v>
      </c>
    </row>
    <row r="4989" spans="1:14" x14ac:dyDescent="0.2">
      <c r="A4989">
        <v>282</v>
      </c>
      <c r="B4989">
        <v>3</v>
      </c>
      <c r="C4989" t="s">
        <v>44</v>
      </c>
      <c r="D4989" t="s">
        <v>66</v>
      </c>
      <c r="E4989" t="s">
        <v>22</v>
      </c>
      <c r="F4989">
        <v>1</v>
      </c>
      <c r="G4989" t="s">
        <v>13</v>
      </c>
      <c r="H4989" s="1">
        <v>46021.794444444444</v>
      </c>
      <c r="I4989" s="5">
        <f>INT(TB[[#This Row],[时间戳]])</f>
        <v>46021</v>
      </c>
      <c r="J4989" s="2">
        <f>HOUR(TB[[#This Row],[时间戳]])</f>
        <v>19</v>
      </c>
      <c r="K4989">
        <v>2340</v>
      </c>
      <c r="L4989">
        <v>5</v>
      </c>
      <c r="M4989">
        <f>TB[[#This Row],[售价]]*TB[[#This Row],[销量]]</f>
        <v>11700</v>
      </c>
      <c r="N4989" t="str">
        <f>IF(TB[[#This Row],[售价]]&lt;1000,"低价商品",IF(TB[[#This Row],[售价]]&lt;5000,"中价商品",IF(TB[[#This Row],[售价]]&lt;10000,"高价商品","超高价商品")))</f>
        <v>中价商品</v>
      </c>
    </row>
    <row r="4990" spans="1:14" x14ac:dyDescent="0.2">
      <c r="A4990">
        <v>458</v>
      </c>
      <c r="B4990">
        <v>173</v>
      </c>
      <c r="C4990" t="s">
        <v>17</v>
      </c>
      <c r="D4990" t="s">
        <v>255</v>
      </c>
      <c r="E4990" t="s">
        <v>31</v>
      </c>
      <c r="F4990">
        <v>4</v>
      </c>
      <c r="G4990" t="s">
        <v>13</v>
      </c>
      <c r="H4990" s="1">
        <v>46021.818749999999</v>
      </c>
      <c r="I4990" s="5">
        <f>INT(TB[[#This Row],[时间戳]])</f>
        <v>46021</v>
      </c>
      <c r="J4990" s="2">
        <f>HOUR(TB[[#This Row],[时间戳]])</f>
        <v>19</v>
      </c>
      <c r="K4990">
        <v>50</v>
      </c>
      <c r="L4990">
        <v>4</v>
      </c>
      <c r="M4990">
        <f>TB[[#This Row],[售价]]*TB[[#This Row],[销量]]</f>
        <v>200</v>
      </c>
      <c r="N4990" t="str">
        <f>IF(TB[[#This Row],[售价]]&lt;1000,"低价商品",IF(TB[[#This Row],[售价]]&lt;5000,"中价商品",IF(TB[[#This Row],[售价]]&lt;10000,"高价商品","超高价商品")))</f>
        <v>低价商品</v>
      </c>
    </row>
    <row r="4991" spans="1:14" x14ac:dyDescent="0.2">
      <c r="A4991">
        <v>299</v>
      </c>
      <c r="B4991">
        <v>30</v>
      </c>
      <c r="C4991" t="s">
        <v>20</v>
      </c>
      <c r="D4991" t="s">
        <v>267</v>
      </c>
      <c r="E4991" t="s">
        <v>39</v>
      </c>
      <c r="F4991">
        <v>5</v>
      </c>
      <c r="G4991" t="s">
        <v>13</v>
      </c>
      <c r="H4991" s="1">
        <v>46021.845833333333</v>
      </c>
      <c r="I4991" s="5">
        <f>INT(TB[[#This Row],[时间戳]])</f>
        <v>46021</v>
      </c>
      <c r="J4991" s="2">
        <f>HOUR(TB[[#This Row],[时间戳]])</f>
        <v>20</v>
      </c>
      <c r="K4991">
        <v>2946</v>
      </c>
      <c r="L4991">
        <v>5</v>
      </c>
      <c r="M4991">
        <f>TB[[#This Row],[售价]]*TB[[#This Row],[销量]]</f>
        <v>14730</v>
      </c>
      <c r="N4991" t="str">
        <f>IF(TB[[#This Row],[售价]]&lt;1000,"低价商品",IF(TB[[#This Row],[售价]]&lt;5000,"中价商品",IF(TB[[#This Row],[售价]]&lt;10000,"高价商品","超高价商品")))</f>
        <v>中价商品</v>
      </c>
    </row>
    <row r="4992" spans="1:14" x14ac:dyDescent="0.2">
      <c r="A4992">
        <v>362</v>
      </c>
      <c r="B4992">
        <v>131</v>
      </c>
      <c r="C4992" t="s">
        <v>17</v>
      </c>
      <c r="D4992" t="s">
        <v>156</v>
      </c>
      <c r="E4992" t="s">
        <v>19</v>
      </c>
      <c r="F4992">
        <v>3</v>
      </c>
      <c r="G4992" t="s">
        <v>13</v>
      </c>
      <c r="H4992" s="1">
        <v>46021.913888888892</v>
      </c>
      <c r="I4992" s="5">
        <f>INT(TB[[#This Row],[时间戳]])</f>
        <v>46021</v>
      </c>
      <c r="J4992" s="2">
        <f>HOUR(TB[[#This Row],[时间戳]])</f>
        <v>21</v>
      </c>
      <c r="K4992">
        <v>4263</v>
      </c>
      <c r="L4992">
        <v>5</v>
      </c>
      <c r="M4992">
        <f>TB[[#This Row],[售价]]*TB[[#This Row],[销量]]</f>
        <v>21315</v>
      </c>
      <c r="N4992" t="str">
        <f>IF(TB[[#This Row],[售价]]&lt;1000,"低价商品",IF(TB[[#This Row],[售价]]&lt;5000,"中价商品",IF(TB[[#This Row],[售价]]&lt;10000,"高价商品","超高价商品")))</f>
        <v>中价商品</v>
      </c>
    </row>
    <row r="4993" spans="1:14" x14ac:dyDescent="0.2">
      <c r="A4993">
        <v>263</v>
      </c>
      <c r="B4993">
        <v>155</v>
      </c>
      <c r="C4993" t="s">
        <v>26</v>
      </c>
      <c r="D4993" t="s">
        <v>149</v>
      </c>
      <c r="E4993" t="s">
        <v>39</v>
      </c>
      <c r="F4993">
        <v>5</v>
      </c>
      <c r="G4993" t="s">
        <v>13</v>
      </c>
      <c r="H4993" s="1">
        <v>46021.929861111108</v>
      </c>
      <c r="I4993" s="5">
        <f>INT(TB[[#This Row],[时间戳]])</f>
        <v>46021</v>
      </c>
      <c r="J4993" s="2">
        <f>HOUR(TB[[#This Row],[时间戳]])</f>
        <v>22</v>
      </c>
      <c r="K4993">
        <v>1985</v>
      </c>
      <c r="L4993">
        <v>5</v>
      </c>
      <c r="M4993">
        <f>TB[[#This Row],[售价]]*TB[[#This Row],[销量]]</f>
        <v>9925</v>
      </c>
      <c r="N4993" t="str">
        <f>IF(TB[[#This Row],[售价]]&lt;1000,"低价商品",IF(TB[[#This Row],[售价]]&lt;5000,"中价商品",IF(TB[[#This Row],[售价]]&lt;10000,"高价商品","超高价商品")))</f>
        <v>中价商品</v>
      </c>
    </row>
    <row r="4994" spans="1:14" x14ac:dyDescent="0.2">
      <c r="A4994">
        <v>627</v>
      </c>
      <c r="B4994">
        <v>242</v>
      </c>
      <c r="C4994" t="s">
        <v>20</v>
      </c>
      <c r="D4994" t="s">
        <v>21</v>
      </c>
      <c r="E4994" t="s">
        <v>22</v>
      </c>
      <c r="F4994">
        <v>1</v>
      </c>
      <c r="G4994" t="s">
        <v>13</v>
      </c>
      <c r="H4994" s="1">
        <v>46021.9375</v>
      </c>
      <c r="I4994" s="5">
        <f>INT(TB[[#This Row],[时间戳]])</f>
        <v>46021</v>
      </c>
      <c r="J4994" s="2">
        <f>HOUR(TB[[#This Row],[时间戳]])</f>
        <v>22</v>
      </c>
      <c r="K4994">
        <v>2965</v>
      </c>
      <c r="L4994">
        <v>4</v>
      </c>
      <c r="M4994">
        <f>TB[[#This Row],[售价]]*TB[[#This Row],[销量]]</f>
        <v>11860</v>
      </c>
      <c r="N4994" t="str">
        <f>IF(TB[[#This Row],[售价]]&lt;1000,"低价商品",IF(TB[[#This Row],[售价]]&lt;5000,"中价商品",IF(TB[[#This Row],[售价]]&lt;10000,"高价商品","超高价商品")))</f>
        <v>中价商品</v>
      </c>
    </row>
    <row r="4995" spans="1:14" x14ac:dyDescent="0.2">
      <c r="A4995">
        <v>207</v>
      </c>
      <c r="B4995">
        <v>271</v>
      </c>
      <c r="C4995" t="s">
        <v>26</v>
      </c>
      <c r="D4995" t="s">
        <v>27</v>
      </c>
      <c r="E4995" t="s">
        <v>22</v>
      </c>
      <c r="F4995">
        <v>1</v>
      </c>
      <c r="G4995" t="s">
        <v>13</v>
      </c>
      <c r="H4995" s="1">
        <v>46021.956944444442</v>
      </c>
      <c r="I4995" s="5">
        <f>INT(TB[[#This Row],[时间戳]])</f>
        <v>46021</v>
      </c>
      <c r="J4995" s="2">
        <f>HOUR(TB[[#This Row],[时间戳]])</f>
        <v>22</v>
      </c>
      <c r="K4995">
        <v>3227</v>
      </c>
      <c r="L4995">
        <v>2</v>
      </c>
      <c r="M4995">
        <f>TB[[#This Row],[售价]]*TB[[#This Row],[销量]]</f>
        <v>6454</v>
      </c>
      <c r="N4995" t="str">
        <f>IF(TB[[#This Row],[售价]]&lt;1000,"低价商品",IF(TB[[#This Row],[售价]]&lt;5000,"中价商品",IF(TB[[#This Row],[售价]]&lt;10000,"高价商品","超高价商品")))</f>
        <v>中价商品</v>
      </c>
    </row>
    <row r="4996" spans="1:14" x14ac:dyDescent="0.2">
      <c r="A4996">
        <v>525</v>
      </c>
      <c r="B4996">
        <v>120</v>
      </c>
      <c r="C4996" t="s">
        <v>17</v>
      </c>
      <c r="D4996" t="s">
        <v>74</v>
      </c>
      <c r="E4996" t="s">
        <v>22</v>
      </c>
      <c r="F4996">
        <v>1</v>
      </c>
      <c r="G4996" t="s">
        <v>42</v>
      </c>
      <c r="H4996" s="1">
        <v>46021.958333333336</v>
      </c>
      <c r="I4996" s="5">
        <f>INT(TB[[#This Row],[时间戳]])</f>
        <v>46021</v>
      </c>
      <c r="J4996" s="2">
        <f>HOUR(TB[[#This Row],[时间戳]])</f>
        <v>23</v>
      </c>
      <c r="K4996">
        <v>4403</v>
      </c>
      <c r="L4996">
        <v>0</v>
      </c>
      <c r="M4996">
        <f>TB[[#This Row],[售价]]*TB[[#This Row],[销量]]</f>
        <v>0</v>
      </c>
      <c r="N4996" t="str">
        <f>IF(TB[[#This Row],[售价]]&lt;1000,"低价商品",IF(TB[[#This Row],[售价]]&lt;5000,"中价商品",IF(TB[[#This Row],[售价]]&lt;10000,"高价商品","超高价商品")))</f>
        <v>中价商品</v>
      </c>
    </row>
    <row r="4997" spans="1:14" x14ac:dyDescent="0.2">
      <c r="A4997">
        <v>464</v>
      </c>
      <c r="B4997">
        <v>11</v>
      </c>
      <c r="C4997" t="s">
        <v>10</v>
      </c>
      <c r="D4997" t="s">
        <v>258</v>
      </c>
      <c r="E4997" t="s">
        <v>39</v>
      </c>
      <c r="F4997">
        <v>5</v>
      </c>
      <c r="G4997" t="s">
        <v>13</v>
      </c>
      <c r="H4997" s="1">
        <v>46022</v>
      </c>
      <c r="I4997" s="5">
        <f>INT(TB[[#This Row],[时间戳]])</f>
        <v>46022</v>
      </c>
      <c r="J4997" s="2">
        <f>HOUR(TB[[#This Row],[时间戳]])</f>
        <v>0</v>
      </c>
      <c r="K4997">
        <v>2143</v>
      </c>
      <c r="L4997">
        <v>5</v>
      </c>
      <c r="M4997">
        <f>TB[[#This Row],[售价]]*TB[[#This Row],[销量]]</f>
        <v>10715</v>
      </c>
      <c r="N4997" t="str">
        <f>IF(TB[[#This Row],[售价]]&lt;1000,"低价商品",IF(TB[[#This Row],[售价]]&lt;5000,"中价商品",IF(TB[[#This Row],[售价]]&lt;10000,"高价商品","超高价商品")))</f>
        <v>中价商品</v>
      </c>
    </row>
    <row r="4998" spans="1:14" x14ac:dyDescent="0.2">
      <c r="A4998">
        <v>638</v>
      </c>
      <c r="B4998">
        <v>153</v>
      </c>
      <c r="C4998" t="s">
        <v>32</v>
      </c>
      <c r="D4998" t="s">
        <v>411</v>
      </c>
      <c r="E4998" t="s">
        <v>39</v>
      </c>
      <c r="F4998">
        <v>5</v>
      </c>
      <c r="G4998" t="s">
        <v>13</v>
      </c>
      <c r="H4998" s="1">
        <v>46022.002083333333</v>
      </c>
      <c r="I4998" s="5">
        <f>INT(TB[[#This Row],[时间戳]])</f>
        <v>46022</v>
      </c>
      <c r="J4998" s="2">
        <f>HOUR(TB[[#This Row],[时间戳]])</f>
        <v>0</v>
      </c>
      <c r="K4998">
        <v>1813</v>
      </c>
      <c r="L4998">
        <v>2</v>
      </c>
      <c r="M4998">
        <f>TB[[#This Row],[售价]]*TB[[#This Row],[销量]]</f>
        <v>3626</v>
      </c>
      <c r="N4998" t="str">
        <f>IF(TB[[#This Row],[售价]]&lt;1000,"低价商品",IF(TB[[#This Row],[售价]]&lt;5000,"中价商品",IF(TB[[#This Row],[售价]]&lt;10000,"高价商品","超高价商品")))</f>
        <v>中价商品</v>
      </c>
    </row>
    <row r="4999" spans="1:14" x14ac:dyDescent="0.2">
      <c r="A4999">
        <v>659</v>
      </c>
      <c r="B4999">
        <v>211</v>
      </c>
      <c r="C4999" t="s">
        <v>32</v>
      </c>
      <c r="D4999" t="s">
        <v>215</v>
      </c>
      <c r="E4999" t="s">
        <v>31</v>
      </c>
      <c r="F4999">
        <v>4</v>
      </c>
      <c r="G4999" t="s">
        <v>13</v>
      </c>
      <c r="H4999" s="1">
        <v>46022.009722222225</v>
      </c>
      <c r="I4999" s="5">
        <f>INT(TB[[#This Row],[时间戳]])</f>
        <v>46022</v>
      </c>
      <c r="J4999" s="2">
        <f>HOUR(TB[[#This Row],[时间戳]])</f>
        <v>0</v>
      </c>
      <c r="K4999">
        <v>476</v>
      </c>
      <c r="L4999">
        <v>2</v>
      </c>
      <c r="M4999">
        <f>TB[[#This Row],[售价]]*TB[[#This Row],[销量]]</f>
        <v>952</v>
      </c>
      <c r="N4999" t="str">
        <f>IF(TB[[#This Row],[售价]]&lt;1000,"低价商品",IF(TB[[#This Row],[售价]]&lt;5000,"中价商品",IF(TB[[#This Row],[售价]]&lt;10000,"高价商品","超高价商品")))</f>
        <v>低价商品</v>
      </c>
    </row>
    <row r="5000" spans="1:14" x14ac:dyDescent="0.2">
      <c r="A5000">
        <v>749</v>
      </c>
      <c r="B5000">
        <v>25</v>
      </c>
      <c r="C5000" t="s">
        <v>10</v>
      </c>
      <c r="D5000" t="s">
        <v>329</v>
      </c>
      <c r="E5000" t="s">
        <v>39</v>
      </c>
      <c r="F5000">
        <v>5</v>
      </c>
      <c r="G5000" t="s">
        <v>13</v>
      </c>
      <c r="H5000" s="1">
        <v>46022.040972222225</v>
      </c>
      <c r="I5000" s="5">
        <f>INT(TB[[#This Row],[时间戳]])</f>
        <v>46022</v>
      </c>
      <c r="J5000" s="2">
        <f>HOUR(TB[[#This Row],[时间戳]])</f>
        <v>0</v>
      </c>
      <c r="K5000">
        <v>936</v>
      </c>
      <c r="L5000">
        <v>5</v>
      </c>
      <c r="M5000">
        <f>TB[[#This Row],[售价]]*TB[[#This Row],[销量]]</f>
        <v>4680</v>
      </c>
      <c r="N5000" t="str">
        <f>IF(TB[[#This Row],[售价]]&lt;1000,"低价商品",IF(TB[[#This Row],[售价]]&lt;5000,"中价商品",IF(TB[[#This Row],[售价]]&lt;10000,"高价商品","超高价商品")))</f>
        <v>低价商品</v>
      </c>
    </row>
    <row r="5001" spans="1:14" x14ac:dyDescent="0.2">
      <c r="A5001">
        <v>32</v>
      </c>
      <c r="B5001">
        <v>143</v>
      </c>
      <c r="C5001" t="s">
        <v>20</v>
      </c>
      <c r="D5001" t="s">
        <v>120</v>
      </c>
      <c r="E5001" t="s">
        <v>22</v>
      </c>
      <c r="F5001">
        <v>1</v>
      </c>
      <c r="G5001" t="s">
        <v>13</v>
      </c>
      <c r="H5001" s="1">
        <v>46022.057638888888</v>
      </c>
      <c r="I5001" s="5">
        <f>INT(TB[[#This Row],[时间戳]])</f>
        <v>46022</v>
      </c>
      <c r="J5001" s="2">
        <f>HOUR(TB[[#This Row],[时间戳]])</f>
        <v>1</v>
      </c>
      <c r="K5001">
        <v>5541</v>
      </c>
      <c r="L5001">
        <v>5</v>
      </c>
      <c r="M5001">
        <f>TB[[#This Row],[售价]]*TB[[#This Row],[销量]]</f>
        <v>27705</v>
      </c>
      <c r="N5001" t="str">
        <f>IF(TB[[#This Row],[售价]]&lt;1000,"低价商品",IF(TB[[#This Row],[售价]]&lt;5000,"中价商品",IF(TB[[#This Row],[售价]]&lt;10000,"高价商品","超高价商品")))</f>
        <v>高价商品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W122"/>
  <sheetViews>
    <sheetView tabSelected="1" topLeftCell="D37" workbookViewId="0">
      <selection activeCell="R73" sqref="R73"/>
    </sheetView>
  </sheetViews>
  <sheetFormatPr defaultRowHeight="14.25" x14ac:dyDescent="0.2"/>
  <cols>
    <col min="3" max="3" width="11.875" bestFit="1" customWidth="1"/>
  </cols>
  <sheetData>
    <row r="1" spans="6:20" x14ac:dyDescent="0.2">
      <c r="F1" s="9" t="s">
        <v>435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spans="6:20" ht="14.25" customHeight="1" x14ac:dyDescent="0.2"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6:20" ht="14.25" customHeight="1" x14ac:dyDescent="0.2"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6:20" ht="14.25" customHeight="1" x14ac:dyDescent="0.2"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6:20" ht="14.25" customHeight="1" x14ac:dyDescent="0.2"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6:20" x14ac:dyDescent="0.2"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6:20" ht="14.25" customHeight="1" x14ac:dyDescent="0.2"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6:20" ht="14.25" customHeight="1" x14ac:dyDescent="0.2"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6:20" ht="14.25" customHeight="1" x14ac:dyDescent="0.2"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6:20" ht="14.25" customHeight="1" x14ac:dyDescent="0.2"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6:20" x14ac:dyDescent="0.2"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6:20" x14ac:dyDescent="0.2"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6:20" x14ac:dyDescent="0.2"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6:20" x14ac:dyDescent="0.2"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6:20" x14ac:dyDescent="0.2"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6:20" x14ac:dyDescent="0.2"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6:20" x14ac:dyDescent="0.2"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6:20" x14ac:dyDescent="0.2"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6:20" x14ac:dyDescent="0.2"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6:20" x14ac:dyDescent="0.2"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6:20" x14ac:dyDescent="0.2"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6:20" x14ac:dyDescent="0.2"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6:20" x14ac:dyDescent="0.2"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6:20" x14ac:dyDescent="0.2"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6:20" x14ac:dyDescent="0.2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6:20" x14ac:dyDescent="0.2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6:20" x14ac:dyDescent="0.2"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6:20" x14ac:dyDescent="0.2"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6:20" x14ac:dyDescent="0.2"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6:20" x14ac:dyDescent="0.2"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6:20" x14ac:dyDescent="0.2"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6:20" x14ac:dyDescent="0.2"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6:20" x14ac:dyDescent="0.2"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6:20" x14ac:dyDescent="0.2"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 spans="6:20" x14ac:dyDescent="0.2"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pans="6:20" x14ac:dyDescent="0.2"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 spans="6:20" x14ac:dyDescent="0.2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pans="6:20" x14ac:dyDescent="0.2"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6:20" x14ac:dyDescent="0.2"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6:20" x14ac:dyDescent="0.2"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6:20" x14ac:dyDescent="0.2"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pans="6:20" x14ac:dyDescent="0.2"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 spans="6:20" x14ac:dyDescent="0.2"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pans="6:20" x14ac:dyDescent="0.2"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 spans="6:20" x14ac:dyDescent="0.2"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pans="6:20" x14ac:dyDescent="0.2"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 spans="6:20" x14ac:dyDescent="0.2"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pans="6:20" x14ac:dyDescent="0.2"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 spans="6:20" x14ac:dyDescent="0.2"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pans="6:20" x14ac:dyDescent="0.2"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 spans="6:20" x14ac:dyDescent="0.2"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 spans="6:20" x14ac:dyDescent="0.2"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pans="6:20" x14ac:dyDescent="0.2"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 spans="6:20" x14ac:dyDescent="0.2"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 spans="6:20" x14ac:dyDescent="0.2"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 spans="6:20" x14ac:dyDescent="0.2"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 spans="6:20" x14ac:dyDescent="0.2"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 spans="6:20" x14ac:dyDescent="0.2"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 spans="6:20" x14ac:dyDescent="0.2"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 spans="6:20" x14ac:dyDescent="0.2"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pans="6:20" x14ac:dyDescent="0.2"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 spans="6:20" x14ac:dyDescent="0.2"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pans="6:20" x14ac:dyDescent="0.2"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 spans="6:20" x14ac:dyDescent="0.2"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122" spans="20:23" x14ac:dyDescent="0.2">
      <c r="T122" t="str">
        <f>"¥"&amp;TEXT(SUM(TB!M:M),"#,##0")</f>
        <v>¥50,893,887</v>
      </c>
      <c r="U122" t="str">
        <f>TEXT(SUM(TB!L:L),"#,##0")</f>
        <v>11,585</v>
      </c>
      <c r="V122">
        <f>COUNTIF(TB[行为类型],"buy")</f>
        <v>4209</v>
      </c>
      <c r="W122">
        <f>COUNTIF(TB[行为类型],"addbuy")</f>
        <v>791</v>
      </c>
    </row>
  </sheetData>
  <mergeCells count="2">
    <mergeCell ref="F1:T3"/>
    <mergeCell ref="F4:T64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1EA9B2-D999-443B-9D0F-D11FEA49F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品牌销售额分析</vt:lpstr>
      <vt:lpstr>商品类别销售额分析</vt:lpstr>
      <vt:lpstr>用户行为类型分析</vt:lpstr>
      <vt:lpstr>每日销售额分析</vt:lpstr>
      <vt:lpstr>每小时行为分析</vt:lpstr>
      <vt:lpstr>商品销售额Top 10</vt:lpstr>
      <vt:lpstr>价格区间销量分析</vt:lpstr>
      <vt:lpstr>商品类别行为分析</vt:lpstr>
      <vt:lpstr>TB</vt:lpstr>
      <vt:lpstr>项目总览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 z</cp:lastModifiedBy>
  <dcterms:created xsi:type="dcterms:W3CDTF">2015-06-05T18:19:34Z</dcterms:created>
  <dcterms:modified xsi:type="dcterms:W3CDTF">2026-06-13T08:17:08Z</dcterms:modified>
</cp:coreProperties>
</file>